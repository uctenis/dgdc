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5"/>
    <sheet state="visible" name="Proyección" sheetId="2" r:id="rId6"/>
    <sheet state="visible" name="Ppto 2026" sheetId="3" r:id="rId7"/>
    <sheet state="visible" name="Base datos 2026" sheetId="4" r:id="rId8"/>
    <sheet state="visible" name="Base de datoas ≤ 2025" sheetId="5" r:id="rId9"/>
    <sheet state="visible" name="Casino CRC" sheetId="6" r:id="rId10"/>
    <sheet state="visible" name="Ingeniería" sheetId="7" r:id="rId11"/>
    <sheet state="visible" name="Datos" sheetId="8" r:id="rId12"/>
    <sheet state="visible" name="Hoja 12" sheetId="9" r:id="rId13"/>
  </sheets>
  <definedNames>
    <definedName hidden="1" localSheetId="1" name="_xlnm._FilterDatabase">'Proyección'!$A$4:$BM$89</definedName>
    <definedName hidden="1" localSheetId="2" name="_xlnm._FilterDatabase">'Ppto 2026'!$A$35:$U$83</definedName>
    <definedName hidden="1" localSheetId="4" name="_xlnm._FilterDatabase">'Base de datoas ≤ 2025'!$A$3:$BR$22</definedName>
    <definedName hidden="1" localSheetId="7" name="_xlnm._FilterDatabase">Datos!$A$2:$AC$159</definedName>
    <definedName hidden="1" localSheetId="3" name="Z_94ED9FD1_4C26_490D_AFCE_61ADCFEA675D_.wvu.FilterData">'Base datos 2026'!$C$3:$C$215</definedName>
    <definedName hidden="1" localSheetId="2" name="Z_94ED9FD1_4C26_490D_AFCE_61ADCFEA675D_.wvu.FilterData">'Ppto 2026'!$A$21:$U$30</definedName>
    <definedName hidden="1" localSheetId="2" name="Z_94ED9FD1_4C26_490D_AFCE_61ADCFEA675D_.wvu.FilterData">'Ppto 2026'!$A$35:$U$83</definedName>
    <definedName hidden="1" localSheetId="2" name="Z_94ED9FD1_4C26_490D_AFCE_61ADCFEA675D_.wvu.FilterData">'Ppto 2026'!$A$9:$U$16</definedName>
    <definedName name="SlicerCache_Table_1_Col_1">#N/A</definedName>
    <definedName name="SlicerCache_Table_3_Col_10">#N/A</definedName>
    <definedName name="SlicerCache_Table_4_Col_10">#N/A</definedName>
    <definedName name="SlicerCache_Table_5_Col_10">#N/A</definedName>
  </definedNames>
  <calcPr/>
  <customWorkbookViews>
    <customWorkbookView activeSheetId="0" maximized="1" windowHeight="0" windowWidth="0" guid="{94ED9FD1-4C26-490D-AFCE-61ADCFEA675D}" name="Filtro 1"/>
  </customWorkbookViews>
  <extLst>
    <ext uri="{46BE6895-7355-4a93-B00E-2C351335B9C9}">
      <x15:slicerCaches>
        <x14:slicerCache r:id="rId14"/>
        <x14:slicerCache r:id="rId15"/>
        <x14:slicerCache r:id="rId16"/>
        <x14:slicerCache r:id="rId17"/>
      </x15:slicerCache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tc={27e9083e-9e00-4035-8a13-64f6a1edc9f0}</author>
    <author>tc={60b3499b-eda3-430a-b6a2-37531182526b}</author>
    <author>tc={813ef00f-95ea-43d6-8196-45b079c605d3}</author>
    <author>tc={adf1eb50-848e-4b02-b9e3-1007e6d3428c}</author>
    <author>tc={f67bc3f3-a4e1-476d-ad20-daf8e3c80265}</author>
  </authors>
  <commentList>
    <comment authorId="0" xr:uid="{27e9083e-9e00-4035-8a13-64f6a1edc9f0}" ref="A1">
      <text>
        <t xml:space="preserve">[Threaded comment]
 Your version of Excel allows you to read this threaded comment; however, any edits to it will get removed if the file is opened in a newer version of Excel. Learn more: https://go.microsoft.com/fwlink/?linkid=870924
Comment:
	@dsilva@uct.cl
Asignada a dsilva@uct.cl
Reply:
	Marcado como completado
Reply:
	mejor sacarlo y dejar el diseño de la fila 40
Reabierto
Reply:
	;)
</t>
      </text>
    </comment>
    <comment authorId="1" xr:uid="{60b3499b-eda3-430a-b6a2-37531182526b}" ref="A1">
      <text>
        <t xml:space="preserve">[Threaded comment]
 Your version of Excel allows you to read this threaded comment; however, any edits to it will get removed if the file is opened in a newer version of Excel. Learn more: https://go.microsoft.com/fwlink/?linkid=870924
Comment:
	Anterior $97.363.163
</t>
      </text>
    </comment>
    <comment authorId="2" xr:uid="{813ef00f-95ea-43d6-8196-45b079c605d3}" ref="A1">
      <text>
        <t xml:space="preserve">[Threaded comment]
 Your version of Excel allows you to read this threaded comment; however, any edits to it will get removed if the file is opened in a newer version of Excel. Learn more: https://go.microsoft.com/fwlink/?linkid=870924
Comment:
	200KW
</t>
      </text>
    </comment>
    <comment authorId="3" xr:uid="{adf1eb50-848e-4b02-b9e3-1007e6d3428c}" ref="A1">
      <text>
        <t xml:space="preserve">[Threaded comment]
 Your version of Excel allows you to read this threaded comment; however, any edits to it will get removed if the file is opened in a newer version of Excel. Learn more: https://go.microsoft.com/fwlink/?linkid=870924
Comment:
	Anterior $178.457.507
</t>
      </text>
    </comment>
    <comment authorId="4" xr:uid="{f67bc3f3-a4e1-476d-ad20-daf8e3c80265}" ref="A1">
      <text>
        <t xml:space="preserve">[Threaded comment]
 Your version of Excel allows you to read this threaded comment; however, any edits to it will get removed if the file is opened in a newer version of Excel. Learn more: https://go.microsoft.com/fwlink/?linkid=870924
Comment:
	cual es ese?
Reply:
	hay que borrar, se confundió JI es es tratamiento de la madera laminada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tc={3e167ece-1681-47c6-b9ff-9143ac0a6401}</author>
    <author>tc={59d13b3c-3fc6-40d3-ac59-3b24f9c20327}</author>
  </authors>
  <commentList>
    <comment authorId="0" xr:uid="{3e167ece-1681-47c6-b9ff-9143ac0a6401}" ref="V64">
      <text>
        <t xml:space="preserve">[Threaded comment]
 Your version of Excel allows you to read this threaded comment; however, any edits to it will get removed if the file is opened in a newer version of Excel. Learn more: https://go.microsoft.com/fwlink/?linkid=870924
Comment:
	@ccorrea@uct.cl
Asignada a ccorrea@uct.cl
</t>
      </text>
    </comment>
    <comment authorId="1" xr:uid="{59d13b3c-3fc6-40d3-ac59-3b24f9c20327}" ref="K74">
      <text>
        <t xml:space="preserve">[Threaded comment]
 Your version of Excel allows you to read this threaded comment; however, any edits to it will get removed if the file is opened in a newer version of Excel. Learn more: https://go.microsoft.com/fwlink/?linkid=870924
Comment:
	@ccorrea@uct.cl cuando termina?
Asignada a ccorrea@uct.cl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tc={03a6bab5-f2cf-405e-9588-b32ec25c072b}</author>
    <author>tc={0bb18298-3880-4e74-bf0b-c1a0c6a649ff}</author>
    <author>tc={0e6b4a80-1c65-4272-b2c2-17742286310c}</author>
    <author>tc={0f8a74bc-080c-479d-8478-4e77ca66e50a}</author>
    <author>tc={1c04bd73-ef7f-434c-a198-96d4d305961f}</author>
    <author>tc={200aa0c3-2b5e-4cb4-a5a8-46aef055159d}</author>
    <author>tc={202660fd-c94d-4fbd-a652-7022e2108cc0}</author>
    <author>tc={28683950-3447-406e-a0a4-edb025294cbf}</author>
    <author>tc={2bcf633c-b172-4edb-9d8d-eb2acac61343}</author>
    <author>tc={2d338a56-b612-46d6-a942-7e4ae3fc5b8e}</author>
    <author>tc={2e8de2b0-29e8-41de-9b67-02b51c7a2798}</author>
    <author>tc={3cb68320-5f2e-479e-8a10-380f4815627f}</author>
    <author>tc={4177b570-9612-4978-91e1-2927a6c726dc}</author>
    <author>tc={4731aa3f-03d7-45dc-9890-0ab23bb6e53b}</author>
    <author>tc={58ef2a4f-f94f-4502-bff1-ef6ed5ed00c5}</author>
    <author>tc={59ad2133-7192-4d2d-b044-058c068511a8}</author>
    <author>tc={69a57c2b-69b3-442e-878d-4739648820e2}</author>
    <author>tc={6eb3df57-711c-4572-bc4f-5581bfd34fa7}</author>
    <author>tc={775e2844-9873-43cf-b07f-eafc953b6032}</author>
    <author>tc={7b4bb873-3d6a-4967-ba4c-e6ddf3ff2738}</author>
    <author>tc={84fe4a84-e839-44f6-b75e-dbac44339ed0}</author>
    <author>tc={8e698f69-6ce0-41a9-b8f1-b2c71ad1ca80}</author>
    <author>tc={9a45fff7-ce7f-4c6f-87b0-ff4879c6e75b}</author>
    <author>tc={9b588921-535b-4e13-b7cc-961fbe84ddaf}</author>
    <author>tc={ae720dde-d3aa-4247-9378-190999db0a63}</author>
    <author>tc={b317e789-c7d9-471e-b02d-e185cb94639c}</author>
    <author>tc={b9646792-6045-4ff3-86c2-c577bd1c0c20}</author>
    <author>tc={bd24edec-0ed1-4ab4-a287-fc6a1e8d5fa6}</author>
    <author>tc={c1eed5c1-4014-4940-84e0-0a16015d9824}</author>
    <author>tc={c6943022-d9ec-4d1a-aba3-9dd9d69761cb}</author>
    <author>tc={d1fdf998-ef08-4472-b02d-50d9091d5a5c}</author>
    <author>tc={d871cfad-7456-4ab6-8036-5a97402c2dde}</author>
    <author>tc={e4802878-08a2-497a-a83d-dd072608b43f}</author>
    <author>tc={f148740c-177d-484e-93c9-a1e704dea399}</author>
    <author>tc={f432e14a-d9f1-4322-af94-104be0ca9feb}</author>
    <author>tc={f9a61851-1346-4432-8b93-90f93303bd9e}</author>
  </authors>
  <commentList>
    <comment authorId="0" xr:uid="{03a6bab5-f2cf-405e-9588-b32ec25c072b}" ref="U74">
      <text>
        <t xml:space="preserve">[Threaded comment]
 Your version of Excel allows you to read this threaded comment; however, any edits to it will get removed if the file is opened in a newer version of Excel. Learn more: https://go.microsoft.com/fwlink/?linkid=870924
Comment:
	@mzurita@uct.cl describir
Asignada a mzurita@uct.cl
</t>
      </text>
    </comment>
    <comment authorId="1" xr:uid="{0bb18298-3880-4e74-bf0b-c1a0c6a649ff}" ref="T3">
      <text>
        <t xml:space="preserve">[Threaded comment]
 Your version of Excel allows you to read this threaded comment; however, any edits to it will get removed if the file is opened in a newer version of Excel. Learn more: https://go.microsoft.com/fwlink/?linkid=870924
Comment:
	@icisternas@uct.cl
Asignada a icisternas@uct.cl
</t>
      </text>
    </comment>
    <comment authorId="2" xr:uid="{0e6b4a80-1c65-4272-b2c2-17742286310c}" ref="O15">
      <text>
        <t xml:space="preserve">[Threaded comment]
 Your version of Excel allows you to read this threaded comment; however, any edits to it will get removed if the file is opened in a newer version of Excel. Learn more: https://go.microsoft.com/fwlink/?linkid=870924
Comment:
	habilitar laboratorio +Torniquete
</t>
      </text>
    </comment>
    <comment authorId="3" xr:uid="{0f8a74bc-080c-479d-8478-4e77ca66e50a}" ref="T23">
      <text>
        <t xml:space="preserve">[Threaded comment]
 Your version of Excel allows you to read this threaded comment; however, any edits to it will get removed if the file is opened in a newer version of Excel. Learn more: https://go.microsoft.com/fwlink/?linkid=870924
Comment:
	@jsolisdeovando@uct.cl  indicar M2 app
Asignada a jsolisdeovando@uct.cl
</t>
      </text>
    </comment>
    <comment authorId="4" xr:uid="{1c04bd73-ef7f-434c-a198-96d4d305961f}" ref="U69">
      <text>
        <t xml:space="preserve">[Threaded comment]
 Your version of Excel allows you to read this threaded comment; however, any edits to it will get removed if the file is opened in a newer version of Excel. Learn more: https://go.microsoft.com/fwlink/?linkid=870924
Comment:
	@mzurita@uct.cl describir
Asignada a mzurita@uct.cl
Reply:
	Lo completas tú con el documento o yo?
</t>
      </text>
    </comment>
    <comment authorId="5" xr:uid="{200aa0c3-2b5e-4cb4-a5a8-46aef055159d}" ref="U71">
      <text>
        <t xml:space="preserve">[Threaded comment]
 Your version of Excel allows you to read this threaded comment; however, any edits to it will get removed if the file is opened in a newer version of Excel. Learn more: https://go.microsoft.com/fwlink/?linkid=870924
Comment:
	@mzurita@uct.cl describir
Asignada a mzurita@uct.cl
</t>
      </text>
    </comment>
    <comment authorId="6" xr:uid="{202660fd-c94d-4fbd-a652-7022e2108cc0}" ref="T53">
      <text>
        <t xml:space="preserve">[Threaded comment]
 Your version of Excel allows you to read this threaded comment; however, any edits to it will get removed if the file is opened in a newer version of Excel. Learn more: https://go.microsoft.com/fwlink/?linkid=870924
Comment:
	@jsolisdeovando@uct.cl indicar m2 app
Asignada a jsolisdeovando@uct.cl
</t>
      </text>
    </comment>
    <comment authorId="7" xr:uid="{28683950-3447-406e-a0a4-edb025294cbf}" ref="U70">
      <text>
        <t xml:space="preserve">[Threaded comment]
 Your version of Excel allows you to read this threaded comment; however, any edits to it will get removed if the file is opened in a newer version of Excel. Learn more: https://go.microsoft.com/fwlink/?linkid=870924
Comment:
	@lrios@uct.cl describir
Asignada a lrios@uct.cl
</t>
      </text>
    </comment>
    <comment authorId="8" xr:uid="{2bcf633c-b172-4edb-9d8d-eb2acac61343}" ref="T54">
      <text>
        <t xml:space="preserve">[Threaded comment]
 Your version of Excel allows you to read this threaded comment; however, any edits to it will get removed if the file is opened in a newer version of Excel. Learn more: https://go.microsoft.com/fwlink/?linkid=870924
Comment:
	@dsilva@uct.cl indicar m2 app
Asignada a dsilva@uct.cl
</t>
      </text>
    </comment>
    <comment authorId="9" xr:uid="{2d338a56-b612-46d6-a942-7e4ae3fc5b8e}" ref="T47">
      <text>
        <t xml:space="preserve">[Threaded comment]
 Your version of Excel allows you to read this threaded comment; however, any edits to it will get removed if the file is opened in a newer version of Excel. Learn more: https://go.microsoft.com/fwlink/?linkid=870924
Comment:
	@jsolisdeovando@uct.cl indicar m2 app
Asignada a jsolisdeovando@uct.cl
</t>
      </text>
    </comment>
    <comment authorId="10" xr:uid="{2e8de2b0-29e8-41de-9b67-02b51c7a2798}" ref="F12">
      <text>
        <t xml:space="preserve">[Threaded comment]
 Your version of Excel allows you to read this threaded comment; however, any edits to it will get removed if the file is opened in a newer version of Excel. Learn more: https://go.microsoft.com/fwlink/?linkid=870924
Comment:
	Terminar proyecto
</t>
      </text>
    </comment>
    <comment authorId="11" xr:uid="{3cb68320-5f2e-479e-8a10-380f4815627f}" ref="U75">
      <text>
        <t xml:space="preserve">[Threaded comment]
 Your version of Excel allows you to read this threaded comment; however, any edits to it will get removed if the file is opened in a newer version of Excel. Learn more: https://go.microsoft.com/fwlink/?linkid=870924
Comment:
	@mzurita@uct.cl describir
Asignada a mzurita@uct.cl
</t>
      </text>
    </comment>
    <comment authorId="12" xr:uid="{4177b570-9612-4978-91e1-2927a6c726dc}" ref="T40">
      <text>
        <t xml:space="preserve">[Threaded comment]
 Your version of Excel allows you to read this threaded comment; however, any edits to it will get removed if the file is opened in a newer version of Excel. Learn more: https://go.microsoft.com/fwlink/?linkid=870924
Comment:
	@jsolisdeovando@uct.cl indicar m2 app
</t>
      </text>
    </comment>
    <comment authorId="13" xr:uid="{4731aa3f-03d7-45dc-9890-0ab23bb6e53b}" ref="U67">
      <text>
        <t xml:space="preserve">[Threaded comment]
 Your version of Excel allows you to read this threaded comment; however, any edits to it will get removed if the file is opened in a newer version of Excel. Learn more: https://go.microsoft.com/fwlink/?linkid=870924
Comment:
	@mzurita@uct.cl describir la intervención
Asignada a mzurita@uct.cl
</t>
      </text>
    </comment>
    <comment authorId="14" xr:uid="{58ef2a4f-f94f-4502-bff1-ef6ed5ed00c5}" ref="T50">
      <text>
        <t xml:space="preserve">[Threaded comment]
 Your version of Excel allows you to read this threaded comment; however, any edits to it will get removed if the file is opened in a newer version of Excel. Learn more: https://go.microsoft.com/fwlink/?linkid=870924
Comment:
	@jsolisdeovando@uct.cl indicar m2
Asignada a jsolisdeovando@uct.cl
</t>
      </text>
    </comment>
    <comment authorId="15" xr:uid="{59ad2133-7192-4d2d-b044-058c068511a8}" ref="U76">
      <text>
        <t xml:space="preserve">[Threaded comment]
 Your version of Excel allows you to read this threaded comment; however, any edits to it will get removed if the file is opened in a newer version of Excel. Learn more: https://go.microsoft.com/fwlink/?linkid=870924
Comment:
	@mzurita@uct.cl describir
Asignada a mzurita@uct.cl
</t>
      </text>
    </comment>
    <comment authorId="16" xr:uid="{69a57c2b-69b3-442e-878d-4739648820e2}" ref="T29">
      <text>
        <t xml:space="preserve">[Threaded comment]
 Your version of Excel allows you to read this threaded comment; however, any edits to it will get removed if the file is opened in a newer version of Excel. Learn more: https://go.microsoft.com/fwlink/?linkid=870924
Comment:
	@lrios@uct.cl indicar m2 de dos módulos
Asignada a lrios@uct.cl
</t>
      </text>
    </comment>
    <comment authorId="17" xr:uid="{6eb3df57-711c-4572-bc4f-5581bfd34fa7}" ref="T48">
      <text>
        <t xml:space="preserve">[Threaded comment]
 Your version of Excel allows you to read this threaded comment; however, any edits to it will get removed if the file is opened in a newer version of Excel. Learn more: https://go.microsoft.com/fwlink/?linkid=870924
Comment:
	@jsolisdeovando@uct.cl indicar m2 app
Asignada a jsolisdeovando@uct.cl
</t>
      </text>
    </comment>
    <comment authorId="18" xr:uid="{775e2844-9873-43cf-b07f-eafc953b6032}" ref="O10">
      <text>
        <t xml:space="preserve">[Threaded comment]
 Your version of Excel allows you to read this threaded comment; however, any edits to it will get removed if the file is opened in a newer version of Excel. Learn more: https://go.microsoft.com/fwlink/?linkid=870924
Comment:
	Esquineros
</t>
      </text>
    </comment>
    <comment authorId="19" xr:uid="{7b4bb873-3d6a-4967-ba4c-e6ddf3ff2738}" ref="F16">
      <text>
        <t xml:space="preserve">[Threaded comment]
 Your version of Excel allows you to read this threaded comment; however, any edits to it will get removed if the file is opened in a newer version of Excel. Learn more: https://go.microsoft.com/fwlink/?linkid=870924
Comment:
	ver si se realiza
</t>
      </text>
    </comment>
    <comment authorId="20" xr:uid="{84fe4a84-e839-44f6-b75e-dbac44339ed0}" ref="O22">
      <text>
        <t xml:space="preserve">[Threaded comment]
 Your version of Excel allows you to read this threaded comment; however, any edits to it will get removed if the file is opened in a newer version of Excel. Learn more: https://go.microsoft.com/fwlink/?linkid=870924
Comment:
	barandas de seguridad, cierre perimetral piscina, portones, senderos, paisajismo
</t>
      </text>
    </comment>
    <comment authorId="21" xr:uid="{8e698f69-6ce0-41a9-b8f1-b2c71ad1ca80}" ref="U73">
      <text>
        <t xml:space="preserve">[Threaded comment]
 Your version of Excel allows you to read this threaded comment; however, any edits to it will get removed if the file is opened in a newer version of Excel. Learn more: https://go.microsoft.com/fwlink/?linkid=870924
Comment:
	@mzurita@uct.cl describir
Asignada a mzurita@uct.cl
</t>
      </text>
    </comment>
    <comment authorId="22" xr:uid="{9a45fff7-ce7f-4c6f-87b0-ff4879c6e75b}" ref="O11">
      <text>
        <t xml:space="preserve">[Threaded comment]
 Your version of Excel allows you to read this threaded comment; however, any edits to it will get removed if the file is opened in a newer version of Excel. Learn more: https://go.microsoft.com/fwlink/?linkid=870924
Comment:
	obra + GE
</t>
      </text>
    </comment>
    <comment authorId="23" xr:uid="{9b588921-535b-4e13-b7cc-961fbe84ddaf}" ref="U68">
      <text>
        <t xml:space="preserve">[Threaded comment]
 Your version of Excel allows you to read this threaded comment; however, any edits to it will get removed if the file is opened in a newer version of Excel. Learn more: https://go.microsoft.com/fwlink/?linkid=870924
Comment:
	@mzurita@uct.cl describir
Asignada a mzurita@uct.cl
Reply:
	Se ha descrito en documento, es necesario completar esta celda igualmente
</t>
      </text>
    </comment>
    <comment authorId="24" xr:uid="{ae720dde-d3aa-4247-9378-190999db0a63}" ref="O43">
      <text>
        <t xml:space="preserve">[Threaded comment]
 Your version of Excel allows you to read this threaded comment; however, any edits to it will get removed if the file is opened in a newer version of Excel. Learn more: https://go.microsoft.com/fwlink/?linkid=870924
Comment:
	@jsolisdeovando@uct.cl indicar sector y cantidad
Asignada a jsolisdeovando@uct.cl
</t>
      </text>
    </comment>
    <comment authorId="25" xr:uid="{b317e789-c7d9-471e-b02d-e185cb94639c}" ref="U80">
      <text>
        <t xml:space="preserve">[Threaded comment]
 Your version of Excel allows you to read this threaded comment; however, any edits to it will get removed if the file is opened in a newer version of Excel. Learn more: https://go.microsoft.com/fwlink/?linkid=870924
Comment:
	@ccorrea@uct.cl que edificios deberíamos incorporar según plan este año
Asignada a ccorrea@uct.cl
Reply:
	el FAAD o el EDI, ¿lo esta viendo pedro? sino alguno de esos
Reply:
	CJP01, CRC09, CRC16 y CSF11-13
</t>
      </text>
    </comment>
    <comment authorId="26" xr:uid="{b9646792-6045-4ff3-86c2-c577bd1c0c20}" ref="T51">
      <text>
        <t xml:space="preserve">[Threaded comment]
 Your version of Excel allows you to read this threaded comment; however, any edits to it will get removed if the file is opened in a newer version of Excel. Learn more: https://go.microsoft.com/fwlink/?linkid=870924
Comment:
	@ccorrea@uct.cl puedes indicar m2 de fachadas que dan hacia contenedores y CRC16 porfa
Asignada a ccorrea@uct.cl
</t>
      </text>
    </comment>
    <comment authorId="27" xr:uid="{bd24edec-0ed1-4ab4-a287-fc6a1e8d5fa6}" ref="O55">
      <text>
        <t xml:space="preserve">[Threaded comment]
 Your version of Excel allows you to read this threaded comment; however, any edits to it will get removed if the file is opened in a newer version of Excel. Learn more: https://go.microsoft.com/fwlink/?linkid=870924
Comment:
	@dsilva@uct.cl detallar trabajos
Asignada a dsilva@uct.cl
Reply:
	listo
</t>
      </text>
    </comment>
    <comment authorId="28" xr:uid="{c1eed5c1-4014-4940-84e0-0a16015d9824}" ref="F43">
      <text>
        <t xml:space="preserve">[Threaded comment]
 Your version of Excel allows you to read this threaded comment; however, any edits to it will get removed if the file is opened in a newer version of Excel. Learn more: https://go.microsoft.com/fwlink/?linkid=870924
Comment:
	150 un.
</t>
      </text>
    </comment>
    <comment authorId="29" xr:uid="{c6943022-d9ec-4d1a-aba3-9dd9d69761cb}" ref="O13">
      <text>
        <t xml:space="preserve">[Threaded comment]
 Your version of Excel allows you to read this threaded comment; however, any edits to it will get removed if the file is opened in a newer version of Excel. Learn more: https://go.microsoft.com/fwlink/?linkid=870924
Comment:
	2025 $160.000.000
</t>
      </text>
    </comment>
    <comment authorId="30" xr:uid="{d1fdf998-ef08-4472-b02d-50d9091d5a5c}" ref="O24">
      <text>
        <t xml:space="preserve">[Threaded comment]
 Your version of Excel allows you to read this threaded comment; however, any edits to it will get removed if the file is opened in a newer version of Excel. Learn more: https://go.microsoft.com/fwlink/?linkid=870924
Comment:
	@ccorrea@uct.cl detallar obras
Asignada a ccorrea@uct.cl
</t>
      </text>
    </comment>
    <comment authorId="31" xr:uid="{d871cfad-7456-4ab6-8036-5a97402c2dde}" ref="F67">
      <text>
        <t xml:space="preserve">[Threaded comment]
 Your version of Excel allows you to read this threaded comment; however, any edits to it will get removed if the file is opened in a newer version of Excel. Learn more: https://go.microsoft.com/fwlink/?linkid=870924
Comment:
	@mzurita@uct.cl ver cual de los tres es prioridad
Asignada a mzurita@uct.cl
Reply:
	El edificio 14
</t>
      </text>
    </comment>
    <comment authorId="32" xr:uid="{e4802878-08a2-497a-a83d-dd072608b43f}" ref="O16">
      <text>
        <t xml:space="preserve">[Threaded comment]
 Your version of Excel allows you to read this threaded comment; however, any edits to it will get removed if the file is opened in a newer version of Excel. Learn more: https://go.microsoft.com/fwlink/?linkid=870924
Comment:
	cubierta, revestimientos, aislación y terminaciones. instalaciones eléctricas y sanitarias. habilitación básica (calefacción, cocina, mobiliario básico)
</t>
      </text>
    </comment>
    <comment authorId="33" xr:uid="{f148740c-177d-484e-93c9-a1e704dea399}" ref="T38">
      <text>
        <t xml:space="preserve">[Threaded comment]
 Your version of Excel allows you to read this threaded comment; however, any edits to it will get removed if the file is opened in a newer version of Excel. Learn more: https://go.microsoft.com/fwlink/?linkid=870924
Comment:
	@jsolisdeovando@uct.cl indicar m2 app
Asignada a jsolisdeovando@uct.cl
</t>
      </text>
    </comment>
    <comment authorId="34" xr:uid="{f432e14a-d9f1-4322-af94-104be0ca9feb}" ref="U72">
      <text>
        <t xml:space="preserve">[Threaded comment]
 Your version of Excel allows you to read this threaded comment; however, any edits to it will get removed if the file is opened in a newer version of Excel. Learn more: https://go.microsoft.com/fwlink/?linkid=870924
Comment:
	@mzurita@uct.cl describir
Asignada a mzurita@uct.cl
</t>
      </text>
    </comment>
    <comment authorId="35" xr:uid="{f9a61851-1346-4432-8b93-90f93303bd9e}" ref="T55">
      <text>
        <t xml:space="preserve">[Threaded comment]
 Your version of Excel allows you to read this threaded comment; however, any edits to it will get removed if the file is opened in a newer version of Excel. Learn more: https://go.microsoft.com/fwlink/?linkid=870924
Comment:
	cambio de piezas, reforzamiento, mejorar pasarela, pintura.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tc={0bcc7a99-bc1a-45b2-8027-7ce9769fcf3d}</author>
    <author>tc={123c7ef9-03cc-4c1b-9e12-e8f4d661bc78}</author>
    <author>tc={12da3bee-e8d6-4fa5-926e-ec1d3eb44fb8}</author>
    <author>tc={174dfe82-3483-449c-9112-a0312715bd01}</author>
    <author>tc={1e68805b-317d-49cf-9ca1-cf3d361042d0}</author>
    <author>tc={27c5e1f1-7cfd-41be-ab08-f0283c0afeeb}</author>
    <author>tc={3e5bca96-40ab-4b7e-8a99-4be8e2400e66}</author>
    <author>tc={5312cbee-456b-4991-a3d7-bc58643c30b0}</author>
    <author>tc={538eddc7-6754-4d54-84c9-ea2b78660890}</author>
    <author>tc={8648f577-fade-41f6-a7fd-a7066713383f}</author>
    <author>tc={86a644fd-8620-45f3-8061-a196d8b3512f}</author>
    <author>tc={8f17c05a-51e2-4aae-a63c-b956df2c7ae0}</author>
    <author>tc={94544823-ba93-4318-9677-43191deab1fe}</author>
    <author>tc={a0bfa2e2-dfa9-4763-ad4e-af7bcc4729d7}</author>
    <author>tc={a3e2ec2a-64a2-4974-a5ee-bdb7802dd551}</author>
    <author>tc={ac1ea13b-0f39-4b2e-9ed7-8db1422b3139}</author>
    <author>tc={af8a1c87-847f-4c7a-b859-f11680018513}</author>
    <author>tc={be8b22c8-0779-4de7-834a-cb8464c70497}</author>
    <author>tc={c31fddf6-464a-4d5e-8208-4b891c2c8fcf}</author>
    <author>tc={c36439a7-1f0b-48fd-abe3-4b7606216e4d}</author>
    <author>tc={d29d9fb5-a571-40e6-9286-b153c08b65bc}</author>
    <author>tc={d38a51ee-1288-4c9b-94eb-b510a84c1d02}</author>
    <author>tc={e98e1717-ccd1-4d1f-8fa5-1ccb6cb32d3b}</author>
    <author>tc={f632904f-4221-4951-b35b-c90b86306459}</author>
    <author>tc={fd07ebb1-c0e3-4e5b-8b9e-2da375099676}</author>
    <author>tc={fd65127c-114c-4d7d-aec8-2f4fed4ace9b}</author>
  </authors>
  <commentList>
    <comment authorId="0" xr:uid="{0bcc7a99-bc1a-45b2-8027-7ce9769fcf3d}" ref="S34">
      <text>
        <t xml:space="preserve">[Threaded comment]
 Your version of Excel allows you to read this threaded comment; however, any edits to it will get removed if the file is opened in a newer version of Excel. Learn more: https://go.microsoft.com/fwlink/?linkid=870924
Comment:
	@jsolisdeovando@uct.cl indicar fecha de pago
Asignada a jsolisdeovando@uct.cl
Reply:
	30% DE ANTICIPO SEMANA DE 20 / 70% RESTANTE SEMANA DEL 20 DE MAYO
</t>
      </text>
    </comment>
    <comment authorId="1" xr:uid="{123c7ef9-03cc-4c1b-9e12-e8f4d661bc78}" ref="O35">
      <text>
        <t xml:space="preserve">[Threaded comment]
 Your version of Excel allows you to read this threaded comment; however, any edits to it will get removed if the file is opened in a newer version of Excel. Learn more: https://go.microsoft.com/fwlink/?linkid=870924
Comment:
	@lrios@uct.cl indicar proyección de pago
Asignada a lrios@uct.cl
</t>
      </text>
    </comment>
    <comment authorId="2" xr:uid="{12da3bee-e8d6-4fa5-926e-ec1d3eb44fb8}" ref="S55">
      <text>
        <t xml:space="preserve">[Threaded comment]
 Your version of Excel allows you to read this threaded comment; however, any edits to it will get removed if the file is opened in a newer version of Excel. Learn more: https://go.microsoft.com/fwlink/?linkid=870924
Comment:
	@lrios@uct.cl indicar fecha de pago
Asignada a lrios@uct.cl
</t>
      </text>
    </comment>
    <comment authorId="3" xr:uid="{174dfe82-3483-449c-9112-a0312715bd01}" ref="S48">
      <text>
        <t xml:space="preserve">[Threaded comment]
 Your version of Excel allows you to read this threaded comment; however, any edits to it will get removed if the file is opened in a newer version of Excel. Learn more: https://go.microsoft.com/fwlink/?linkid=870924
Comment:
	@jsolisdeovando@uct.cl indicar fecha de llegada
Asignada a jsolisdeovando@uct.cl
</t>
      </text>
    </comment>
    <comment authorId="4" xr:uid="{1e68805b-317d-49cf-9ca1-cf3d361042d0}" ref="S57">
      <text>
        <t xml:space="preserve">[Threaded comment]
 Your version of Excel allows you to read this threaded comment; however, any edits to it will get removed if the file is opened in a newer version of Excel. Learn more: https://go.microsoft.com/fwlink/?linkid=870924
Comment:
	@mauricio.matus@uct.cl  indicar fecha de pago
Asignada a mauricio.matus@uct.cl
</t>
      </text>
    </comment>
    <comment authorId="5" xr:uid="{27c5e1f1-7cfd-41be-ab08-f0283c0afeeb}" ref="S58">
      <text>
        <t xml:space="preserve">[Threaded comment]
 Your version of Excel allows you to read this threaded comment; however, any edits to it will get removed if the file is opened in a newer version of Excel. Learn more: https://go.microsoft.com/fwlink/?linkid=870924
Comment:
	@jsolisdeovando@uct.cl indicar fecha de llegada
Asignada a jsolisdeovando@uct.cl
</t>
      </text>
    </comment>
    <comment authorId="6" xr:uid="{3e5bca96-40ab-4b7e-8a99-4be8e2400e66}" ref="S53">
      <text>
        <t xml:space="preserve">[Threaded comment]
 Your version of Excel allows you to read this threaded comment; however, any edits to it will get removed if the file is opened in a newer version of Excel. Learn more: https://go.microsoft.com/fwlink/?linkid=870924
Comment:
	@dsilva@uct.cl indicar fecha de pago
Asignada a dsilva@uct.cl
</t>
      </text>
    </comment>
    <comment authorId="7" xr:uid="{5312cbee-456b-4991-a3d7-bc58643c30b0}" ref="S14">
      <text>
        <t xml:space="preserve">[Threaded comment]
 Your version of Excel allows you to read this threaded comment; however, any edits to it will get removed if the file is opened in a newer version of Excel. Learn more: https://go.microsoft.com/fwlink/?linkid=870924
Comment:
	@ccorrea@uct.cl confirmar fecha de pago
Asignada a ccorrea@uct.cl
</t>
      </text>
    </comment>
    <comment authorId="8" xr:uid="{538eddc7-6754-4d54-84c9-ea2b78660890}" ref="S63">
      <text>
        <t xml:space="preserve">[Threaded comment]
 Your version of Excel allows you to read this threaded comment; however, any edits to it will get removed if the file is opened in a newer version of Excel. Learn more: https://go.microsoft.com/fwlink/?linkid=870924
Comment:
	@jsolisdeovando@uct.cl indicar fecha de pago
Asignada a jsolisdeovando@uct.cl
</t>
      </text>
    </comment>
    <comment authorId="9" xr:uid="{8648f577-fade-41f6-a7fd-a7066713383f}" ref="S68">
      <text>
        <t xml:space="preserve">[Threaded comment]
 Your version of Excel allows you to read this threaded comment; however, any edits to it will get removed if the file is opened in a newer version of Excel. Learn more: https://go.microsoft.com/fwlink/?linkid=870924
Comment:
	@ameza@uct.cl indicar fecha de termino
Asignada a ameza@uct.cl
</t>
      </text>
    </comment>
    <comment authorId="10" xr:uid="{86a644fd-8620-45f3-8061-a196d8b3512f}" ref="S50">
      <text>
        <t xml:space="preserve">[Threaded comment]
 Your version of Excel allows you to read this threaded comment; however, any edits to it will get removed if the file is opened in a newer version of Excel. Learn more: https://go.microsoft.com/fwlink/?linkid=870924
Comment:
	@ccorrea@uct.cl indicar fecha
Asignada a ccorrea@uct.cl
Reply:
	3 semanas después que se emita OC
</t>
      </text>
    </comment>
    <comment authorId="11" xr:uid="{8f17c05a-51e2-4aae-a63c-b956df2c7ae0}" ref="S62">
      <text>
        <t xml:space="preserve">[Threaded comment]
 Your version of Excel allows you to read this threaded comment; however, any edits to it will get removed if the file is opened in a newer version of Excel. Learn more: https://go.microsoft.com/fwlink/?linkid=870924
Comment:
	@ameza@uct.cl  indicar termino de trabajos
Asignada a ameza@uct.cl
Reply:
	favor contestar para proyectar pago!!!!!
Reply:
	25 a 30 de mayo
Reply:
	escribir en planilla
</t>
      </text>
    </comment>
    <comment authorId="12" xr:uid="{94544823-ba93-4318-9677-43191deab1fe}" ref="O38">
      <text>
        <t xml:space="preserve">[Threaded comment]
 Your version of Excel allows you to read this threaded comment; however, any edits to it will get removed if the file is opened in a newer version of Excel. Learn more: https://go.microsoft.com/fwlink/?linkid=870924
Comment:
	@ameza@uct.cl indicar proyección de pago
Asignada a ameza@uct.cl
</t>
      </text>
    </comment>
    <comment authorId="13" xr:uid="{a0bfa2e2-dfa9-4763-ad4e-af7bcc4729d7}" ref="S56">
      <text>
        <t xml:space="preserve">[Threaded comment]
 Your version of Excel allows you to read this threaded comment; however, any edits to it will get removed if the file is opened in a newer version of Excel. Learn more: https://go.microsoft.com/fwlink/?linkid=870924
Comment:
	@dsilva@uct.cl informar fecha de pago
Asignada a dsilva@uct.cl
Reply:
	Marcado como completado
</t>
      </text>
    </comment>
    <comment authorId="14" xr:uid="{a3e2ec2a-64a2-4974-a5ee-bdb7802dd551}" ref="S64">
      <text>
        <t xml:space="preserve">[Threaded comment]
 Your version of Excel allows you to read this threaded comment; however, any edits to it will get removed if the file is opened in a newer version of Excel. Learn more: https://go.microsoft.com/fwlink/?linkid=870924
Comment:
	@jsolisdeovando@uct.cl  indicar fecha
Asignada a jsolisdeovando@uct.cl
</t>
      </text>
    </comment>
    <comment authorId="15" xr:uid="{ac1ea13b-0f39-4b2e-9ed7-8db1422b3139}" ref="S49">
      <text>
        <t xml:space="preserve">[Threaded comment]
 Your version of Excel allows you to read this threaded comment; however, any edits to it will get removed if the file is opened in a newer version of Excel. Learn more: https://go.microsoft.com/fwlink/?linkid=870924
Comment:
	@jsolisdeovando@uct.cl indicar fecha de llegada
Asignada a jsolisdeovando@uct.cl
</t>
      </text>
    </comment>
    <comment authorId="16" xr:uid="{af8a1c87-847f-4c7a-b859-f11680018513}" ref="S52">
      <text>
        <t xml:space="preserve">[Threaded comment]
 Your version of Excel allows you to read this threaded comment; however, any edits to it will get removed if the file is opened in a newer version of Excel. Learn more: https://go.microsoft.com/fwlink/?linkid=870924
Comment:
	@dsilva@uct.cl indicar fecha de pago
Asignada a dsilva@uct.cl
</t>
      </text>
    </comment>
    <comment authorId="17" xr:uid="{be8b22c8-0779-4de7-834a-cb8464c70497}" ref="S41">
      <text>
        <t xml:space="preserve">[Threaded comment]
 Your version of Excel allows you to read this threaded comment; however, any edits to it will get removed if the file is opened in a newer version of Excel. Learn more: https://go.microsoft.com/fwlink/?linkid=870924
Comment:
	@ameza@uct.cl indicar
Asignada a ameza@uct.cl
</t>
      </text>
    </comment>
    <comment authorId="18" xr:uid="{c31fddf6-464a-4d5e-8208-4b891c2c8fcf}" ref="S81">
      <text>
        <t xml:space="preserve">[Threaded comment]
 Your version of Excel allows you to read this threaded comment; however, any edits to it will get removed if the file is opened in a newer version of Excel. Learn more: https://go.microsoft.com/fwlink/?linkid=870924
Comment:
	@indicar fecha d epago
</t>
      </text>
    </comment>
    <comment authorId="19" xr:uid="{c36439a7-1f0b-48fd-abe3-4b7606216e4d}" ref="S59">
      <text>
        <t xml:space="preserve">[Threaded comment]
 Your version of Excel allows you to read this threaded comment; however, any edits to it will get removed if the file is opened in a newer version of Excel. Learn more: https://go.microsoft.com/fwlink/?linkid=870924
Comment:
	@dsilva@uct.cl informar fecha de pago
Asignada a dsilva@uct.cl
Reply:
	Marcado como completado
</t>
      </text>
    </comment>
    <comment authorId="20" xr:uid="{d29d9fb5-a571-40e6-9286-b153c08b65bc}" ref="S82">
      <text>
        <t xml:space="preserve">[Threaded comment]
 Your version of Excel allows you to read this threaded comment; however, any edits to it will get removed if the file is opened in a newer version of Excel. Learn more: https://go.microsoft.com/fwlink/?linkid=870924
Comment:
	@ccorrea@uct.cl indicar fecha de facturación
Asignada a ccorrea@uct.cl
</t>
      </text>
    </comment>
    <comment authorId="21" xr:uid="{d38a51ee-1288-4c9b-94eb-b510a84c1d02}" ref="S47">
      <text>
        <t xml:space="preserve">[Threaded comment]
 Your version of Excel allows you to read this threaded comment; however, any edits to it will get removed if the file is opened in a newer version of Excel. Learn more: https://go.microsoft.com/fwlink/?linkid=870924
Comment:
	@ameza@uct.cl indicar fecha de pago
Asignada a ameza@uct.cl
Reply:
	indicar fecha
Reply:
	Proveedor despacho producto pero no ha llegado, copie en correo pq le estoy haciendo el seguimiento. Slds
</t>
      </text>
    </comment>
    <comment authorId="22" xr:uid="{e98e1717-ccd1-4d1f-8fa5-1ccb6cb32d3b}" ref="S51">
      <text>
        <t xml:space="preserve">[Threaded comment]
 Your version of Excel allows you to read this threaded comment; however, any edits to it will get removed if the file is opened in a newer version of Excel. Learn more: https://go.microsoft.com/fwlink/?linkid=870924
Comment:
	@jsolisdeovando@uct.cl indicar fecha
Asignada a jsolisdeovando@uct.cl
</t>
      </text>
    </comment>
    <comment authorId="23" xr:uid="{f632904f-4221-4951-b35b-c90b86306459}" ref="O10">
      <text>
        <t xml:space="preserve">[Threaded comment]
 Your version of Excel allows you to read this threaded comment; however, any edits to it will get removed if the file is opened in a newer version of Excel. Learn more: https://go.microsoft.com/fwlink/?linkid=870924
Comment:
	@ccorrea@uct.cl indicar fecha de pago
Asignada a ccorrea@uct.cl
</t>
      </text>
    </comment>
    <comment authorId="24" xr:uid="{fd07ebb1-c0e3-4e5b-8b9e-2da375099676}" ref="S54">
      <text>
        <t xml:space="preserve">[Threaded comment]
 Your version of Excel allows you to read this threaded comment; however, any edits to it will get removed if the file is opened in a newer version of Excel. Learn more: https://go.microsoft.com/fwlink/?linkid=870924
Comment:
	@ameza@uct.cl indicar fecha de pago
Asignada a ameza@uct.cl
Reply:
	favor indicar fecha
</t>
      </text>
    </comment>
    <comment authorId="25" xr:uid="{fd65127c-114c-4d7d-aec8-2f4fed4ace9b}" ref="S37">
      <text>
        <t xml:space="preserve">[Threaded comment]
 Your version of Excel allows you to read this threaded comment; however, any edits to it will get removed if the file is opened in a newer version of Excel. Learn more: https://go.microsoft.com/fwlink/?linkid=870924
Comment:
	@lrios@uct.cl  indicar fecha de pago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tc={22e806c0-847a-4a26-980d-d951c954956b}</author>
    <author>tc={cc69c7b6-1edc-40f4-b74f-a4a03fd9a3a7}</author>
  </authors>
  <commentList>
    <comment authorId="0" xr:uid="{22e806c0-847a-4a26-980d-d951c954956b}" ref="P21">
      <text>
        <t xml:space="preserve">[Threaded comment]
 Your version of Excel allows you to read this threaded comment; however, any edits to it will get removed if the file is opened in a newer version of Excel. Learn more: https://go.microsoft.com/fwlink/?linkid=870924
Comment:
	@mzurita@uct.cl esto aun no figura el cobro
Asignada a mzurita@uct.cl
</t>
      </text>
    </comment>
    <comment authorId="1" xr:uid="{cc69c7b6-1edc-40f4-b74f-a4a03fd9a3a7}" ref="P16">
      <text>
        <t xml:space="preserve">[Threaded comment]
 Your version of Excel allows you to read this threaded comment; however, any edits to it will get removed if the file is opened in a newer version of Excel. Learn more: https://go.microsoft.com/fwlink/?linkid=870924
Comment:
	@mzurita@uct.cl cobraron?
Asignada a mzurita@uct.cl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tc={9d527204-862a-4509-9c71-ee847c8d9489}</author>
  </authors>
  <commentList>
    <comment authorId="0" xr:uid="{9d527204-862a-4509-9c71-ee847c8d9489}" ref="C10">
      <text>
        <t xml:space="preserve">[Threaded comment]
 Your version of Excel allows you to read this threaded comment; however, any edits to it will get removed if the file is opened in a newer version of Excel. Learn more: https://go.microsoft.com/fwlink/?linkid=870924
Comment:
	Aumento RF + eléctrico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tc={a2d044bc-e4fb-4728-b713-b502bbddaf26}</author>
  </authors>
  <commentList>
    <comment authorId="0" ref="F34">
      <text>
        <t xml:space="preserve">Solo accesos principales, torniquete </t>
      </text>
    </comment>
    <comment authorId="0" ref="C12">
      <text>
        <t xml:space="preserve">Traslado eléctrico </t>
      </text>
    </comment>
    <comment authorId="1" xr:uid="{a2d044bc-e4fb-4728-b713-b502bbddaf26}" ref="N25">
      <text>
        <t xml:space="preserve">[Threaded comment]
 Your version of Excel allows you to read this threaded comment; however, any edits to it will get removed if the file is opened in a newer version of Excel. Learn more: https://go.microsoft.com/fwlink/?linkid=870924
Comment:
	@jsolisdeovando@uct.cl indicar monto
Asignada a jsolisdeovando@uct.cl
Reply:
	LISTO
</t>
      </text>
    </comment>
  </commentList>
</comments>
</file>

<file path=xl/sharedStrings.xml><?xml version="1.0" encoding="utf-8"?>
<sst xmlns="http://schemas.openxmlformats.org/spreadsheetml/2006/main" count="3001" uniqueCount="1291">
  <si>
    <t>UNIVERSIDAD CATÓLICA DE TEMUCO</t>
  </si>
  <si>
    <t>Código: 
SGC PS-FOR-DGDC 0005
Versión: 02
Fecha de vigencia: 12/12/2024
Página: 1 de 1</t>
  </si>
  <si>
    <t>CC</t>
  </si>
  <si>
    <t xml:space="preserve">Ppto </t>
  </si>
  <si>
    <t>Ppto ajustado</t>
  </si>
  <si>
    <t>ppto doc.</t>
  </si>
  <si>
    <t xml:space="preserve">Saldo </t>
  </si>
  <si>
    <t>%</t>
  </si>
  <si>
    <t>Semana 1-Ene</t>
  </si>
  <si>
    <t>KELLUN</t>
  </si>
  <si>
    <t>Semana 2-Enero</t>
  </si>
  <si>
    <t xml:space="preserve">CON TRASPASO </t>
  </si>
  <si>
    <t>Semana 3-Ene</t>
  </si>
  <si>
    <t>DIFERENCIA</t>
  </si>
  <si>
    <t>Semana 4-Ene</t>
  </si>
  <si>
    <t>Semana 1-Feb</t>
  </si>
  <si>
    <t>Semana 2-Feb</t>
  </si>
  <si>
    <t>Semana 3-Febr</t>
  </si>
  <si>
    <t>409-1722 REMODELACIONES-OBRAS</t>
  </si>
  <si>
    <t>Semana 4-Feb</t>
  </si>
  <si>
    <t>Semana 1-Mar</t>
  </si>
  <si>
    <t>Semana 2-Marz</t>
  </si>
  <si>
    <t>Semana 3-Marzo</t>
  </si>
  <si>
    <t>Semana 4-Mar</t>
  </si>
  <si>
    <t>Semana 1-Abri</t>
  </si>
  <si>
    <t>Semana 2-Abri</t>
  </si>
  <si>
    <t>Semana 3-Abril</t>
  </si>
  <si>
    <t>Semana 4-Abril</t>
  </si>
  <si>
    <t>Semana 5-Abri</t>
  </si>
  <si>
    <t>Semana 1-May</t>
  </si>
  <si>
    <t>Semana 2-Mayo</t>
  </si>
  <si>
    <t>Semana 3-Mayo</t>
  </si>
  <si>
    <t>Semana 4-Mayo</t>
  </si>
  <si>
    <t>Semana 1-Jun</t>
  </si>
  <si>
    <t>Semana 2-Jun</t>
  </si>
  <si>
    <t>Semana 3-Junio</t>
  </si>
  <si>
    <t>Semana 4-Junio</t>
  </si>
  <si>
    <t>PRESUPUESTO INFRAESTRUCTURA 2026</t>
  </si>
  <si>
    <t>Semana 1-Juli</t>
  </si>
  <si>
    <t>Semana 2-Jul</t>
  </si>
  <si>
    <t>Semana 3-Julio</t>
  </si>
  <si>
    <t>Semana 4-Julio</t>
  </si>
  <si>
    <t>Semana 5-Juli</t>
  </si>
  <si>
    <t>Semana 1-Ago</t>
  </si>
  <si>
    <t>Semana 2-Agos</t>
  </si>
  <si>
    <t>Semana 3-Agos</t>
  </si>
  <si>
    <t>Semana 4-Agos</t>
  </si>
  <si>
    <t>Semana 1-Sept</t>
  </si>
  <si>
    <t>Semana 2-Septi</t>
  </si>
  <si>
    <t>Semana 3-Septi</t>
  </si>
  <si>
    <t>Semana 4-Septi</t>
  </si>
  <si>
    <t>Semana 5-Septi</t>
  </si>
  <si>
    <t>Semana 1-Octu</t>
  </si>
  <si>
    <t>Semana 2-Oct</t>
  </si>
  <si>
    <t>Semana 3-Octu</t>
  </si>
  <si>
    <t>Semana 4-Octu</t>
  </si>
  <si>
    <t>Semana 5-Octu</t>
  </si>
  <si>
    <t>Resumen</t>
  </si>
  <si>
    <t>Semana 1-Nov</t>
  </si>
  <si>
    <t>Semana 2-Novi</t>
  </si>
  <si>
    <t>Semana 3-Novi</t>
  </si>
  <si>
    <t>Semana 4-Novi</t>
  </si>
  <si>
    <t>Semana 1-Dic</t>
  </si>
  <si>
    <t>Semana 2-Dic</t>
  </si>
  <si>
    <t>Semana 3-Dici</t>
  </si>
  <si>
    <t>Semana 4-Dici</t>
  </si>
  <si>
    <t>Semana 5-Dici</t>
  </si>
  <si>
    <t>Proyecto</t>
  </si>
  <si>
    <t>OP</t>
  </si>
  <si>
    <t>Continuidad de obras 2026</t>
  </si>
  <si>
    <t>OC</t>
  </si>
  <si>
    <t>Obras 2026</t>
  </si>
  <si>
    <t>Remodelaciones 2026</t>
  </si>
  <si>
    <t>Tipo Obra</t>
  </si>
  <si>
    <t>D.Silva</t>
  </si>
  <si>
    <t>409-5243 INSTITUTO TECNOLOGICO</t>
  </si>
  <si>
    <t>Campus</t>
  </si>
  <si>
    <t>Edificio</t>
  </si>
  <si>
    <t>Uso</t>
  </si>
  <si>
    <t>Descripción</t>
  </si>
  <si>
    <t>Monto</t>
  </si>
  <si>
    <t>Pagado</t>
  </si>
  <si>
    <t>Saldo</t>
  </si>
  <si>
    <t>Contratista</t>
  </si>
  <si>
    <t>Responsable</t>
  </si>
  <si>
    <t>RC</t>
  </si>
  <si>
    <t>Fecha RC</t>
  </si>
  <si>
    <t>Column 74</t>
  </si>
  <si>
    <t>Δ</t>
  </si>
  <si>
    <t>05 al 11</t>
  </si>
  <si>
    <t>409-5503 PROYECTO TÚNEL SALIDA Y CALLE PROLONGACIÓN CJPII</t>
  </si>
  <si>
    <t>12 al 18</t>
  </si>
  <si>
    <t>19 al 25</t>
  </si>
  <si>
    <t>26 al 01</t>
  </si>
  <si>
    <t>02 al 08</t>
  </si>
  <si>
    <t>09 al 15</t>
  </si>
  <si>
    <t>16 al 22</t>
  </si>
  <si>
    <t>23 al 01</t>
  </si>
  <si>
    <t>409-5506 - CASINO VRAE</t>
  </si>
  <si>
    <t>23 al 29</t>
  </si>
  <si>
    <t>30 al 05</t>
  </si>
  <si>
    <t>M.Zurita</t>
  </si>
  <si>
    <t>06 al 12</t>
  </si>
  <si>
    <t>13 al 19</t>
  </si>
  <si>
    <t>20 al 26</t>
  </si>
  <si>
    <t>27 al 03</t>
  </si>
  <si>
    <t>04 al 10</t>
  </si>
  <si>
    <t>409-6293 - CENTRO RECREACIONAL SAN NICOLAS</t>
  </si>
  <si>
    <t>11 al 17</t>
  </si>
  <si>
    <t>18 al 24</t>
  </si>
  <si>
    <t>25 al 31</t>
  </si>
  <si>
    <t>01 al 07</t>
  </si>
  <si>
    <t>08 al 14</t>
  </si>
  <si>
    <t>15 al 21</t>
  </si>
  <si>
    <t>$ 40.000.000</t>
  </si>
  <si>
    <t>22 al 28</t>
  </si>
  <si>
    <t>29 al 05</t>
  </si>
  <si>
    <t>F.Anselme</t>
  </si>
  <si>
    <t>27 al 02</t>
  </si>
  <si>
    <t>03 al 09</t>
  </si>
  <si>
    <t>10 al 16</t>
  </si>
  <si>
    <t>17 al 23</t>
  </si>
  <si>
    <t>24 al 30</t>
  </si>
  <si>
    <t>31al 06</t>
  </si>
  <si>
    <t>07 al 13</t>
  </si>
  <si>
    <t>14 al 20</t>
  </si>
  <si>
    <t>21 al 27</t>
  </si>
  <si>
    <t>28 al 04</t>
  </si>
  <si>
    <t>Regularización gastos</t>
  </si>
  <si>
    <t>409-1722-REMODELACIONES-OBRAS</t>
  </si>
  <si>
    <t xml:space="preserve">Detalle </t>
  </si>
  <si>
    <t xml:space="preserve">Monto </t>
  </si>
  <si>
    <t>Obs.</t>
  </si>
  <si>
    <t>Estado</t>
  </si>
  <si>
    <t>SP:11753 - OC:10964 - FCAEL. 74427 - MELMAN SPA</t>
  </si>
  <si>
    <t>C.Correa</t>
  </si>
  <si>
    <t>Ppto. 2025</t>
  </si>
  <si>
    <t>30 al 06</t>
  </si>
  <si>
    <t>SP:9942 - OC:9031 - FCAEL. 499 - LUIS SAEZ ALLENDE</t>
  </si>
  <si>
    <t>M.Matus</t>
  </si>
  <si>
    <t>28 al 03</t>
  </si>
  <si>
    <t>EDIFICIO INGENIERÍA (EX TEC) + HABILITACIÓN</t>
  </si>
  <si>
    <t>J.Solis de Ovando</t>
  </si>
  <si>
    <t>SOPORTES PARA INSTALACION  DE TELEVISORES SALAS DE REUNIONES, SALAS DE CLASES  Y LABORARIOS NUEVO EDIFICIO INGENIERIA (ARTURO MEZA)</t>
  </si>
  <si>
    <t>L. Rios</t>
  </si>
  <si>
    <t>GYG SERVICIOS</t>
  </si>
  <si>
    <t>Ítem</t>
  </si>
  <si>
    <t>A. Meza</t>
  </si>
  <si>
    <t xml:space="preserve">Responsable </t>
  </si>
  <si>
    <t>RC-070_26</t>
  </si>
  <si>
    <t>Colaborador</t>
  </si>
  <si>
    <t>Año</t>
  </si>
  <si>
    <t>C</t>
  </si>
  <si>
    <t xml:space="preserve">Proyecto </t>
  </si>
  <si>
    <t>Trabajos Receso 2026</t>
  </si>
  <si>
    <t xml:space="preserve">Inicio </t>
  </si>
  <si>
    <t xml:space="preserve">Termino </t>
  </si>
  <si>
    <t>Prioridad</t>
  </si>
  <si>
    <t>Ppto 2022</t>
  </si>
  <si>
    <t>Columna 1</t>
  </si>
  <si>
    <t>Ppto 2023</t>
  </si>
  <si>
    <t>Columna 2</t>
  </si>
  <si>
    <t>Ppto 2024</t>
  </si>
  <si>
    <t>Ppto 2025</t>
  </si>
  <si>
    <t>Ppto 2026</t>
  </si>
  <si>
    <t>Ppto doc. 2026</t>
  </si>
  <si>
    <t xml:space="preserve">Ajuste </t>
  </si>
  <si>
    <t xml:space="preserve">% </t>
  </si>
  <si>
    <t xml:space="preserve">Superficie </t>
  </si>
  <si>
    <t xml:space="preserve">Comentario </t>
  </si>
  <si>
    <t>C. Huenchual</t>
  </si>
  <si>
    <t>02 al 08 2</t>
  </si>
  <si>
    <t>09 al 15 2</t>
  </si>
  <si>
    <t>16 al 22 2</t>
  </si>
  <si>
    <t>CSF</t>
  </si>
  <si>
    <t>PABELLON DE DOCENCIA + HABILITACIÓN</t>
  </si>
  <si>
    <t>06 al 12 2</t>
  </si>
  <si>
    <t>13 al 19 2</t>
  </si>
  <si>
    <t>20 al 26 2</t>
  </si>
  <si>
    <t xml:space="preserve">Esquineros </t>
  </si>
  <si>
    <t>05 al 11 2</t>
  </si>
  <si>
    <t>12 al 18 2</t>
  </si>
  <si>
    <t>19 al 25 2</t>
  </si>
  <si>
    <t>26 al 01 2</t>
  </si>
  <si>
    <t>02 al 08 3</t>
  </si>
  <si>
    <t>09 al 15 3</t>
  </si>
  <si>
    <t>16 al 22 3</t>
  </si>
  <si>
    <t>23 al 29 2</t>
  </si>
  <si>
    <t>24 al 30 2</t>
  </si>
  <si>
    <t xml:space="preserve">I. Riquelme </t>
  </si>
  <si>
    <t>07 al 13 2</t>
  </si>
  <si>
    <t>14 al 20 2</t>
  </si>
  <si>
    <t>CRC</t>
  </si>
  <si>
    <t>21 al 27 2</t>
  </si>
  <si>
    <t xml:space="preserve">IMPREVISTOS </t>
  </si>
  <si>
    <t>Si</t>
  </si>
  <si>
    <t>05 al 11 3</t>
  </si>
  <si>
    <t xml:space="preserve">INSTALACIONES </t>
  </si>
  <si>
    <t>CRC Campus Doctor Luis Rivas Del Canto (vrae)</t>
  </si>
  <si>
    <t>CRC16</t>
  </si>
  <si>
    <t xml:space="preserve">DOCENCIA </t>
  </si>
  <si>
    <t>REMODELACION LABORATORIO COMPUTACION CRC16_210 (ARTURO MEZA)</t>
  </si>
  <si>
    <t>Edificio Ingeniería (ex TEC)</t>
  </si>
  <si>
    <t>INGERTEMUCO INGENIERIA SPA</t>
  </si>
  <si>
    <t>RC-008_26</t>
  </si>
  <si>
    <t>LSA INGENIERIA Y CONSTRUCCIÓN E.I.R.L.</t>
  </si>
  <si>
    <t>Obras , adicional ingeniaria + Grupo electrógeno</t>
  </si>
  <si>
    <t>I. Cisternas</t>
  </si>
  <si>
    <t>CJP</t>
  </si>
  <si>
    <t>TÚNEL, SALIDA Y CALLE PROLONGACIÓN CJPII</t>
  </si>
  <si>
    <t>PERMISO + CONSTRUCCION CASINO CRC11 (VRAE)</t>
  </si>
  <si>
    <t>CRC10</t>
  </si>
  <si>
    <t>RACK PARA DATA CENTER NUEVO EDIFICIO FACULTAD DE INGENIERIA (ARTURO MEZA)PROVEEDOR ADJUDICADO CUMPLE CON TODAS LAS ESPECIFICACIONES TECNICAS.</t>
  </si>
  <si>
    <t>RC-036_26</t>
  </si>
  <si>
    <t>AO N°1 Edificio Ingeniería (ex TEC)</t>
  </si>
  <si>
    <t>Permiso + Obras + estacionamientos lado contenedores</t>
  </si>
  <si>
    <t>UF</t>
  </si>
  <si>
    <t>CASINO CRC11 (VRAE) HABILITACIÓN</t>
  </si>
  <si>
    <t xml:space="preserve">Habilitación </t>
  </si>
  <si>
    <t>ALHAJAMIENTO</t>
  </si>
  <si>
    <t>TELEVISORES PARA SALAS DE CLASES, REUNIONES Y LABORATORIOS NUEVO EDIFICIO INGENIERIA (ARTURO MEZA)</t>
  </si>
  <si>
    <t>CHS</t>
  </si>
  <si>
    <t>RC-048_26</t>
  </si>
  <si>
    <t>HOSPITAL DE SIMULACION CLINICA + HABILITACIÓN</t>
  </si>
  <si>
    <t>Arquitectura Edificio Ingeniería (ex TEC)</t>
  </si>
  <si>
    <t>SOCIEDAD DE PROFESIONALES BAIXAS Y DEL RIO ARQUITECTOS LIMITADA</t>
  </si>
  <si>
    <t>Habilitar laboratorio clínico  +Torniquete de acceso</t>
  </si>
  <si>
    <t>CCC</t>
  </si>
  <si>
    <t>CONSTRUCCIÓN SALON DE CONVENCIONES Y EVENTOS, CURACAUTÍN (ETAPA 2)</t>
  </si>
  <si>
    <t>Cubierta, revestimientos, aislación y terminaciones. instalaciones eléctricas y sanitarias. habilitación básica (calefacción, cocina, mobiliario básico)</t>
  </si>
  <si>
    <t>MODIFICACION DE ENCHUFES Y HDMI PARA INSTALACION DE TV EN SALAS DE CLASES EDIFICIO FAC. DE INGENIERIA (ARTURO MEZA)</t>
  </si>
  <si>
    <t>RC-199_26</t>
  </si>
  <si>
    <t>Armado muebles Edificio de Ingenieria UCT (exTEC)</t>
  </si>
  <si>
    <t>ESPACIO MUEBLES LIMITADA</t>
  </si>
  <si>
    <t>OBRAS DE SEGURIDAD, PAISAJISMO CURACAUTIN</t>
  </si>
  <si>
    <t>ccess point y switch Edificio de Ingenieria UCT (exTEC)</t>
  </si>
  <si>
    <t>GRUPO ELECTROGENO EDIFICIO CRC10 FACULTAD DE INGENIERIA (ARTURO MEZA)</t>
  </si>
  <si>
    <t>ELECTROPOWER</t>
  </si>
  <si>
    <t>RC-189_26</t>
  </si>
  <si>
    <t xml:space="preserve">Barandas de seguridad, cierre perimetral piscina, portones, senderos, paisajismo
</t>
  </si>
  <si>
    <t>ETAPA 2 GRECA CRC (EXTERIOR CASINO + PAISAJISMO)</t>
  </si>
  <si>
    <t>AUMENTO DE OBRA OC. 9031 CONSTRUCCION EDIFICIO INGENIERIA CRC (EX TEC) JUAN IGNACIO SOLIS DE OVANDO</t>
  </si>
  <si>
    <t>La etapa 2 del proyecto GRECA CRC incluye trabajos en el exterior del nuevo casino. Esto implica la ejecución de obras al aire libre que complementan la infraestructura del edificio, como el condicionamiento de áreas exteriores, acceso, y la implementación de diseño paisajístico para mejorar la estética y funcionalidad de los espacios exteriores del casino y edificio de ingeniería. La intervención busca integrar el entorno construido con áreas verdes y elementos de paisaje.</t>
  </si>
  <si>
    <t>PAISAJISMO ESPACIO TRAS CRC18 (ÁREA VERDE)</t>
  </si>
  <si>
    <t xml:space="preserve">AUMENTO DE OBRA </t>
  </si>
  <si>
    <t>CLE Nuestra Señora de Lourdes</t>
  </si>
  <si>
    <t>CHS01</t>
  </si>
  <si>
    <t>AUMENTO DE OBRA OC 8157 ADICIONALES OBRAS POST CONTRUCCION SEGUN DETALLE (CRISTOBAL CORREA)</t>
  </si>
  <si>
    <t>ROMO Y CADI LIMITADA</t>
  </si>
  <si>
    <t>Trazado zonificaciones, urbanizacion, agua y electricidad</t>
  </si>
  <si>
    <t>MEJORAMIENTO DE ALMACENAMIENTO Y SUMINISTRO DE AGUA POTABLE CRC</t>
  </si>
  <si>
    <t>INSTALACIÓN DE ACCESS POINT EN EDIFICIO EX TEC (MAURICIO ZURITA)</t>
  </si>
  <si>
    <t>Sistema autónomo desde la red externa considerando sala de bombas y estanque soterrado</t>
  </si>
  <si>
    <t>AUMENTO DE OBRA OC.13558 ADICIONAL MUEBLES HOSPITAL DE SIMULACION CLINICA (CRISTOBAL CORREA)</t>
  </si>
  <si>
    <t>INSTALACIÓN ASCENSOR CSF03 (ACCESIBILIDAD UNIVERSAL)</t>
  </si>
  <si>
    <t>proyecto que aumenta en 1.200 m2 de superficie con acceso universal, dejando al campus con mas del 90% de sus recintos accesibles</t>
  </si>
  <si>
    <t>MANTENCIÓN PISO 5 CSF12 (CLIMATIZACIÓN, ELECTRICIDAD Y CUBIERTA)</t>
  </si>
  <si>
    <t xml:space="preserve">COMPRA ELEMENTOS </t>
  </si>
  <si>
    <t>MOBILIARIO HABILITACION LABORATORIO COMPUTACIÓN CRC16_210 (CRISTOBAL CORREA)</t>
  </si>
  <si>
    <t>MULTIMUEBLES</t>
  </si>
  <si>
    <t>URBANIZACIÓN CAMINO LATERAL CANCHAS</t>
  </si>
  <si>
    <t>OTROS</t>
  </si>
  <si>
    <t>HABILITACION MOBILIARIO OFICINAS 3ER NIVEL EDIFICIO INGENIERIA CRC10 (JUAN IGNACIO SOLIS)</t>
  </si>
  <si>
    <t>Mejorar estacionamientos y veredas para acceso a edificaciones</t>
  </si>
  <si>
    <t xml:space="preserve">OFICINAS MODULARES CSF + URBANIZACION </t>
  </si>
  <si>
    <t>Contrucción de modulos de oficinas en CSF, posterior CSF14 - CSF16</t>
  </si>
  <si>
    <t>MUEBLES HABILITACION LABORATORIO DE COMPUTACION EDIFICIO INGENIERIA CRC10 (JUAN IGNACIO SOLIS)</t>
  </si>
  <si>
    <t>ANTEPROYECTO TEC CSF</t>
  </si>
  <si>
    <t xml:space="preserve">Estudio Túnel </t>
  </si>
  <si>
    <t>REGULARIZACION</t>
  </si>
  <si>
    <t>ASESORIAS CES, CERTIFICACION EDIFICIOS SUSTENTABLES PABELLON DOCENTE Y HOSPITAL DE SIMULACION (CRISTOBAL CORREA)</t>
  </si>
  <si>
    <t>SUBTERRA INGENIERIA LIMITADA</t>
  </si>
  <si>
    <t>88 ARQUITECTOS LIMITADA</t>
  </si>
  <si>
    <t>RC-031_26; RC-033_26</t>
  </si>
  <si>
    <t xml:space="preserve">Revisores CES Pabelón y Hospital </t>
  </si>
  <si>
    <t>CBQ</t>
  </si>
  <si>
    <t>REMODELACIÓN LABORATORIO CLÍNICO UCT (OFICINAS) CBQ03</t>
  </si>
  <si>
    <t>CSF Campus San Francisco</t>
  </si>
  <si>
    <t>CSF21</t>
  </si>
  <si>
    <t>INSTALACION GOMAS REFLECTANTES EN PILARES ESTACIONAMIENTO CSF21 (CRISTOBAL CORREA)</t>
  </si>
  <si>
    <t>CONSTRUCTORA IGECE LIMITADA</t>
  </si>
  <si>
    <t>RC-167_26</t>
  </si>
  <si>
    <t>Remodelación asociada al traslado de TEC al edificio, requiee ampliación  habilitación de multiples oficinas</t>
  </si>
  <si>
    <t>CDS</t>
  </si>
  <si>
    <t>NORMALIZACIÓN Y AUMENTO DE POTENCIA ELÉCTRICA 18 DE SEPTIEMBRE</t>
  </si>
  <si>
    <t>CAMBIO DE VENTANAS TERMOPANEL Y ENVOLVENTE TERMICA CJP08 ETAPA 2</t>
  </si>
  <si>
    <t xml:space="preserve">Asesoria CES Hospital </t>
  </si>
  <si>
    <t>El trabajo de "Cambio de Ventanas Termopanel y Envolvente Térmica CJP08 Etapa 2" consiste en mejorar la eficiencia térmica del edificio CJP08 , continuando con los trabnajos del año 2025 , mediante la instalación de ventanas tipo termopanel, que permiten reducir la transferencia de calor entre el interior y exterior, mejorando el confort térmico y disminuyendo la demanda energética. Además, se realiza el mejoramiento de la envolvente térmica, es decir, la capa que aísla térmicamente el edificio.</t>
  </si>
  <si>
    <t>ESTUDIO REPARACIÓN ESTRUCTURA DE CUBIERTA EDIFICIO CJP08</t>
  </si>
  <si>
    <t>MOBILITARIO INTERIOR CLOSET ESCALA CON CERRADURA PISOS 1,2,3 ED. INGENIERIA CRC10 (JUAN IGNACION SOLIS)</t>
  </si>
  <si>
    <t>CCC Campus Curacautin</t>
  </si>
  <si>
    <t xml:space="preserve">OTROS </t>
  </si>
  <si>
    <t>AUMENTO DE OBRA OC.3946-2025 CONSTRUCCIÓN CABAÑAS CENTRO RECREACIONAL CURACAUTIN. RESPONSABLE: DAVID SILVA. SEGUN COTIZACION N 522</t>
  </si>
  <si>
    <t>CONSTRUCTORA RUKATAMI</t>
  </si>
  <si>
    <t>CAMBIO DE VENTANAS TERMOPANEL Y ENVOLVENTE TERMICA CJP10</t>
  </si>
  <si>
    <t xml:space="preserve">Asesoria CES Pabellon </t>
  </si>
  <si>
    <t>instalación de ventanas tipo termopanel, que permiten reducir la transferencia de calor entre el interior y exterior, mejorando el confort térmico y disminuyendo la demanda energética. Además, se realiza el mejoramiento de la envolvente térmica, es decir, la capa que aísla térmicamente el edificio.</t>
  </si>
  <si>
    <t>REGULARIZACION CJP07, CJP10, CJP104 ESPECIALIDADES Y PAGOS</t>
  </si>
  <si>
    <t>PIZARRAS MOVIL, HABILITACION SALA DE ESTUDIOS EDIFICIO INGENIERIA CRC10 (JUAN IGNACION SOLIS)</t>
  </si>
  <si>
    <t>MELMAN SPA</t>
  </si>
  <si>
    <t>ESPACIOS COMUNES</t>
  </si>
  <si>
    <t>SEÑALETICA CENTRO RECREACIONAL CURACAUTIN (DAVID SILVA)</t>
  </si>
  <si>
    <t xml:space="preserve">REGULARIZACION CJP07, CJP10, CJP104 OBRAS </t>
  </si>
  <si>
    <t>DSIETE SPA</t>
  </si>
  <si>
    <t>RC-282</t>
  </si>
  <si>
    <t>intervenciones en: Tabiques, baños, puertas, franjas podotactil, señaleticas, muebles, otros.</t>
  </si>
  <si>
    <t>CAMBIO BUTACAS AUDITORIO CJP08</t>
  </si>
  <si>
    <t xml:space="preserve">Otros </t>
  </si>
  <si>
    <t xml:space="preserve">Cabañas Curacautín </t>
  </si>
  <si>
    <t>144 butacas</t>
  </si>
  <si>
    <t>Cambio de la totalidad de la butacas  del auditorio CJP08_260</t>
  </si>
  <si>
    <t>CALEFACCIÓN SALA NUEVA OFICIOS CREATIVOS</t>
  </si>
  <si>
    <t>MANTENCIÓN ESTRUCTURA MADERA LAMINADA PILARES Y VIGAS CSF14 - CSF16</t>
  </si>
  <si>
    <t>REPARACION Y MANTENCION DE ESTRUCTURAS DE MADELA LAMINADA EDIFICO CSF14, CSF15 Y CSF16 (DAVID SILVA)</t>
  </si>
  <si>
    <t>AVANTI LTDA</t>
  </si>
  <si>
    <t>RC-002_26; RC-118_26</t>
  </si>
  <si>
    <t>RECAMBIO DE CÁMARA DE FRIO PARA CASINO CJP</t>
  </si>
  <si>
    <t>EMPAVONADO DE OFICINAS Y CASINO EDIFICIO CRC10 (JUAN IGNACIOS SOLIS)</t>
  </si>
  <si>
    <t>Regularización PE cjp07/cjp10/cjp104</t>
  </si>
  <si>
    <t>CAMBIO VENTANAS DVH EN MAL ESTADO CJP05 ETAPA 1</t>
  </si>
  <si>
    <t xml:space="preserve">CRC05 MEJORAS HABITABILIDAD INTERIOR </t>
  </si>
  <si>
    <t>REMODELACION</t>
  </si>
  <si>
    <t xml:space="preserve"> CRC Campus Doctor Luis Rivas Del Canto (vet)</t>
  </si>
  <si>
    <t>CRC05</t>
  </si>
  <si>
    <t>MEJORAMIENTO TERMICO DE CUBIERTA SEGUNDO NIVEL EDIFICIO CRC05 (DAVID SILVA)</t>
  </si>
  <si>
    <t xml:space="preserve">Cambio de vidrios en mal estado </t>
  </si>
  <si>
    <t>RC-010_26; RC-119_26</t>
  </si>
  <si>
    <t>CML</t>
  </si>
  <si>
    <t>REMODELACION PLAZA ACCESO CML</t>
  </si>
  <si>
    <t>Mobiliario Biblioteca CSF02 etapa 2 y 3</t>
  </si>
  <si>
    <t>Estudio Topografico de Plaza Acceso campus ML , a solicitud de Rectoria , continuacion de baldosas exteriores , mejoramioento de drenes de agua lluvia y evitar  pozones de agua exterior.</t>
  </si>
  <si>
    <t>TRATAMIENTO PINTURA TEXTURADA (GRANO) CML01</t>
  </si>
  <si>
    <t>CJP15</t>
  </si>
  <si>
    <t>MEJORAMIENTO CAMARINES, DUCHAS GIMNASIO CAMPUS SAN FRANCISCO EDIFICIO 15 (DAVID SILVA)</t>
  </si>
  <si>
    <t>RC-066_26</t>
  </si>
  <si>
    <t>Trabajos esteticos de fachada</t>
  </si>
  <si>
    <t>Remodelación Dirección General Estudiantil CSF</t>
  </si>
  <si>
    <t>CAMBIO VENTANAS DE MADERA CON TP CML01</t>
  </si>
  <si>
    <t>CONSTRUCTORA INGETRAPP</t>
  </si>
  <si>
    <t>HABILITACION MOBILIARIO LABORATORIO DE PRE Y POST GRADO FACULTAD DE INGENIERIA (JUAN IGNACION SOLIS)</t>
  </si>
  <si>
    <t>CRC18</t>
  </si>
  <si>
    <t>REPISAS PARA PAÑOL CARRERA INGENIERÍA ELÉCTRICA CRC18_180 FELIPE ANSELME)</t>
  </si>
  <si>
    <t>RC-131_26</t>
  </si>
  <si>
    <t>CPH</t>
  </si>
  <si>
    <t>REMODELACION  LAB. SUELOS , CONSTRUCCION DE OFICINAS CPH02 (PHILLIPPI)</t>
  </si>
  <si>
    <t xml:space="preserve">Postuesto para Vicerrectoria para Marzo 2026 (54MM) </t>
  </si>
  <si>
    <t>PINTURA Y CAMBIO DE ELEMENTOS DAÑADO EDIFICIO CRC17 Y CRC18</t>
  </si>
  <si>
    <t>FCAEL. 4621 - ROXANA ELIANA RI</t>
  </si>
  <si>
    <t>BIBICLETERO CRC (VRAE)</t>
  </si>
  <si>
    <t>CONSTRUCCION BICICLETERO CAMPUS LUIS RIVAS DEL CANTO , COSTADO CASETA GUARDIA (ISABEL RIQUELME)</t>
  </si>
  <si>
    <t>GATICAR SPA</t>
  </si>
  <si>
    <t>RC-283</t>
  </si>
  <si>
    <t xml:space="preserve">PAGO PERMISO EDIFICACION </t>
  </si>
  <si>
    <t>INSTALACIÓN DE CANAL DE AGUAS LLUVIAS Y POLICARBONATO EN PARED TRAS ENCHUFES BICICLETERO CAMPUS LUIS RIVAS DEL CANTO (FELIPE ANSELME)</t>
  </si>
  <si>
    <t>RC-021_26</t>
  </si>
  <si>
    <t>TRATAMIENTO PINTURA TEXTURADA (GRANO) CRC09</t>
  </si>
  <si>
    <t xml:space="preserve">Cortinas Cabañas Curacautín </t>
  </si>
  <si>
    <t xml:space="preserve">DEA Y EXTINTORES </t>
  </si>
  <si>
    <t>PINTURA EDIFICIO CRC03 (MAC)</t>
  </si>
  <si>
    <t>RC-286</t>
  </si>
  <si>
    <t>MANTENCIÓN ESTRUCTURA LETRERO CAMINERO CRC</t>
  </si>
  <si>
    <t>Calculo Casino CRC</t>
  </si>
  <si>
    <t xml:space="preserve">Demoler </t>
  </si>
  <si>
    <t>AUMENTO DE OBRA N3</t>
  </si>
  <si>
    <t xml:space="preserve">OBRA NUEVA </t>
  </si>
  <si>
    <t>CRC11</t>
  </si>
  <si>
    <t xml:space="preserve"> Nuevo Edificio Casino CRC</t>
  </si>
  <si>
    <t>RC-053_26; RC-054_26; RC-140_26; RC-209_26; RC-275_26</t>
  </si>
  <si>
    <t>Proyecto sanitario, pavimentación y topografía casino</t>
  </si>
  <si>
    <t>Mejorar espacios internos con mayor confort termino y habitabilidad.</t>
  </si>
  <si>
    <t xml:space="preserve">CERCO PERIMETRAL PRINCIPAL Y LATERAL LADO NORTE CRC </t>
  </si>
  <si>
    <t xml:space="preserve">TRABAJOS VIALES POR IMIV </t>
  </si>
  <si>
    <t>ml</t>
  </si>
  <si>
    <t>Diseño proyecto sanitario edificio Pabellón Docente</t>
  </si>
  <si>
    <t>BANCAS Y BASUREROS</t>
  </si>
  <si>
    <t>CSF01</t>
  </si>
  <si>
    <t xml:space="preserve">ADMINISTRACION </t>
  </si>
  <si>
    <t>AUMENTO DE OBRA OC.11875 REMODELACION OFICINAS Y ATENCION A PUBLICO CSF01 ED. CAEP (JUAN IGNACIO SOLIS)</t>
  </si>
  <si>
    <t>RC-281</t>
  </si>
  <si>
    <t>BODEGA RESPEL Y SUSPEL</t>
  </si>
  <si>
    <t>Compra de basurerros y bancas asociados a campus CJP y CRC</t>
  </si>
  <si>
    <t>COMPRAS DE ACCESOS POINT, INSTALACION DISPOSITIVOS WIFI, OBRA MENORES SALA DOCTORADO HATCHERY CJP04, MENCHACA LIRA CML01 Y CONSTRUCCION POSTERIOR EDIFICIO A CSF16</t>
  </si>
  <si>
    <t>CONSTRUCCION DE PAÑOL Y REHABILITACION DE FRONTIS CRC18 (JUAN IGNACIO SOLIS)</t>
  </si>
  <si>
    <t>lijado completo de las piezas expuestas al exterior, pintura protectora (cutek o similar), cambio de piezas en mal estado, arriostramientos metalicos de marcos,rejilla guia de enreraderas</t>
  </si>
  <si>
    <t>CONSTRUCTORA ALPLAS SPA</t>
  </si>
  <si>
    <t xml:space="preserve">MUEBLES PENDIENTES SALAS, OFICINAS Y AUDITORIOS </t>
  </si>
  <si>
    <t>RC-279; RC-086_26</t>
  </si>
  <si>
    <t>ADECUACIONES POR TRASLADOS CSF16 y CSF12</t>
  </si>
  <si>
    <t>SERVICIO EVALUACION CERTIFICACION EDIFICIO SUSTENTABLE, HOSPITAL SIMULACION Y PABELLON DOCENTE</t>
  </si>
  <si>
    <t>B-Green</t>
  </si>
  <si>
    <t>Traslado de Antropologia y Psicologia, requiere habilitación en CSF16</t>
  </si>
  <si>
    <t>CAMBIO VENTANAS ETAPA 1 A DVH CSF03</t>
  </si>
  <si>
    <t>ADECUACION DE ESPACIOS PARA OFICINAS CPH02 ESPACIOS EX LABORATORIO DE SUELOS (PHILLIPPI B) (JUAN IGNACIO SOLIS)</t>
  </si>
  <si>
    <t xml:space="preserve">Cambio de ventanas fierro monolítico a PVC doble vidrio hermético lado calle el bosque </t>
  </si>
  <si>
    <t>RC-249_26; RC-250_26</t>
  </si>
  <si>
    <t>CAMBIO VENTANAS A DVH CSF12</t>
  </si>
  <si>
    <t xml:space="preserve">Cambio de ventanas fierro monolítico a PVC doble vidrio hermético lado Bautista </t>
  </si>
  <si>
    <t>BIBLIOTECA CSF02 ETAPA 2 Y 3, ELECTRICO</t>
  </si>
  <si>
    <t xml:space="preserve">Trabajos electricos asociados a biblitoeca etpa 2 y 3,  traslado de laboratorio de computación + obras </t>
  </si>
  <si>
    <t>RC-004_26; RC-006_26</t>
  </si>
  <si>
    <t>BIBLIOTECA CSF02 ETAPA 4 Y 6, REMODELACIÓN Y MOBILIARIO</t>
  </si>
  <si>
    <t>REVISORA DE ARQUITECTURA POR MP PROYECTO</t>
  </si>
  <si>
    <t>Compra de mobiliario y remodelación tercer piso</t>
  </si>
  <si>
    <t>TRASLADO LAB CSF12_255 A CSF12_256 ARQUEOLOGIA</t>
  </si>
  <si>
    <t>Intercambio de espacios, habilitación de laboratorio</t>
  </si>
  <si>
    <t>SISTEMA DE VENTILACIÓN Y RENOVACIÓN DE AIRE CSF02 (AULA MAGNA)</t>
  </si>
  <si>
    <t>RC-003_26; RC-005_26</t>
  </si>
  <si>
    <t xml:space="preserve">NORMALIZACIÓN ELÉCTRICA EDIFICIO CSF14 </t>
  </si>
  <si>
    <t xml:space="preserve">NORMALIZACIÓN ELÉCTRICA EDIFICIO CSF16 </t>
  </si>
  <si>
    <t>RC-064_26</t>
  </si>
  <si>
    <t xml:space="preserve">NORMALIZACIÓN ELÉCTRICA EDIFICIO CSF12 </t>
  </si>
  <si>
    <t>TODOS</t>
  </si>
  <si>
    <t>SEÑALETICA OFICINAS TERMINO EN CJP, CSF Y CRC</t>
  </si>
  <si>
    <t>PROGRAMACION FINANCIERA CRC11</t>
  </si>
  <si>
    <t>OC 1426/2026</t>
  </si>
  <si>
    <t>actualizado 29/04</t>
  </si>
  <si>
    <t>TOTAL</t>
  </si>
  <si>
    <t>Compra de 140 unidades, tipo oficinas, para termino en CSF, CJP Y CRC</t>
  </si>
  <si>
    <t>PROYECTADO</t>
  </si>
  <si>
    <t>REAL</t>
  </si>
  <si>
    <t>MES</t>
  </si>
  <si>
    <t>%PARCIAL</t>
  </si>
  <si>
    <t>%ACUMULADO</t>
  </si>
  <si>
    <t>EP PARCIAL</t>
  </si>
  <si>
    <t>EP REAL</t>
  </si>
  <si>
    <t>EP ACUMULADO</t>
  </si>
  <si>
    <t>EP 1</t>
  </si>
  <si>
    <t>MARZO</t>
  </si>
  <si>
    <t>MANTENCIÓN Y CAMBIO DE CALDERAS, EFICIENCIA ENERGÉTICA, 2 DE 20</t>
  </si>
  <si>
    <t>AUMENTO DE OBRA OC.733 REVESTIMIENTO PERIMETRAL CRC18 GALPON 2 GRANDE (JUAN IGNACIO SOLIS)</t>
  </si>
  <si>
    <t>Obras</t>
  </si>
  <si>
    <t>EP 2</t>
  </si>
  <si>
    <t>ABRIL</t>
  </si>
  <si>
    <t>RC-068_26</t>
  </si>
  <si>
    <t>Traslado de instalaciones</t>
  </si>
  <si>
    <t>EP 3</t>
  </si>
  <si>
    <t>MAYO</t>
  </si>
  <si>
    <t>Demolición/certificados</t>
  </si>
  <si>
    <t>EP 4</t>
  </si>
  <si>
    <t>JUNIO</t>
  </si>
  <si>
    <t>MONITOREO DE CALDERAS, ETAPA 2</t>
  </si>
  <si>
    <t>Construcción</t>
  </si>
  <si>
    <t>EP 5</t>
  </si>
  <si>
    <t>JULIO</t>
  </si>
  <si>
    <t>AO</t>
  </si>
  <si>
    <t>EP 6</t>
  </si>
  <si>
    <t>AGOSTO</t>
  </si>
  <si>
    <t>Exteriores</t>
  </si>
  <si>
    <t>TOTAL CON IVA</t>
  </si>
  <si>
    <t>Otras</t>
  </si>
  <si>
    <t>RETENCION 5%</t>
  </si>
  <si>
    <t>TOTAL OBRA</t>
  </si>
  <si>
    <t>MONITOREO DE EFICIENCIA ENERGÉTICA, ETAPA 2</t>
  </si>
  <si>
    <t>actualizado  06/07</t>
  </si>
  <si>
    <t>Habilitación</t>
  </si>
  <si>
    <t>Muebles</t>
  </si>
  <si>
    <t>Señalética</t>
  </si>
  <si>
    <t>Empavonados</t>
  </si>
  <si>
    <t>Pizarrones</t>
  </si>
  <si>
    <t>TV y/o Proyector</t>
  </si>
  <si>
    <t>Cortinas</t>
  </si>
  <si>
    <t>Access point y switch</t>
  </si>
  <si>
    <t>Especialidades</t>
  </si>
  <si>
    <t>Arquitectura</t>
  </si>
  <si>
    <t>Estructura</t>
  </si>
  <si>
    <t>Mec. Suelos</t>
  </si>
  <si>
    <t>Topografía</t>
  </si>
  <si>
    <t>Eléctrico</t>
  </si>
  <si>
    <t>Incendio</t>
  </si>
  <si>
    <t>NORMALIZACIÓN ELÉCTRICA DE TABLERO GENERALES CRÍTICOS 10/100</t>
  </si>
  <si>
    <t>CCTV</t>
  </si>
  <si>
    <t>Control de acceso</t>
  </si>
  <si>
    <t>Fibra Óptica</t>
  </si>
  <si>
    <t>Sanitario</t>
  </si>
  <si>
    <t>Clima</t>
  </si>
  <si>
    <t>Pavimentación y ALL</t>
  </si>
  <si>
    <t>Gas</t>
  </si>
  <si>
    <t>Ascensor</t>
  </si>
  <si>
    <t>CES</t>
  </si>
  <si>
    <t>IMIV / obras mitigación</t>
  </si>
  <si>
    <t>Coordinación BIM</t>
  </si>
  <si>
    <t>Paisajismo / ejecución</t>
  </si>
  <si>
    <t>Permiso</t>
  </si>
  <si>
    <t>PE</t>
  </si>
  <si>
    <t>Derechos Municipales</t>
  </si>
  <si>
    <t>Rev. Arquitectura</t>
  </si>
  <si>
    <t>Rev. Estructura</t>
  </si>
  <si>
    <t>Modificación de proyecto</t>
  </si>
  <si>
    <t>INSTALACIÓN DE EQUIPOS DE MEDIDA AGUA Y GAS 10/64</t>
  </si>
  <si>
    <t>Recepción</t>
  </si>
  <si>
    <t>Rev. Recepción</t>
  </si>
  <si>
    <t>Aporte al espacio público</t>
  </si>
  <si>
    <t>Dotación de servicios</t>
  </si>
  <si>
    <t>Varios</t>
  </si>
  <si>
    <t>Gastos</t>
  </si>
  <si>
    <t>Letrero de obra</t>
  </si>
  <si>
    <t>TRASLADO GRUPO ELECTRÓGENO DE EDIFICIO DE CBQ A SCN</t>
  </si>
  <si>
    <t>RC-013; RC-014; RC-015; RC-016; RC-019; RC-114_26</t>
  </si>
  <si>
    <t>PLANTA FOTOVOLTAICA DE 250KWP</t>
  </si>
  <si>
    <t>INSTALACIÓN DE EQUIPOS DE MEDIDA ELECTRICOS 20/35</t>
  </si>
  <si>
    <t>NORMALIZACIÓN SALA DE BASURA CSF Y CJP</t>
  </si>
  <si>
    <t>OC 8022/2024</t>
  </si>
  <si>
    <t>RC-156_26; RC-157_26</t>
  </si>
  <si>
    <t>EP N°</t>
  </si>
  <si>
    <t>FECHA</t>
  </si>
  <si>
    <t>OBSERVACION</t>
  </si>
  <si>
    <t>PARCIAL ($)</t>
  </si>
  <si>
    <t>ACUMULADO ($)</t>
  </si>
  <si>
    <t>PARCIAL (%)</t>
  </si>
  <si>
    <t>ACUMULADO (%)</t>
  </si>
  <si>
    <t>Anticipo</t>
  </si>
  <si>
    <t>PAGADO</t>
  </si>
  <si>
    <t>Trabajos para obtener resolución sanitaria</t>
  </si>
  <si>
    <t xml:space="preserve">REGULARIZACION EDIFICIOS </t>
  </si>
  <si>
    <t>PAGADO 2024</t>
  </si>
  <si>
    <t>MEJORAS ESPACIOS INTERNAS CSF10 (CREDITO)</t>
  </si>
  <si>
    <t>CSF10</t>
  </si>
  <si>
    <t>INSTALACION EQUIPO DE AIRE ACONDICIONADO , MAS TRASLADO DE DOS EQUIPOS, CSF10_200 CREDITO Y RECAUDACION (LEONOR RIOS)</t>
  </si>
  <si>
    <t>Recepcion Definitiva edificios CJP11 y CJP17  (Fid y Cedelem)</t>
  </si>
  <si>
    <t>FLAVIA OYARZUN SOTO</t>
  </si>
  <si>
    <t xml:space="preserve">AUTOMATIZACION </t>
  </si>
  <si>
    <t xml:space="preserve">Mejorar automatización de registro actividades </t>
  </si>
  <si>
    <t>PAGADO 2025</t>
  </si>
  <si>
    <t>SEÑALÉTICA NOMBRE CRC10 Y NUMEROS EN CSL01 (LEONOR RIOS)</t>
  </si>
  <si>
    <t>PUA DISEÑO</t>
  </si>
  <si>
    <t xml:space="preserve">Devolucion retenciones abril </t>
  </si>
  <si>
    <t>RC-115_26</t>
  </si>
  <si>
    <t>TOTALES</t>
  </si>
  <si>
    <t>OC 9031/2025</t>
  </si>
  <si>
    <t>CSF02</t>
  </si>
  <si>
    <t>REMODELACION PROYECTO ETAPA 2 Y 3 BIBLIOTECA CAMPUS SAN FRANCISCO (LEONOR RIOS)</t>
  </si>
  <si>
    <t>CONSTRUCTORA Y SERVICIOS S-TEC SPA</t>
  </si>
  <si>
    <t>RC-112_26</t>
  </si>
  <si>
    <t>OC 66-2026</t>
  </si>
  <si>
    <t>INSTALACION SERVICIOS DE INTERNET SATELITAL CENTRO RECREACIONAL CURACAUTIN (ARTURO MEZA)</t>
  </si>
  <si>
    <t>RC-164_26</t>
  </si>
  <si>
    <t>Factura</t>
  </si>
  <si>
    <t>Fecha</t>
  </si>
  <si>
    <t>Parcial</t>
  </si>
  <si>
    <t>ante</t>
  </si>
  <si>
    <t>ante y proy</t>
  </si>
  <si>
    <t>Arquitecto</t>
  </si>
  <si>
    <t>1/3 sup.</t>
  </si>
  <si>
    <t>OK</t>
  </si>
  <si>
    <t>1/2 PE</t>
  </si>
  <si>
    <t xml:space="preserve">retenciones </t>
  </si>
  <si>
    <t>2/3 sup.</t>
  </si>
  <si>
    <t>adicional 3</t>
  </si>
  <si>
    <t>?¡</t>
  </si>
  <si>
    <t>3/3 sup.</t>
  </si>
  <si>
    <t>imiv</t>
  </si>
  <si>
    <t>1 juni</t>
  </si>
  <si>
    <t>grupo elec</t>
  </si>
  <si>
    <t>Arturo</t>
  </si>
  <si>
    <t>bodega respel</t>
  </si>
  <si>
    <t xml:space="preserve">Pagado </t>
  </si>
  <si>
    <t xml:space="preserve">saldo </t>
  </si>
  <si>
    <t>muebles profes</t>
  </si>
  <si>
    <t>RC-045_26</t>
  </si>
  <si>
    <t>solicitrud muebles</t>
  </si>
  <si>
    <t xml:space="preserve">Señaletica </t>
  </si>
  <si>
    <t>Ante</t>
  </si>
  <si>
    <t>proy</t>
  </si>
  <si>
    <t>S. Obra</t>
  </si>
  <si>
    <t>RM</t>
  </si>
  <si>
    <t xml:space="preserve">AFR pabellon </t>
  </si>
  <si>
    <t xml:space="preserve">mod sangre </t>
  </si>
  <si>
    <t>REMODELACION PROYECTO ELECTRICO ETAPA 2 Y 3 EDIFICIO BIBLIOTECA, LABORATORIO DE COMPUTACION CSF02-311/CSF02_321 (ARTURO MEZA)</t>
  </si>
  <si>
    <t>ELEKTRICA</t>
  </si>
  <si>
    <t>RC-288</t>
  </si>
  <si>
    <t>APS</t>
  </si>
  <si>
    <t>CAMPUS</t>
  </si>
  <si>
    <t>EDIFICIO</t>
  </si>
  <si>
    <t>USO</t>
  </si>
  <si>
    <t>ESTADO</t>
  </si>
  <si>
    <t xml:space="preserve">TIPO OBRA </t>
  </si>
  <si>
    <t>PROYECTO</t>
  </si>
  <si>
    <t xml:space="preserve">RESPONSABLE </t>
  </si>
  <si>
    <t>N°</t>
  </si>
  <si>
    <t xml:space="preserve">Tipo </t>
  </si>
  <si>
    <t xml:space="preserve">Prioridad </t>
  </si>
  <si>
    <t>NOMBRE</t>
  </si>
  <si>
    <t>RUT</t>
  </si>
  <si>
    <t>RAZON SOCIAL</t>
  </si>
  <si>
    <t>$</t>
  </si>
  <si>
    <t>CORREO</t>
  </si>
  <si>
    <t>RECEPCION CONFORME</t>
  </si>
  <si>
    <t>OBSERVACIONES</t>
  </si>
  <si>
    <t>CML Campus Monseñor Alejandro Menchaca Lira</t>
  </si>
  <si>
    <t>CML01</t>
  </si>
  <si>
    <t xml:space="preserve">Normal </t>
  </si>
  <si>
    <t>ALEJANDRO BARRIA</t>
  </si>
  <si>
    <t>ALEJANDRO ALVARO BARRIA MATELUNA</t>
  </si>
  <si>
    <t>abarriam@gmail.com</t>
  </si>
  <si>
    <t>SI</t>
  </si>
  <si>
    <t>CDS Campus Dieciocho de Septiembre</t>
  </si>
  <si>
    <t>CML02</t>
  </si>
  <si>
    <t xml:space="preserve">INVESTIGACION </t>
  </si>
  <si>
    <t>COTIZACION</t>
  </si>
  <si>
    <t>Prioridad Obra</t>
  </si>
  <si>
    <t>Abastec spa</t>
  </si>
  <si>
    <t>COMERCIALIZADORA ABASTEC SPA</t>
  </si>
  <si>
    <t>abastecspa@gmail.com</t>
  </si>
  <si>
    <t>NO</t>
  </si>
  <si>
    <t>PRODUCTOS</t>
  </si>
  <si>
    <t>CPH Campus Phillippi</t>
  </si>
  <si>
    <t>CML03</t>
  </si>
  <si>
    <t>EN EJECUCION</t>
  </si>
  <si>
    <t>AMPLIACION</t>
  </si>
  <si>
    <t>Amaris Constructora SpA</t>
  </si>
  <si>
    <t>AMARIS CONSTRUCTORA</t>
  </si>
  <si>
    <t>administracion@amaris.cl</t>
  </si>
  <si>
    <t>CSC</t>
  </si>
  <si>
    <t>CSC Campus Monseñor Sergio Contreras Navia</t>
  </si>
  <si>
    <t>CML04</t>
  </si>
  <si>
    <t xml:space="preserve">TERMINADO </t>
  </si>
  <si>
    <t>Terra riegos</t>
  </si>
  <si>
    <t>k</t>
  </si>
  <si>
    <t>TERRA RIEGOS SPA</t>
  </si>
  <si>
    <t>administracion@terrariegos.cl</t>
  </si>
  <si>
    <t>CTH</t>
  </si>
  <si>
    <t>CTH Campus Thiers</t>
  </si>
  <si>
    <t>CML05</t>
  </si>
  <si>
    <t>POSTERGADO</t>
  </si>
  <si>
    <t>AREAS VERDES</t>
  </si>
  <si>
    <t>Traiguen Energy S.A</t>
  </si>
  <si>
    <t>TRAIGUEN ENERGY</t>
  </si>
  <si>
    <t>administracion@traiguenergy.com</t>
  </si>
  <si>
    <t>CBQ Campus El Bosque</t>
  </si>
  <si>
    <t>CDS01</t>
  </si>
  <si>
    <t>ELIMINADO</t>
  </si>
  <si>
    <t>INSUR INGENIERIA SPA</t>
  </si>
  <si>
    <t>K</t>
  </si>
  <si>
    <t>adquisiciones@insuringenieria.cl</t>
  </si>
  <si>
    <t>CDS101</t>
  </si>
  <si>
    <t>AJUNSTADO</t>
  </si>
  <si>
    <t>Luis Eduardo Castro Sanhueza</t>
  </si>
  <si>
    <t>LUIS EDUARDO CASTRO SANHUEZA</t>
  </si>
  <si>
    <t>agroriegocastro@gmail.com</t>
  </si>
  <si>
    <t>CHS Campus Prieto Norte</t>
  </si>
  <si>
    <t>CPH01</t>
  </si>
  <si>
    <t xml:space="preserve">EN CARPETA </t>
  </si>
  <si>
    <t>ALBAYRAK</t>
  </si>
  <si>
    <t>ALBAYRAK SPA</t>
  </si>
  <si>
    <t>albayrak.spa@gmail.com</t>
  </si>
  <si>
    <t>CEC</t>
  </si>
  <si>
    <t>CEC Campus Educacion Continua</t>
  </si>
  <si>
    <t>CPH02</t>
  </si>
  <si>
    <t xml:space="preserve">DEMOLICION </t>
  </si>
  <si>
    <t>O. Painen</t>
  </si>
  <si>
    <t>AmbiQuim</t>
  </si>
  <si>
    <t>AMBIQUIM SPA</t>
  </si>
  <si>
    <t>ambiquim@vtr.net</t>
  </si>
  <si>
    <t>CJP Campus San Juan Pablo II</t>
  </si>
  <si>
    <t>CPH03</t>
  </si>
  <si>
    <t>BYM Logistics SPA</t>
  </si>
  <si>
    <t>BYM LOGISTICS SPA</t>
  </si>
  <si>
    <t>ana.lizama@bmlog.cl</t>
  </si>
  <si>
    <t>TRANSPORTE</t>
  </si>
  <si>
    <t>CPH101</t>
  </si>
  <si>
    <t>Comercial flores ltda</t>
  </si>
  <si>
    <t>COMERCIAL FLORES LIMITADA</t>
  </si>
  <si>
    <t>arnold.steelltda@gmail.com</t>
  </si>
  <si>
    <t>CSC01</t>
  </si>
  <si>
    <t>ACA Spa</t>
  </si>
  <si>
    <t>ASESORÍAS CID ARRIAGADA SPA</t>
  </si>
  <si>
    <t>asesoriascidarriagadaspa@gmail.com</t>
  </si>
  <si>
    <t>CPL</t>
  </si>
  <si>
    <t>CPL Campus Pillanlelbun</t>
  </si>
  <si>
    <t>CSC02</t>
  </si>
  <si>
    <t>Asistec</t>
  </si>
  <si>
    <t>ASISTEC ARAUCANIA SPA</t>
  </si>
  <si>
    <t>asistec.estufas@gmail.com</t>
  </si>
  <si>
    <t>CSC03</t>
  </si>
  <si>
    <t>baixasdelrio@vtr.net</t>
  </si>
  <si>
    <t>ASESORIA</t>
  </si>
  <si>
    <t>CSD</t>
  </si>
  <si>
    <t>CSD Campus Santiago Departamento</t>
  </si>
  <si>
    <t>CTH01</t>
  </si>
  <si>
    <t>Botes temuco chile</t>
  </si>
  <si>
    <t>COMERCIAL BOTES TEMUCO CHILE SPA</t>
  </si>
  <si>
    <t>botestemucochile@gmail.com</t>
  </si>
  <si>
    <t>PRODUCTO</t>
  </si>
  <si>
    <t>CLE</t>
  </si>
  <si>
    <t>CBQ01</t>
  </si>
  <si>
    <t>Edipac</t>
  </si>
  <si>
    <t>EDIPAC</t>
  </si>
  <si>
    <r>
      <rPr>
        <rFont val="Calibri, sans-serif"/>
        <color rgb="FF1155CC"/>
        <sz val="11.0"/>
        <u/>
      </rPr>
      <t>cajatemuco@edipac.cmpc.cl</t>
    </r>
  </si>
  <si>
    <t>CBQ02</t>
  </si>
  <si>
    <t>GILDA DE LOURDES MACHMAR MARTINEZ</t>
  </si>
  <si>
    <t>PAQUETERIA GILDA</t>
  </si>
  <si>
    <t>carlosrpalaciosm@hotmail.com</t>
  </si>
  <si>
    <t>CBQ03</t>
  </si>
  <si>
    <t>Carolin Klahn Paisajista</t>
  </si>
  <si>
    <t>AREA VERDE LTDA</t>
  </si>
  <si>
    <t>carolinklahn@gmail.com</t>
  </si>
  <si>
    <t>SOCIEDAD COMERCIAL AREA VERDE LIMITADA</t>
  </si>
  <si>
    <t>CBQ04</t>
  </si>
  <si>
    <t>CHC</t>
  </si>
  <si>
    <t>cbello@chc.cl; shenriquez@chc.cl</t>
  </si>
  <si>
    <t>CBQ05</t>
  </si>
  <si>
    <t>CONSTRUCTORA IGECE LTDA</t>
  </si>
  <si>
    <t>cecilia.ulloa04@gmail.com</t>
  </si>
  <si>
    <t>CBQ06</t>
  </si>
  <si>
    <t>MUEBLES ADECOR Temuco</t>
  </si>
  <si>
    <t>CLAUDIO ELIAS AROSTICA ORMENO</t>
  </si>
  <si>
    <t>chileadecor@gmail.com</t>
  </si>
  <si>
    <t>NSL</t>
  </si>
  <si>
    <t>CORTINAJES CLAUDIO AGUILERA</t>
  </si>
  <si>
    <t>claudioeduardoaguilera@hotmail.com</t>
  </si>
  <si>
    <t>Claudio triña, telecomunicaciones
  y obras menores e.i.r.l</t>
  </si>
  <si>
    <t>CLAUDIO TRINA GARRIDO E.I.R.L.</t>
  </si>
  <si>
    <t>claudiotrina08@gmail.com</t>
  </si>
  <si>
    <t>Avantec</t>
  </si>
  <si>
    <t>AVANTEC</t>
  </si>
  <si>
    <t>clopez@avantec.cl</t>
  </si>
  <si>
    <t>CSF03</t>
  </si>
  <si>
    <t>ARF Consultores</t>
  </si>
  <si>
    <t>ARF CONSULTORES LTDA.</t>
  </si>
  <si>
    <t>cmascui@arfarquitectura.cl</t>
  </si>
  <si>
    <t>CSF04</t>
  </si>
  <si>
    <t>Schindler</t>
  </si>
  <si>
    <t>ASCENSORES SCHINDLER (CHILE)</t>
  </si>
  <si>
    <t>cobranza.cl@schindler.com</t>
  </si>
  <si>
    <t>CSF05</t>
  </si>
  <si>
    <t>Materiales y servicios mar de cantabria spa</t>
  </si>
  <si>
    <t>MATERIALES Y SERVICIOS MAR DE CANTABRIA SPA</t>
  </si>
  <si>
    <t>colipe.gustavo@gmail.com</t>
  </si>
  <si>
    <t>CSF06</t>
  </si>
  <si>
    <t>Constructora VITRO SPA</t>
  </si>
  <si>
    <t>CONSTRUCTORA VITRO SPA</t>
  </si>
  <si>
    <t>constructora.vitro@gmail.com</t>
  </si>
  <si>
    <t>CSF07</t>
  </si>
  <si>
    <t>Invercon jbg</t>
  </si>
  <si>
    <t>INVERCON JBG SPA</t>
  </si>
  <si>
    <t>constructorajbg@gmail.com</t>
  </si>
  <si>
    <t>CSF08</t>
  </si>
  <si>
    <t>Rukatami</t>
  </si>
  <si>
    <t>CONSTRUCTORARUKATAMI@GMAIL.COM</t>
  </si>
  <si>
    <t>CSF09</t>
  </si>
  <si>
    <t>TERRASUR</t>
  </si>
  <si>
    <t>CONSTRUCTORA TERRASUR LIMITADA</t>
  </si>
  <si>
    <t>constructoraterrasur@gmail.com</t>
  </si>
  <si>
    <t>ESPACIO MUEBLES</t>
  </si>
  <si>
    <t>contacto.espaciomuebles@gmail.com</t>
  </si>
  <si>
    <t>CSF11</t>
  </si>
  <si>
    <t>LECAR SPA.</t>
  </si>
  <si>
    <t>LECAR SPA</t>
  </si>
  <si>
    <t>contacto.lecar@gmail.com</t>
  </si>
  <si>
    <t>CSF12</t>
  </si>
  <si>
    <t>CREASMILE</t>
  </si>
  <si>
    <t>SERGIO MELO PUBLICIDAD E.I.R.L.</t>
  </si>
  <si>
    <t>contacto@creasmile.cl</t>
  </si>
  <si>
    <t>CSF13</t>
  </si>
  <si>
    <t>Girafa lift</t>
  </si>
  <si>
    <t>SOCIEDAD DE ARRENDAMIENTO DE MAQUINARIAS GIRAFA LIFT LIMITADA</t>
  </si>
  <si>
    <t>contacto@girafa.cl</t>
  </si>
  <si>
    <t>CSF14</t>
  </si>
  <si>
    <t>GYG SPA</t>
  </si>
  <si>
    <t>contacto@gygtecnologias.com</t>
  </si>
  <si>
    <t>CSF15</t>
  </si>
  <si>
    <t>POCK</t>
  </si>
  <si>
    <t>POCK SPA</t>
  </si>
  <si>
    <t>contacto@pock.cl</t>
  </si>
  <si>
    <t>CSF16</t>
  </si>
  <si>
    <t>Steelpunk</t>
  </si>
  <si>
    <t>STEELPUNK FITNESS OUTFITTERS</t>
  </si>
  <si>
    <t>contacto@steelpunk.cl</t>
  </si>
  <si>
    <t>CSF17</t>
  </si>
  <si>
    <t>Quincalleria cowe</t>
  </si>
  <si>
    <t>QUINCALLERIA COWE</t>
  </si>
  <si>
    <t>cowelimitada@gmail.com</t>
  </si>
  <si>
    <t>CSF18</t>
  </si>
  <si>
    <t>Cristian Salamanca</t>
  </si>
  <si>
    <t>CRISTIAN MARCELO SALAMANCA MEZA</t>
  </si>
  <si>
    <t>csalamancameza@gmail.com</t>
  </si>
  <si>
    <t>COMERCIALIZADORA DANIELA ARRIAGADA CABA EIRL</t>
  </si>
  <si>
    <t>COMERCIALIZADORA DANIELA PATRICIA ARRIAGADA CABA</t>
  </si>
  <si>
    <t>danielaarriagadacaba@hotmail.com</t>
  </si>
  <si>
    <t>CSF101</t>
  </si>
  <si>
    <t>AGENCIA DSIETE LTDA</t>
  </si>
  <si>
    <t>dsiete.design@gmail.com</t>
  </si>
  <si>
    <t>CSF102</t>
  </si>
  <si>
    <t>RAMASOL</t>
  </si>
  <si>
    <t>eoliva@ramasol.cl</t>
  </si>
  <si>
    <t>CSF103</t>
  </si>
  <si>
    <t>88 LIMITADA</t>
  </si>
  <si>
    <t>ernestina@88limitada.cl</t>
  </si>
  <si>
    <t>CSF104</t>
  </si>
  <si>
    <t>FEMA</t>
  </si>
  <si>
    <t>FABRICA DE MUEBLES Y CONTRUCCIONES FEMA SPA</t>
  </si>
  <si>
    <t>femaproyectos@gmail.com</t>
  </si>
  <si>
    <t>CSF105</t>
  </si>
  <si>
    <t>Quintana y Díaz Spa</t>
  </si>
  <si>
    <t>VENTANAS H-D</t>
  </si>
  <si>
    <t>finanzas@ventanashd.cl</t>
  </si>
  <si>
    <t>CSF107</t>
  </si>
  <si>
    <t>VIVA CONSTRUCCIONES SPA</t>
  </si>
  <si>
    <t>finanzas@vivaconstrucciones.cl</t>
  </si>
  <si>
    <t>CSF108</t>
  </si>
  <si>
    <t>Fmedios</t>
  </si>
  <si>
    <t>FMEDIOS</t>
  </si>
  <si>
    <t>fjmc_1@hotmail.com</t>
  </si>
  <si>
    <t>CSF110</t>
  </si>
  <si>
    <t>Riol moisés bascur jara</t>
  </si>
  <si>
    <t>FOSAS GOGOL</t>
  </si>
  <si>
    <t>fosasgogol@hotmail.com</t>
  </si>
  <si>
    <t>CSF120</t>
  </si>
  <si>
    <t>CONSTRUCTORA ROMO Y CADI LIMITADA</t>
  </si>
  <si>
    <t>fromoc@gmail.com</t>
  </si>
  <si>
    <t>CSF130</t>
  </si>
  <si>
    <t>Electropower</t>
  </si>
  <si>
    <t>fsalvo@electropower.cl</t>
  </si>
  <si>
    <t>CSF140</t>
  </si>
  <si>
    <t>Sic-Spa</t>
  </si>
  <si>
    <t>SIC SPA</t>
  </si>
  <si>
    <t>fuentes.roberto1@gmail.com</t>
  </si>
  <si>
    <t>CSF150</t>
  </si>
  <si>
    <t>Ingeniería INGEG</t>
  </si>
  <si>
    <t>INGENIERIA INGEG SPA</t>
  </si>
  <si>
    <t>g.grandon@ingeg.cl</t>
  </si>
  <si>
    <t>CSF160</t>
  </si>
  <si>
    <t>Globalmec ltda.</t>
  </si>
  <si>
    <t>GLOBALMEC</t>
  </si>
  <si>
    <t>globalmec.chile@gmail.com</t>
  </si>
  <si>
    <t>CSF162</t>
  </si>
  <si>
    <t>Gaticar SPA</t>
  </si>
  <si>
    <t>hectorandres55@gmail.com</t>
  </si>
  <si>
    <t>CSF260</t>
  </si>
  <si>
    <t>HOGUER</t>
  </si>
  <si>
    <t>hoguer1@gmail.com</t>
  </si>
  <si>
    <t>Dartel</t>
  </si>
  <si>
    <t>DARTEL</t>
  </si>
  <si>
    <t>hosses@dartel.cl</t>
  </si>
  <si>
    <t>CHS02</t>
  </si>
  <si>
    <t>KÜME RUKA Spa.</t>
  </si>
  <si>
    <t>KÜME RUKA SPA</t>
  </si>
  <si>
    <t>hzambranoleal@gmail.com</t>
  </si>
  <si>
    <t>CEC01</t>
  </si>
  <si>
    <t>Comercial Canada Blinds y Cia Ltda.</t>
  </si>
  <si>
    <t>CORTINAS MSTUARD</t>
  </si>
  <si>
    <t>ignacio@mstuard.cl; contactomstuard@gmail.com</t>
  </si>
  <si>
    <t>CEC02</t>
  </si>
  <si>
    <t>Revolucion sport</t>
  </si>
  <si>
    <t>REVOLUCION SPORT</t>
  </si>
  <si>
    <t>ignaciomaciasu@hotmail.com; revolucionsportscl@gmail.com</t>
  </si>
  <si>
    <t>CEC05</t>
  </si>
  <si>
    <t>Biometrika</t>
  </si>
  <si>
    <t>BCR TECNOLOGIA E INNOVAVION S.A.</t>
  </si>
  <si>
    <t>info@biometrika.cl</t>
  </si>
  <si>
    <t>CEC101</t>
  </si>
  <si>
    <t>DUNATI SPA</t>
  </si>
  <si>
    <t>DUNATI CHILE SPA</t>
  </si>
  <si>
    <t>info@dunati.com</t>
  </si>
  <si>
    <t>CEC120</t>
  </si>
  <si>
    <t>Super limitada</t>
  </si>
  <si>
    <t>EXTINTORES SUPER</t>
  </si>
  <si>
    <t>info@extintoressuper.cl; ventas@extintoressuper.cl</t>
  </si>
  <si>
    <t>CEC130</t>
  </si>
  <si>
    <t>Pua</t>
  </si>
  <si>
    <t>info@pua.cl</t>
  </si>
  <si>
    <t>CEC140</t>
  </si>
  <si>
    <t>Ingenieria MC</t>
  </si>
  <si>
    <t>INGENIERIA MC SPA</t>
  </si>
  <si>
    <t>Ingenieriamcspa@gmail.com</t>
  </si>
  <si>
    <t>CEC150</t>
  </si>
  <si>
    <t>Iprosam</t>
  </si>
  <si>
    <t>IROSAM LTDA.</t>
  </si>
  <si>
    <t>IPROSAM.FSD@GMAIL.COM</t>
  </si>
  <si>
    <t>CJP01</t>
  </si>
  <si>
    <t>SP:777 - OC:561 - FCAEL. 144922807 - SODIMAC S.A</t>
  </si>
  <si>
    <t>Jose Llancanao</t>
  </si>
  <si>
    <t>SERVICIOS INTEGRALES EN EL AREA DE CONSTRUCCION E INSTALACIONES ELECTR</t>
  </si>
  <si>
    <t>j.elect20@gmail.com</t>
  </si>
  <si>
    <t>CJP02</t>
  </si>
  <si>
    <t>SODIMAC S.A.</t>
  </si>
  <si>
    <t>mK</t>
  </si>
  <si>
    <t>MK</t>
  </si>
  <si>
    <t>j.nunez@mk.cl</t>
  </si>
  <si>
    <t>CJP03</t>
  </si>
  <si>
    <t>Eduardo Zelaya</t>
  </si>
  <si>
    <t>ERASMO EDUARDO ZELAYA LOPEZ</t>
  </si>
  <si>
    <t>jacqueline.rodriguez@hotmail.es</t>
  </si>
  <si>
    <t>CJP04</t>
  </si>
  <si>
    <t>INDUMAC</t>
  </si>
  <si>
    <t>INDUSTRIA METALURGICA ACONCAGUA LIMITADA</t>
  </si>
  <si>
    <t>jbecker@indumac.cl</t>
  </si>
  <si>
    <t>CJP05</t>
  </si>
  <si>
    <t>FORESTAL JORGE ARTURO CATALAN SANCHEZ E.I.R.L</t>
  </si>
  <si>
    <t>FORESTAL JORGE ARTURO CATALÁN SÁNCHEZ E.I.R.L.</t>
  </si>
  <si>
    <t>JCATALANSAN@GMAIL.COM</t>
  </si>
  <si>
    <t>CJP06</t>
  </si>
  <si>
    <t>Corporativa Diseño</t>
  </si>
  <si>
    <t>CORPORATIVA DISEÑO</t>
  </si>
  <si>
    <t>jcpradenas@gmail.com</t>
  </si>
  <si>
    <t>CJP07</t>
  </si>
  <si>
    <t>SERVIGEN SERVICIOS LIMITADA</t>
  </si>
  <si>
    <t>SERVIGEN</t>
  </si>
  <si>
    <t>jhidalgo@servigenchile.cl; rsantana@servigenchile.cl; lacuna@servigenchile.cl</t>
  </si>
  <si>
    <t>CJP08</t>
  </si>
  <si>
    <t>OPCIONES</t>
  </si>
  <si>
    <t>OPCIONES S.A.</t>
  </si>
  <si>
    <t>jmunoz@opciones.cl</t>
  </si>
  <si>
    <t>CJP09</t>
  </si>
  <si>
    <t>CONSTRUCCIONES JOSE LIENQUE E.I.R.L</t>
  </si>
  <si>
    <t>CONSTRUCCIONES JOSE LIENQUEO E.I.R.L.</t>
  </si>
  <si>
    <t>jose.lien.neico@gmail.com</t>
  </si>
  <si>
    <t>CJP10</t>
  </si>
  <si>
    <t>ESPACIO CUBIERTO</t>
  </si>
  <si>
    <t>ESPACIO CUBIERTO LIMITADA</t>
  </si>
  <si>
    <t>JPCSORI@ESPACIOCUBIERTO.COM</t>
  </si>
  <si>
    <t>CJP11</t>
  </si>
  <si>
    <t>EASTON</t>
  </si>
  <si>
    <t>EASTON SPA</t>
  </si>
  <si>
    <t>jvillarreal@easton.cl</t>
  </si>
  <si>
    <t>CJP12</t>
  </si>
  <si>
    <t>CONSTRUCCIONES KORTANZ</t>
  </si>
  <si>
    <t>CONSTRUCCIONES KORTANZ LIMITADA</t>
  </si>
  <si>
    <t>kortanz71@gmail.com</t>
  </si>
  <si>
    <t>CJP13</t>
  </si>
  <si>
    <t>OhOffice !</t>
  </si>
  <si>
    <t>OHFFICE SPA</t>
  </si>
  <si>
    <t>loreto.contreras@ohffice.cl</t>
  </si>
  <si>
    <t>CJP14</t>
  </si>
  <si>
    <t>Sumo Arquitectura y Diseño Limitada</t>
  </si>
  <si>
    <t>SUMO</t>
  </si>
  <si>
    <t>lsmoro@sumo.cl</t>
  </si>
  <si>
    <t>Ingenieria y construcciones
 Perinetti SPA</t>
  </si>
  <si>
    <t>CONSTRUCTORA PERINETTI</t>
  </si>
  <si>
    <t>lu.periavi@gmail.com</t>
  </si>
  <si>
    <t>COMPRA DE 02 SWITCH DE DATOS PARA RACK DE COMUNICACIONES LABORATORIO DE COMPUTACIÓN 230 CSF21 (ARTURO MEZA)</t>
  </si>
  <si>
    <t>CJP16</t>
  </si>
  <si>
    <t>CONSTRUCCIONES LUIS EXEQUIEL SOLIS CATALAN E.I.R.L.</t>
  </si>
  <si>
    <t>luis.exequielsolis@gmail.com</t>
  </si>
  <si>
    <t>CJP17</t>
  </si>
  <si>
    <t>MR Electro Clima SPA</t>
  </si>
  <si>
    <t>MR ELECTRO</t>
  </si>
  <si>
    <t>luismanriquez555@gmail.com</t>
  </si>
  <si>
    <t>CJP101</t>
  </si>
  <si>
    <t>LSA</t>
  </si>
  <si>
    <t>luissaez@lsaingenieria.cl</t>
  </si>
  <si>
    <t>CJP102</t>
  </si>
  <si>
    <t>S2 lngenieria y Construcciones Ltda</t>
  </si>
  <si>
    <t>S2 INGENIERIA Y CONSTRUCCIÓN LIMITADA</t>
  </si>
  <si>
    <t>ASESORIA Y CONSULTORIA</t>
  </si>
  <si>
    <t>CJP103</t>
  </si>
  <si>
    <t>Sg 2000</t>
  </si>
  <si>
    <t>SEMILLAS GENERACION 2000 S.A.</t>
  </si>
  <si>
    <t>mabello@sg-2000.com; temuco@sg-2000.com</t>
  </si>
  <si>
    <t>CJP104</t>
  </si>
  <si>
    <t>Ecoumwelt</t>
  </si>
  <si>
    <t>ECOUMWELT</t>
  </si>
  <si>
    <t>marcelojacobi@vtr.net</t>
  </si>
  <si>
    <t>CJP105</t>
  </si>
  <si>
    <t>ELEKTRICA SPA</t>
  </si>
  <si>
    <t>marcopaine@elektrica.cl; marcopaine@gmail.com</t>
  </si>
  <si>
    <t>CJP106</t>
  </si>
  <si>
    <t>Soc, Constructora Las Raíces Ltda.</t>
  </si>
  <si>
    <t>SOCIEDAD CONSTRUCTORA LAS RAICES LTDA.</t>
  </si>
  <si>
    <t>marioalejandrogm@gmail.com</t>
  </si>
  <si>
    <t>CJP107</t>
  </si>
  <si>
    <t>Adco ltda.</t>
  </si>
  <si>
    <t>COMERCIAL ADCO LIMITADA</t>
  </si>
  <si>
    <t>mbravo@adcoltda.cl</t>
  </si>
  <si>
    <t>Acumulado</t>
  </si>
  <si>
    <t>CJP108</t>
  </si>
  <si>
    <t>360 GRADOS ING.</t>
  </si>
  <si>
    <t>INGENIERIA Y CONSTRUCCIONES MARCELO SEBASTIAN CARO SOTO E.I.R.L.</t>
  </si>
  <si>
    <t>mcarolina@gmail.com</t>
  </si>
  <si>
    <t>CJP110</t>
  </si>
  <si>
    <t>miguelptorres@gmail.com</t>
  </si>
  <si>
    <t>CJP115</t>
  </si>
  <si>
    <t>Innovaclima</t>
  </si>
  <si>
    <t>INNOVACLIMA</t>
  </si>
  <si>
    <t>COMPRA DE EXTINTORES PARA HABILITACION EN NUEVO EDIFICIO FAC. INGENIERIA CRC10 (JUAN IGNACIO SOLIS)</t>
  </si>
  <si>
    <t>mquezaday@gmail.com</t>
  </si>
  <si>
    <t>CJP120</t>
  </si>
  <si>
    <t>Nueve DiseÑO</t>
  </si>
  <si>
    <t>NUEVE DISEÑO</t>
  </si>
  <si>
    <t>mubilla@gmail.com</t>
  </si>
  <si>
    <t>CJP130</t>
  </si>
  <si>
    <t>Muebles MI CASA</t>
  </si>
  <si>
    <t>MUEBLES MI CASA</t>
  </si>
  <si>
    <t>muebleriamicasa@gmail.com</t>
  </si>
  <si>
    <t>CJP135</t>
  </si>
  <si>
    <t>multimueblestemuco@gmail.com</t>
  </si>
  <si>
    <t>CJP140</t>
  </si>
  <si>
    <t>Mundo sport</t>
  </si>
  <si>
    <t>MUNDO SPORT TEMUCO</t>
  </si>
  <si>
    <t>mundo.gonzalez@hotmail.com</t>
  </si>
  <si>
    <t>CJP145</t>
  </si>
  <si>
    <t>ZUBIMED</t>
  </si>
  <si>
    <t>mvega@zubimed.cl</t>
  </si>
  <si>
    <t>Retiro residuos Hospitalarios</t>
  </si>
  <si>
    <t>CJP150</t>
  </si>
  <si>
    <t>ESTEC LTDA</t>
  </si>
  <si>
    <t>ESTEC LTDA.</t>
  </si>
  <si>
    <t>nfernandez@estec.cl</t>
  </si>
  <si>
    <t>CJP152</t>
  </si>
  <si>
    <t>ROTULADOS DISEÑO Y PRODUCCION</t>
  </si>
  <si>
    <t>nicolas.rotulados@gmail.com</t>
  </si>
  <si>
    <t>CJP153</t>
  </si>
  <si>
    <t>OCELEC</t>
  </si>
  <si>
    <t>OCELEC. INGENIERÍA Y SERVICIOS SPA</t>
  </si>
  <si>
    <t>ocelec.certificacion@gmail.com</t>
  </si>
  <si>
    <t>CERTIFICADOR</t>
  </si>
  <si>
    <t>CJP155</t>
  </si>
  <si>
    <t>Grúas Sánchez</t>
  </si>
  <si>
    <t>GRUAS SANCHEZ SPA</t>
  </si>
  <si>
    <t>oficina@gruassanchez.cl</t>
  </si>
  <si>
    <t>CJP156</t>
  </si>
  <si>
    <t>TEC FULL</t>
  </si>
  <si>
    <t>SOCIEDAD GONZALEZ GAJARDO Y COMPAÑIA LIMITADA</t>
  </si>
  <si>
    <t>operaciones@tecfull.cl</t>
  </si>
  <si>
    <t>CJP158</t>
  </si>
  <si>
    <t>Hernan orellana riffo eirl</t>
  </si>
  <si>
    <t>ARIDOS TRANSPORTE Y ARRIENDO HERNAN ORELLANA RIFFO E.I.R.L.</t>
  </si>
  <si>
    <t>orellanariffo@gmail.com</t>
  </si>
  <si>
    <t>CJP160</t>
  </si>
  <si>
    <t>DECOIDEAS</t>
  </si>
  <si>
    <t>p.tapiamora07@gmail.com</t>
  </si>
  <si>
    <t>CJP162</t>
  </si>
  <si>
    <t>Electrocom</t>
  </si>
  <si>
    <t>ELECTROCOM Y MCT</t>
  </si>
  <si>
    <t>PARREPOL@MCT.CL</t>
  </si>
  <si>
    <t>CJP164</t>
  </si>
  <si>
    <t>Biessed</t>
  </si>
  <si>
    <t>BLESSED SPA</t>
  </si>
  <si>
    <t>patriciazoe7@gmail.com</t>
  </si>
  <si>
    <t>CJP165</t>
  </si>
  <si>
    <t>Solar Free SPA</t>
  </si>
  <si>
    <t>PROTECSOL</t>
  </si>
  <si>
    <t>pbaezatroncoso@yahoo.com</t>
  </si>
  <si>
    <t>CJP166</t>
  </si>
  <si>
    <t>Indura</t>
  </si>
  <si>
    <t>INDURA</t>
  </si>
  <si>
    <t>pedidocl@airproducts.com, arriendo@airproducts.com</t>
  </si>
  <si>
    <t>CJP168</t>
  </si>
  <si>
    <t>HABILITACION GABINETE DEA CON SISTEMA DE AUDIO ALARMA Y BALIZA DE APERTURA NUEVO EDIFICIO FAC. INGENIERIA CRC10 (JUAN IGNACIO SOLIS)</t>
  </si>
  <si>
    <t>Sonepar</t>
  </si>
  <si>
    <t>SONEPAR CHILE</t>
  </si>
  <si>
    <t>pedro.arevalo@sonepar.cl</t>
  </si>
  <si>
    <t>CRC01</t>
  </si>
  <si>
    <t>dinamed store</t>
  </si>
  <si>
    <t>Otis</t>
  </si>
  <si>
    <t>OTIS</t>
  </si>
  <si>
    <t>pedro.orellana@otis.com; tamara.salamanca@otis.com</t>
  </si>
  <si>
    <t>CRC02</t>
  </si>
  <si>
    <t>Pedro melín schulz/cerrajero</t>
  </si>
  <si>
    <t>PEDRO ALEJANDRO MELIN SCHULZ</t>
  </si>
  <si>
    <t>pedromelin66@hotmail.com</t>
  </si>
  <si>
    <t>CRC03</t>
  </si>
  <si>
    <t>Pernos san martín</t>
  </si>
  <si>
    <t>PERNOS SAN MARTIN LIMITADA</t>
  </si>
  <si>
    <t>pernos@sanmartin295.cl</t>
  </si>
  <si>
    <t>CRC04</t>
  </si>
  <si>
    <t>Surazul Piscinas</t>
  </si>
  <si>
    <t>RICARDO PINEDO BANDERAS</t>
  </si>
  <si>
    <t>pinedo.ricardo@gmail.com</t>
  </si>
  <si>
    <t>Rucantu SA</t>
  </si>
  <si>
    <t>POLINCENTER</t>
  </si>
  <si>
    <t>POLINCENTER@RUCANTU.CL</t>
  </si>
  <si>
    <t>CRC06</t>
  </si>
  <si>
    <t>SOC. MUEBLES SANTA ANA LTDA</t>
  </si>
  <si>
    <t>MUEBLES SANTA ANA</t>
  </si>
  <si>
    <t>proyectos@mueblesmsa.cl</t>
  </si>
  <si>
    <t>CRC07</t>
  </si>
  <si>
    <t>ptorrealba@subterra-ing.com</t>
  </si>
  <si>
    <t>CRC08</t>
  </si>
  <si>
    <t>QWERSYS</t>
  </si>
  <si>
    <t>QWERSYS COMPUTACION SPA</t>
  </si>
  <si>
    <t>CRC09</t>
  </si>
  <si>
    <t>Santa Sofia</t>
  </si>
  <si>
    <t>CONSTRUCTORA SANTA SOFIA SPA</t>
  </si>
  <si>
    <t>rbeltran@csantasofia.cl</t>
  </si>
  <si>
    <t>Real Clima</t>
  </si>
  <si>
    <t>REAL CLIMA</t>
  </si>
  <si>
    <t>realclima22@hotmail.com</t>
  </si>
  <si>
    <t>CRC13</t>
  </si>
  <si>
    <t>Labosel</t>
  </si>
  <si>
    <t>LABOSEL</t>
  </si>
  <si>
    <t>recepcion@labosel.cl</t>
  </si>
  <si>
    <t>CRC14</t>
  </si>
  <si>
    <t>Trasve</t>
  </si>
  <si>
    <t>TRANSVE S.A.</t>
  </si>
  <si>
    <t>reparaciones@transve-servicios.cl; y.diaz@transve.cl</t>
  </si>
  <si>
    <t>INSTITUTO DE LA CONSTRUCCION</t>
  </si>
  <si>
    <t>rluckeheide@iconstruccion.cl</t>
  </si>
  <si>
    <t>NO, POR Q ES DE CERTIFICACIÓN</t>
  </si>
  <si>
    <t>CRC17</t>
  </si>
  <si>
    <t>ROBERTO LASSALLE</t>
  </si>
  <si>
    <t>roberto.lassalle@gmail.com</t>
  </si>
  <si>
    <t>CONSTRUCCION RAMPA ACCESO DOCTORADO (CRISTOBAL CORREA)</t>
  </si>
  <si>
    <t>ECOSTANDAR</t>
  </si>
  <si>
    <t>ECOSTANDARD SPA</t>
  </si>
  <si>
    <t>rodrigo.vargas@ecostandard.cl</t>
  </si>
  <si>
    <t>COMERCIAL Y FABRICA DE MUEBLES CLAUDIO GALLARDO E.I.R.L</t>
  </si>
  <si>
    <t>CRC101</t>
  </si>
  <si>
    <t>RC-281_26</t>
  </si>
  <si>
    <t>MORA Ingenieros</t>
  </si>
  <si>
    <t>MORA INGENIEROS CONSULTORES SPA</t>
  </si>
  <si>
    <t>rodrigo@moraing.cl</t>
  </si>
  <si>
    <t>CRC111</t>
  </si>
  <si>
    <t>TRECAN SPA</t>
  </si>
  <si>
    <t>rodrigotrecanbeltran@gmail.com</t>
  </si>
  <si>
    <t>CRC112</t>
  </si>
  <si>
    <t>Dap ducasse</t>
  </si>
  <si>
    <t>DAP DUCASSE</t>
  </si>
  <si>
    <t>ronald.matus@dapducasse.cl</t>
  </si>
  <si>
    <t>AUMENTO DE OBRA REMODELACION PROYECTO ELECTRICO ETAPA 2 Y 3 EDIFICIO BIBLIOTECA, LABORATORIO DE COMPUTACION CSF02-311/CSF02_321</t>
  </si>
  <si>
    <t>CRC113</t>
  </si>
  <si>
    <t>Bip</t>
  </si>
  <si>
    <t>BIP COMPUTER</t>
  </si>
  <si>
    <t>rosses@bip.cl</t>
  </si>
  <si>
    <t>CRC114</t>
  </si>
  <si>
    <t>Avanti</t>
  </si>
  <si>
    <t>rrios.avanti@gmail.com</t>
  </si>
  <si>
    <t>CRC115</t>
  </si>
  <si>
    <t>OPEN CHANNELS S.A</t>
  </si>
  <si>
    <t>OPEN CHANNELS</t>
  </si>
  <si>
    <t>rsedan@grupoconquistador.cl</t>
  </si>
  <si>
    <t>CRC120</t>
  </si>
  <si>
    <t>Llaillayko Spa</t>
  </si>
  <si>
    <t>LLAILLAYKO SPA</t>
  </si>
  <si>
    <t>rukawe.llaillyko@gmail.com</t>
  </si>
  <si>
    <t>CRC125</t>
  </si>
  <si>
    <t>Verde jardineria</t>
  </si>
  <si>
    <t>VERDE JARDINERIA</t>
  </si>
  <si>
    <t>sbedregalquintana@gmail.com</t>
  </si>
  <si>
    <t>CRC126</t>
  </si>
  <si>
    <t>Celeste Producciones</t>
  </si>
  <si>
    <t>CELESTE PRODUCCIONES</t>
  </si>
  <si>
    <t>secretaria@celesteproducciones.cl</t>
  </si>
  <si>
    <t>CRC130</t>
  </si>
  <si>
    <t>Sergio Flores</t>
  </si>
  <si>
    <t>SERGIO ANIBAL FLORES GARRIDO</t>
  </si>
  <si>
    <t>sergiofloresgarrido19731217@gmail.com</t>
  </si>
  <si>
    <t>CPL01</t>
  </si>
  <si>
    <t>TECNOCAM SPA</t>
  </si>
  <si>
    <t>spa@tecnocam.cl; foliva@tecnocam.cl</t>
  </si>
  <si>
    <t>CPL02</t>
  </si>
  <si>
    <t>Chilemaq</t>
  </si>
  <si>
    <t>CHILEMAQ</t>
  </si>
  <si>
    <t>temuco@chilemaq.cl</t>
  </si>
  <si>
    <t>NO,ARRIENDO</t>
  </si>
  <si>
    <t>CPL03</t>
  </si>
  <si>
    <t>Decorene</t>
  </si>
  <si>
    <t>DECORENE</t>
  </si>
  <si>
    <t>temuco@decorene.cl</t>
  </si>
  <si>
    <t>CPL05</t>
  </si>
  <si>
    <t>Gobantes</t>
  </si>
  <si>
    <t>GOBANTES</t>
  </si>
  <si>
    <t>temuco@gobantes.cl</t>
  </si>
  <si>
    <t>CPL06</t>
  </si>
  <si>
    <t>Ingertemuco</t>
  </si>
  <si>
    <t>tesoreriaingertemuco@gmail.com</t>
  </si>
  <si>
    <t>ADHESIVOS LOCKERS EDIFICIO CRC10 (NUMERACIÓN) (USO ALUMNOS Y FUNCIONARIOS) JUAN IGNACIO SOLIS</t>
  </si>
  <si>
    <t>CPL04</t>
  </si>
  <si>
    <t>Sodimac</t>
  </si>
  <si>
    <t>ve_temuco@sodimac.cl; osgonzaleza@sodimac.cl</t>
  </si>
  <si>
    <t>CPL07</t>
  </si>
  <si>
    <t>La olleta limitada</t>
  </si>
  <si>
    <t>RC-117_26</t>
  </si>
  <si>
    <t>MCO LA OLLETA</t>
  </si>
  <si>
    <t>ventaempresa@mcoingenieria.cl</t>
  </si>
  <si>
    <t>CPL08</t>
  </si>
  <si>
    <t>Aluminios 2000 spa</t>
  </si>
  <si>
    <t>ALUMINIOS 2000</t>
  </si>
  <si>
    <t>ventas@al2000.cl</t>
  </si>
  <si>
    <t>CPL09</t>
  </si>
  <si>
    <t>Alcazar</t>
  </si>
  <si>
    <t>COMERCIAL COYAHUE SPA</t>
  </si>
  <si>
    <t>ventas@alcazar.cl</t>
  </si>
  <si>
    <t>CPL10</t>
  </si>
  <si>
    <t>ALPLAS</t>
  </si>
  <si>
    <t>ventas@alplas.cl</t>
  </si>
  <si>
    <t>CPL101</t>
  </si>
  <si>
    <t>Comercial centra led spa</t>
  </si>
  <si>
    <t>CENTRAL LED</t>
  </si>
  <si>
    <t>ventas@centralled.cl</t>
  </si>
  <si>
    <t>Espantando spa</t>
  </si>
  <si>
    <t>ESPANTANDO</t>
  </si>
  <si>
    <t>ventas@espantando.cl</t>
  </si>
  <si>
    <t>Pesas Chile</t>
  </si>
  <si>
    <t>PESAS CHILE</t>
  </si>
  <si>
    <t>ventas@pesaschile.cl</t>
  </si>
  <si>
    <t>Avalco spa</t>
  </si>
  <si>
    <t>AVALCO SPA</t>
  </si>
  <si>
    <t>ventas13@avalco.cl</t>
  </si>
  <si>
    <t xml:space="preserve">Exterior </t>
  </si>
  <si>
    <t>Clima Lider</t>
  </si>
  <si>
    <t>CLIMALIDER</t>
  </si>
  <si>
    <t>ventastemuco@climalider.cl</t>
  </si>
  <si>
    <t>THERMO VENTANAS SPA</t>
  </si>
  <si>
    <t>THERMOALUM E.I.R.L.</t>
  </si>
  <si>
    <t>ventasthermoalum@gmail.com</t>
  </si>
  <si>
    <t>Timber Work</t>
  </si>
  <si>
    <t>TIMBERWORK</t>
  </si>
  <si>
    <t>yoiri.gutierrez@gmail.com</t>
  </si>
  <si>
    <t>melman</t>
  </si>
  <si>
    <t>YVENEGAS@MELMAN.CL</t>
  </si>
  <si>
    <t xml:space="preserve">Paris </t>
  </si>
  <si>
    <t>CENCOSUD RETAIL S.A</t>
  </si>
  <si>
    <t>RyEGroupSpa</t>
  </si>
  <si>
    <t>ventas@cardioprotegido.cl</t>
  </si>
  <si>
    <t>AMPLIACION CASETA DE BOMBAS CON RADIER PARA RECONEXION PREDIO CURACAUTIN  (DAVID SILVA)</t>
  </si>
  <si>
    <t>J&amp;D Ingeniería y ejecución</t>
  </si>
  <si>
    <t>RC-210_26</t>
  </si>
  <si>
    <t>SEGURIDAD PERIMETRAL CAMPUS CURACAUTIN DURANTE PERIDO DE CONSTRUCCION DEL CENTRO RECREACIONAL (DAVID SILVA)</t>
  </si>
  <si>
    <t>RC-211_26</t>
  </si>
  <si>
    <t>AUMENTO DE OBRA OC.869/2026 REMODELACION PROYECTO ELECTRICO ETAPA 2 Y 3 LABORATORIO DE COMPUTACION ED. BIBLIOTECA CAMPUS SAN FRANCISCO (ARTURO MEZA)</t>
  </si>
  <si>
    <t>RC-124_26</t>
  </si>
  <si>
    <t>AUMENTO DE OBRA REVESTIMIENTO VIGAS LADO NORTE</t>
  </si>
  <si>
    <t>AUMENTO DE OBRA OC.2695 REMODELACION EDIFICIO BIBLIOTECA ETAPA 2 Y 3 CAMPUS SAN FRANCISCO (LEONOR RIOS)</t>
  </si>
  <si>
    <t>RC-185_26</t>
  </si>
  <si>
    <t>AUMENTO DE OBRA OC.858/2026 MEJORAMIENTO DE ESTRUCTURAS DE MADERA DE VIGAS Y PILARES EDIFICIO 14 CAMPUS SAN FRANCISCO (DAVID SILVA)</t>
  </si>
  <si>
    <t>RC-144_26</t>
  </si>
  <si>
    <t>csf02</t>
  </si>
  <si>
    <t>REPARACIÓN DE CORTINAS METALICAS EN CSF02 EDIFICIO CSF02, JAIME ARELLANO (MAURICIO MATUS)</t>
  </si>
  <si>
    <t>RC-236_26</t>
  </si>
  <si>
    <t>SEÑALETICAS 3ER PISO NUEVO EDIFICIO CRC10 EDIFICIO INGENIERIA (DAVID SILVA)</t>
  </si>
  <si>
    <t>COMPRA DE ARTICULOS DE CASA PARA HABILITACION CABAÑAS CURACAUTIN (MAURICIO MATUS)</t>
  </si>
  <si>
    <t>INSTALACION ELECTRICA URBANIZACION Y ALIMENTACION DE CONTENEDORES CRC ARQUEOLOGIA (ARTURO MEZA)</t>
  </si>
  <si>
    <t>RC-302_26</t>
  </si>
  <si>
    <t>INCORPORACION SEÑALETICA LOCKERS , CRC10 EDIFICIO DE INGENIERIA 1ER , 2DO NIVEL CRC10 (JUAN IGNACIO SOLIS)</t>
  </si>
  <si>
    <t>RC-173_26; RC-214_26</t>
  </si>
  <si>
    <t>HABILITACION MOBILIARIO CASETA DE SONIDO Y CONTROL CRC 10 AUDITORIO (JUAN IGNACIO SOLIS)</t>
  </si>
  <si>
    <t>RC-233_26</t>
  </si>
  <si>
    <t xml:space="preserve">APS LEVANTAMIENTO PLAN DE MANTENCION </t>
  </si>
  <si>
    <t>MUEBLES LABORATORIO DE SANGRE CONFECCIONES ERGONÓMICAS Y DE SEGURIDAD EN MESÓN RECEPCIÓN, AJUSTES TOMAS DE MUESTRAS Y MESONES FALTANTES EN SALA PROCESOS. (CRISTOBAL CORREA)</t>
  </si>
  <si>
    <t>RC-200_26</t>
  </si>
  <si>
    <t>AUMENTO DE OBRA REMODELACION PROYECTO ETAPA 2 Y 3 BIBLIOTECA CAMPUS SAN FRANCISCO</t>
  </si>
  <si>
    <t>INSTALACION EQUIPO DE AIRE ACONDICIONADO PARA OFICINA DE ARTESANIAS CML05_102 (ARTURO MEZA)</t>
  </si>
  <si>
    <t>RC-184_26</t>
  </si>
  <si>
    <t>SEÑALETICA INTERIOR CON MATERIAL EXISTENTE PARA EDIFICIO CRC 10 (DAVID SILVA)</t>
  </si>
  <si>
    <t>RC-196_26; RC-197_26</t>
  </si>
  <si>
    <t>PAGO DOTACION DE SERVICIO AGUAS ARAUCANIA (AFR)</t>
  </si>
  <si>
    <t>CAMBIO DE ENCHUFES INDUSTRIALES PARA MAQUINAS DE LABORATORIO CRC10_160 CRC10_180 (ARTURO MEZA)</t>
  </si>
  <si>
    <t>RC-218_26</t>
  </si>
  <si>
    <t>INSTALACION DE CONTROLES DE ACCESO BIOMETRICO, BRAZOS HIDRAULICOS Y BOTONERAS EDIFICIO CRC10 (OSCAR PAINEN</t>
  </si>
  <si>
    <t>HABILITACIÓN PODIO AUDITORIO CRC10 (JUAN IGNACIO SOLIS)</t>
  </si>
  <si>
    <t>RC-231_26</t>
  </si>
  <si>
    <t>HABILITACIÓN LAVAFONDO CASINO PROVISORIO CRC10 (JUAN IGNACIO SOLIS)</t>
  </si>
  <si>
    <t>RC-232_26</t>
  </si>
  <si>
    <t>- SEÑALETICA CRC TOTEMS CRC01 TUNEL (LEONOR RIOS)</t>
  </si>
  <si>
    <t>RC-242_26</t>
  </si>
  <si>
    <t>SEÑALETICA RETIRO EMPAVONADOS CJP03, 08 Y 10 TRASLADO DE FACULTAD DE INGENIERÍA Y INSTALACIÓN DE SEÑALÉTICA OFICIAL (LEONOR RIOS)</t>
  </si>
  <si>
    <t>RC-213_26</t>
  </si>
  <si>
    <t>SEÑALETICA CSL01 INSTALACIÓN NÚMEROS EXTERIOR SOBRE ACCESO ESTACIONAMIENTO (LEONOR RIOS)</t>
  </si>
  <si>
    <t>RC-237_26</t>
  </si>
  <si>
    <t>PAGO DERECHOS MUNICIPALES EDIFICIO INGENIERIA (TEC) CRC10</t>
  </si>
  <si>
    <t>DOM</t>
  </si>
  <si>
    <t>REPARACIÓN Y PINTURA DE SALA DE BASURA POR PERMISO DE SALUBRIDA CJP104 SALA DE BASURA (LEONOR RIOS)</t>
  </si>
  <si>
    <t>RC-238_26</t>
  </si>
  <si>
    <t>ADECUACIONES POR TRASLADOS CSF16 y CSF12 (Descartado)</t>
  </si>
  <si>
    <t>SEÑALÉTICA CAMPAÑA NO FUMAR - RECTANGULAR (LEONOR RIOS)</t>
  </si>
  <si>
    <t>RC-285_26</t>
  </si>
  <si>
    <t>CONTRUCION DE TABIQUE, DIVISION CAMARIN GUARDIAS CAMPUS SAN FRANCISCO (CRISTOBAL CORREA )</t>
  </si>
  <si>
    <t>RC-265_26</t>
  </si>
  <si>
    <t>REUBICACIÓN UPS CRC10 A NUEVA UBICACION (ARTURO MEZA)</t>
  </si>
  <si>
    <t>RC-239_26</t>
  </si>
  <si>
    <t>REMODELACION OFICINA CSF16_414, ASISTENTES CARRERAS TECNICAS (CRISTOBAL CORREA)</t>
  </si>
  <si>
    <t>INSTALACIÓN EMPAVONADO OFICINA (LEONOR RÍOS)</t>
  </si>
  <si>
    <t>RC-262_26</t>
  </si>
  <si>
    <t>CONFECCIÓN DE CIERRE PERIMETRAL RECINTO ARQUEOLÓGICO Y TUPAS (CRISTÓBAL CORREA)</t>
  </si>
  <si>
    <t>RC-267_26</t>
  </si>
  <si>
    <t>HABILITACIÓN ELÉCTRICA Y RED PARA 2 PUESTOS DE TRABAJO OFICINAS CP03_137-134.</t>
  </si>
  <si>
    <t>RC-270_26</t>
  </si>
  <si>
    <t>SEÑALÉTICA, COMPRA DE PORTA HORARIOS PENDIENTES Y SOPORTE OFICINAS CSF15 (LEONOR RIOS)</t>
  </si>
  <si>
    <t>AUMENTO DE OBRA N°3 CONSTRUCCIÓN EDIFICIO INGENIERÍA CRC10 (JUAN IGNACIO SOLÍS DE OVANDO)</t>
  </si>
  <si>
    <t>RC-244_26</t>
  </si>
  <si>
    <t>REPOSICIÓN E INSTALACIÓN DE PORTA HORARIOS POR CAMBIOS, ASÍ COMO INSTALACIÓN DE SOPORTES ASOCIADOS A CLASES FALTANTES. (LEONOR RIOS)</t>
  </si>
  <si>
    <t>PAGO PARA OBTENCIÓN CERTIFICADO DE RECEPCIÓN DE PROYECTO DE DETENCIÓN VEHICULAR (CRISTOBAL CORREA)</t>
  </si>
  <si>
    <t>municipalidad de temuco</t>
  </si>
  <si>
    <t>ACONDICIONAMIENTO ELÉCTRICO DE ESPACIOS PARA LAB. CLINICO UCT, UBICADO EN HOSPITAL DE SIMULACIÓN (ARTURO MEZA)</t>
  </si>
  <si>
    <t>RC-254_26</t>
  </si>
  <si>
    <t>PROYECTO GAS EDIFICIO CASINO CRC11 (JUAN IGNACIO SOLID DE OVANDO)</t>
  </si>
  <si>
    <t>RC-277_26</t>
  </si>
  <si>
    <t>COMPRA MOBILIARIO CJP03 OF 137-134 (LEONOR RIOS)</t>
  </si>
  <si>
    <t>traspaso presupuestario N°1341</t>
  </si>
  <si>
    <t>SEÑALÉTICA NÚMEROS: INCORPORACIÓN DE NÚMEROS 18 Y 17 EN EXTERIOR DE EDIFICIOS CRC18 Y CRC 17 RESPECTIVAMENTE, PARA SU UBICACIÓN (LEONOR RIOS)</t>
  </si>
  <si>
    <t>RC-294_26</t>
  </si>
  <si>
    <t>TECHO Y SENDERO ARQUEOLOGIA. CC 409-1722  ---PROVEEDOR ANARIS CONSTRUCTORA SPA - COTI 81 $3.998.400 (CRISTOBAL CORREA)</t>
  </si>
  <si>
    <t>ENUMERACIÓN EMPAVONADO DE LOCKERS DE BIBLIOTECA CSF02_321. PROVEEDOR COM DANIELA ARRIAGADA CABA EIRL. COTI 1134 $190.780 (LEONOR RIOS)</t>
  </si>
  <si>
    <t>BODEGAS RESPEL/SUSPEL CAMPUS LUIS RIVAS DEL CANTO (JUAN IGNACIO SOLIS)</t>
  </si>
  <si>
    <t>NORMALIZACION Y CERTIFICACION ELECTRICA PARA T1, LABORATORIO EDIFICIO CRC18_180 (ARTURO MEZA)</t>
  </si>
  <si>
    <t xml:space="preserve"> SEÑALETICA CRC NÚMERO PARA ACREDITACIÓN DE CARRERAS TECNICAS (LEONOR RIOS)</t>
  </si>
  <si>
    <t xml:space="preserve"> INSTALACIÓN DE SEÑALÉTICA EN CONTENEDORES CRC13 (LEONOR RIOS)</t>
  </si>
  <si>
    <t>HABILITACION COCINA INDUSTRIAL CASINO CRC 11 (JUAN IGNACIO SOLIS)</t>
  </si>
  <si>
    <t>CONSTRUCCION ALERO DE PROTECCIÓN CABAÑAS CURACAUTIN (DAVID SILVA)</t>
  </si>
  <si>
    <t>COMPRA DE ESCRITORIOS, CAJONERAS Y MURAL , 3 UNIDADES  CJP01_553 (FELIPE ANSELME)</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</si>
</sst>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0"/>
    <numFmt numFmtId="165" formatCode="_ &quot;$&quot;* #,##0_ ;_ &quot;$&quot;* \-#,##0_ ;_ &quot;$&quot;* &quot;-&quot;_ ;_ @_ "/>
    <numFmt numFmtId="166" formatCode="d mmmm"/>
    <numFmt numFmtId="167" formatCode="d/MM/yyyy"/>
    <numFmt numFmtId="168" formatCode="0.0%"/>
    <numFmt numFmtId="169" formatCode="dd/mm/yyyy"/>
    <numFmt numFmtId="170" formatCode="0.0"/>
    <numFmt numFmtId="171" formatCode="mmm-d"/>
    <numFmt numFmtId="172" formatCode="dd-mmm-yy"/>
    <numFmt numFmtId="173" formatCode="m/d/yyyy h:mm:ss"/>
  </numFmts>
  <fonts count="77">
    <font>
      <sz val="11.0"/>
      <color theme="1"/>
      <name val="Calibri"/>
      <scheme val="minor"/>
    </font>
    <font>
      <b/>
      <sz val="11.0"/>
      <color theme="1"/>
      <name val="Calibri"/>
    </font>
    <font>
      <b/>
      <color theme="1"/>
      <name val="Arial"/>
    </font>
    <font>
      <sz val="11.0"/>
      <color theme="1"/>
      <name val="Calibri"/>
    </font>
    <font/>
    <font>
      <b/>
      <sz val="12.0"/>
      <color theme="1"/>
      <name val="Calibri"/>
    </font>
    <font>
      <sz val="12.0"/>
      <color theme="1"/>
      <name val="Calibri"/>
    </font>
    <font>
      <color theme="1"/>
      <name val="Calibri"/>
      <scheme val="minor"/>
    </font>
    <font>
      <color rgb="FF999999"/>
      <name val="Calibri"/>
      <scheme val="minor"/>
    </font>
    <font>
      <color rgb="FFFF0000"/>
      <name val="Calibri"/>
      <scheme val="minor"/>
    </font>
    <font>
      <color rgb="FF000000"/>
      <name val="&quot;Google Sans&quot;"/>
    </font>
    <font>
      <sz val="12.0"/>
      <color rgb="FF4A86E8"/>
      <name val="Calibri"/>
    </font>
    <font>
      <b/>
      <color theme="1"/>
      <name val="Calibri"/>
      <scheme val="minor"/>
    </font>
    <font>
      <b/>
      <sz val="11.0"/>
      <color theme="1"/>
      <name val="Arial"/>
    </font>
    <font>
      <b/>
      <sz val="11.0"/>
      <color rgb="FF222222"/>
      <name val="&quot;Google Sans&quot;"/>
    </font>
    <font>
      <b/>
      <sz val="11.0"/>
      <color rgb="FFFFFFFF"/>
      <name val="Calibri"/>
    </font>
    <font>
      <b/>
      <sz val="11.0"/>
      <color rgb="FF222222"/>
      <name val="Arial"/>
    </font>
    <font>
      <b/>
      <sz val="11.0"/>
      <color rgb="FF93C47D"/>
      <name val="Arial"/>
    </font>
    <font>
      <sz val="11.0"/>
      <color rgb="FFB7B7B7"/>
      <name val="Calibri"/>
    </font>
    <font>
      <b/>
      <sz val="13.0"/>
      <color theme="0"/>
      <name val="Calibri"/>
      <scheme val="minor"/>
    </font>
    <font>
      <sz val="12.0"/>
      <color rgb="FFB7B7B7"/>
      <name val="Calibri"/>
    </font>
    <font>
      <b/>
      <sz val="12.0"/>
      <color rgb="FF356854"/>
      <name val="Calibri"/>
    </font>
    <font>
      <color theme="4"/>
      <name val="Calibri"/>
      <scheme val="minor"/>
    </font>
    <font>
      <strike/>
      <color theme="1"/>
      <name val="Calibri"/>
      <scheme val="minor"/>
    </font>
    <font>
      <b/>
      <strike/>
      <color theme="1"/>
      <name val="Calibri"/>
      <scheme val="minor"/>
    </font>
    <font>
      <b/>
      <color rgb="FF000000"/>
      <name val="Calibri"/>
      <scheme val="minor"/>
    </font>
    <font>
      <color rgb="FF000000"/>
      <name val="Calibri"/>
      <scheme val="minor"/>
    </font>
    <font>
      <strike/>
      <sz val="11.0"/>
      <color rgb="FF434343"/>
      <name val="Calibri"/>
      <scheme val="minor"/>
    </font>
    <font>
      <sz val="11.0"/>
      <color rgb="FF000000"/>
      <name val="Calibri"/>
      <scheme val="minor"/>
    </font>
    <font>
      <u/>
      <sz val="12.0"/>
      <color theme="1"/>
      <name val="Calibri"/>
    </font>
    <font>
      <sz val="12.0"/>
      <color rgb="FF000000"/>
      <name val="Calibri"/>
    </font>
    <font>
      <u/>
      <sz val="12.0"/>
      <color theme="1"/>
      <name val="Calibri"/>
    </font>
    <font>
      <color rgb="FF4472C4"/>
      <name val="Calibri"/>
      <scheme val="minor"/>
    </font>
    <font>
      <color theme="5"/>
      <name val="Calibri"/>
      <scheme val="minor"/>
    </font>
    <font>
      <color rgb="FFED7D31"/>
      <name val="Calibri"/>
      <scheme val="minor"/>
    </font>
    <font>
      <sz val="11.0"/>
      <color theme="5"/>
      <name val="Calibri"/>
      <scheme val="minor"/>
    </font>
    <font>
      <strike/>
      <sz val="11.0"/>
      <color theme="5"/>
      <name val="Calibri"/>
      <scheme val="minor"/>
    </font>
    <font>
      <u/>
      <sz val="12.0"/>
      <color theme="1"/>
      <name val="Calibri"/>
    </font>
    <font>
      <u/>
      <sz val="12.0"/>
      <color theme="1"/>
      <name val="Calibri"/>
    </font>
    <font>
      <color rgb="FF0B5394"/>
      <name val="Calibri"/>
      <scheme val="minor"/>
    </font>
    <font>
      <strike/>
      <color rgb="FF000000"/>
      <name val="Calibri"/>
      <scheme val="minor"/>
    </font>
    <font>
      <u/>
      <sz val="12.0"/>
      <color rgb="FF000000"/>
      <name val="Calibri"/>
    </font>
    <font>
      <u/>
      <sz val="12.0"/>
      <color theme="1"/>
      <name val="Calibri"/>
    </font>
    <font>
      <u/>
      <sz val="12.0"/>
      <color theme="1"/>
      <name val="Calibri"/>
    </font>
    <font>
      <b/>
      <sz val="13.0"/>
      <color theme="1"/>
      <name val="Calibri"/>
      <scheme val="minor"/>
    </font>
    <font>
      <sz val="11.0"/>
      <color rgb="FFA5A5A5"/>
      <name val="Calibri"/>
    </font>
    <font>
      <color rgb="FF70AD47"/>
      <name val="Calibri"/>
      <scheme val="minor"/>
    </font>
    <font>
      <sz val="11.0"/>
      <color rgb="FF70AD47"/>
      <name val="Calibri"/>
    </font>
    <font>
      <sz val="11.0"/>
      <color rgb="FFFF0000"/>
      <name val="Calibri"/>
    </font>
    <font>
      <sz val="12.0"/>
      <color rgb="FFFF0000"/>
      <name val="Calibri"/>
    </font>
    <font>
      <u/>
      <sz val="12.0"/>
      <color rgb="FFFF0000"/>
      <name val="Calibri"/>
    </font>
    <font>
      <u/>
      <sz val="12.0"/>
      <color theme="1"/>
      <name val="Calibri"/>
    </font>
    <font>
      <sz val="12.0"/>
      <color theme="1"/>
      <name val="Arial Narrow"/>
    </font>
    <font>
      <sz val="12.0"/>
      <color rgb="FF000000"/>
      <name val="Arial Narrow"/>
    </font>
    <font>
      <sz val="11.0"/>
      <color rgb="FF000000"/>
      <name val="Calibri"/>
    </font>
    <font>
      <sz val="12.0"/>
      <color rgb="FFFF0000"/>
      <name val="Arial Narrow"/>
    </font>
    <font>
      <b/>
      <sz val="12.0"/>
      <color theme="1"/>
      <name val="Arial Narrow"/>
    </font>
    <font>
      <b/>
      <sz val="12.0"/>
      <color rgb="FFFF0000"/>
      <name val="Arial Narrow"/>
    </font>
    <font>
      <b/>
      <sz val="11.0"/>
      <color theme="1"/>
      <name val="Calibri"/>
      <scheme val="minor"/>
    </font>
    <font>
      <b/>
      <strike/>
      <sz val="11.0"/>
      <color rgb="FF434343"/>
      <name val="Calibri"/>
      <scheme val="minor"/>
    </font>
    <font>
      <b/>
      <sz val="11.0"/>
      <color rgb="FF000000"/>
      <name val="Calibri"/>
      <scheme val="minor"/>
    </font>
    <font>
      <b/>
      <strike/>
      <sz val="11.0"/>
      <color rgb="FF000000"/>
      <name val="Calibri"/>
      <scheme val="minor"/>
    </font>
    <font>
      <sz val="11.0"/>
      <color rgb="FFED7D31"/>
      <name val="Calibri"/>
      <scheme val="minor"/>
    </font>
    <font>
      <sz val="12.0"/>
      <color rgb="FF434343"/>
      <name val="Calibri"/>
    </font>
    <font>
      <sz val="11.0"/>
      <color theme="1"/>
      <name val="Roboto"/>
    </font>
    <font>
      <u/>
      <sz val="11.0"/>
      <color rgb="FF0000FF"/>
      <name val="Calibri"/>
    </font>
    <font>
      <sz val="11.0"/>
      <color theme="1"/>
      <name val="Arial"/>
    </font>
    <font>
      <color rgb="FF980000"/>
      <name val="Calibri"/>
      <scheme val="minor"/>
    </font>
    <font>
      <sz val="11.0"/>
      <color rgb="FF000000"/>
      <name val="Arial"/>
    </font>
    <font>
      <color rgb="FFFF9900"/>
      <name val="Calibri"/>
      <scheme val="minor"/>
    </font>
    <font>
      <sz val="11.0"/>
      <color rgb="FFFF9900"/>
      <name val="Calibri"/>
      <scheme val="minor"/>
    </font>
    <font>
      <strike/>
      <sz val="11.0"/>
      <color rgb="FFFF9900"/>
      <name val="Calibri"/>
      <scheme val="minor"/>
    </font>
    <font>
      <strike/>
      <sz val="11.0"/>
      <color theme="1"/>
      <name val="Calibri"/>
      <scheme val="minor"/>
    </font>
    <font>
      <strike/>
      <color rgb="FFFF9900"/>
      <name val="Calibri"/>
      <scheme val="minor"/>
    </font>
    <font>
      <u/>
      <color rgb="FF0000FF"/>
    </font>
    <font>
      <b/>
      <color rgb="FF222222"/>
      <name val="Arial"/>
    </font>
    <font>
      <color rgb="FF222222"/>
      <name val="Arial"/>
    </font>
  </fonts>
  <fills count="22">
    <fill>
      <patternFill patternType="none"/>
    </fill>
    <fill>
      <patternFill patternType="lightGray"/>
    </fill>
    <fill>
      <patternFill patternType="solid">
        <fgColor rgb="FFD8D8D8"/>
        <bgColor rgb="FFD8D8D8"/>
      </patternFill>
    </fill>
    <fill>
      <patternFill patternType="solid">
        <fgColor rgb="FFFFFFFF"/>
        <bgColor rgb="FFFFFFFF"/>
      </patternFill>
    </fill>
    <fill>
      <patternFill patternType="solid">
        <fgColor rgb="FFC6EFCE"/>
        <bgColor rgb="FFC6EFCE"/>
      </patternFill>
    </fill>
    <fill>
      <patternFill patternType="solid">
        <fgColor rgb="FFFFE598"/>
        <bgColor rgb="FFFFE598"/>
      </patternFill>
    </fill>
    <fill>
      <patternFill patternType="solid">
        <fgColor rgb="FFFFC7CE"/>
        <bgColor rgb="FFFFC7CE"/>
      </patternFill>
    </fill>
    <fill>
      <patternFill patternType="solid">
        <fgColor rgb="FFD8E5F8"/>
        <bgColor rgb="FFD8E5F8"/>
      </patternFill>
    </fill>
    <fill>
      <patternFill patternType="solid">
        <fgColor rgb="FF3D85C6"/>
        <bgColor rgb="FF3D85C6"/>
      </patternFill>
    </fill>
    <fill>
      <patternFill patternType="solid">
        <fgColor rgb="FF356854"/>
        <bgColor rgb="FF356854"/>
      </patternFill>
    </fill>
    <fill>
      <patternFill patternType="solid">
        <fgColor rgb="FFF6F8F9"/>
        <bgColor rgb="FFF6F8F9"/>
      </patternFill>
    </fill>
    <fill>
      <patternFill patternType="solid">
        <fgColor theme="0"/>
        <bgColor theme="0"/>
      </patternFill>
    </fill>
    <fill>
      <patternFill patternType="solid">
        <fgColor rgb="FFFF0000"/>
        <bgColor rgb="FFFF0000"/>
      </patternFill>
    </fill>
    <fill>
      <patternFill patternType="solid">
        <fgColor rgb="FFFFF2CC"/>
        <bgColor rgb="FFFFF2CC"/>
      </patternFill>
    </fill>
    <fill>
      <patternFill patternType="solid">
        <fgColor rgb="FF4472C4"/>
        <bgColor rgb="FF4472C4"/>
      </patternFill>
    </fill>
    <fill>
      <patternFill patternType="solid">
        <fgColor rgb="FFFFFF00"/>
        <bgColor rgb="FFFFFF00"/>
      </patternFill>
    </fill>
    <fill>
      <patternFill patternType="solid">
        <fgColor rgb="FFCCCCCC"/>
        <bgColor rgb="FFCCCCCC"/>
      </patternFill>
    </fill>
    <fill>
      <patternFill patternType="solid">
        <fgColor rgb="FFD9D9D9"/>
        <bgColor rgb="FFD9D9D9"/>
      </patternFill>
    </fill>
    <fill>
      <patternFill patternType="solid">
        <fgColor theme="9"/>
        <bgColor theme="9"/>
      </patternFill>
    </fill>
    <fill>
      <patternFill patternType="solid">
        <fgColor rgb="FFFFEB9C"/>
        <bgColor rgb="FFFFEB9C"/>
      </patternFill>
    </fill>
    <fill>
      <patternFill patternType="solid">
        <fgColor rgb="FF6AA84F"/>
        <bgColor rgb="FF6AA84F"/>
      </patternFill>
    </fill>
    <fill>
      <patternFill patternType="solid">
        <fgColor rgb="FFD9EAD3"/>
        <bgColor rgb="FFD9EAD3"/>
      </patternFill>
    </fill>
  </fills>
  <borders count="35">
    <border/>
    <border>
      <left style="thin">
        <color rgb="FF000000"/>
      </left>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border>
    <border>
      <right style="thin">
        <color rgb="FF000000"/>
      </right>
    </border>
    <border>
      <top style="thin">
        <color rgb="FF000000"/>
      </top>
    </border>
    <border>
      <left style="thin">
        <color rgb="FF000000"/>
      </left>
      <right style="thin">
        <color rgb="FF000000"/>
      </right>
    </border>
    <border>
      <left style="thin">
        <color rgb="FF000000"/>
      </left>
      <right style="thin">
        <color rgb="FFFFFFFF"/>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right style="thin">
        <color rgb="FF000000"/>
      </right>
      <bottom style="thin">
        <color rgb="FF000000"/>
      </bottom>
    </border>
    <border>
      <left style="thin">
        <color rgb="FF284E3F"/>
      </lef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FFFFFF"/>
      </right>
      <top style="thin">
        <color rgb="FF000000"/>
      </top>
      <bottom style="thin">
        <color rgb="FF000000"/>
      </bottom>
    </border>
    <border>
      <left style="thin">
        <color rgb="FF000000"/>
      </left>
      <right style="thin">
        <color rgb="FFB7E1CD"/>
      </right>
      <top style="thin">
        <color rgb="FF000000"/>
      </top>
      <bottom style="thin">
        <color rgb="FF000000"/>
      </bottom>
    </border>
    <border>
      <left style="thin">
        <color rgb="FF000000"/>
      </left>
      <right style="thin">
        <color rgb="FFF6F8F9"/>
      </right>
      <top style="thin">
        <color rgb="FF000000"/>
      </top>
      <bottom style="thin">
        <color rgb="FF000000"/>
      </bottom>
    </border>
    <border>
      <left style="thin">
        <color rgb="FF000000"/>
      </left>
      <right style="thin">
        <color rgb="FFC6EFCE"/>
      </right>
      <top style="thin">
        <color rgb="FF000000"/>
      </top>
      <bottom style="thin">
        <color rgb="FF000000"/>
      </bottom>
    </border>
    <border>
      <left style="thin">
        <color rgb="FF000000"/>
      </left>
      <right/>
      <top style="thin">
        <color rgb="FF000000"/>
      </top>
      <bottom style="thin">
        <color rgb="FF000000"/>
      </bottom>
    </border>
    <border>
      <left style="thin">
        <color rgb="FFF6F8F9"/>
      </left>
      <right style="thin">
        <color rgb="FF000000"/>
      </right>
      <top style="thin">
        <color rgb="FF000000"/>
      </top>
      <bottom style="thin">
        <color rgb="FF000000"/>
      </bottom>
    </border>
    <border>
      <left style="thin">
        <color rgb="FF000000"/>
      </left>
      <right style="thin">
        <color rgb="FFF6F8F9"/>
      </right>
      <top style="thin">
        <color rgb="FF000000"/>
      </top>
      <bottom style="thin">
        <color rgb="FFF6F8F9"/>
      </bottom>
    </border>
    <border>
      <left style="thin">
        <color rgb="FF000000"/>
      </left>
      <right/>
      <top style="thin">
        <color rgb="FF000000"/>
      </top>
      <bottom/>
    </border>
    <border>
      <left style="thin">
        <color rgb="FF000000"/>
      </left>
      <right style="thin">
        <color rgb="FF000000"/>
      </right>
      <top style="thin">
        <color rgb="FF000000"/>
      </top>
      <bottom style="thin">
        <color rgb="FFF6F8F9"/>
      </bottom>
    </border>
    <border>
      <left style="thin">
        <color rgb="FF000000"/>
      </left>
      <right style="thin">
        <color rgb="FF000000"/>
      </right>
      <top style="thin">
        <color rgb="FF000000"/>
      </top>
      <bottom/>
    </border>
    <border>
      <left style="thin">
        <color rgb="FF000000"/>
      </left>
      <top style="thin">
        <color rgb="FF000000"/>
      </top>
      <bottom style="thin">
        <color rgb="FFF6F8F9"/>
      </bottom>
    </border>
    <border>
      <left style="thin">
        <color rgb="FFFFFFFF"/>
      </left>
      <right style="thin">
        <color rgb="FF000000"/>
      </right>
      <top style="thin">
        <color rgb="FF000000"/>
      </top>
      <bottom style="thin">
        <color rgb="FF000000"/>
      </bottom>
    </border>
    <border>
      <left style="thin">
        <color rgb="FFFFFFFF"/>
      </left>
      <right style="thin">
        <color rgb="FFFFFFFF"/>
      </right>
      <top style="thin">
        <color rgb="FF000000"/>
      </top>
      <bottom style="thin">
        <color rgb="FF000000"/>
      </bottom>
    </border>
    <border>
      <left style="thin">
        <color rgb="FF000000"/>
      </left>
      <right style="thin">
        <color rgb="FF000000"/>
      </right>
      <top style="thin">
        <color rgb="FF000000"/>
      </top>
      <bottom style="thin">
        <color rgb="FFFFFFFF"/>
      </bottom>
    </border>
    <border>
      <left style="thin">
        <color rgb="FF000000"/>
      </left>
      <right style="thin">
        <color rgb="FF000000"/>
      </right>
      <top/>
      <bottom style="thin">
        <color rgb="FF000000"/>
      </bottom>
    </border>
    <border>
      <left/>
      <right/>
      <top/>
      <bottom/>
    </border>
    <border>
      <left/>
      <right/>
      <top/>
      <bottom style="thin">
        <color rgb="FF000000"/>
      </bottom>
    </border>
  </borders>
  <cellStyleXfs count="1">
    <xf borderId="0" fillId="0" fontId="0" numFmtId="0" applyAlignment="1" applyFont="1"/>
  </cellStyleXfs>
  <cellXfs count="504">
    <xf borderId="0" fillId="0" fontId="0" numFmtId="0" xfId="0" applyAlignment="1" applyFont="1">
      <alignment readingOrder="0" shrinkToFit="0" vertical="bottom" wrapText="0"/>
    </xf>
    <xf borderId="0" fillId="0" fontId="1" numFmtId="0" xfId="0" applyAlignment="1" applyFont="1">
      <alignment horizontal="center" readingOrder="0" shrinkToFit="0" wrapText="0"/>
    </xf>
    <xf borderId="0" fillId="0" fontId="1" numFmtId="10" xfId="0" applyAlignment="1" applyFont="1" applyNumberFormat="1">
      <alignment horizontal="center" readingOrder="0" shrinkToFit="0" wrapText="0"/>
    </xf>
    <xf borderId="0" fillId="0" fontId="1" numFmtId="9" xfId="0" applyAlignment="1" applyFont="1" applyNumberFormat="1">
      <alignment horizontal="center" readingOrder="0" shrinkToFit="0" wrapText="0"/>
    </xf>
    <xf borderId="0" fillId="0" fontId="1" numFmtId="0" xfId="0" applyAlignment="1" applyFont="1">
      <alignment horizontal="left" readingOrder="0" shrinkToFit="0" wrapText="0"/>
    </xf>
    <xf borderId="0" fillId="2" fontId="2" numFmtId="164" xfId="0" applyAlignment="1" applyFill="1" applyFont="1" applyNumberFormat="1">
      <alignment horizontal="center" shrinkToFit="0" wrapText="1"/>
    </xf>
    <xf borderId="0" fillId="2" fontId="2" numFmtId="10" xfId="0" applyAlignment="1" applyFont="1" applyNumberFormat="1">
      <alignment horizontal="center" shrinkToFit="0" wrapText="1"/>
    </xf>
    <xf borderId="0" fillId="2" fontId="2" numFmtId="165" xfId="0" applyAlignment="1" applyFont="1" applyNumberFormat="1">
      <alignment horizontal="center" shrinkToFit="0" wrapText="1"/>
    </xf>
    <xf borderId="1" fillId="0" fontId="3" numFmtId="0" xfId="0" applyAlignment="1" applyBorder="1" applyFont="1">
      <alignment horizontal="center"/>
    </xf>
    <xf borderId="2" fillId="0" fontId="4" numFmtId="0" xfId="0" applyBorder="1" applyFont="1"/>
    <xf borderId="3" fillId="0" fontId="5" numFmtId="0" xfId="0" applyAlignment="1" applyBorder="1" applyFont="1">
      <alignment horizontal="center" vertical="center"/>
    </xf>
    <xf borderId="4" fillId="0" fontId="4" numFmtId="0" xfId="0" applyBorder="1" applyFont="1"/>
    <xf borderId="5" fillId="0" fontId="4" numFmtId="0" xfId="0" applyBorder="1" applyFont="1"/>
    <xf borderId="6" fillId="0" fontId="6" numFmtId="0" xfId="0" applyAlignment="1" applyBorder="1" applyFont="1">
      <alignment shrinkToFit="0" vertical="center" wrapText="1"/>
    </xf>
    <xf borderId="0" fillId="0" fontId="6" numFmtId="0" xfId="0" applyFont="1"/>
    <xf borderId="0" fillId="0" fontId="1" numFmtId="0" xfId="0" applyAlignment="1" applyFont="1">
      <alignment horizontal="center" readingOrder="0" shrinkToFit="0" wrapText="0"/>
    </xf>
    <xf borderId="0" fillId="0" fontId="7" numFmtId="0" xfId="0" applyAlignment="1" applyFont="1">
      <alignment horizontal="center" readingOrder="0" shrinkToFit="0" vertical="center" wrapText="0"/>
    </xf>
    <xf borderId="0" fillId="0" fontId="6" numFmtId="165" xfId="0" applyFont="1" applyNumberFormat="1"/>
    <xf borderId="0" fillId="0" fontId="6" numFmtId="9" xfId="0" applyFont="1" applyNumberFormat="1"/>
    <xf borderId="0" fillId="0" fontId="7" numFmtId="49" xfId="0" applyAlignment="1" applyFont="1" applyNumberFormat="1">
      <alignment horizontal="center" readingOrder="0" shrinkToFit="0" vertical="center" wrapText="0"/>
    </xf>
    <xf borderId="0" fillId="0" fontId="6" numFmtId="0" xfId="0" applyAlignment="1" applyFont="1">
      <alignment shrinkToFit="0" wrapText="1"/>
    </xf>
    <xf borderId="0" fillId="2" fontId="2" numFmtId="0" xfId="0" applyAlignment="1" applyFont="1">
      <alignment horizontal="center" shrinkToFit="0" wrapText="1"/>
    </xf>
    <xf borderId="0" fillId="0" fontId="7" numFmtId="0" xfId="0" applyAlignment="1" applyFont="1">
      <alignment horizontal="center" readingOrder="0"/>
    </xf>
    <xf borderId="0" fillId="2" fontId="2" numFmtId="166" xfId="0" applyAlignment="1" applyFont="1" applyNumberFormat="1">
      <alignment horizontal="center" shrinkToFit="0" wrapText="1"/>
    </xf>
    <xf borderId="0" fillId="0" fontId="7" numFmtId="167" xfId="0" applyAlignment="1" applyFont="1" applyNumberFormat="1">
      <alignment readingOrder="0"/>
    </xf>
    <xf borderId="0" fillId="0" fontId="3" numFmtId="0" xfId="0" applyAlignment="1" applyFont="1">
      <alignment shrinkToFit="0" vertical="bottom" wrapText="0"/>
    </xf>
    <xf borderId="7" fillId="0" fontId="4" numFmtId="0" xfId="0" applyBorder="1" applyFont="1"/>
    <xf borderId="8" fillId="0" fontId="4" numFmtId="0" xfId="0" applyBorder="1" applyFont="1"/>
    <xf borderId="0" fillId="0" fontId="7" numFmtId="164" xfId="0" applyAlignment="1" applyFont="1" applyNumberFormat="1">
      <alignment horizontal="left" shrinkToFit="0" vertical="center" wrapText="0"/>
    </xf>
    <xf borderId="1" fillId="0" fontId="5" numFmtId="0" xfId="0" applyAlignment="1" applyBorder="1" applyFont="1">
      <alignment horizontal="center" readingOrder="0" vertical="center"/>
    </xf>
    <xf borderId="0" fillId="0" fontId="7" numFmtId="164" xfId="0" applyAlignment="1" applyFont="1" applyNumberFormat="1">
      <alignment horizontal="left" readingOrder="0" shrinkToFit="0" vertical="center" wrapText="0"/>
    </xf>
    <xf borderId="9" fillId="0" fontId="4" numFmtId="0" xfId="0" applyBorder="1" applyFont="1"/>
    <xf borderId="10" fillId="0" fontId="4" numFmtId="0" xfId="0" applyBorder="1" applyFont="1"/>
    <xf borderId="0" fillId="0" fontId="6" numFmtId="0" xfId="0" applyAlignment="1" applyFont="1">
      <alignment readingOrder="0"/>
    </xf>
    <xf borderId="0" fillId="0" fontId="7" numFmtId="9" xfId="0" applyAlignment="1" applyFont="1" applyNumberFormat="1">
      <alignment horizontal="center" shrinkToFit="0" vertical="center" wrapText="0"/>
    </xf>
    <xf borderId="0" fillId="0" fontId="7" numFmtId="164" xfId="0" applyAlignment="1" applyFont="1" applyNumberFormat="1">
      <alignment readingOrder="0"/>
    </xf>
    <xf borderId="0" fillId="0" fontId="6" numFmtId="164" xfId="0" applyFont="1" applyNumberFormat="1"/>
    <xf borderId="0" fillId="0" fontId="6" numFmtId="9" xfId="0" applyAlignment="1" applyFont="1" applyNumberFormat="1">
      <alignment readingOrder="0"/>
    </xf>
    <xf borderId="0" fillId="0" fontId="1" numFmtId="0" xfId="0" applyAlignment="1" applyFont="1">
      <alignment horizontal="center" readingOrder="0" shrinkToFit="0" vertical="center" wrapText="0"/>
    </xf>
    <xf borderId="11" fillId="0" fontId="6" numFmtId="165" xfId="0" applyAlignment="1" applyBorder="1" applyFont="1" applyNumberFormat="1">
      <alignment readingOrder="0" vertical="center"/>
    </xf>
    <xf borderId="0" fillId="0" fontId="7" numFmtId="164" xfId="0" applyFont="1" applyNumberFormat="1"/>
    <xf borderId="0" fillId="0" fontId="8" numFmtId="9" xfId="0" applyAlignment="1" applyFont="1" applyNumberFormat="1">
      <alignment readingOrder="0"/>
    </xf>
    <xf borderId="0" fillId="0" fontId="8" numFmtId="165" xfId="0" applyAlignment="1" applyFont="1" applyNumberFormat="1">
      <alignment readingOrder="0"/>
    </xf>
    <xf borderId="0" fillId="0" fontId="9" numFmtId="164" xfId="0" applyFont="1" applyNumberFormat="1"/>
    <xf borderId="0" fillId="3" fontId="10" numFmtId="0" xfId="0" applyAlignment="1" applyFill="1" applyFont="1">
      <alignment readingOrder="0"/>
    </xf>
    <xf borderId="0" fillId="0" fontId="7" numFmtId="168" xfId="0" applyFont="1" applyNumberFormat="1"/>
    <xf borderId="0" fillId="0" fontId="11" numFmtId="0" xfId="0" applyFont="1"/>
    <xf borderId="0" fillId="0" fontId="3" numFmtId="0" xfId="0" applyAlignment="1" applyFont="1">
      <alignment vertical="bottom"/>
    </xf>
    <xf borderId="12" fillId="0" fontId="4" numFmtId="0" xfId="0" applyBorder="1" applyFont="1"/>
    <xf borderId="13" fillId="0" fontId="4" numFmtId="0" xfId="0" applyBorder="1" applyFont="1"/>
    <xf borderId="14" fillId="0" fontId="4" numFmtId="0" xfId="0" applyBorder="1" applyFont="1"/>
    <xf borderId="15" fillId="0" fontId="4" numFmtId="0" xfId="0" applyBorder="1" applyFont="1"/>
    <xf borderId="0" fillId="0" fontId="6" numFmtId="0" xfId="0" applyFont="1"/>
    <xf borderId="0" fillId="0" fontId="1" numFmtId="9" xfId="0" applyAlignment="1" applyFont="1" applyNumberFormat="1">
      <alignment horizontal="center" readingOrder="0" shrinkToFit="0" vertical="center" wrapText="0"/>
    </xf>
    <xf borderId="0" fillId="4" fontId="5" numFmtId="0" xfId="0" applyAlignment="1" applyFill="1" applyFont="1">
      <alignment readingOrder="0"/>
    </xf>
    <xf borderId="0" fillId="0" fontId="7" numFmtId="165" xfId="0" applyFont="1" applyNumberFormat="1"/>
    <xf borderId="0" fillId="0" fontId="5" numFmtId="165" xfId="0" applyFont="1" applyNumberFormat="1"/>
    <xf borderId="0" fillId="0" fontId="1" numFmtId="0" xfId="0" applyAlignment="1" applyFont="1">
      <alignment horizontal="left" readingOrder="0" shrinkToFit="0" vertical="center" wrapText="0"/>
    </xf>
    <xf borderId="0" fillId="0" fontId="9" numFmtId="165" xfId="0" applyFont="1" applyNumberFormat="1"/>
    <xf borderId="0" fillId="0" fontId="12" numFmtId="9" xfId="0" applyFont="1" applyNumberFormat="1"/>
    <xf borderId="15" fillId="0" fontId="13" numFmtId="49" xfId="0" applyAlignment="1" applyBorder="1" applyFont="1" applyNumberFormat="1">
      <alignment horizontal="center" readingOrder="0" shrinkToFit="0" vertical="center" wrapText="1"/>
    </xf>
    <xf borderId="0" fillId="0" fontId="12" numFmtId="165" xfId="0" applyFont="1" applyNumberFormat="1"/>
    <xf borderId="0" fillId="4" fontId="6" numFmtId="0" xfId="0" applyAlignment="1" applyFont="1">
      <alignment readingOrder="0"/>
    </xf>
    <xf borderId="15" fillId="0" fontId="13" numFmtId="0" xfId="0" applyAlignment="1" applyBorder="1" applyFont="1">
      <alignment horizontal="center" readingOrder="0" shrinkToFit="0" vertical="center" wrapText="1"/>
    </xf>
    <xf borderId="15" fillId="0" fontId="13" numFmtId="166" xfId="0" applyAlignment="1" applyBorder="1" applyFont="1" applyNumberFormat="1">
      <alignment horizontal="center" readingOrder="0" shrinkToFit="0" vertical="center" wrapText="1"/>
    </xf>
    <xf borderId="0" fillId="0" fontId="3" numFmtId="0" xfId="0" applyAlignment="1" applyFont="1">
      <alignment readingOrder="0" shrinkToFit="0" vertical="bottom" wrapText="0"/>
    </xf>
    <xf borderId="0" fillId="5" fontId="6" numFmtId="0" xfId="0" applyAlignment="1" applyFill="1" applyFont="1">
      <alignment readingOrder="0"/>
    </xf>
    <xf borderId="0" fillId="0" fontId="3" numFmtId="0" xfId="0" applyAlignment="1" applyFont="1">
      <alignment readingOrder="0" shrinkToFit="0" vertical="bottom" wrapText="0"/>
    </xf>
    <xf borderId="0" fillId="0" fontId="7" numFmtId="9" xfId="0" applyFont="1" applyNumberFormat="1"/>
    <xf borderId="0" fillId="0" fontId="7" numFmtId="164" xfId="0" applyAlignment="1" applyFont="1" applyNumberFormat="1">
      <alignment horizontal="left" readingOrder="0" shrinkToFit="0" vertical="center" wrapText="0"/>
    </xf>
    <xf borderId="0" fillId="0" fontId="7" numFmtId="164" xfId="0" applyAlignment="1" applyFont="1" applyNumberFormat="1">
      <alignment horizontal="left" shrinkToFit="0" vertical="center" wrapText="0"/>
    </xf>
    <xf borderId="0" fillId="0" fontId="7" numFmtId="9" xfId="0" applyAlignment="1" applyFont="1" applyNumberFormat="1">
      <alignment horizontal="center" shrinkToFit="0" vertical="center" wrapText="0"/>
    </xf>
    <xf borderId="15" fillId="0" fontId="13" numFmtId="0" xfId="0" applyAlignment="1" applyBorder="1" applyFont="1">
      <alignment horizontal="center" readingOrder="0" shrinkToFit="0" vertical="center" wrapText="1"/>
    </xf>
    <xf borderId="0" fillId="0" fontId="6" numFmtId="0" xfId="0" applyAlignment="1" applyFont="1">
      <alignment horizontal="left"/>
    </xf>
    <xf borderId="0" fillId="0" fontId="7" numFmtId="0" xfId="0" applyAlignment="1" applyFont="1">
      <alignment horizontal="center"/>
    </xf>
    <xf borderId="0" fillId="0" fontId="5" numFmtId="0" xfId="0" applyAlignment="1" applyFont="1">
      <alignment horizontal="left"/>
    </xf>
    <xf borderId="0" fillId="6" fontId="6" numFmtId="0" xfId="0" applyAlignment="1" applyFill="1" applyFont="1">
      <alignment readingOrder="0"/>
    </xf>
    <xf borderId="0" fillId="0" fontId="7" numFmtId="0" xfId="0" applyAlignment="1" applyFont="1">
      <alignment vertical="top"/>
    </xf>
    <xf borderId="0" fillId="7" fontId="14" numFmtId="0" xfId="0" applyAlignment="1" applyFill="1" applyFont="1">
      <alignment readingOrder="0"/>
    </xf>
    <xf borderId="13" fillId="8" fontId="15" numFmtId="0" xfId="0" applyAlignment="1" applyBorder="1" applyFill="1" applyFont="1">
      <alignment vertical="bottom"/>
    </xf>
    <xf borderId="0" fillId="3" fontId="16" numFmtId="165" xfId="0" applyAlignment="1" applyFont="1" applyNumberFormat="1">
      <alignment horizontal="right" vertical="bottom"/>
    </xf>
    <xf borderId="0" fillId="0" fontId="3" numFmtId="0" xfId="0" applyFont="1"/>
    <xf borderId="0" fillId="3" fontId="3" numFmtId="0" xfId="0" applyAlignment="1" applyFont="1">
      <alignment vertical="bottom"/>
    </xf>
    <xf borderId="13" fillId="8" fontId="15" numFmtId="0" xfId="0" applyAlignment="1" applyBorder="1" applyFont="1">
      <alignment horizontal="center" vertical="bottom"/>
    </xf>
    <xf borderId="0" fillId="0" fontId="3" numFmtId="0" xfId="0" applyAlignment="1" applyFont="1">
      <alignment readingOrder="0"/>
    </xf>
    <xf borderId="0" fillId="0" fontId="3" numFmtId="165" xfId="0" applyAlignment="1" applyFont="1" applyNumberFormat="1">
      <alignment horizontal="right" readingOrder="0"/>
    </xf>
    <xf borderId="0" fillId="3" fontId="17" numFmtId="0" xfId="0" applyAlignment="1" applyFont="1">
      <alignment horizontal="center" readingOrder="0"/>
    </xf>
    <xf borderId="13" fillId="8" fontId="15" numFmtId="0" xfId="0" applyAlignment="1" applyBorder="1" applyFont="1">
      <alignment readingOrder="0" vertical="bottom"/>
    </xf>
    <xf borderId="0" fillId="0" fontId="18" numFmtId="9" xfId="0" applyFont="1" applyNumberFormat="1"/>
    <xf borderId="0" fillId="0" fontId="18" numFmtId="165" xfId="0" applyFont="1" applyNumberFormat="1"/>
    <xf borderId="0" fillId="0" fontId="7" numFmtId="0" xfId="0" applyAlignment="1" applyFont="1">
      <alignment readingOrder="0" shrinkToFit="0" vertical="center" wrapText="0"/>
    </xf>
    <xf borderId="0" fillId="0" fontId="19" numFmtId="165" xfId="0" applyFont="1" applyNumberFormat="1"/>
    <xf borderId="0" fillId="0" fontId="3" numFmtId="165" xfId="0" applyAlignment="1" applyFont="1" applyNumberFormat="1">
      <alignment horizontal="right"/>
    </xf>
    <xf borderId="0" fillId="0" fontId="6" numFmtId="0" xfId="0" applyFont="1"/>
    <xf borderId="0" fillId="0" fontId="5" numFmtId="0" xfId="0" applyAlignment="1" applyFont="1">
      <alignment horizontal="center" readingOrder="0" vertical="center"/>
    </xf>
    <xf borderId="0" fillId="0" fontId="7" numFmtId="0" xfId="0" applyAlignment="1" applyFont="1">
      <alignment readingOrder="0" shrinkToFit="0" vertical="center" wrapText="0"/>
    </xf>
    <xf borderId="0" fillId="0" fontId="5" numFmtId="0" xfId="0" applyAlignment="1" applyFont="1">
      <alignment horizontal="center" readingOrder="0" shrinkToFit="0" vertical="center" wrapText="1"/>
    </xf>
    <xf borderId="0" fillId="0" fontId="5" numFmtId="0" xfId="0" applyAlignment="1" applyFont="1">
      <alignment horizontal="center" readingOrder="0" vertical="center"/>
    </xf>
    <xf borderId="0" fillId="0" fontId="7" numFmtId="165" xfId="0" applyAlignment="1" applyFont="1" applyNumberFormat="1">
      <alignment readingOrder="0" shrinkToFit="0" vertical="center" wrapText="0"/>
    </xf>
    <xf borderId="0" fillId="0" fontId="7" numFmtId="165" xfId="0" applyAlignment="1" applyFont="1" applyNumberFormat="1">
      <alignment shrinkToFit="0" vertical="center" wrapText="0"/>
    </xf>
    <xf borderId="0" fillId="0" fontId="20" numFmtId="165" xfId="0" applyFont="1" applyNumberFormat="1"/>
    <xf borderId="0" fillId="0" fontId="5" numFmtId="9" xfId="0" applyAlignment="1" applyFont="1" applyNumberFormat="1">
      <alignment horizontal="center" readingOrder="0" vertical="center"/>
    </xf>
    <xf borderId="0" fillId="0" fontId="7" numFmtId="9" xfId="0" applyAlignment="1" applyFont="1" applyNumberFormat="1">
      <alignment shrinkToFit="0" vertical="center" wrapText="0"/>
    </xf>
    <xf borderId="0" fillId="0" fontId="5" numFmtId="0" xfId="0" applyAlignment="1" applyFont="1">
      <alignment horizontal="center" readingOrder="0" shrinkToFit="0" vertical="center" wrapText="0"/>
    </xf>
    <xf borderId="0" fillId="0" fontId="7" numFmtId="0" xfId="0" applyAlignment="1" applyFont="1">
      <alignment horizontal="left" readingOrder="0" shrinkToFit="0" vertical="center" wrapText="0"/>
    </xf>
    <xf borderId="0" fillId="0" fontId="7" numFmtId="169" xfId="0" applyAlignment="1" applyFont="1" applyNumberFormat="1">
      <alignment horizontal="left" readingOrder="0" shrinkToFit="0" vertical="center" wrapText="0"/>
    </xf>
    <xf borderId="0" fillId="9" fontId="21" numFmtId="0" xfId="0" applyAlignment="1" applyFill="1" applyFont="1">
      <alignment horizontal="center" readingOrder="0" shrinkToFit="0" vertical="center" wrapText="0"/>
    </xf>
    <xf borderId="0" fillId="0" fontId="7" numFmtId="21" xfId="0" applyAlignment="1" applyFont="1" applyNumberFormat="1">
      <alignment horizontal="left" readingOrder="0" shrinkToFit="0" vertical="center" wrapText="0"/>
    </xf>
    <xf borderId="0" fillId="0" fontId="5" numFmtId="0" xfId="0" applyAlignment="1" applyFont="1">
      <alignment horizontal="center" readingOrder="0" shrinkToFit="0" vertical="center" wrapText="0"/>
    </xf>
    <xf borderId="0" fillId="0" fontId="7" numFmtId="164" xfId="0" applyAlignment="1" applyFont="1" applyNumberFormat="1">
      <alignment readingOrder="0" shrinkToFit="0" vertical="center" wrapText="0"/>
    </xf>
    <xf borderId="0" fillId="0" fontId="7" numFmtId="0" xfId="0" applyAlignment="1" applyFont="1">
      <alignment horizontal="left" readingOrder="0" shrinkToFit="0" vertical="center" wrapText="0"/>
    </xf>
    <xf borderId="0" fillId="0" fontId="5" numFmtId="49" xfId="0" applyAlignment="1" applyFont="1" applyNumberFormat="1">
      <alignment horizontal="center" readingOrder="0" shrinkToFit="0" vertical="center" wrapText="0"/>
    </xf>
    <xf borderId="0" fillId="0" fontId="5" numFmtId="0" xfId="0" applyAlignment="1" applyFont="1">
      <alignment horizontal="center" readingOrder="0" shrinkToFit="0" vertical="center" wrapText="1"/>
    </xf>
    <xf borderId="0" fillId="0" fontId="22" numFmtId="165" xfId="0" applyAlignment="1" applyFont="1" applyNumberFormat="1">
      <alignment readingOrder="0" shrinkToFit="0" vertical="center" wrapText="0"/>
    </xf>
    <xf borderId="16" fillId="0" fontId="6" numFmtId="0" xfId="0" applyAlignment="1" applyBorder="1" applyFont="1">
      <alignment horizontal="center" shrinkToFit="0" vertical="center" wrapText="0"/>
    </xf>
    <xf borderId="17" fillId="0" fontId="6" numFmtId="0" xfId="0" applyAlignment="1" applyBorder="1" applyFont="1">
      <alignment readingOrder="0" shrinkToFit="0" vertical="center" wrapText="0"/>
    </xf>
    <xf borderId="17" fillId="0" fontId="6" numFmtId="0" xfId="0" applyAlignment="1" applyBorder="1" applyFont="1">
      <alignment shrinkToFit="0" vertical="center" wrapText="0"/>
    </xf>
    <xf borderId="18" fillId="10" fontId="6" numFmtId="0" xfId="0" applyAlignment="1" applyBorder="1" applyFill="1" applyFont="1">
      <alignment readingOrder="0" shrinkToFit="0" vertical="center" wrapText="0"/>
    </xf>
    <xf borderId="0" fillId="10" fontId="6" numFmtId="0" xfId="0" applyAlignment="1" applyFont="1">
      <alignment readingOrder="0" shrinkToFit="0" vertical="center" wrapText="0"/>
    </xf>
    <xf borderId="11" fillId="0" fontId="6" numFmtId="0" xfId="0" applyAlignment="1" applyBorder="1" applyFont="1">
      <alignment shrinkToFit="0" vertical="center" wrapText="0"/>
    </xf>
    <xf borderId="17" fillId="0" fontId="6" numFmtId="17" xfId="0" applyAlignment="1" applyBorder="1" applyFont="1" applyNumberFormat="1">
      <alignment shrinkToFit="0" vertical="center" wrapText="0"/>
    </xf>
    <xf borderId="11" fillId="0" fontId="6" numFmtId="17" xfId="0" applyAlignment="1" applyBorder="1" applyFont="1" applyNumberFormat="1">
      <alignment horizontal="center" shrinkToFit="0" vertical="center" wrapText="0"/>
    </xf>
    <xf borderId="19" fillId="0" fontId="6" numFmtId="0" xfId="0" applyAlignment="1" applyBorder="1" applyFont="1">
      <alignment readingOrder="0" shrinkToFit="0" vertical="center" wrapText="0"/>
    </xf>
    <xf borderId="17" fillId="0" fontId="6" numFmtId="165" xfId="0" applyAlignment="1" applyBorder="1" applyFont="1" applyNumberFormat="1">
      <alignment shrinkToFit="0" vertical="center" wrapText="0"/>
    </xf>
    <xf borderId="11" fillId="0" fontId="6" numFmtId="165" xfId="0" applyAlignment="1" applyBorder="1" applyFont="1" applyNumberFormat="1">
      <alignment shrinkToFit="0" vertical="center" wrapText="0"/>
    </xf>
    <xf borderId="11" fillId="0" fontId="6" numFmtId="165" xfId="0" applyAlignment="1" applyBorder="1" applyFont="1" applyNumberFormat="1">
      <alignment readingOrder="0" shrinkToFit="0" vertical="center" wrapText="0"/>
    </xf>
    <xf borderId="3" fillId="0" fontId="6" numFmtId="9" xfId="0" applyAlignment="1" applyBorder="1" applyFont="1" applyNumberFormat="1">
      <alignment shrinkToFit="0" vertical="center" wrapText="0"/>
    </xf>
    <xf borderId="17" fillId="0" fontId="6" numFmtId="0" xfId="0" applyAlignment="1" applyBorder="1" applyFont="1">
      <alignment shrinkToFit="0" vertical="center" wrapText="0"/>
    </xf>
    <xf borderId="17" fillId="0" fontId="6" numFmtId="0" xfId="0" applyAlignment="1" applyBorder="1" applyFont="1">
      <alignment readingOrder="0" shrinkToFit="0" vertical="center" wrapText="1"/>
    </xf>
    <xf borderId="0" fillId="0" fontId="3" numFmtId="0" xfId="0" applyAlignment="1" applyFont="1">
      <alignment readingOrder="0" vertical="bottom"/>
    </xf>
    <xf borderId="4" fillId="3" fontId="6" numFmtId="0" xfId="0" applyAlignment="1" applyBorder="1" applyFont="1">
      <alignment readingOrder="0" shrinkToFit="0" vertical="center" wrapText="0"/>
    </xf>
    <xf borderId="17" fillId="0" fontId="6" numFmtId="0" xfId="0" applyAlignment="1" applyBorder="1" applyFont="1">
      <alignment readingOrder="0" shrinkToFit="0" vertical="center" wrapText="0"/>
    </xf>
    <xf borderId="0" fillId="0" fontId="7" numFmtId="49" xfId="0" applyAlignment="1" applyFont="1" applyNumberFormat="1">
      <alignment horizontal="left" readingOrder="0" shrinkToFit="0" vertical="center" wrapText="0"/>
    </xf>
    <xf borderId="20" fillId="0" fontId="6" numFmtId="0" xfId="0" applyAlignment="1" applyBorder="1" applyFont="1">
      <alignment readingOrder="0" shrinkToFit="0" vertical="center" wrapText="0"/>
    </xf>
    <xf borderId="17" fillId="0" fontId="6" numFmtId="0" xfId="0" applyAlignment="1" applyBorder="1" applyFont="1">
      <alignment readingOrder="0" shrinkToFit="0" vertical="center" wrapText="0"/>
    </xf>
    <xf borderId="0" fillId="11" fontId="12" numFmtId="0" xfId="0" applyAlignment="1" applyFill="1" applyFont="1">
      <alignment readingOrder="0" shrinkToFit="0" vertical="center" wrapText="0"/>
    </xf>
    <xf borderId="20" fillId="0" fontId="6" numFmtId="17" xfId="0" applyAlignment="1" applyBorder="1" applyFont="1" applyNumberFormat="1">
      <alignment horizontal="center" readingOrder="0" shrinkToFit="0" vertical="center" wrapText="0"/>
    </xf>
    <xf borderId="0" fillId="11" fontId="12" numFmtId="165" xfId="0" applyAlignment="1" applyFont="1" applyNumberFormat="1">
      <alignment readingOrder="0" shrinkToFit="0" vertical="center" wrapText="0"/>
    </xf>
    <xf borderId="20" fillId="0" fontId="6" numFmtId="165" xfId="0" applyAlignment="1" applyBorder="1" applyFont="1" applyNumberFormat="1">
      <alignment shrinkToFit="0" vertical="center" wrapText="0"/>
    </xf>
    <xf borderId="0" fillId="11" fontId="12" numFmtId="165" xfId="0" applyAlignment="1" applyFont="1" applyNumberFormat="1">
      <alignment shrinkToFit="0" vertical="center" wrapText="0"/>
    </xf>
    <xf borderId="0" fillId="11" fontId="12" numFmtId="165" xfId="0" applyAlignment="1" applyFont="1" applyNumberFormat="1">
      <alignment shrinkToFit="0" vertical="center" wrapText="0"/>
    </xf>
    <xf borderId="0" fillId="0" fontId="23" numFmtId="164" xfId="0" applyAlignment="1" applyFont="1" applyNumberFormat="1">
      <alignment readingOrder="0" shrinkToFit="0" vertical="center" wrapText="0"/>
    </xf>
    <xf borderId="0" fillId="11" fontId="24" numFmtId="165" xfId="0" applyAlignment="1" applyFont="1" applyNumberFormat="1">
      <alignment shrinkToFit="0" vertical="center" wrapText="0"/>
    </xf>
    <xf borderId="0" fillId="11" fontId="25" numFmtId="165" xfId="0" applyAlignment="1" applyFont="1" applyNumberFormat="1">
      <alignment shrinkToFit="0" vertical="center" wrapText="0"/>
    </xf>
    <xf borderId="4" fillId="10" fontId="6" numFmtId="0" xfId="0" applyAlignment="1" applyBorder="1" applyFont="1">
      <alignment shrinkToFit="0" vertical="center" wrapText="0"/>
    </xf>
    <xf borderId="0" fillId="0" fontId="6" numFmtId="0" xfId="0" applyAlignment="1" applyFont="1">
      <alignment readingOrder="0" shrinkToFit="0" vertical="center" wrapText="0"/>
    </xf>
    <xf borderId="11" fillId="0" fontId="6" numFmtId="0" xfId="0" applyAlignment="1" applyBorder="1" applyFont="1">
      <alignment horizontal="center" shrinkToFit="0" vertical="center" wrapText="0"/>
    </xf>
    <xf borderId="21" fillId="0" fontId="6" numFmtId="0" xfId="0" applyAlignment="1" applyBorder="1" applyFont="1">
      <alignment readingOrder="0" shrinkToFit="0" vertical="center" wrapText="0"/>
    </xf>
    <xf borderId="0" fillId="0" fontId="7" numFmtId="0" xfId="0" applyAlignment="1" applyFont="1">
      <alignment readingOrder="0"/>
    </xf>
    <xf borderId="17" fillId="0" fontId="6" numFmtId="0" xfId="0" applyAlignment="1" applyBorder="1" applyFont="1">
      <alignment horizontal="left" readingOrder="0" shrinkToFit="0" vertical="center" wrapText="0"/>
    </xf>
    <xf borderId="3" fillId="0" fontId="6" numFmtId="0" xfId="0" applyAlignment="1" applyBorder="1" applyFont="1">
      <alignment readingOrder="0" shrinkToFit="0" vertical="center" wrapText="0"/>
    </xf>
    <xf borderId="17" fillId="0" fontId="6" numFmtId="17" xfId="0" applyAlignment="1" applyBorder="1" applyFont="1" applyNumberFormat="1">
      <alignment readingOrder="0" shrinkToFit="0" vertical="center" wrapText="0"/>
    </xf>
    <xf borderId="3" fillId="0" fontId="6" numFmtId="165" xfId="0" applyAlignment="1" applyBorder="1" applyFont="1" applyNumberFormat="1">
      <alignment shrinkToFit="0" vertical="center" wrapText="0"/>
    </xf>
    <xf borderId="0" fillId="11" fontId="7" numFmtId="0" xfId="0" applyAlignment="1" applyFont="1">
      <alignment readingOrder="0" shrinkToFit="0" vertical="center" wrapText="0"/>
    </xf>
    <xf borderId="0" fillId="11" fontId="7" numFmtId="165" xfId="0" applyAlignment="1" applyFont="1" applyNumberFormat="1">
      <alignment readingOrder="0" shrinkToFit="0" vertical="center" wrapText="0"/>
    </xf>
    <xf borderId="0" fillId="11" fontId="7" numFmtId="165" xfId="0" applyAlignment="1" applyFont="1" applyNumberFormat="1">
      <alignment shrinkToFit="0" vertical="center" wrapText="0"/>
    </xf>
    <xf borderId="0" fillId="0" fontId="23" numFmtId="165" xfId="0" applyAlignment="1" applyFont="1" applyNumberFormat="1">
      <alignment readingOrder="0" shrinkToFit="0" vertical="center" wrapText="0"/>
    </xf>
    <xf borderId="0" fillId="11" fontId="7" numFmtId="165" xfId="0" applyAlignment="1" applyFont="1" applyNumberFormat="1">
      <alignment shrinkToFit="0" vertical="center" wrapText="0"/>
    </xf>
    <xf borderId="0" fillId="0" fontId="22" numFmtId="164" xfId="0" applyAlignment="1" applyFont="1" applyNumberFormat="1">
      <alignment readingOrder="0" shrinkToFit="0" vertical="center" wrapText="0"/>
    </xf>
    <xf borderId="17" fillId="11" fontId="6" numFmtId="0" xfId="0" applyAlignment="1" applyBorder="1" applyFont="1">
      <alignment readingOrder="0" shrinkToFit="0" vertical="center" wrapText="1"/>
    </xf>
    <xf borderId="17" fillId="0" fontId="20" numFmtId="170" xfId="0" applyAlignment="1" applyBorder="1" applyFont="1" applyNumberFormat="1">
      <alignment readingOrder="0" vertical="center"/>
    </xf>
    <xf borderId="0" fillId="11" fontId="26" numFmtId="165" xfId="0" applyAlignment="1" applyFont="1" applyNumberFormat="1">
      <alignment shrinkToFit="0" vertical="center" wrapText="0"/>
    </xf>
    <xf borderId="4" fillId="10" fontId="6" numFmtId="0" xfId="0" applyAlignment="1" applyBorder="1" applyFont="1">
      <alignment readingOrder="0" shrinkToFit="0" vertical="center" wrapText="0"/>
    </xf>
    <xf borderId="3" fillId="0" fontId="6" numFmtId="0" xfId="0" applyAlignment="1" applyBorder="1" applyFont="1">
      <alignment shrinkToFit="0" vertical="center" wrapText="0"/>
    </xf>
    <xf borderId="3" fillId="0" fontId="6" numFmtId="165" xfId="0" applyAlignment="1" applyBorder="1" applyFont="1" applyNumberFormat="1">
      <alignment readingOrder="0" shrinkToFit="0" vertical="center" wrapText="0"/>
    </xf>
    <xf borderId="4" fillId="3" fontId="6" numFmtId="0" xfId="0" applyAlignment="1" applyBorder="1" applyFont="1">
      <alignment shrinkToFit="0" vertical="center" wrapText="0"/>
    </xf>
    <xf borderId="3" fillId="0" fontId="6" numFmtId="17" xfId="0" applyAlignment="1" applyBorder="1" applyFont="1" applyNumberFormat="1">
      <alignment horizontal="center" shrinkToFit="0" vertical="center" wrapText="0"/>
    </xf>
    <xf borderId="16" fillId="0" fontId="11" numFmtId="0" xfId="0" applyAlignment="1" applyBorder="1" applyFont="1">
      <alignment horizontal="center" shrinkToFit="0" vertical="center" wrapText="0"/>
    </xf>
    <xf borderId="17" fillId="0" fontId="11" numFmtId="0" xfId="0" applyAlignment="1" applyBorder="1" applyFont="1">
      <alignment shrinkToFit="0" vertical="center" wrapText="0"/>
    </xf>
    <xf borderId="4" fillId="10" fontId="11" numFmtId="0" xfId="0" applyAlignment="1" applyBorder="1" applyFont="1">
      <alignment shrinkToFit="0" vertical="center" wrapText="0"/>
    </xf>
    <xf borderId="17" fillId="0" fontId="11" numFmtId="0" xfId="0" applyAlignment="1" applyBorder="1" applyFont="1">
      <alignment readingOrder="0" shrinkToFit="0" vertical="center" wrapText="0"/>
    </xf>
    <xf borderId="20" fillId="0" fontId="11" numFmtId="0" xfId="0" applyAlignment="1" applyBorder="1" applyFont="1">
      <alignment horizontal="center" shrinkToFit="0" vertical="center" wrapText="0"/>
    </xf>
    <xf borderId="20" fillId="0" fontId="11" numFmtId="0" xfId="0" applyAlignment="1" applyBorder="1" applyFont="1">
      <alignment readingOrder="0" shrinkToFit="0" vertical="center" wrapText="0"/>
    </xf>
    <xf borderId="20" fillId="0" fontId="11" numFmtId="165" xfId="0" applyAlignment="1" applyBorder="1" applyFont="1" applyNumberFormat="1">
      <alignment shrinkToFit="0" vertical="center" wrapText="0"/>
    </xf>
    <xf borderId="17" fillId="0" fontId="11" numFmtId="165" xfId="0" applyAlignment="1" applyBorder="1" applyFont="1" applyNumberFormat="1">
      <alignment shrinkToFit="0" vertical="center" wrapText="0"/>
    </xf>
    <xf borderId="11" fillId="0" fontId="11" numFmtId="165" xfId="0" applyAlignment="1" applyBorder="1" applyFont="1" applyNumberFormat="1">
      <alignment shrinkToFit="0" vertical="center" wrapText="0"/>
    </xf>
    <xf borderId="17" fillId="0" fontId="11" numFmtId="0" xfId="0" applyAlignment="1" applyBorder="1" applyFont="1">
      <alignment shrinkToFit="0" vertical="center" wrapText="0"/>
    </xf>
    <xf borderId="0" fillId="0" fontId="22" numFmtId="165" xfId="0" applyAlignment="1" applyFont="1" applyNumberFormat="1">
      <alignment shrinkToFit="0" vertical="center" wrapText="0"/>
    </xf>
    <xf borderId="0" fillId="11" fontId="23" numFmtId="165" xfId="0" applyAlignment="1" applyFont="1" applyNumberFormat="1">
      <alignment shrinkToFit="0" vertical="center" wrapText="0"/>
    </xf>
    <xf borderId="22" fillId="0" fontId="6" numFmtId="0" xfId="0" applyAlignment="1" applyBorder="1" applyFont="1">
      <alignment horizontal="center" shrinkToFit="0" vertical="center" wrapText="0"/>
    </xf>
    <xf borderId="5" fillId="0" fontId="6" numFmtId="0" xfId="0" applyAlignment="1" applyBorder="1" applyFont="1">
      <alignment horizontal="left" readingOrder="0" shrinkToFit="0" vertical="center" wrapText="0"/>
    </xf>
    <xf borderId="23" fillId="0" fontId="6" numFmtId="17" xfId="0" applyAlignment="1" applyBorder="1" applyFont="1" applyNumberFormat="1">
      <alignment horizontal="center" readingOrder="0" shrinkToFit="0" vertical="center" wrapText="0"/>
    </xf>
    <xf borderId="19" fillId="0" fontId="6" numFmtId="0" xfId="0" applyAlignment="1" applyBorder="1" applyFont="1">
      <alignment readingOrder="0" shrinkToFit="0" vertical="center" wrapText="0"/>
    </xf>
    <xf borderId="24" fillId="11" fontId="6" numFmtId="165" xfId="0" applyAlignment="1" applyBorder="1" applyFont="1" applyNumberFormat="1">
      <alignment shrinkToFit="0" vertical="center" wrapText="0"/>
    </xf>
    <xf borderId="25" fillId="11" fontId="6" numFmtId="165" xfId="0" applyAlignment="1" applyBorder="1" applyFont="1" applyNumberFormat="1">
      <alignment shrinkToFit="0" vertical="center" wrapText="0"/>
    </xf>
    <xf borderId="17" fillId="11" fontId="6" numFmtId="165" xfId="0" applyAlignment="1" applyBorder="1" applyFont="1" applyNumberFormat="1">
      <alignment shrinkToFit="0" vertical="center" wrapText="0"/>
    </xf>
    <xf borderId="17" fillId="11" fontId="6" numFmtId="0" xfId="0" applyAlignment="1" applyBorder="1" applyFont="1">
      <alignment shrinkToFit="0" vertical="center" wrapText="0"/>
    </xf>
    <xf borderId="17" fillId="0" fontId="6" numFmtId="3" xfId="0" applyAlignment="1" applyBorder="1" applyFont="1" applyNumberFormat="1">
      <alignment readingOrder="0" shrinkToFit="0" vertical="center" wrapText="1"/>
    </xf>
    <xf borderId="3" fillId="0" fontId="6" numFmtId="0" xfId="0" applyAlignment="1" applyBorder="1" applyFont="1">
      <alignment horizontal="center" shrinkToFit="0" vertical="center" wrapText="0"/>
    </xf>
    <xf borderId="17" fillId="0" fontId="6" numFmtId="0" xfId="0" applyAlignment="1" applyBorder="1" applyFont="1">
      <alignment shrinkToFit="0" vertical="center" wrapText="0"/>
    </xf>
    <xf borderId="17" fillId="0" fontId="6" numFmtId="0" xfId="0" applyAlignment="1" applyBorder="1" applyFont="1">
      <alignment shrinkToFit="0" vertical="center" wrapText="0"/>
    </xf>
    <xf borderId="26" fillId="0" fontId="6" numFmtId="17" xfId="0" applyAlignment="1" applyBorder="1" applyFont="1" applyNumberFormat="1">
      <alignment horizontal="center" shrinkToFit="0" vertical="center" wrapText="0"/>
    </xf>
    <xf borderId="24" fillId="0" fontId="6" numFmtId="17" xfId="0" applyAlignment="1" applyBorder="1" applyFont="1" applyNumberFormat="1">
      <alignment horizontal="center" shrinkToFit="0" vertical="center" wrapText="0"/>
    </xf>
    <xf borderId="25" fillId="11" fontId="6" numFmtId="165" xfId="0" applyAlignment="1" applyBorder="1" applyFont="1" applyNumberFormat="1">
      <alignment horizontal="right" shrinkToFit="0" vertical="center" wrapText="0"/>
    </xf>
    <xf borderId="1" fillId="11" fontId="6" numFmtId="9" xfId="0" applyAlignment="1" applyBorder="1" applyFont="1" applyNumberFormat="1">
      <alignment readingOrder="0" shrinkToFit="0" vertical="center" wrapText="0"/>
    </xf>
    <xf borderId="27" fillId="11" fontId="6" numFmtId="0" xfId="0" applyAlignment="1" applyBorder="1" applyFont="1">
      <alignment readingOrder="0" shrinkToFit="0" vertical="center" wrapText="0"/>
    </xf>
    <xf borderId="3" fillId="12" fontId="6" numFmtId="0" xfId="0" applyAlignment="1" applyBorder="1" applyFill="1" applyFont="1">
      <alignment horizontal="center" shrinkToFit="0" vertical="center" wrapText="0"/>
    </xf>
    <xf borderId="0" fillId="11" fontId="27" numFmtId="164" xfId="0" applyAlignment="1" applyFont="1" applyNumberFormat="1">
      <alignment horizontal="right" shrinkToFit="0" vertical="center" wrapText="0"/>
    </xf>
    <xf borderId="0" fillId="11" fontId="0" numFmtId="164" xfId="0" applyAlignment="1" applyFont="1" applyNumberFormat="1">
      <alignment shrinkToFit="0" vertical="center" wrapText="0"/>
    </xf>
    <xf borderId="0" fillId="11" fontId="28" numFmtId="164" xfId="0" applyAlignment="1" applyFont="1" applyNumberFormat="1">
      <alignment shrinkToFit="0" vertical="center" wrapText="0"/>
    </xf>
    <xf borderId="0" fillId="0" fontId="7" numFmtId="0" xfId="0" applyAlignment="1" applyFont="1">
      <alignment shrinkToFit="0" vertical="center" wrapText="0"/>
    </xf>
    <xf borderId="0" fillId="0" fontId="7" numFmtId="0" xfId="0" applyAlignment="1" applyFont="1">
      <alignment horizontal="left" shrinkToFit="0" vertical="center" wrapText="0"/>
    </xf>
    <xf borderId="22" fillId="0" fontId="6" numFmtId="165" xfId="0" applyAlignment="1" applyBorder="1" applyFont="1" applyNumberFormat="1">
      <alignment shrinkToFit="0" vertical="center" wrapText="0"/>
    </xf>
    <xf borderId="22" fillId="11" fontId="6" numFmtId="165" xfId="0" applyAlignment="1" applyBorder="1" applyFont="1" applyNumberFormat="1">
      <alignment shrinkToFit="0" vertical="center" wrapText="0"/>
    </xf>
    <xf borderId="0" fillId="11" fontId="0" numFmtId="165" xfId="0" applyAlignment="1" applyFont="1" applyNumberFormat="1">
      <alignment shrinkToFit="0" vertical="center" wrapText="0"/>
    </xf>
    <xf borderId="0" fillId="11" fontId="27" numFmtId="165" xfId="0" applyAlignment="1" applyFont="1" applyNumberFormat="1">
      <alignment horizontal="right" shrinkToFit="0" vertical="center" wrapText="0"/>
    </xf>
    <xf borderId="28" fillId="11" fontId="6" numFmtId="0" xfId="0" applyAlignment="1" applyBorder="1" applyFont="1">
      <alignment horizontal="center" shrinkToFit="0" vertical="center" wrapText="0"/>
    </xf>
    <xf borderId="17" fillId="11" fontId="6" numFmtId="0" xfId="0" applyAlignment="1" applyBorder="1" applyFont="1">
      <alignment readingOrder="0" shrinkToFit="0" vertical="center" wrapText="0"/>
    </xf>
    <xf borderId="17" fillId="11" fontId="6" numFmtId="0" xfId="0" applyAlignment="1" applyBorder="1" applyFont="1">
      <alignment shrinkToFit="0" vertical="center" wrapText="0"/>
    </xf>
    <xf borderId="29" fillId="0" fontId="6" numFmtId="0" xfId="0" applyAlignment="1" applyBorder="1" applyFont="1">
      <alignment horizontal="center" shrinkToFit="0" vertical="center" wrapText="0"/>
    </xf>
    <xf borderId="30" fillId="0" fontId="6" numFmtId="0" xfId="0" applyAlignment="1" applyBorder="1" applyFont="1">
      <alignment horizontal="center" shrinkToFit="0" vertical="center" wrapText="0"/>
    </xf>
    <xf borderId="0" fillId="11" fontId="7" numFmtId="165" xfId="0" applyAlignment="1" applyFont="1" applyNumberFormat="1">
      <alignment readingOrder="0" shrinkToFit="0" vertical="center" wrapText="0"/>
    </xf>
    <xf borderId="29" fillId="0" fontId="6" numFmtId="17" xfId="0" applyAlignment="1" applyBorder="1" applyFont="1" applyNumberFormat="1">
      <alignment horizontal="center" shrinkToFit="0" vertical="center" wrapText="0"/>
    </xf>
    <xf borderId="0" fillId="11" fontId="28" numFmtId="165" xfId="0" applyAlignment="1" applyFont="1" applyNumberFormat="1">
      <alignment horizontal="right" shrinkToFit="0" vertical="center" wrapText="0"/>
    </xf>
    <xf borderId="30" fillId="0" fontId="6" numFmtId="17" xfId="0" applyAlignment="1" applyBorder="1" applyFont="1" applyNumberFormat="1">
      <alignment horizontal="center" shrinkToFit="0" vertical="center" wrapText="0"/>
    </xf>
    <xf borderId="22" fillId="0" fontId="6" numFmtId="0" xfId="0" applyAlignment="1" applyBorder="1" applyFont="1">
      <alignment shrinkToFit="0" vertical="center" wrapText="0"/>
    </xf>
    <xf borderId="22" fillId="11" fontId="6" numFmtId="0" xfId="0" applyAlignment="1" applyBorder="1" applyFont="1">
      <alignment shrinkToFit="0" vertical="center" wrapText="0"/>
    </xf>
    <xf borderId="22" fillId="11" fontId="6" numFmtId="0" xfId="0" applyAlignment="1" applyBorder="1" applyFont="1">
      <alignment horizontal="center" shrinkToFit="0" vertical="center" wrapText="0"/>
    </xf>
    <xf borderId="22" fillId="13" fontId="6" numFmtId="0" xfId="0" applyAlignment="1" applyBorder="1" applyFill="1" applyFont="1">
      <alignment horizontal="center" shrinkToFit="0" vertical="center" wrapText="0"/>
    </xf>
    <xf borderId="0" fillId="0" fontId="9" numFmtId="0" xfId="0" applyAlignment="1" applyFont="1">
      <alignment shrinkToFit="0" vertical="center" wrapText="0"/>
    </xf>
    <xf borderId="0" fillId="0" fontId="9" numFmtId="0" xfId="0" applyAlignment="1" applyFont="1">
      <alignment readingOrder="0" shrinkToFit="0" vertical="center" wrapText="0"/>
    </xf>
    <xf borderId="0" fillId="0" fontId="9" numFmtId="165" xfId="0" applyAlignment="1" applyFont="1" applyNumberFormat="1">
      <alignment readingOrder="0" shrinkToFit="0" vertical="center" wrapText="0"/>
    </xf>
    <xf borderId="0" fillId="0" fontId="9" numFmtId="165" xfId="0" applyAlignment="1" applyFont="1" applyNumberFormat="1">
      <alignment shrinkToFit="0" vertical="center" wrapText="0"/>
    </xf>
    <xf borderId="0" fillId="0" fontId="9" numFmtId="9" xfId="0" applyAlignment="1" applyFont="1" applyNumberFormat="1">
      <alignment shrinkToFit="0" vertical="center" wrapText="0"/>
    </xf>
    <xf borderId="0" fillId="0" fontId="9" numFmtId="0" xfId="0" applyAlignment="1" applyFont="1">
      <alignment readingOrder="0" shrinkToFit="0" vertical="center" wrapText="0"/>
    </xf>
    <xf borderId="0" fillId="0" fontId="9" numFmtId="0" xfId="0" applyAlignment="1" applyFont="1">
      <alignment shrinkToFit="0" vertical="center" wrapText="0"/>
    </xf>
    <xf borderId="0" fillId="0" fontId="7" numFmtId="0" xfId="0" applyAlignment="1" applyFont="1">
      <alignment horizontal="left" readingOrder="0" shrinkToFit="0" vertical="center" wrapText="0"/>
    </xf>
    <xf borderId="0" fillId="0" fontId="23" numFmtId="165" xfId="0" applyAlignment="1" applyFont="1" applyNumberFormat="1">
      <alignment shrinkToFit="0" vertical="center" wrapText="0"/>
    </xf>
    <xf borderId="17" fillId="0" fontId="6" numFmtId="0" xfId="0" applyAlignment="1" applyBorder="1" applyFont="1">
      <alignment horizontal="center" shrinkToFit="0" vertical="center" wrapText="0"/>
    </xf>
    <xf borderId="17" fillId="0" fontId="6" numFmtId="0" xfId="0" applyAlignment="1" applyBorder="1" applyFont="1">
      <alignment horizontal="left" shrinkToFit="0" vertical="center" wrapText="0"/>
    </xf>
    <xf borderId="17" fillId="11" fontId="29" numFmtId="0" xfId="0" applyAlignment="1" applyBorder="1" applyFont="1">
      <alignment horizontal="center" shrinkToFit="0" vertical="center" wrapText="0"/>
    </xf>
    <xf borderId="17" fillId="11" fontId="30" numFmtId="165" xfId="0" applyAlignment="1" applyBorder="1" applyFont="1" applyNumberFormat="1">
      <alignment shrinkToFit="0" vertical="center" wrapText="0"/>
    </xf>
    <xf borderId="17" fillId="0" fontId="31" numFmtId="165" xfId="0" applyAlignment="1" applyBorder="1" applyFont="1" applyNumberFormat="1">
      <alignment shrinkToFit="0" vertical="center" wrapText="0"/>
    </xf>
    <xf borderId="17" fillId="0" fontId="6" numFmtId="0" xfId="0" applyAlignment="1" applyBorder="1" applyFont="1">
      <alignment shrinkToFit="0" vertical="center" wrapText="0"/>
    </xf>
    <xf borderId="17" fillId="0" fontId="30" numFmtId="0" xfId="0" applyAlignment="1" applyBorder="1" applyFont="1">
      <alignment horizontal="left" readingOrder="0" shrinkToFit="0" vertical="center" wrapText="0"/>
    </xf>
    <xf borderId="0" fillId="0" fontId="7" numFmtId="0" xfId="0" applyAlignment="1" applyFont="1">
      <alignment readingOrder="0" shrinkToFit="0" vertical="center" wrapText="0"/>
    </xf>
    <xf borderId="0" fillId="0" fontId="7" numFmtId="0" xfId="0" applyAlignment="1" applyFont="1">
      <alignment shrinkToFit="0" vertical="center" wrapText="0"/>
    </xf>
    <xf borderId="0" fillId="0" fontId="7" numFmtId="0" xfId="0" applyAlignment="1" applyFont="1">
      <alignment shrinkToFit="0" vertical="center" wrapText="0"/>
    </xf>
    <xf borderId="17" fillId="11" fontId="6" numFmtId="3" xfId="0" applyAlignment="1" applyBorder="1" applyFont="1" applyNumberFormat="1">
      <alignment readingOrder="0" shrinkToFit="0" vertical="center" wrapText="1"/>
    </xf>
    <xf borderId="0" fillId="0" fontId="32" numFmtId="165" xfId="0" applyAlignment="1" applyFont="1" applyNumberFormat="1">
      <alignment readingOrder="0" shrinkToFit="0" vertical="center" wrapText="0"/>
    </xf>
    <xf borderId="0" fillId="0" fontId="7" numFmtId="164" xfId="0" applyAlignment="1" applyFont="1" applyNumberFormat="1">
      <alignment shrinkToFit="0" vertical="center" wrapText="0"/>
    </xf>
    <xf borderId="0" fillId="0" fontId="22" numFmtId="164" xfId="0" applyAlignment="1" applyFont="1" applyNumberFormat="1">
      <alignment shrinkToFit="0" vertical="center" wrapText="0"/>
    </xf>
    <xf borderId="0" fillId="11" fontId="0" numFmtId="164" xfId="0" applyAlignment="1" applyFont="1" applyNumberFormat="1">
      <alignment shrinkToFit="0" vertical="center" wrapText="0"/>
    </xf>
    <xf borderId="0" fillId="11" fontId="28" numFmtId="164" xfId="0" applyAlignment="1" applyFont="1" applyNumberFormat="1">
      <alignment shrinkToFit="0" vertical="center" wrapText="0"/>
    </xf>
    <xf borderId="0" fillId="11" fontId="28" numFmtId="165" xfId="0" applyAlignment="1" applyFont="1" applyNumberFormat="1">
      <alignment horizontal="right" shrinkToFit="0" vertical="center" wrapText="0"/>
    </xf>
    <xf borderId="0" fillId="11" fontId="28" numFmtId="164" xfId="0" applyAlignment="1" applyFont="1" applyNumberFormat="1">
      <alignment horizontal="right" shrinkToFit="0" vertical="center" wrapText="0"/>
    </xf>
    <xf borderId="0" fillId="11" fontId="27" numFmtId="165" xfId="0" applyAlignment="1" applyFont="1" applyNumberFormat="1">
      <alignment horizontal="right" shrinkToFit="0" vertical="center" wrapText="0"/>
    </xf>
    <xf borderId="0" fillId="11" fontId="33" numFmtId="0" xfId="0" applyAlignment="1" applyFont="1">
      <alignment readingOrder="0" shrinkToFit="0" vertical="center" wrapText="0"/>
    </xf>
    <xf borderId="0" fillId="11" fontId="34" numFmtId="0" xfId="0" applyAlignment="1" applyFont="1">
      <alignment readingOrder="0" shrinkToFit="0" vertical="center" wrapText="0"/>
    </xf>
    <xf borderId="0" fillId="11" fontId="34" numFmtId="165" xfId="0" applyAlignment="1" applyFont="1" applyNumberFormat="1">
      <alignment readingOrder="0" shrinkToFit="0" vertical="center" wrapText="0"/>
    </xf>
    <xf borderId="0" fillId="11" fontId="33" numFmtId="165" xfId="0" applyAlignment="1" applyFont="1" applyNumberFormat="1">
      <alignment readingOrder="0" shrinkToFit="0" vertical="center" wrapText="0"/>
    </xf>
    <xf borderId="0" fillId="11" fontId="33" numFmtId="165" xfId="0" applyAlignment="1" applyFont="1" applyNumberFormat="1">
      <alignment shrinkToFit="0" vertical="center" wrapText="0"/>
    </xf>
    <xf borderId="0" fillId="11" fontId="35" numFmtId="164" xfId="0" applyAlignment="1" applyFont="1" applyNumberFormat="1">
      <alignment shrinkToFit="0" vertical="center" wrapText="0"/>
    </xf>
    <xf borderId="0" fillId="11" fontId="36" numFmtId="165" xfId="0" applyAlignment="1" applyFont="1" applyNumberFormat="1">
      <alignment horizontal="right" shrinkToFit="0" vertical="center" wrapText="0"/>
    </xf>
    <xf borderId="6" fillId="11" fontId="37" numFmtId="0" xfId="0" applyAlignment="1" applyBorder="1" applyFont="1">
      <alignment horizontal="center" shrinkToFit="0" vertical="center" wrapText="0"/>
    </xf>
    <xf borderId="31" fillId="11" fontId="38" numFmtId="0" xfId="0" applyAlignment="1" applyBorder="1" applyFont="1">
      <alignment horizontal="center" shrinkToFit="0" vertical="center" wrapText="0"/>
    </xf>
    <xf borderId="0" fillId="0" fontId="39" numFmtId="164" xfId="0" applyAlignment="1" applyFont="1" applyNumberFormat="1">
      <alignment readingOrder="0" shrinkToFit="0" vertical="center" wrapText="0"/>
    </xf>
    <xf borderId="17" fillId="11" fontId="30" numFmtId="0" xfId="0" applyAlignment="1" applyBorder="1" applyFont="1">
      <alignment horizontal="left" readingOrder="0" shrinkToFit="0" vertical="center" wrapText="0"/>
    </xf>
    <xf borderId="19" fillId="11" fontId="6" numFmtId="0" xfId="0" applyAlignment="1" applyBorder="1" applyFont="1">
      <alignment readingOrder="0" shrinkToFit="0" vertical="center" wrapText="0"/>
    </xf>
    <xf borderId="17" fillId="11" fontId="30" numFmtId="165" xfId="0" applyAlignment="1" applyBorder="1" applyFont="1" applyNumberFormat="1">
      <alignment shrinkToFit="0" vertical="center" wrapText="0"/>
    </xf>
    <xf borderId="17" fillId="11" fontId="6" numFmtId="165" xfId="0" applyAlignment="1" applyBorder="1" applyFont="1" applyNumberFormat="1">
      <alignment shrinkToFit="0" vertical="center" wrapText="0"/>
    </xf>
    <xf borderId="11" fillId="11" fontId="6" numFmtId="165" xfId="0" applyAlignment="1" applyBorder="1" applyFont="1" applyNumberFormat="1">
      <alignment readingOrder="0" shrinkToFit="0" vertical="center" wrapText="0"/>
    </xf>
    <xf borderId="0" fillId="0" fontId="7" numFmtId="164" xfId="0" applyAlignment="1" applyFont="1" applyNumberFormat="1">
      <alignment shrinkToFit="0" vertical="center" wrapText="0"/>
    </xf>
    <xf borderId="0" fillId="0" fontId="7" numFmtId="164" xfId="0" applyAlignment="1" applyFont="1" applyNumberFormat="1">
      <alignment shrinkToFit="0" vertical="center" wrapText="0"/>
    </xf>
    <xf borderId="0" fillId="0" fontId="23" numFmtId="164" xfId="0" applyAlignment="1" applyFont="1" applyNumberFormat="1">
      <alignment shrinkToFit="0" vertical="center" wrapText="0"/>
    </xf>
    <xf borderId="0" fillId="0" fontId="39" numFmtId="3" xfId="0" applyAlignment="1" applyFont="1" applyNumberFormat="1">
      <alignment shrinkToFit="0" vertical="center" wrapText="0"/>
    </xf>
    <xf borderId="0" fillId="0" fontId="40" numFmtId="165" xfId="0" applyAlignment="1" applyFont="1" applyNumberFormat="1">
      <alignment shrinkToFit="0" vertical="center" wrapText="0"/>
    </xf>
    <xf borderId="0" fillId="0" fontId="26" numFmtId="165" xfId="0" applyAlignment="1" applyFont="1" applyNumberFormat="1">
      <alignment shrinkToFit="0" vertical="center" wrapText="0"/>
    </xf>
    <xf borderId="0" fillId="0" fontId="26" numFmtId="3" xfId="0" applyAlignment="1" applyFont="1" applyNumberFormat="1">
      <alignment shrinkToFit="0" vertical="center" wrapText="0"/>
    </xf>
    <xf borderId="17" fillId="0" fontId="26" numFmtId="0" xfId="0" applyAlignment="1" applyBorder="1" applyFont="1">
      <alignment readingOrder="0" shrinkToFit="0" vertical="center" wrapText="0"/>
    </xf>
    <xf borderId="17" fillId="0" fontId="30" numFmtId="0" xfId="0" applyAlignment="1" applyBorder="1" applyFont="1">
      <alignment horizontal="left" shrinkToFit="0" vertical="center" wrapText="0"/>
    </xf>
    <xf borderId="17" fillId="11" fontId="41" numFmtId="0" xfId="0" applyAlignment="1" applyBorder="1" applyFont="1">
      <alignment horizontal="center" shrinkToFit="0" vertical="center" wrapText="0"/>
    </xf>
    <xf borderId="19" fillId="0" fontId="30" numFmtId="0" xfId="0" applyAlignment="1" applyBorder="1" applyFont="1">
      <alignment readingOrder="0" shrinkToFit="0" vertical="center" wrapText="0"/>
    </xf>
    <xf borderId="0" fillId="0" fontId="26" numFmtId="164" xfId="0" applyAlignment="1" applyFont="1" applyNumberFormat="1">
      <alignment shrinkToFit="0" vertical="center" wrapText="0"/>
    </xf>
    <xf borderId="11" fillId="0" fontId="30" numFmtId="165" xfId="0" applyAlignment="1" applyBorder="1" applyFont="1" applyNumberFormat="1">
      <alignment readingOrder="0" shrinkToFit="0" vertical="center" wrapText="0"/>
    </xf>
    <xf borderId="0" fillId="0" fontId="7" numFmtId="3" xfId="0" applyAlignment="1" applyFont="1" applyNumberFormat="1">
      <alignment shrinkToFit="0" vertical="center" wrapText="0"/>
    </xf>
    <xf borderId="0" fillId="0" fontId="26" numFmtId="0" xfId="0" applyAlignment="1" applyFont="1">
      <alignment readingOrder="0" shrinkToFit="0" vertical="center" wrapText="0"/>
    </xf>
    <xf borderId="17" fillId="0" fontId="6" numFmtId="17" xfId="0" applyAlignment="1" applyBorder="1" applyFont="1" applyNumberFormat="1">
      <alignment horizontal="center" shrinkToFit="0" vertical="center" wrapText="0"/>
    </xf>
    <xf borderId="17" fillId="0" fontId="42" numFmtId="0" xfId="0" applyAlignment="1" applyBorder="1" applyFont="1">
      <alignment horizontal="center" shrinkToFit="0" vertical="center" wrapText="0"/>
    </xf>
    <xf borderId="17" fillId="11" fontId="43" numFmtId="165" xfId="0" applyAlignment="1" applyBorder="1" applyFont="1" applyNumberFormat="1">
      <alignment shrinkToFit="0" vertical="center" wrapText="0"/>
    </xf>
    <xf borderId="0" fillId="0" fontId="7" numFmtId="0" xfId="0" applyFont="1"/>
    <xf borderId="0" fillId="0" fontId="23" numFmtId="3" xfId="0" applyAlignment="1" applyFont="1" applyNumberFormat="1">
      <alignment shrinkToFit="0" vertical="center" wrapText="0"/>
    </xf>
    <xf borderId="0" fillId="0" fontId="39" numFmtId="165" xfId="0" applyAlignment="1" applyFont="1" applyNumberFormat="1">
      <alignment shrinkToFit="0" vertical="center" wrapText="0"/>
    </xf>
    <xf borderId="0" fillId="11" fontId="26" numFmtId="165" xfId="0" applyAlignment="1" applyFont="1" applyNumberFormat="1">
      <alignment shrinkToFit="0" vertical="center" wrapText="0"/>
    </xf>
    <xf borderId="13" fillId="0" fontId="3" numFmtId="0" xfId="0" applyAlignment="1" applyBorder="1" applyFont="1">
      <alignment vertical="bottom"/>
    </xf>
    <xf borderId="17" fillId="14" fontId="15" numFmtId="0" xfId="0" applyAlignment="1" applyBorder="1" applyFill="1" applyFont="1">
      <alignment horizontal="center" vertical="bottom"/>
    </xf>
    <xf borderId="17" fillId="14" fontId="15" numFmtId="0" xfId="0" applyAlignment="1" applyBorder="1" applyFont="1">
      <alignment horizontal="center" vertical="bottom"/>
    </xf>
    <xf borderId="0" fillId="15" fontId="7" numFmtId="0" xfId="0" applyAlignment="1" applyFill="1" applyFont="1">
      <alignment readingOrder="0"/>
    </xf>
    <xf borderId="32" fillId="14" fontId="15" numFmtId="0" xfId="0" applyAlignment="1" applyBorder="1" applyFont="1">
      <alignment vertical="bottom"/>
    </xf>
    <xf borderId="17" fillId="0" fontId="3" numFmtId="165" xfId="0" applyAlignment="1" applyBorder="1" applyFont="1" applyNumberFormat="1">
      <alignment horizontal="center" vertical="bottom"/>
    </xf>
    <xf borderId="1" fillId="16" fontId="44" numFmtId="0" xfId="0" applyAlignment="1" applyBorder="1" applyFill="1" applyFont="1">
      <alignment horizontal="center" readingOrder="0"/>
    </xf>
    <xf borderId="9" fillId="16" fontId="44" numFmtId="0" xfId="0" applyAlignment="1" applyBorder="1" applyFont="1">
      <alignment horizontal="center" readingOrder="0"/>
    </xf>
    <xf borderId="3" fillId="16" fontId="44" numFmtId="0" xfId="0" applyAlignment="1" applyBorder="1" applyFont="1">
      <alignment horizontal="center" readingOrder="0"/>
    </xf>
    <xf borderId="17" fillId="17" fontId="12" numFmtId="0" xfId="0" applyAlignment="1" applyBorder="1" applyFill="1" applyFont="1">
      <alignment horizontal="center" readingOrder="0"/>
    </xf>
    <xf borderId="14" fillId="0" fontId="3" numFmtId="0" xfId="0" applyAlignment="1" applyBorder="1" applyFont="1">
      <alignment vertical="bottom"/>
    </xf>
    <xf borderId="0" fillId="0" fontId="45" numFmtId="165" xfId="0" applyAlignment="1" applyFont="1" applyNumberFormat="1">
      <alignment horizontal="right" vertical="bottom"/>
    </xf>
    <xf borderId="0" fillId="18" fontId="7" numFmtId="0" xfId="0" applyAlignment="1" applyFill="1" applyFont="1">
      <alignment readingOrder="0"/>
    </xf>
    <xf borderId="17" fillId="17" fontId="7" numFmtId="0" xfId="0" applyAlignment="1" applyBorder="1" applyFont="1">
      <alignment horizontal="center" readingOrder="0"/>
    </xf>
    <xf borderId="17" fillId="0" fontId="7" numFmtId="9" xfId="0" applyAlignment="1" applyBorder="1" applyFont="1" applyNumberFormat="1">
      <alignment horizontal="center" readingOrder="0"/>
    </xf>
    <xf borderId="17" fillId="0" fontId="7" numFmtId="164" xfId="0" applyAlignment="1" applyBorder="1" applyFont="1" applyNumberFormat="1">
      <alignment horizontal="center" readingOrder="0"/>
    </xf>
    <xf borderId="17" fillId="0" fontId="7" numFmtId="164" xfId="0" applyAlignment="1" applyBorder="1" applyFont="1" applyNumberFormat="1">
      <alignment horizontal="center"/>
    </xf>
    <xf borderId="17" fillId="0" fontId="46" numFmtId="10" xfId="0" applyAlignment="1" applyBorder="1" applyFont="1" applyNumberFormat="1">
      <alignment horizontal="center" readingOrder="0"/>
    </xf>
    <xf borderId="0" fillId="0" fontId="7" numFmtId="10" xfId="0" applyFont="1" applyNumberFormat="1"/>
    <xf borderId="0" fillId="11" fontId="40" numFmtId="165" xfId="0" applyAlignment="1" applyFont="1" applyNumberFormat="1">
      <alignment shrinkToFit="0" vertical="center" wrapText="0"/>
    </xf>
    <xf borderId="17" fillId="14" fontId="15" numFmtId="0" xfId="0" applyAlignment="1" applyBorder="1" applyFont="1">
      <alignment horizontal="center" readingOrder="0" vertical="bottom"/>
    </xf>
    <xf borderId="17" fillId="0" fontId="7" numFmtId="9" xfId="0" applyAlignment="1" applyBorder="1" applyFont="1" applyNumberFormat="1">
      <alignment horizontal="center"/>
    </xf>
    <xf borderId="17" fillId="0" fontId="3" numFmtId="165" xfId="0" applyAlignment="1" applyBorder="1" applyFont="1" applyNumberFormat="1">
      <alignment vertical="bottom"/>
    </xf>
    <xf borderId="17" fillId="0" fontId="9" numFmtId="164" xfId="0" applyAlignment="1" applyBorder="1" applyFont="1" applyNumberFormat="1">
      <alignment horizontal="center" readingOrder="0"/>
    </xf>
    <xf borderId="17" fillId="11" fontId="3" numFmtId="165" xfId="0" applyAlignment="1" applyBorder="1" applyFont="1" applyNumberFormat="1">
      <alignment horizontal="right" vertical="bottom"/>
    </xf>
    <xf borderId="17" fillId="0" fontId="3" numFmtId="165" xfId="0" applyAlignment="1" applyBorder="1" applyFont="1" applyNumberFormat="1">
      <alignment horizontal="right" vertical="bottom"/>
    </xf>
    <xf borderId="17" fillId="0" fontId="3" numFmtId="165" xfId="0" applyAlignment="1" applyBorder="1" applyFont="1" applyNumberFormat="1">
      <alignment horizontal="right" readingOrder="0" vertical="bottom"/>
    </xf>
    <xf borderId="17" fillId="0" fontId="7" numFmtId="0" xfId="0" applyAlignment="1" applyBorder="1" applyFont="1">
      <alignment horizontal="center"/>
    </xf>
    <xf borderId="17" fillId="0" fontId="12" numFmtId="164" xfId="0" applyAlignment="1" applyBorder="1" applyFont="1" applyNumberFormat="1">
      <alignment horizontal="center"/>
    </xf>
    <xf borderId="17" fillId="0" fontId="7" numFmtId="0" xfId="0" applyBorder="1" applyFont="1"/>
    <xf borderId="17" fillId="15" fontId="9" numFmtId="164" xfId="0" applyAlignment="1" applyBorder="1" applyFont="1" applyNumberFormat="1">
      <alignment horizontal="center"/>
    </xf>
    <xf borderId="0" fillId="0" fontId="3" numFmtId="165" xfId="0" applyAlignment="1" applyFont="1" applyNumberFormat="1">
      <alignment vertical="bottom"/>
    </xf>
    <xf borderId="17" fillId="3" fontId="3" numFmtId="165" xfId="0" applyAlignment="1" applyBorder="1" applyFont="1" applyNumberFormat="1">
      <alignment horizontal="right" vertical="bottom"/>
    </xf>
    <xf borderId="17" fillId="0" fontId="47" numFmtId="165" xfId="0" applyAlignment="1" applyBorder="1" applyFont="1" applyNumberFormat="1">
      <alignment horizontal="center" readingOrder="0" vertical="bottom"/>
    </xf>
    <xf borderId="17" fillId="0" fontId="3" numFmtId="165" xfId="0" applyAlignment="1" applyBorder="1" applyFont="1" applyNumberFormat="1">
      <alignment horizontal="center" readingOrder="0" vertical="bottom"/>
    </xf>
    <xf borderId="17" fillId="3" fontId="3" numFmtId="165" xfId="0" applyAlignment="1" applyBorder="1" applyFont="1" applyNumberFormat="1">
      <alignment vertical="bottom"/>
    </xf>
    <xf borderId="17" fillId="0" fontId="48" numFmtId="165" xfId="0" applyAlignment="1" applyBorder="1" applyFont="1" applyNumberFormat="1">
      <alignment horizontal="center" vertical="bottom"/>
    </xf>
    <xf borderId="33" fillId="3" fontId="3" numFmtId="0" xfId="0" applyAlignment="1" applyBorder="1" applyFont="1">
      <alignment vertical="bottom"/>
    </xf>
    <xf borderId="34" fillId="3" fontId="3" numFmtId="0" xfId="0" applyAlignment="1" applyBorder="1" applyFont="1">
      <alignment vertical="bottom"/>
    </xf>
    <xf borderId="0" fillId="11" fontId="23" numFmtId="165" xfId="0" applyAlignment="1" applyFont="1" applyNumberFormat="1">
      <alignment shrinkToFit="0" vertical="center" wrapText="0"/>
    </xf>
    <xf borderId="17" fillId="0" fontId="3" numFmtId="0" xfId="0" applyAlignment="1" applyBorder="1" applyFont="1">
      <alignment vertical="bottom"/>
    </xf>
    <xf borderId="17" fillId="0" fontId="3" numFmtId="3" xfId="0" applyAlignment="1" applyBorder="1" applyFont="1" applyNumberFormat="1">
      <alignment horizontal="right" vertical="bottom"/>
    </xf>
    <xf borderId="17" fillId="0" fontId="3" numFmtId="3" xfId="0" applyAlignment="1" applyBorder="1" applyFont="1" applyNumberFormat="1">
      <alignment vertical="bottom"/>
    </xf>
    <xf borderId="17" fillId="0" fontId="49" numFmtId="0" xfId="0" applyAlignment="1" applyBorder="1" applyFont="1">
      <alignment shrinkToFit="0" vertical="center" wrapText="0"/>
    </xf>
    <xf borderId="17" fillId="11" fontId="50" numFmtId="0" xfId="0" applyAlignment="1" applyBorder="1" applyFont="1">
      <alignment horizontal="center" shrinkToFit="0" vertical="center" wrapText="0"/>
    </xf>
    <xf borderId="17" fillId="11" fontId="49" numFmtId="165" xfId="0" applyAlignment="1" applyBorder="1" applyFont="1" applyNumberFormat="1">
      <alignment shrinkToFit="0" vertical="center" wrapText="0"/>
    </xf>
    <xf borderId="0" fillId="0" fontId="3" numFmtId="165" xfId="0" applyAlignment="1" applyFont="1" applyNumberFormat="1">
      <alignment horizontal="center" vertical="bottom"/>
    </xf>
    <xf borderId="17" fillId="0" fontId="51" numFmtId="165" xfId="0" applyAlignment="1" applyBorder="1" applyFont="1" applyNumberFormat="1">
      <alignment shrinkToFit="0" vertical="center" wrapText="1"/>
    </xf>
    <xf borderId="0" fillId="0" fontId="3" numFmtId="168" xfId="0" applyAlignment="1" applyFont="1" applyNumberFormat="1">
      <alignment vertical="bottom"/>
    </xf>
    <xf borderId="0" fillId="11" fontId="7" numFmtId="0" xfId="0" applyAlignment="1" applyFont="1">
      <alignment shrinkToFit="0" vertical="center" wrapText="0"/>
    </xf>
    <xf borderId="6" fillId="14" fontId="15" numFmtId="0" xfId="0" applyAlignment="1" applyBorder="1" applyFont="1">
      <alignment horizontal="center" vertical="bottom"/>
    </xf>
    <xf borderId="3" fillId="14" fontId="15" numFmtId="0" xfId="0" applyAlignment="1" applyBorder="1" applyFont="1">
      <alignment horizontal="center" vertical="bottom"/>
    </xf>
    <xf borderId="1" fillId="14" fontId="15" numFmtId="0" xfId="0" applyAlignment="1" applyBorder="1" applyFont="1">
      <alignment horizontal="center" vertical="bottom"/>
    </xf>
    <xf borderId="15" fillId="0" fontId="52" numFmtId="0" xfId="0" applyAlignment="1" applyBorder="1" applyFont="1">
      <alignment horizontal="center" vertical="bottom"/>
    </xf>
    <xf borderId="14" fillId="0" fontId="52" numFmtId="171" xfId="0" applyAlignment="1" applyBorder="1" applyFont="1" applyNumberFormat="1">
      <alignment horizontal="center" vertical="bottom"/>
    </xf>
    <xf borderId="13" fillId="0" fontId="52" numFmtId="168" xfId="0" applyAlignment="1" applyBorder="1" applyFont="1" applyNumberFormat="1">
      <alignment horizontal="right" vertical="bottom"/>
    </xf>
    <xf borderId="14" fillId="0" fontId="52" numFmtId="168" xfId="0" applyAlignment="1" applyBorder="1" applyFont="1" applyNumberFormat="1">
      <alignment horizontal="right" vertical="bottom"/>
    </xf>
    <xf borderId="0" fillId="0" fontId="32" numFmtId="164" xfId="0" applyAlignment="1" applyFont="1" applyNumberFormat="1">
      <alignment readingOrder="0" shrinkToFit="0" vertical="center" wrapText="0"/>
    </xf>
    <xf borderId="17" fillId="0" fontId="3" numFmtId="165" xfId="0" applyAlignment="1" applyBorder="1" applyFont="1" applyNumberFormat="1">
      <alignment horizontal="left" vertical="bottom"/>
    </xf>
    <xf borderId="17" fillId="13" fontId="6" numFmtId="0" xfId="0" applyAlignment="1" applyBorder="1" applyFont="1">
      <alignment horizontal="center" shrinkToFit="0" vertical="center" wrapText="0"/>
    </xf>
    <xf borderId="17" fillId="11" fontId="3" numFmtId="165" xfId="0" applyAlignment="1" applyBorder="1" applyFont="1" applyNumberFormat="1">
      <alignment horizontal="right" readingOrder="0" vertical="bottom"/>
    </xf>
    <xf borderId="15" fillId="19" fontId="52" numFmtId="0" xfId="0" applyAlignment="1" applyBorder="1" applyFill="1" applyFont="1">
      <alignment horizontal="center" vertical="bottom"/>
    </xf>
    <xf borderId="14" fillId="19" fontId="52" numFmtId="171" xfId="0" applyAlignment="1" applyBorder="1" applyFont="1" applyNumberFormat="1">
      <alignment horizontal="center" vertical="bottom"/>
    </xf>
    <xf borderId="17" fillId="19" fontId="3" numFmtId="165" xfId="0" applyAlignment="1" applyBorder="1" applyFont="1" applyNumberFormat="1">
      <alignment horizontal="center" vertical="bottom"/>
    </xf>
    <xf borderId="13" fillId="19" fontId="52" numFmtId="168" xfId="0" applyAlignment="1" applyBorder="1" applyFont="1" applyNumberFormat="1">
      <alignment horizontal="right" vertical="bottom"/>
    </xf>
    <xf borderId="14" fillId="19" fontId="52" numFmtId="168" xfId="0" applyAlignment="1" applyBorder="1" applyFont="1" applyNumberFormat="1">
      <alignment horizontal="right" vertical="bottom"/>
    </xf>
    <xf borderId="17" fillId="19" fontId="3" numFmtId="165" xfId="0" applyAlignment="1" applyBorder="1" applyFont="1" applyNumberFormat="1">
      <alignment horizontal="left" vertical="bottom"/>
    </xf>
    <xf borderId="14" fillId="0" fontId="52" numFmtId="172" xfId="0" applyAlignment="1" applyBorder="1" applyFont="1" applyNumberFormat="1">
      <alignment horizontal="center" vertical="bottom"/>
    </xf>
    <xf borderId="0" fillId="0" fontId="7" numFmtId="9" xfId="0" applyAlignment="1" applyFont="1" applyNumberFormat="1">
      <alignment readingOrder="0" shrinkToFit="0" vertical="center" wrapText="0"/>
    </xf>
    <xf borderId="17" fillId="0" fontId="47" numFmtId="165" xfId="0" applyAlignment="1" applyBorder="1" applyFont="1" applyNumberFormat="1">
      <alignment horizontal="center" vertical="bottom"/>
    </xf>
    <xf borderId="17" fillId="11" fontId="6" numFmtId="0" xfId="0" applyAlignment="1" applyBorder="1" applyFont="1">
      <alignment readingOrder="0" shrinkToFit="0" vertical="center" wrapText="0"/>
    </xf>
    <xf borderId="17" fillId="3" fontId="3" numFmtId="0" xfId="0" applyAlignment="1" applyBorder="1" applyFont="1">
      <alignment vertical="bottom"/>
    </xf>
    <xf borderId="15" fillId="0" fontId="53" numFmtId="0" xfId="0" applyAlignment="1" applyBorder="1" applyFont="1">
      <alignment horizontal="center" vertical="bottom"/>
    </xf>
    <xf borderId="13" fillId="0" fontId="53" numFmtId="171" xfId="0" applyAlignment="1" applyBorder="1" applyFont="1" applyNumberFormat="1">
      <alignment horizontal="center" vertical="bottom"/>
    </xf>
    <xf borderId="17" fillId="0" fontId="54" numFmtId="165" xfId="0" applyAlignment="1" applyBorder="1" applyFont="1" applyNumberFormat="1">
      <alignment horizontal="center" vertical="bottom"/>
    </xf>
    <xf borderId="13" fillId="0" fontId="53" numFmtId="168" xfId="0" applyAlignment="1" applyBorder="1" applyFont="1" applyNumberFormat="1">
      <alignment horizontal="right" vertical="bottom"/>
    </xf>
    <xf borderId="14" fillId="0" fontId="53" numFmtId="168" xfId="0" applyAlignment="1" applyBorder="1" applyFont="1" applyNumberFormat="1">
      <alignment horizontal="right" vertical="bottom"/>
    </xf>
    <xf borderId="17" fillId="0" fontId="54" numFmtId="165" xfId="0" applyAlignment="1" applyBorder="1" applyFont="1" applyNumberFormat="1">
      <alignment horizontal="center" readingOrder="0" vertical="bottom"/>
    </xf>
    <xf borderId="17" fillId="0" fontId="54" numFmtId="165" xfId="0" applyAlignment="1" applyBorder="1" applyFont="1" applyNumberFormat="1">
      <alignment horizontal="left" vertical="bottom"/>
    </xf>
    <xf borderId="10" fillId="0" fontId="55" numFmtId="0" xfId="0" applyAlignment="1" applyBorder="1" applyFont="1">
      <alignment horizontal="center" vertical="bottom"/>
    </xf>
    <xf borderId="0" fillId="0" fontId="55" numFmtId="171" xfId="0" applyAlignment="1" applyFont="1" applyNumberFormat="1">
      <alignment horizontal="center" readingOrder="0" vertical="bottom"/>
    </xf>
    <xf borderId="0" fillId="11" fontId="7" numFmtId="0" xfId="0" applyAlignment="1" applyFont="1">
      <alignment shrinkToFit="0" vertical="center" wrapText="0"/>
    </xf>
    <xf borderId="13" fillId="0" fontId="55" numFmtId="168" xfId="0" applyAlignment="1" applyBorder="1" applyFont="1" applyNumberFormat="1">
      <alignment horizontal="right" vertical="bottom"/>
    </xf>
    <xf borderId="14" fillId="0" fontId="55" numFmtId="168" xfId="0" applyAlignment="1" applyBorder="1" applyFont="1" applyNumberFormat="1">
      <alignment horizontal="right" vertical="bottom"/>
    </xf>
    <xf borderId="17" fillId="0" fontId="48" numFmtId="165" xfId="0" applyAlignment="1" applyBorder="1" applyFont="1" applyNumberFormat="1">
      <alignment horizontal="center" readingOrder="0" vertical="bottom"/>
    </xf>
    <xf borderId="10" fillId="0" fontId="55" numFmtId="0" xfId="0" applyAlignment="1" applyBorder="1" applyFont="1">
      <alignment readingOrder="0" vertical="bottom"/>
    </xf>
    <xf borderId="3" fillId="17" fontId="56" numFmtId="0" xfId="0" applyAlignment="1" applyBorder="1" applyFont="1">
      <alignment horizontal="center" vertical="bottom"/>
    </xf>
    <xf borderId="13" fillId="17" fontId="56" numFmtId="165" xfId="0" applyAlignment="1" applyBorder="1" applyFont="1" applyNumberFormat="1">
      <alignment horizontal="right" vertical="bottom"/>
    </xf>
    <xf borderId="14" fillId="17" fontId="3" numFmtId="0" xfId="0" applyAlignment="1" applyBorder="1" applyFont="1">
      <alignment vertical="bottom"/>
    </xf>
    <xf borderId="17" fillId="17" fontId="56" numFmtId="9" xfId="0" applyAlignment="1" applyBorder="1" applyFont="1" applyNumberFormat="1">
      <alignment horizontal="right" vertical="bottom"/>
    </xf>
    <xf borderId="4" fillId="17" fontId="3" numFmtId="168" xfId="0" applyAlignment="1" applyBorder="1" applyFont="1" applyNumberFormat="1">
      <alignment vertical="bottom"/>
    </xf>
    <xf borderId="4" fillId="17" fontId="56" numFmtId="165" xfId="0" applyAlignment="1" applyBorder="1" applyFont="1" applyNumberFormat="1">
      <alignment horizontal="right" vertical="bottom"/>
    </xf>
    <xf borderId="17" fillId="17" fontId="56" numFmtId="10" xfId="0" applyAlignment="1" applyBorder="1" applyFont="1" applyNumberFormat="1">
      <alignment horizontal="right" vertical="bottom"/>
    </xf>
    <xf borderId="0" fillId="11" fontId="26" numFmtId="3" xfId="0" applyAlignment="1" applyFont="1" applyNumberFormat="1">
      <alignment shrinkToFit="0" vertical="center" wrapText="0"/>
    </xf>
    <xf borderId="15" fillId="0" fontId="56" numFmtId="0" xfId="0" applyAlignment="1" applyBorder="1" applyFont="1">
      <alignment horizontal="center" vertical="bottom"/>
    </xf>
    <xf borderId="14" fillId="0" fontId="56" numFmtId="171" xfId="0" applyAlignment="1" applyBorder="1" applyFont="1" applyNumberFormat="1">
      <alignment horizontal="center" vertical="bottom"/>
    </xf>
    <xf borderId="13" fillId="0" fontId="52" numFmtId="9" xfId="0" applyAlignment="1" applyBorder="1" applyFont="1" applyNumberFormat="1">
      <alignment horizontal="right" vertical="bottom"/>
    </xf>
    <xf borderId="15" fillId="0" fontId="52" numFmtId="0" xfId="0" applyAlignment="1" applyBorder="1" applyFont="1">
      <alignment vertical="bottom"/>
    </xf>
    <xf borderId="0" fillId="11" fontId="26" numFmtId="164" xfId="0" applyAlignment="1" applyFont="1" applyNumberFormat="1">
      <alignment shrinkToFit="0" vertical="center" wrapText="0"/>
    </xf>
    <xf borderId="17" fillId="12" fontId="3" numFmtId="165" xfId="0" applyAlignment="1" applyBorder="1" applyFont="1" applyNumberFormat="1">
      <alignment horizontal="right" vertical="bottom"/>
    </xf>
    <xf borderId="14" fillId="0" fontId="56" numFmtId="171" xfId="0" applyAlignment="1" applyBorder="1" applyFont="1" applyNumberFormat="1">
      <alignment horizontal="center" readingOrder="0" vertical="bottom"/>
    </xf>
    <xf borderId="0" fillId="3" fontId="16" numFmtId="3" xfId="0" applyAlignment="1" applyFont="1" applyNumberFormat="1">
      <alignment horizontal="right" vertical="bottom"/>
    </xf>
    <xf borderId="17" fillId="17" fontId="56" numFmtId="3" xfId="0" applyAlignment="1" applyBorder="1" applyFont="1" applyNumberFormat="1">
      <alignment horizontal="right" vertical="bottom"/>
    </xf>
    <xf borderId="4" fillId="17" fontId="3" numFmtId="0" xfId="0" applyAlignment="1" applyBorder="1" applyFont="1">
      <alignment vertical="bottom"/>
    </xf>
    <xf borderId="17" fillId="0" fontId="56" numFmtId="0" xfId="0" applyAlignment="1" applyBorder="1" applyFont="1">
      <alignment horizontal="center" vertical="bottom"/>
    </xf>
    <xf borderId="3" fillId="0" fontId="56" numFmtId="171" xfId="0" applyAlignment="1" applyBorder="1" applyFont="1" applyNumberFormat="1">
      <alignment horizontal="center" vertical="bottom"/>
    </xf>
    <xf borderId="4" fillId="0" fontId="52" numFmtId="168" xfId="0" applyAlignment="1" applyBorder="1" applyFont="1" applyNumberFormat="1">
      <alignment horizontal="right" vertical="bottom"/>
    </xf>
    <xf borderId="4" fillId="0" fontId="3" numFmtId="0" xfId="0" applyAlignment="1" applyBorder="1" applyFont="1">
      <alignment vertical="bottom"/>
    </xf>
    <xf borderId="12" fillId="0" fontId="56" numFmtId="171" xfId="0" applyAlignment="1" applyBorder="1" applyFont="1" applyNumberFormat="1">
      <alignment horizontal="center" vertical="bottom"/>
    </xf>
    <xf borderId="15" fillId="0" fontId="57" numFmtId="0" xfId="0" applyAlignment="1" applyBorder="1" applyFont="1">
      <alignment horizontal="center" vertical="bottom"/>
    </xf>
    <xf borderId="12" fillId="0" fontId="57" numFmtId="171" xfId="0" applyAlignment="1" applyBorder="1" applyFont="1" applyNumberFormat="1">
      <alignment horizontal="center" readingOrder="0" vertical="bottom"/>
    </xf>
    <xf borderId="13" fillId="0" fontId="55" numFmtId="165" xfId="0" applyAlignment="1" applyBorder="1" applyFont="1" applyNumberFormat="1">
      <alignment horizontal="right" vertical="bottom"/>
    </xf>
    <xf borderId="13" fillId="0" fontId="55" numFmtId="9" xfId="0" applyAlignment="1" applyBorder="1" applyFont="1" applyNumberFormat="1">
      <alignment horizontal="right" vertical="bottom"/>
    </xf>
    <xf borderId="14" fillId="0" fontId="48" numFmtId="0" xfId="0" applyAlignment="1" applyBorder="1" applyFont="1">
      <alignment vertical="bottom"/>
    </xf>
    <xf borderId="17" fillId="0" fontId="48" numFmtId="0" xfId="0" applyAlignment="1" applyBorder="1" applyFont="1">
      <alignment vertical="bottom"/>
    </xf>
    <xf borderId="17" fillId="0" fontId="3" numFmtId="165" xfId="0" applyAlignment="1" applyBorder="1" applyFont="1" applyNumberFormat="1">
      <alignment readingOrder="0" vertical="bottom"/>
    </xf>
    <xf borderId="0" fillId="11" fontId="58" numFmtId="164" xfId="0" applyAlignment="1" applyFont="1" applyNumberFormat="1">
      <alignment shrinkToFit="0" vertical="center" wrapText="0"/>
    </xf>
    <xf borderId="17" fillId="0" fontId="3" numFmtId="169" xfId="0" applyAlignment="1" applyBorder="1" applyFont="1" applyNumberFormat="1">
      <alignment vertical="bottom"/>
    </xf>
    <xf borderId="17" fillId="12" fontId="3" numFmtId="165" xfId="0" applyAlignment="1" applyBorder="1" applyFont="1" applyNumberFormat="1">
      <alignment vertical="bottom"/>
    </xf>
    <xf borderId="17" fillId="0" fontId="3" numFmtId="0" xfId="0" applyAlignment="1" applyBorder="1" applyFont="1">
      <alignment horizontal="center" vertical="bottom"/>
    </xf>
    <xf borderId="17" fillId="0" fontId="3" numFmtId="169" xfId="0" applyAlignment="1" applyBorder="1" applyFont="1" applyNumberFormat="1">
      <alignment horizontal="center" vertical="bottom"/>
    </xf>
    <xf borderId="0" fillId="11" fontId="58" numFmtId="165" xfId="0" applyAlignment="1" applyFont="1" applyNumberFormat="1">
      <alignment shrinkToFit="0" vertical="center" wrapText="0"/>
    </xf>
    <xf borderId="0" fillId="11" fontId="59" numFmtId="164" xfId="0" applyAlignment="1" applyFont="1" applyNumberFormat="1">
      <alignment horizontal="right" shrinkToFit="0" vertical="center" wrapText="0"/>
    </xf>
    <xf borderId="0" fillId="11" fontId="60" numFmtId="3" xfId="0" applyAlignment="1" applyFont="1" applyNumberFormat="1">
      <alignment shrinkToFit="0" vertical="center" wrapText="0"/>
    </xf>
    <xf borderId="0" fillId="11" fontId="61" numFmtId="165" xfId="0" applyAlignment="1" applyFont="1" applyNumberFormat="1">
      <alignment horizontal="right" shrinkToFit="0" vertical="center" wrapText="0"/>
    </xf>
    <xf borderId="0" fillId="11" fontId="60" numFmtId="165" xfId="0" applyAlignment="1" applyFont="1" applyNumberFormat="1">
      <alignment shrinkToFit="0" vertical="center" wrapText="0"/>
    </xf>
    <xf borderId="0" fillId="0" fontId="7" numFmtId="165" xfId="0" applyAlignment="1" applyFont="1" applyNumberFormat="1">
      <alignment readingOrder="0"/>
    </xf>
    <xf borderId="0" fillId="0" fontId="7" numFmtId="166" xfId="0" applyAlignment="1" applyFont="1" applyNumberFormat="1">
      <alignment horizontal="center" readingOrder="0"/>
    </xf>
    <xf borderId="0" fillId="11" fontId="60" numFmtId="165" xfId="0" applyAlignment="1" applyFont="1" applyNumberFormat="1">
      <alignment horizontal="right" shrinkToFit="0" vertical="center" wrapText="0"/>
    </xf>
    <xf borderId="17" fillId="3" fontId="3" numFmtId="0" xfId="0" applyAlignment="1" applyBorder="1" applyFont="1">
      <alignment horizontal="center" vertical="bottom"/>
    </xf>
    <xf borderId="17" fillId="3" fontId="3" numFmtId="169" xfId="0" applyAlignment="1" applyBorder="1" applyFont="1" applyNumberFormat="1">
      <alignment horizontal="center" vertical="bottom"/>
    </xf>
    <xf borderId="17" fillId="3" fontId="3" numFmtId="165" xfId="0" applyAlignment="1" applyBorder="1" applyFont="1" applyNumberFormat="1">
      <alignment horizontal="center" vertical="bottom"/>
    </xf>
    <xf borderId="0" fillId="11" fontId="60" numFmtId="164" xfId="0" applyAlignment="1" applyFont="1" applyNumberFormat="1">
      <alignment shrinkToFit="0" vertical="center" wrapText="0"/>
    </xf>
    <xf borderId="17" fillId="3" fontId="3" numFmtId="169" xfId="0" applyAlignment="1" applyBorder="1" applyFont="1" applyNumberFormat="1">
      <alignment vertical="bottom"/>
    </xf>
    <xf borderId="0" fillId="11" fontId="60" numFmtId="3" xfId="0" applyAlignment="1" applyFont="1" applyNumberFormat="1">
      <alignment horizontal="right" shrinkToFit="0" vertical="center" wrapText="0"/>
    </xf>
    <xf borderId="0" fillId="0" fontId="3" numFmtId="165" xfId="0" applyAlignment="1" applyFont="1" applyNumberFormat="1">
      <alignment horizontal="right" vertical="bottom"/>
    </xf>
    <xf borderId="0" fillId="0" fontId="9" numFmtId="165" xfId="0" applyAlignment="1" applyFont="1" applyNumberFormat="1">
      <alignment readingOrder="0"/>
    </xf>
    <xf borderId="0" fillId="11" fontId="60" numFmtId="164" xfId="0" applyAlignment="1" applyFont="1" applyNumberFormat="1">
      <alignment shrinkToFit="0" vertical="center" wrapText="0"/>
    </xf>
    <xf borderId="0" fillId="11" fontId="25" numFmtId="164" xfId="0" applyAlignment="1" applyFont="1" applyNumberFormat="1">
      <alignment shrinkToFit="0" vertical="center" wrapText="0"/>
    </xf>
    <xf borderId="0" fillId="0" fontId="7" numFmtId="10" xfId="0" applyAlignment="1" applyFont="1" applyNumberFormat="1">
      <alignment readingOrder="0"/>
    </xf>
    <xf borderId="17" fillId="20" fontId="3" numFmtId="165" xfId="0" applyAlignment="1" applyBorder="1" applyFill="1" applyFont="1" applyNumberFormat="1">
      <alignment horizontal="center" vertical="bottom"/>
    </xf>
    <xf borderId="0" fillId="0" fontId="9" numFmtId="0" xfId="0" applyAlignment="1" applyFont="1">
      <alignment readingOrder="0"/>
    </xf>
    <xf borderId="17" fillId="3" fontId="48" numFmtId="165" xfId="0" applyAlignment="1" applyBorder="1" applyFont="1" applyNumberFormat="1">
      <alignment horizontal="center" vertical="bottom"/>
    </xf>
    <xf borderId="0" fillId="21" fontId="7" numFmtId="0" xfId="0" applyAlignment="1" applyFill="1" applyFont="1">
      <alignment readingOrder="0"/>
    </xf>
    <xf borderId="0" fillId="21" fontId="7" numFmtId="165" xfId="0" applyFont="1" applyNumberFormat="1"/>
    <xf borderId="0" fillId="0" fontId="6" numFmtId="0" xfId="0" applyFont="1"/>
    <xf borderId="0" fillId="11" fontId="62" numFmtId="164" xfId="0" applyAlignment="1" applyFont="1" applyNumberFormat="1">
      <alignment readingOrder="0" shrinkToFit="0" vertical="center" wrapText="0"/>
    </xf>
    <xf borderId="0" fillId="3" fontId="3" numFmtId="0" xfId="0" applyAlignment="1" applyFont="1">
      <alignment horizontal="center" vertical="bottom"/>
    </xf>
    <xf borderId="0" fillId="14" fontId="15" numFmtId="0" xfId="0" applyAlignment="1" applyFont="1">
      <alignment horizontal="center" vertical="bottom"/>
    </xf>
    <xf borderId="17" fillId="3" fontId="63" numFmtId="0" xfId="0" applyAlignment="1" applyBorder="1" applyFont="1">
      <alignment shrinkToFit="0" wrapText="0"/>
    </xf>
    <xf borderId="0" fillId="0" fontId="3" numFmtId="0" xfId="0" applyAlignment="1" applyFont="1">
      <alignment horizontal="right" vertical="bottom"/>
    </xf>
    <xf borderId="0" fillId="0" fontId="3" numFmtId="9" xfId="0" applyAlignment="1" applyFont="1" applyNumberFormat="1">
      <alignment horizontal="right" vertical="bottom"/>
    </xf>
    <xf borderId="0" fillId="4" fontId="3" numFmtId="0" xfId="0" applyAlignment="1" applyFont="1">
      <alignment horizontal="right" vertical="bottom"/>
    </xf>
    <xf borderId="0" fillId="3" fontId="54" numFmtId="0" xfId="0" applyAlignment="1" applyFont="1">
      <alignment readingOrder="0" shrinkToFit="0" vertical="bottom" wrapText="0"/>
    </xf>
    <xf borderId="0" fillId="3" fontId="54" numFmtId="0" xfId="0" applyAlignment="1" applyFont="1">
      <alignment horizontal="right" readingOrder="0" shrinkToFit="0" vertical="bottom" wrapText="0"/>
    </xf>
    <xf borderId="0" fillId="3" fontId="54" numFmtId="0" xfId="0" applyAlignment="1" applyFont="1">
      <alignment horizontal="center" readingOrder="0" shrinkToFit="0" vertical="bottom" wrapText="0"/>
    </xf>
    <xf borderId="0" fillId="3" fontId="54" numFmtId="0" xfId="0" applyAlignment="1" applyFont="1">
      <alignment shrinkToFit="0" vertical="bottom" wrapText="0"/>
    </xf>
    <xf borderId="17" fillId="10" fontId="6" numFmtId="0" xfId="0" applyAlignment="1" applyBorder="1" applyFont="1">
      <alignment shrinkToFit="0" wrapText="0"/>
    </xf>
    <xf borderId="0" fillId="19" fontId="3" numFmtId="0" xfId="0" applyAlignment="1" applyFont="1">
      <alignment horizontal="right" vertical="bottom"/>
    </xf>
    <xf borderId="0" fillId="11" fontId="28" numFmtId="164" xfId="0" applyAlignment="1" applyFont="1" applyNumberFormat="1">
      <alignment horizontal="right" shrinkToFit="0" vertical="center" wrapText="0"/>
    </xf>
    <xf borderId="17" fillId="3" fontId="6" numFmtId="0" xfId="0" applyAlignment="1" applyBorder="1" applyFont="1">
      <alignment shrinkToFit="0" wrapText="0"/>
    </xf>
    <xf borderId="0" fillId="6" fontId="3" numFmtId="0" xfId="0" applyAlignment="1" applyFont="1">
      <alignment horizontal="right" vertical="bottom"/>
    </xf>
    <xf borderId="0" fillId="10" fontId="6" numFmtId="0" xfId="0" applyAlignment="1" applyFont="1">
      <alignment shrinkToFit="0" wrapText="0"/>
    </xf>
    <xf borderId="0" fillId="3" fontId="6" numFmtId="0" xfId="0" applyAlignment="1" applyFont="1">
      <alignment shrinkToFit="0" wrapText="0"/>
    </xf>
    <xf borderId="0" fillId="10" fontId="49" numFmtId="0" xfId="0" applyAlignment="1" applyFont="1">
      <alignment shrinkToFit="0" wrapText="0"/>
    </xf>
    <xf borderId="0" fillId="3" fontId="64" numFmtId="0" xfId="0" applyAlignment="1" applyFont="1">
      <alignment shrinkToFit="0" wrapText="0"/>
    </xf>
    <xf borderId="0" fillId="0" fontId="3" numFmtId="0" xfId="0" applyAlignment="1" applyFont="1">
      <alignment readingOrder="0" shrinkToFit="0" vertical="bottom" wrapText="0"/>
    </xf>
    <xf borderId="0" fillId="0" fontId="65" numFmtId="0" xfId="0" applyAlignment="1" applyFont="1">
      <alignment readingOrder="0" shrinkToFit="0" vertical="bottom" wrapText="0"/>
    </xf>
    <xf borderId="0" fillId="0" fontId="1" numFmtId="165" xfId="0" applyAlignment="1" applyFont="1" applyNumberFormat="1">
      <alignment horizontal="right" vertical="bottom"/>
    </xf>
    <xf borderId="0" fillId="10" fontId="6" numFmtId="0" xfId="0" applyAlignment="1" applyFont="1">
      <alignment readingOrder="0" shrinkToFit="0" wrapText="0"/>
    </xf>
    <xf borderId="0" fillId="10" fontId="3" numFmtId="0" xfId="0" applyFont="1"/>
    <xf borderId="0" fillId="3" fontId="3" numFmtId="0" xfId="0" applyFont="1"/>
    <xf borderId="0" fillId="3" fontId="54" numFmtId="0" xfId="0" applyAlignment="1" applyFont="1">
      <alignment horizontal="right" readingOrder="0" vertical="bottom"/>
    </xf>
    <xf borderId="0" fillId="3" fontId="54" numFmtId="0" xfId="0" applyAlignment="1" applyFont="1">
      <alignment horizontal="center" readingOrder="0" vertical="bottom"/>
    </xf>
    <xf borderId="0" fillId="3" fontId="54" numFmtId="0" xfId="0" applyAlignment="1" applyFont="1">
      <alignment readingOrder="0" vertical="bottom"/>
    </xf>
    <xf borderId="0" fillId="3" fontId="66" numFmtId="0" xfId="0" applyAlignment="1" applyFont="1">
      <alignment shrinkToFit="0" wrapText="1"/>
    </xf>
    <xf borderId="0" fillId="10" fontId="66" numFmtId="0" xfId="0" applyAlignment="1" applyFont="1">
      <alignment shrinkToFit="0" wrapText="1"/>
    </xf>
    <xf borderId="0" fillId="11" fontId="28" numFmtId="165" xfId="0" applyAlignment="1" applyFont="1" applyNumberFormat="1">
      <alignment shrinkToFit="0" vertical="center" wrapText="0"/>
    </xf>
    <xf borderId="0" fillId="12" fontId="54" numFmtId="0" xfId="0" applyAlignment="1" applyFont="1">
      <alignment readingOrder="0" shrinkToFit="0" vertical="bottom" wrapText="0"/>
    </xf>
    <xf borderId="0" fillId="0" fontId="67" numFmtId="165" xfId="0" applyAlignment="1" applyFont="1" applyNumberFormat="1">
      <alignment readingOrder="0" shrinkToFit="0" vertical="center" wrapText="0"/>
    </xf>
    <xf borderId="0" fillId="0" fontId="13" numFmtId="0" xfId="0" applyAlignment="1" applyFont="1">
      <alignment horizontal="center" vertical="bottom"/>
    </xf>
    <xf borderId="0" fillId="0" fontId="66" numFmtId="0" xfId="0" applyAlignment="1" applyFont="1">
      <alignment horizontal="right" vertical="bottom"/>
    </xf>
    <xf borderId="0" fillId="0" fontId="66" numFmtId="0" xfId="0" applyAlignment="1" applyFont="1">
      <alignment horizontal="center" vertical="bottom"/>
    </xf>
    <xf borderId="0" fillId="10" fontId="3" numFmtId="0" xfId="0" applyAlignment="1" applyFont="1">
      <alignment vertical="bottom"/>
    </xf>
    <xf borderId="0" fillId="3" fontId="68" numFmtId="0" xfId="0" applyAlignment="1" applyFont="1">
      <alignment horizontal="center" readingOrder="0" shrinkToFit="0" vertical="bottom" wrapText="0"/>
    </xf>
    <xf borderId="0" fillId="0" fontId="7" numFmtId="0" xfId="0" applyAlignment="1" applyFont="1">
      <alignment readingOrder="0" shrinkToFit="0" vertical="center" wrapText="0"/>
    </xf>
    <xf borderId="0" fillId="11" fontId="69" numFmtId="0" xfId="0" applyAlignment="1" applyFont="1">
      <alignment readingOrder="0" shrinkToFit="0" vertical="center" wrapText="0"/>
    </xf>
    <xf borderId="0" fillId="11" fontId="69" numFmtId="165" xfId="0" applyAlignment="1" applyFont="1" applyNumberFormat="1">
      <alignment readingOrder="0" shrinkToFit="0" vertical="center" wrapText="0"/>
    </xf>
    <xf borderId="0" fillId="11" fontId="69" numFmtId="165" xfId="0" applyAlignment="1" applyFont="1" applyNumberFormat="1">
      <alignment shrinkToFit="0" vertical="center" wrapText="0"/>
    </xf>
    <xf borderId="0" fillId="11" fontId="69" numFmtId="165" xfId="0" applyAlignment="1" applyFont="1" applyNumberFormat="1">
      <alignment shrinkToFit="0" vertical="center" wrapText="0"/>
    </xf>
    <xf borderId="0" fillId="11" fontId="70" numFmtId="164" xfId="0" applyAlignment="1" applyFont="1" applyNumberFormat="1">
      <alignment shrinkToFit="0" vertical="center" wrapText="0"/>
    </xf>
    <xf borderId="0" fillId="11" fontId="70" numFmtId="165" xfId="0" applyAlignment="1" applyFont="1" applyNumberFormat="1">
      <alignment shrinkToFit="0" vertical="center" wrapText="0"/>
    </xf>
    <xf borderId="0" fillId="11" fontId="71" numFmtId="164" xfId="0" applyAlignment="1" applyFont="1" applyNumberFormat="1">
      <alignment horizontal="right" shrinkToFit="0" vertical="center" wrapText="0"/>
    </xf>
    <xf borderId="0" fillId="11" fontId="70" numFmtId="165" xfId="0" applyAlignment="1" applyFont="1" applyNumberFormat="1">
      <alignment horizontal="right" shrinkToFit="0" vertical="center" wrapText="0"/>
    </xf>
    <xf borderId="0" fillId="11" fontId="69" numFmtId="164" xfId="0" applyAlignment="1" applyFont="1" applyNumberFormat="1">
      <alignment shrinkToFit="0" vertical="center" wrapText="0"/>
    </xf>
    <xf borderId="0" fillId="11" fontId="0" numFmtId="3" xfId="0" applyAlignment="1" applyFont="1" applyNumberFormat="1">
      <alignment shrinkToFit="0" vertical="center" wrapText="0"/>
    </xf>
    <xf borderId="0" fillId="11" fontId="70" numFmtId="165" xfId="0" applyAlignment="1" applyFont="1" applyNumberFormat="1">
      <alignment readingOrder="0" shrinkToFit="0" vertical="center" wrapText="0"/>
    </xf>
    <xf borderId="0" fillId="11" fontId="27" numFmtId="165" xfId="0" applyAlignment="1" applyFont="1" applyNumberFormat="1">
      <alignment horizontal="right" readingOrder="0" shrinkToFit="0" vertical="center" wrapText="0"/>
    </xf>
    <xf borderId="0" fillId="11" fontId="28" numFmtId="164" xfId="0" applyAlignment="1" applyFont="1" applyNumberFormat="1">
      <alignment readingOrder="0" shrinkToFit="0" vertical="center" wrapText="0"/>
    </xf>
    <xf borderId="0" fillId="11" fontId="26" numFmtId="0" xfId="0" applyAlignment="1" applyFont="1">
      <alignment shrinkToFit="0" vertical="center" wrapText="0"/>
    </xf>
    <xf borderId="0" fillId="11" fontId="72" numFmtId="164" xfId="0" applyAlignment="1" applyFont="1" applyNumberFormat="1">
      <alignment readingOrder="0" shrinkToFit="0" vertical="center" wrapText="0"/>
    </xf>
    <xf borderId="0" fillId="11" fontId="72" numFmtId="164" xfId="0" applyAlignment="1" applyFont="1" applyNumberFormat="1">
      <alignment shrinkToFit="0" vertical="center" wrapText="0"/>
    </xf>
    <xf borderId="0" fillId="11" fontId="72" numFmtId="165" xfId="0" applyAlignment="1" applyFont="1" applyNumberFormat="1">
      <alignment shrinkToFit="0" vertical="center" wrapText="0"/>
    </xf>
    <xf borderId="0" fillId="11" fontId="69" numFmtId="0" xfId="0" applyAlignment="1" applyFont="1">
      <alignment shrinkToFit="0" vertical="center" wrapText="0"/>
    </xf>
    <xf borderId="0" fillId="11" fontId="73" numFmtId="165" xfId="0" applyAlignment="1" applyFont="1" applyNumberFormat="1">
      <alignment shrinkToFit="0" vertical="center" wrapText="0"/>
    </xf>
    <xf borderId="0" fillId="11" fontId="26" numFmtId="0" xfId="0" applyAlignment="1" applyFont="1">
      <alignment readingOrder="0" shrinkToFit="0" vertical="center" wrapText="0"/>
    </xf>
    <xf borderId="0" fillId="11" fontId="69" numFmtId="165" xfId="0" applyAlignment="1" applyFont="1" applyNumberFormat="1">
      <alignment readingOrder="0" shrinkToFit="0" vertical="center" wrapText="0"/>
    </xf>
    <xf borderId="0" fillId="11" fontId="69" numFmtId="0" xfId="0" applyAlignment="1" applyFont="1">
      <alignment shrinkToFit="0" vertical="center" wrapText="0"/>
    </xf>
    <xf borderId="0" fillId="11" fontId="69" numFmtId="0" xfId="0" applyAlignment="1" applyFont="1">
      <alignment readingOrder="0" shrinkToFit="0" vertical="center" wrapText="0"/>
    </xf>
    <xf borderId="0" fillId="11" fontId="7" numFmtId="0" xfId="0" applyFont="1"/>
    <xf borderId="0" fillId="0" fontId="7" numFmtId="49" xfId="0" applyFont="1" applyNumberFormat="1"/>
    <xf borderId="0" fillId="0" fontId="7" numFmtId="0" xfId="0" applyFont="1"/>
    <xf borderId="0" fillId="0" fontId="7" numFmtId="0" xfId="0" applyAlignment="1" applyFont="1">
      <alignment horizontal="left"/>
    </xf>
    <xf borderId="0" fillId="0" fontId="7" numFmtId="173" xfId="0" applyFont="1" applyNumberFormat="1"/>
    <xf borderId="0" fillId="0" fontId="7" numFmtId="3" xfId="0" applyFont="1" applyNumberFormat="1"/>
    <xf borderId="0" fillId="0" fontId="74" numFmtId="0" xfId="0" applyFont="1"/>
    <xf borderId="0" fillId="3" fontId="75" numFmtId="0" xfId="0" applyAlignment="1" applyFont="1">
      <alignment readingOrder="0" shrinkToFit="0" vertical="center" wrapText="0"/>
    </xf>
    <xf borderId="0" fillId="3" fontId="75" numFmtId="165" xfId="0" applyAlignment="1" applyFont="1" applyNumberFormat="1">
      <alignment readingOrder="0" shrinkToFit="0" vertical="center" wrapText="0"/>
    </xf>
    <xf borderId="0" fillId="3" fontId="76" numFmtId="0" xfId="0" applyAlignment="1" applyFont="1">
      <alignment readingOrder="0" shrinkToFit="0" vertical="center" wrapText="0"/>
    </xf>
    <xf borderId="0" fillId="3" fontId="76" numFmtId="165" xfId="0" applyAlignment="1" applyFont="1" applyNumberFormat="1">
      <alignment readingOrder="0" shrinkToFit="0" vertical="center" wrapText="0"/>
    </xf>
  </cellXfs>
  <cellStyles count="1">
    <cellStyle xfId="0" name="Normal" builtinId="0"/>
  </cellStyles>
  <dxfs count="10">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4A568D"/>
          <bgColor rgb="FF4A568D"/>
        </patternFill>
      </fill>
      <border/>
    </dxf>
    <dxf>
      <font>
        <color rgb="FF006100"/>
      </font>
      <fill>
        <patternFill patternType="solid">
          <fgColor rgb="FFC6EFCE"/>
          <bgColor rgb="FFC6EFCE"/>
        </patternFill>
      </fill>
      <border/>
    </dxf>
    <dxf>
      <font>
        <color rgb="FF9C0006"/>
      </font>
      <fill>
        <patternFill patternType="solid">
          <fgColor rgb="FFFFC7CE"/>
          <bgColor rgb="FFFFC7CE"/>
        </patternFill>
      </fill>
      <border/>
    </dxf>
    <dxf>
      <font>
        <color rgb="FF006100"/>
      </font>
      <fill>
        <patternFill patternType="solid">
          <fgColor rgb="FFFFE598"/>
          <bgColor rgb="FFFFE598"/>
        </patternFill>
      </fill>
      <border/>
    </dxf>
    <dxf>
      <font/>
      <fill>
        <patternFill patternType="solid">
          <fgColor rgb="FFB7E1CD"/>
          <bgColor rgb="FFB7E1CD"/>
        </patternFill>
      </fill>
      <border/>
    </dxf>
  </dxfs>
  <tableStyles count="7">
    <tableStyle count="4" pivot="0" name="Proyección-style">
      <tableStyleElement dxfId="1" type="headerRow"/>
      <tableStyleElement dxfId="2" type="firstRowStripe"/>
      <tableStyleElement dxfId="3" type="secondRowStripe"/>
      <tableStyleElement dxfId="4" size="0" type="wholeTable"/>
    </tableStyle>
    <tableStyle count="4" pivot="0" name="Ppto 2026-style">
      <tableStyleElement dxfId="1" type="headerRow"/>
      <tableStyleElement dxfId="2" type="firstRowStripe"/>
      <tableStyleElement dxfId="3" type="secondRowStripe"/>
      <tableStyleElement dxfId="4" size="0" type="wholeTable"/>
    </tableStyle>
    <tableStyle count="4" pivot="0" name="Ppto 2026-style 2">
      <tableStyleElement dxfId="1" type="headerRow"/>
      <tableStyleElement dxfId="2" type="firstRowStripe"/>
      <tableStyleElement dxfId="3" type="secondRowStripe"/>
      <tableStyleElement dxfId="4" size="0" type="wholeTable"/>
    </tableStyle>
    <tableStyle count="4" pivot="0" name="Ppto 2026-style 3">
      <tableStyleElement dxfId="1" type="headerRow"/>
      <tableStyleElement dxfId="2" type="firstRowStripe"/>
      <tableStyleElement dxfId="3" type="secondRowStripe"/>
      <tableStyleElement dxfId="4" size="0" type="wholeTable"/>
    </tableStyle>
    <tableStyle count="2" pivot="0" name="Ppto 2026-style 4">
      <tableStyleElement dxfId="3" type="firstRowStripe"/>
      <tableStyleElement dxfId="2" type="secondRowStripe"/>
    </tableStyle>
    <tableStyle count="4" pivot="0" name="Resumen-style">
      <tableStyleElement dxfId="1" type="headerRow"/>
      <tableStyleElement dxfId="2" type="firstRowStripe"/>
      <tableStyleElement dxfId="3" type="secondRowStripe"/>
      <tableStyleElement dxfId="4" size="0" type="wholeTable"/>
    </tableStyle>
    <tableStyle count="4" pivot="0" name="Base de datoas ≤ 2025-style">
      <tableStyleElement dxfId="5"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microsoft.com/office/2007/relationships/slicerCache" Target="slicerCaches/slicerCache2.xml"/><Relationship Id="rId14" Type="http://schemas.microsoft.com/office/2007/relationships/slicerCache" Target="slicerCaches/slicerCache1.xml"/><Relationship Id="rId17" Type="http://schemas.microsoft.com/office/2007/relationships/slicerCache" Target="slicerCaches/slicerCache4.xml"/><Relationship Id="rId16" Type="http://schemas.microsoft.com/office/2007/relationships/slicerCache" Target="slicerCaches/slicerCache3.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Ppto , ppto doc. y Saldo </a:t>
            </a:r>
          </a:p>
        </c:rich>
      </c:tx>
      <c:overlay val="0"/>
    </c:title>
    <c:plotArea>
      <c:layout/>
      <c:barChart>
        <c:barDir val="bar"/>
        <c:ser>
          <c:idx val="0"/>
          <c:order val="0"/>
          <c:tx>
            <c:strRef>
              <c:f>Resumen!$B$1</c:f>
            </c:strRef>
          </c:tx>
          <c:spPr>
            <a:solidFill>
              <a:schemeClr val="accent1"/>
            </a:solidFill>
            <a:ln cmpd="sng">
              <a:noFill/>
            </a:ln>
          </c:spPr>
          <c:cat>
            <c:strRef>
              <c:f>Resumen!$A$2:$A$6</c:f>
            </c:strRef>
          </c:cat>
          <c:val>
            <c:numRef>
              <c:f>Resumen!$B$2:$B$6</c:f>
              <c:numCache/>
            </c:numRef>
          </c:val>
        </c:ser>
        <c:ser>
          <c:idx val="1"/>
          <c:order val="1"/>
          <c:tx>
            <c:strRef>
              <c:f>Resumen!$C$1</c:f>
            </c:strRef>
          </c:tx>
          <c:spPr>
            <a:solidFill>
              <a:schemeClr val="accent2"/>
            </a:solidFill>
            <a:ln cmpd="sng">
              <a:noFill/>
            </a:ln>
          </c:spPr>
          <c:cat>
            <c:strRef>
              <c:f>Resumen!$A$2:$A$6</c:f>
            </c:strRef>
          </c:cat>
          <c:val>
            <c:numRef>
              <c:f>Resumen!$C$2:$C$6</c:f>
              <c:numCache/>
            </c:numRef>
          </c:val>
        </c:ser>
        <c:ser>
          <c:idx val="2"/>
          <c:order val="2"/>
          <c:tx>
            <c:strRef>
              <c:f>Resumen!$D$1</c:f>
            </c:strRef>
          </c:tx>
          <c:spPr>
            <a:solidFill>
              <a:schemeClr val="accent3"/>
            </a:solidFill>
            <a:ln cmpd="sng">
              <a:noFill/>
            </a:ln>
          </c:spPr>
          <c:cat>
            <c:strRef>
              <c:f>Resumen!$A$2:$A$6</c:f>
            </c:strRef>
          </c:cat>
          <c:val>
            <c:numRef>
              <c:f>Resumen!$D$2:$D$6</c:f>
              <c:numCache/>
            </c:numRef>
          </c:val>
        </c:ser>
        <c:ser>
          <c:idx val="3"/>
          <c:order val="3"/>
          <c:tx>
            <c:strRef>
              <c:f>Resumen!$E$1</c:f>
            </c:strRef>
          </c:tx>
          <c:spPr>
            <a:solidFill>
              <a:schemeClr val="accent4"/>
            </a:solidFill>
            <a:ln cmpd="sng">
              <a:noFill/>
            </a:ln>
          </c:spPr>
          <c:cat>
            <c:strRef>
              <c:f>Resumen!$A$2:$A$6</c:f>
            </c:strRef>
          </c:cat>
          <c:val>
            <c:numRef>
              <c:f>Resumen!$E$2:$E$6</c:f>
              <c:numCache/>
            </c:numRef>
          </c:val>
        </c:ser>
        <c:axId val="1556566833"/>
        <c:axId val="837020044"/>
      </c:barChart>
      <c:catAx>
        <c:axId val="155656683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CC</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37020044"/>
      </c:catAx>
      <c:valAx>
        <c:axId val="83702004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56566833"/>
        <c:crosses val="max"/>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Task id="{6d2fd39c-3145-499d-9831-d82acf7eac50}">
    <Anchor>
      <Comment id="{27e9083e-9e00-4035-8a13-64f6a1edc9f0}"/>
    </Anchor>
    <History>
      <Event time="2025-11-11T11:57:45.00" id="{ad9706e8-55c7-49c8-a05a-346dd7974ddd}">
        <Attribution userId="placeholder@email.com" userName="ANSELME GRANDON FELIPE ENRIQUE" userProvider="google-sheets"/>
        <Anchor>
          <Comment id="{27e9083e-9e00-4035-8a13-64f6a1edc9f0}"/>
        </Anchor>
        <Create/>
      </Event>
      <Event time="2025-11-11T11:57:45.00" id="{6ebaa96b-88e1-4344-9904-184b181a5645}">
        <Attribution userId="placeholder@email.com" userName="ANSELME GRANDON FELIPE ENRIQUE" userProvider="google-sheets"/>
        <Anchor>
          <Comment id="{27e9083e-9e00-4035-8a13-64f6a1edc9f0}"/>
        </Anchor>
        <Assign userId="dsilva@uct.cl" userName="dsilva@uct.cl" userProvider="google-sheets"/>
      </Event>
    </History>
  </Task>
</Tasks>
</file>

<file path=xl/documenttasks/documenttask2.xml><?xml version="1.0" encoding="utf-8"?>
<Tasks xmlns="http://schemas.microsoft.com/office/tasks/2019/documenttasks">
  <Task id="{51e0ddc9-e807-4a6b-af85-98003042840a}">
    <Anchor>
      <Comment id="{3e167ece-1681-47c6-b9ff-9143ac0a6401}"/>
    </Anchor>
    <History>
      <Event time="2026-04-17T15:27:17.00" id="{74968ca1-e79c-4700-aae7-b23d801af185}">
        <Attribution userId="placeholder@email.com" userName="ANSELME GRANDON FELIPE ENRIQUE" userProvider="google-sheets"/>
        <Anchor>
          <Comment id="{3e167ece-1681-47c6-b9ff-9143ac0a6401}"/>
        </Anchor>
        <Create/>
      </Event>
      <Event time="2026-04-17T15:27:17.00" id="{e79cbd8d-8a2e-4bce-bd82-80420be0c399}">
        <Attribution userId="placeholder@email.com" userName="ANSELME GRANDON FELIPE ENRIQUE" userProvider="google-sheets"/>
        <Anchor>
          <Comment id="{3e167ece-1681-47c6-b9ff-9143ac0a6401}"/>
        </Anchor>
        <Assign userId="ccorrea@uct.cl" userName="ccorrea@uct.cl" userProvider="google-sheets"/>
      </Event>
    </History>
  </Task>
  <Task id="{94f20abe-1896-4a3a-a3ed-359b9ead288f}">
    <Anchor>
      <Comment id="{59d13b3c-3fc6-40d3-ac59-3b24f9c20327}"/>
    </Anchor>
    <History>
      <Event time="2026-04-17T21:34:35.00" id="{1b7672e8-f9ff-43fa-ac49-1b8a901be9d1}">
        <Attribution userId="placeholder@email.com" userName="ANSELME GRANDON FELIPE ENRIQUE" userProvider="google-sheets"/>
        <Anchor>
          <Comment id="{59d13b3c-3fc6-40d3-ac59-3b24f9c20327}"/>
        </Anchor>
        <Create/>
      </Event>
      <Event time="2026-04-17T21:34:35.00" id="{3f7f390d-8cfe-4ad4-a6cd-1ee672c87f5c}">
        <Attribution userId="placeholder@email.com" userName="ANSELME GRANDON FELIPE ENRIQUE" userProvider="google-sheets"/>
        <Anchor>
          <Comment id="{59d13b3c-3fc6-40d3-ac59-3b24f9c20327}"/>
        </Anchor>
        <Assign userId="ccorrea@uct.cl" userName="ccorrea@uct.cl" userProvider="google-sheets"/>
      </Event>
    </History>
  </Task>
</Tasks>
</file>

<file path=xl/documenttasks/documenttask3.xml><?xml version="1.0" encoding="utf-8"?>
<Tasks xmlns="http://schemas.microsoft.com/office/tasks/2019/documenttasks">
  <Task id="{cfcbd85b-30c7-4dc0-b691-507c8b89174f}">
    <Anchor>
      <Comment id="{4731aa3f-03d7-45dc-9890-0ab23bb6e53b}"/>
    </Anchor>
    <History>
      <Event time="2025-11-12T11:53:28.00" id="{7647fe55-9939-4d25-af6a-1dd1ba090814}">
        <Attribution userId="placeholder@email.com" userName="ANSELME GRANDON FELIPE ENRIQUE" userProvider="google-sheets"/>
        <Anchor>
          <Comment id="{4731aa3f-03d7-45dc-9890-0ab23bb6e53b}"/>
        </Anchor>
        <Create/>
      </Event>
      <Event time="2025-11-12T11:53:28.00" id="{002baeca-c21f-4bcf-b246-b068930542f2}">
        <Attribution userId="placeholder@email.com" userName="ANSELME GRANDON FELIPE ENRIQUE" userProvider="google-sheets"/>
        <Anchor>
          <Comment id="{4731aa3f-03d7-45dc-9890-0ab23bb6e53b}"/>
        </Anchor>
        <Assign userId="mzurita@uct.cl" userName="mzurita@uct.cl" userProvider="google-sheets"/>
      </Event>
    </History>
  </Task>
  <Task id="{9bf08070-d447-45cf-a5e9-2607fc1be7c1}">
    <Anchor>
      <Comment id="{200aa0c3-2b5e-4cb4-a5a8-46aef055159d}"/>
    </Anchor>
    <History>
      <Event time="2025-11-12T12:08:20.00" id="{9d73c24c-2cfb-46a0-849e-f7fd4206406e}">
        <Attribution userId="placeholder@email.com" userName="ANSELME GRANDON FELIPE ENRIQUE" userProvider="google-sheets"/>
        <Anchor>
          <Comment id="{200aa0c3-2b5e-4cb4-a5a8-46aef055159d}"/>
        </Anchor>
        <Create/>
      </Event>
      <Event time="2025-11-12T12:08:20.00" id="{0e467bf8-50ed-4b8c-a322-657ce5f748de}">
        <Attribution userId="placeholder@email.com" userName="ANSELME GRANDON FELIPE ENRIQUE" userProvider="google-sheets"/>
        <Anchor>
          <Comment id="{200aa0c3-2b5e-4cb4-a5a8-46aef055159d}"/>
        </Anchor>
        <Assign userId="mzurita@uct.cl" userName="mzurita@uct.cl" userProvider="google-sheets"/>
      </Event>
    </History>
  </Task>
  <Task id="{1b6b64ca-bb7c-44c3-9b28-a705a86d5362}">
    <Anchor>
      <Comment id="{0f8a74bc-080c-479d-8478-4e77ca66e50a}"/>
    </Anchor>
    <History>
      <Event time="2025-11-12T11:38:38.00" id="{a46876b0-3b07-44ab-b7fc-06ef440b212f}">
        <Attribution userId="placeholder@email.com" userName="ANSELME GRANDON FELIPE ENRIQUE" userProvider="google-sheets"/>
        <Anchor>
          <Comment id="{0f8a74bc-080c-479d-8478-4e77ca66e50a}"/>
        </Anchor>
        <Create/>
      </Event>
      <Event time="2025-11-12T11:38:38.00" id="{cbedbe62-ae92-4b52-b629-c8aa3f12e261}">
        <Attribution userId="placeholder@email.com" userName="ANSELME GRANDON FELIPE ENRIQUE" userProvider="google-sheets"/>
        <Anchor>
          <Comment id="{0f8a74bc-080c-479d-8478-4e77ca66e50a}"/>
        </Anchor>
        <Assign userId="jsolisdeovando@uct.cl" userName="jsolisdeovando@uct.cl" userProvider="google-sheets"/>
      </Event>
    </History>
  </Task>
  <Task id="{0d5d87df-5a77-46b7-8d34-e07670abe345}">
    <Anchor>
      <Comment id="{69a57c2b-69b3-442e-878d-4739648820e2}"/>
    </Anchor>
    <History>
      <Event time="2025-11-12T11:38:15.00" id="{ab1b9ed4-89cd-439a-a24b-7fe565e61619}">
        <Attribution userId="placeholder@email.com" userName="ANSELME GRANDON FELIPE ENRIQUE" userProvider="google-sheets"/>
        <Anchor>
          <Comment id="{69a57c2b-69b3-442e-878d-4739648820e2}"/>
        </Anchor>
        <Create/>
      </Event>
      <Event time="2025-11-12T11:38:15.00" id="{47e7d98d-7888-46ca-95c9-d4828115d353}">
        <Attribution userId="placeholder@email.com" userName="ANSELME GRANDON FELIPE ENRIQUE" userProvider="google-sheets"/>
        <Anchor>
          <Comment id="{69a57c2b-69b3-442e-878d-4739648820e2}"/>
        </Anchor>
        <Assign userId="lrios@uct.cl" userName="lrios@uct.cl" userProvider="google-sheets"/>
      </Event>
    </History>
  </Task>
  <Task id="{da0fc5f4-e175-4975-893f-02d1c9a0ef63}">
    <Anchor>
      <Comment id="{58ef2a4f-f94f-4502-bff1-ef6ed5ed00c5}"/>
    </Anchor>
    <History>
      <Event time="2025-11-12T11:46:44.00" id="{acb27ae1-f5a6-4367-aea7-74422975cd0b}">
        <Attribution userId="placeholder@email.com" userName="ANSELME GRANDON FELIPE ENRIQUE" userProvider="google-sheets"/>
        <Anchor>
          <Comment id="{58ef2a4f-f94f-4502-bff1-ef6ed5ed00c5}"/>
        </Anchor>
        <Create/>
      </Event>
      <Event time="2025-11-12T11:46:44.00" id="{7013e7ac-e6ef-41a1-926a-642cb6ac8c84}">
        <Attribution userId="placeholder@email.com" userName="ANSELME GRANDON FELIPE ENRIQUE" userProvider="google-sheets"/>
        <Anchor>
          <Comment id="{58ef2a4f-f94f-4502-bff1-ef6ed5ed00c5}"/>
        </Anchor>
        <Assign userId="jsolisdeovando@uct.cl" userName="jsolisdeovando@uct.cl" userProvider="google-sheets"/>
      </Event>
    </History>
  </Task>
  <Task id="{785a4a7f-8307-4f3d-be5d-643f45fb6efb}">
    <Anchor>
      <Comment id="{6eb3df57-711c-4572-bc4f-5581bfd34fa7}"/>
    </Anchor>
    <History>
      <Event time="2025-11-12T11:45:49.00" id="{649290e2-85f4-4b84-94c0-9798ed286db5}">
        <Attribution userId="placeholder@email.com" userName="ANSELME GRANDON FELIPE ENRIQUE" userProvider="google-sheets"/>
        <Anchor>
          <Comment id="{6eb3df57-711c-4572-bc4f-5581bfd34fa7}"/>
        </Anchor>
        <Create/>
      </Event>
      <Event time="2025-11-12T11:45:49.00" id="{e3799721-352c-49c8-8285-83ab0df69531}">
        <Attribution userId="placeholder@email.com" userName="ANSELME GRANDON FELIPE ENRIQUE" userProvider="google-sheets"/>
        <Anchor>
          <Comment id="{6eb3df57-711c-4572-bc4f-5581bfd34fa7}"/>
        </Anchor>
        <Assign userId="jsolisdeovando@uct.cl" userName="jsolisdeovando@uct.cl" userProvider="google-sheets"/>
      </Event>
    </History>
  </Task>
  <Task id="{c8c6d681-b631-4cd5-bf71-d6c2c2529ba0}">
    <Anchor>
      <Comment id="{59ad2133-7192-4d2d-b044-058c068511a8}"/>
    </Anchor>
    <History>
      <Event time="2025-11-12T12:08:57.00" id="{5e3ff3d6-21d1-4a87-a4c3-e226d08ba25e}">
        <Attribution userId="placeholder@email.com" userName="ANSELME GRANDON FELIPE ENRIQUE" userProvider="google-sheets"/>
        <Anchor>
          <Comment id="{59ad2133-7192-4d2d-b044-058c068511a8}"/>
        </Anchor>
        <Create/>
      </Event>
      <Event time="2025-11-12T12:08:57.00" id="{3d46157d-e3bb-4790-9945-237535a6407d}">
        <Attribution userId="placeholder@email.com" userName="ANSELME GRANDON FELIPE ENRIQUE" userProvider="google-sheets"/>
        <Anchor>
          <Comment id="{59ad2133-7192-4d2d-b044-058c068511a8}"/>
        </Anchor>
        <Assign userId="mzurita@uct.cl" userName="mzurita@uct.cl" userProvider="google-sheets"/>
      </Event>
    </History>
  </Task>
  <Task id="{c25fbf66-e075-4bdd-818a-91991f7b49a6}">
    <Anchor>
      <Comment id="{d871cfad-7456-4ab6-8036-5a97402c2dde}"/>
    </Anchor>
    <History>
      <Event time="2025-11-13T13:53:44.00" id="{ff4e9b00-abe3-4f34-b71e-2eb918d47ee0}">
        <Attribution userId="placeholder@email.com" userName="ANSELME GRANDON FELIPE ENRIQUE" userProvider="google-sheets"/>
        <Anchor>
          <Comment id="{d871cfad-7456-4ab6-8036-5a97402c2dde}"/>
        </Anchor>
        <Create/>
      </Event>
      <Event time="2025-11-13T13:53:44.00" id="{bbe86d89-5759-497d-82f9-ee38c57be01c}">
        <Attribution userId="placeholder@email.com" userName="ANSELME GRANDON FELIPE ENRIQUE" userProvider="google-sheets"/>
        <Anchor>
          <Comment id="{d871cfad-7456-4ab6-8036-5a97402c2dde}"/>
        </Anchor>
        <Assign userId="mzurita@uct.cl" userName="mzurita@uct.cl" userProvider="google-sheets"/>
      </Event>
    </History>
  </Task>
  <Task id="{8f12a29b-8e5e-4a88-96ff-2cd4c19c5880}">
    <Anchor>
      <Comment id="{3cb68320-5f2e-479e-8a10-380f4815627f}"/>
    </Anchor>
    <History>
      <Event time="2025-11-12T12:08:44.00" id="{c54e48fa-4a30-4c4c-ad8a-7e5586eaa8de}">
        <Attribution userId="placeholder@email.com" userName="ANSELME GRANDON FELIPE ENRIQUE" userProvider="google-sheets"/>
        <Anchor>
          <Comment id="{3cb68320-5f2e-479e-8a10-380f4815627f}"/>
        </Anchor>
        <Create/>
      </Event>
      <Event time="2025-11-12T12:08:44.00" id="{2070966b-db3c-447e-abe9-47674449add0}">
        <Attribution userId="placeholder@email.com" userName="ANSELME GRANDON FELIPE ENRIQUE" userProvider="google-sheets"/>
        <Anchor>
          <Comment id="{3cb68320-5f2e-479e-8a10-380f4815627f}"/>
        </Anchor>
        <Assign userId="mzurita@uct.cl" userName="mzurita@uct.cl" userProvider="google-sheets"/>
      </Event>
    </History>
  </Task>
  <Task id="{061a0a1a-ab16-45ff-b46a-e61f32914325}">
    <Anchor>
      <Comment id="{202660fd-c94d-4fbd-a652-7022e2108cc0}"/>
    </Anchor>
    <History>
      <Event time="2025-11-12T11:48:31.00" id="{18a288d7-2716-480e-aceb-858451ee02c2}">
        <Attribution userId="placeholder@email.com" userName="ANSELME GRANDON FELIPE ENRIQUE" userProvider="google-sheets"/>
        <Anchor>
          <Comment id="{202660fd-c94d-4fbd-a652-7022e2108cc0}"/>
        </Anchor>
        <Create/>
      </Event>
      <Event time="2025-11-12T11:48:31.00" id="{e07c305e-509f-4c33-8291-b41b72496e5b}">
        <Attribution userId="placeholder@email.com" userName="ANSELME GRANDON FELIPE ENRIQUE" userProvider="google-sheets"/>
        <Anchor>
          <Comment id="{202660fd-c94d-4fbd-a652-7022e2108cc0}"/>
        </Anchor>
        <Assign userId="jsolisdeovando@uct.cl" userName="jsolisdeovando@uct.cl" userProvider="google-sheets"/>
      </Event>
    </History>
  </Task>
  <Task id="{8107ff27-b038-4ca8-ba9f-f8288ae8272b}">
    <Anchor>
      <Comment id="{b9646792-6045-4ff3-86c2-c577bd1c0c20}"/>
    </Anchor>
    <History>
      <Event time="2025-11-12T11:47:55.00" id="{b659103b-6789-4a7a-970c-a374a715d16a}">
        <Attribution userId="placeholder@email.com" userName="ANSELME GRANDON FELIPE ENRIQUE" userProvider="google-sheets"/>
        <Anchor>
          <Comment id="{b9646792-6045-4ff3-86c2-c577bd1c0c20}"/>
        </Anchor>
        <Create/>
      </Event>
      <Event time="2025-11-12T11:47:55.00" id="{001a2646-725c-4ec7-9537-cc6a356f1ab3}">
        <Attribution userId="placeholder@email.com" userName="ANSELME GRANDON FELIPE ENRIQUE" userProvider="google-sheets"/>
        <Anchor>
          <Comment id="{b9646792-6045-4ff3-86c2-c577bd1c0c20}"/>
        </Anchor>
        <Assign userId="ccorrea@uct.cl" userName="ccorrea@uct.cl" userProvider="google-sheets"/>
      </Event>
    </History>
  </Task>
  <Task id="{bb299226-3c19-4c19-95ed-5ddedc100f22}">
    <Anchor>
      <Comment id="{bd24edec-0ed1-4ab4-a287-fc6a1e8d5fa6}"/>
    </Anchor>
    <History>
      <Event time="2025-11-12T11:50:32.00" id="{f864acd3-8431-4518-954c-93d848ffee71}">
        <Attribution userId="placeholder@email.com" userName="ANSELME GRANDON FELIPE ENRIQUE" userProvider="google-sheets"/>
        <Anchor>
          <Comment id="{bd24edec-0ed1-4ab4-a287-fc6a1e8d5fa6}"/>
        </Anchor>
        <Create/>
      </Event>
      <Event time="2025-11-12T11:50:32.00" id="{691add30-66ed-403a-91de-526db4eaee25}">
        <Attribution userId="placeholder@email.com" userName="ANSELME GRANDON FELIPE ENRIQUE" userProvider="google-sheets"/>
        <Anchor>
          <Comment id="{bd24edec-0ed1-4ab4-a287-fc6a1e8d5fa6}"/>
        </Anchor>
        <Assign userId="dsilva@uct.cl" userName="dsilva@uct.cl" userProvider="google-sheets"/>
      </Event>
    </History>
  </Task>
  <Task id="{f10d37a2-c5ac-44c0-a185-97546bbfe187}">
    <Anchor>
      <Comment id="{2bcf633c-b172-4edb-9d8d-eb2acac61343}"/>
    </Anchor>
    <History>
      <Event time="2025-11-12T11:49:21.00" id="{363c8c0a-268b-4b09-a5a9-e1b4894fa6f8}">
        <Attribution userId="placeholder@email.com" userName="ANSELME GRANDON FELIPE ENRIQUE" userProvider="google-sheets"/>
        <Anchor>
          <Comment id="{2bcf633c-b172-4edb-9d8d-eb2acac61343}"/>
        </Anchor>
        <Create/>
      </Event>
      <Event time="2025-11-12T11:49:21.00" id="{9baf713b-48f1-49a0-9888-89f9407f744f}">
        <Attribution userId="placeholder@email.com" userName="ANSELME GRANDON FELIPE ENRIQUE" userProvider="google-sheets"/>
        <Anchor>
          <Comment id="{2bcf633c-b172-4edb-9d8d-eb2acac61343}"/>
        </Anchor>
        <Assign userId="dsilva@uct.cl" userName="dsilva@uct.cl" userProvider="google-sheets"/>
      </Event>
    </History>
  </Task>
  <Task id="{b1d2e3f4-0bfa-406e-8b21-64c2aa0332d8}">
    <Anchor>
      <Comment id="{28683950-3447-406e-a0a4-edb025294cbf}"/>
    </Anchor>
    <History>
      <Event time="2025-11-12T11:54:28.00" id="{d47fe143-c63b-4c4c-8cdc-aebb2daa73c7}">
        <Attribution userId="placeholder@email.com" userName="ANSELME GRANDON FELIPE ENRIQUE" userProvider="google-sheets"/>
        <Anchor>
          <Comment id="{28683950-3447-406e-a0a4-edb025294cbf}"/>
        </Anchor>
        <Create/>
      </Event>
      <Event time="2025-11-12T11:54:28.00" id="{e3f63763-b4a0-475f-a671-e0daf922b393}">
        <Attribution userId="placeholder@email.com" userName="ANSELME GRANDON FELIPE ENRIQUE" userProvider="google-sheets"/>
        <Anchor>
          <Comment id="{28683950-3447-406e-a0a4-edb025294cbf}"/>
        </Anchor>
        <Assign userId="lrios@uct.cl" userName="lrios@uct.cl" userProvider="google-sheets"/>
      </Event>
    </History>
  </Task>
  <Task id="{a5b1e0e6-5e3b-4643-8fb1-5c059a343fad}">
    <Anchor>
      <Comment id="{1c04bd73-ef7f-434c-a198-96d4d305961f}"/>
    </Anchor>
    <History>
      <Event time="2025-11-12T11:54:05.00" id="{f7af78c3-fdb5-471c-9704-09cdcfd70fa2}">
        <Attribution userId="placeholder@email.com" userName="ANSELME GRANDON FELIPE ENRIQUE" userProvider="google-sheets"/>
        <Anchor>
          <Comment id="{1c04bd73-ef7f-434c-a198-96d4d305961f}"/>
        </Anchor>
        <Create/>
      </Event>
      <Event time="2025-11-12T11:54:05.00" id="{b8a6afea-6a18-433a-9139-a3c16623a22e}">
        <Attribution userId="placeholder@email.com" userName="ANSELME GRANDON FELIPE ENRIQUE" userProvider="google-sheets"/>
        <Anchor>
          <Comment id="{1c04bd73-ef7f-434c-a198-96d4d305961f}"/>
        </Anchor>
        <Assign userId="mzurita@uct.cl" userName="mzurita@uct.cl" userProvider="google-sheets"/>
      </Event>
    </History>
  </Task>
  <Task id="{e1a708d2-269f-4403-89a1-a70056be2d6d}">
    <Anchor>
      <Comment id="{8e698f69-6ce0-41a9-b8f1-b2c71ad1ca80}"/>
    </Anchor>
    <History>
      <Event time="2025-11-12T12:08:32.00" id="{81e3deed-de27-44ef-a9ad-720015ec7421}">
        <Attribution userId="placeholder@email.com" userName="ANSELME GRANDON FELIPE ENRIQUE" userProvider="google-sheets"/>
        <Anchor>
          <Comment id="{8e698f69-6ce0-41a9-b8f1-b2c71ad1ca80}"/>
        </Anchor>
        <Create/>
      </Event>
      <Event time="2025-11-12T12:08:32.00" id="{4c362ba5-39d8-4f61-a1ef-ff77abf81298}">
        <Attribution userId="placeholder@email.com" userName="ANSELME GRANDON FELIPE ENRIQUE" userProvider="google-sheets"/>
        <Anchor>
          <Comment id="{8e698f69-6ce0-41a9-b8f1-b2c71ad1ca80}"/>
        </Anchor>
        <Assign userId="mzurita@uct.cl" userName="mzurita@uct.cl" userProvider="google-sheets"/>
      </Event>
    </History>
  </Task>
  <Task id="{50535dc1-1b24-44a8-b964-e0f2853692ce}">
    <Anchor>
      <Comment id="{f432e14a-d9f1-4322-af94-104be0ca9feb}"/>
    </Anchor>
    <History>
      <Event time="2025-11-12T12:08:27.00" id="{6050539c-d6ee-494a-8253-58470a025804}">
        <Attribution userId="placeholder@email.com" userName="ANSELME GRANDON FELIPE ENRIQUE" userProvider="google-sheets"/>
        <Anchor>
          <Comment id="{f432e14a-d9f1-4322-af94-104be0ca9feb}"/>
        </Anchor>
        <Create/>
      </Event>
      <Event time="2025-11-12T12:08:27.00" id="{3071ddf0-0dd4-4451-be7b-3b70dedd5690}">
        <Attribution userId="placeholder@email.com" userName="ANSELME GRANDON FELIPE ENRIQUE" userProvider="google-sheets"/>
        <Anchor>
          <Comment id="{f432e14a-d9f1-4322-af94-104be0ca9feb}"/>
        </Anchor>
        <Assign userId="mzurita@uct.cl" userName="mzurita@uct.cl" userProvider="google-sheets"/>
      </Event>
    </History>
  </Task>
  <Task id="{a146f1d2-6045-4992-88a3-e64208818a62}">
    <Anchor>
      <Comment id="{03a6bab5-f2cf-405e-9588-b32ec25c072b}"/>
    </Anchor>
    <History>
      <Event time="2025-11-12T12:08:38.00" id="{e8cd2220-66b7-4706-8ff0-dade10fa59e3}">
        <Attribution userId="placeholder@email.com" userName="ANSELME GRANDON FELIPE ENRIQUE" userProvider="google-sheets"/>
        <Anchor>
          <Comment id="{03a6bab5-f2cf-405e-9588-b32ec25c072b}"/>
        </Anchor>
        <Create/>
      </Event>
      <Event time="2025-11-12T12:08:38.00" id="{ffb37e69-fb73-4e99-9e89-d5f995e50130}">
        <Attribution userId="placeholder@email.com" userName="ANSELME GRANDON FELIPE ENRIQUE" userProvider="google-sheets"/>
        <Anchor>
          <Comment id="{03a6bab5-f2cf-405e-9588-b32ec25c072b}"/>
        </Anchor>
        <Assign userId="mzurita@uct.cl" userName="mzurita@uct.cl" userProvider="google-sheets"/>
      </Event>
    </History>
  </Task>
  <Task id="{6574a84a-1e59-4a6f-b965-792f1277ff71}">
    <Anchor>
      <Comment id="{2d338a56-b612-46d6-a942-7e4ae3fc5b8e}"/>
    </Anchor>
    <History>
      <Event time="2025-11-12T11:44:51.00" id="{f2f0a4d8-b606-4870-ad70-8ccce5d8c636}">
        <Attribution userId="placeholder@email.com" userName="ANSELME GRANDON FELIPE ENRIQUE" userProvider="google-sheets"/>
        <Anchor>
          <Comment id="{2d338a56-b612-46d6-a942-7e4ae3fc5b8e}"/>
        </Anchor>
        <Create/>
      </Event>
      <Event time="2025-11-12T11:44:51.00" id="{4e9843ba-689c-463b-993d-37749275473a}">
        <Attribution userId="placeholder@email.com" userName="ANSELME GRANDON FELIPE ENRIQUE" userProvider="google-sheets"/>
        <Anchor>
          <Comment id="{2d338a56-b612-46d6-a942-7e4ae3fc5b8e}"/>
        </Anchor>
        <Assign userId="jsolisdeovando@uct.cl" userName="jsolisdeovando@uct.cl" userProvider="google-sheets"/>
      </Event>
    </History>
  </Task>
  <Task id="{2be815bc-f22b-4b4a-bff1-e1fb29bef512}">
    <Anchor>
      <Comment id="{b317e789-c7d9-471e-b02d-e185cb94639c}"/>
    </Anchor>
    <History>
      <Event time="2025-11-12T11:55:36.00" id="{0a36fa58-468c-4bc9-8c5f-c0adc059e311}">
        <Attribution userId="placeholder@email.com" userName="ANSELME GRANDON FELIPE ENRIQUE" userProvider="google-sheets"/>
        <Anchor>
          <Comment id="{b317e789-c7d9-471e-b02d-e185cb94639c}"/>
        </Anchor>
        <Create/>
      </Event>
      <Event time="2025-11-12T11:55:36.00" id="{459540e4-fd4b-4655-8562-f640398cd336}">
        <Attribution userId="placeholder@email.com" userName="ANSELME GRANDON FELIPE ENRIQUE" userProvider="google-sheets"/>
        <Anchor>
          <Comment id="{b317e789-c7d9-471e-b02d-e185cb94639c}"/>
        </Anchor>
        <Assign userId="ccorrea@uct.cl" userName="ccorrea@uct.cl" userProvider="google-sheets"/>
      </Event>
    </History>
  </Task>
  <Task id="{563d835c-cb26-4a3d-884a-d2725bab31c0}">
    <Anchor>
      <Comment id="{ae720dde-d3aa-4247-9378-190999db0a63}"/>
    </Anchor>
    <History>
      <Event time="2025-11-12T11:43:33.00" id="{ca440e04-637c-4ba8-955a-5cd441257f26}">
        <Attribution userId="placeholder@email.com" userName="ANSELME GRANDON FELIPE ENRIQUE" userProvider="google-sheets"/>
        <Anchor>
          <Comment id="{ae720dde-d3aa-4247-9378-190999db0a63}"/>
        </Anchor>
        <Create/>
      </Event>
      <Event time="2025-11-12T11:43:33.00" id="{b393f3de-b17a-4ed5-94b0-fef70e09abe9}">
        <Attribution userId="placeholder@email.com" userName="ANSELME GRANDON FELIPE ENRIQUE" userProvider="google-sheets"/>
        <Anchor>
          <Comment id="{ae720dde-d3aa-4247-9378-190999db0a63}"/>
        </Anchor>
        <Assign userId="jsolisdeovando@uct.cl" userName="jsolisdeovando@uct.cl" userProvider="google-sheets"/>
      </Event>
    </History>
  </Task>
  <Task id="{ed895335-b31f-4779-a3f3-1d73dcb2205b}">
    <Anchor>
      <Comment id="{f148740c-177d-484e-93c9-a1e704dea399}"/>
    </Anchor>
    <History>
      <Event time="2025-11-12T11:41:27.00" id="{81725948-84ef-483b-9be1-d19f488de50a}">
        <Attribution userId="placeholder@email.com" userName="ANSELME GRANDON FELIPE ENRIQUE" userProvider="google-sheets"/>
        <Anchor>
          <Comment id="{f148740c-177d-484e-93c9-a1e704dea399}"/>
        </Anchor>
        <Create/>
      </Event>
      <Event time="2025-11-12T11:41:27.00" id="{03929f6c-b3e0-4ced-a38e-1bd3fbaac6c1}">
        <Attribution userId="placeholder@email.com" userName="ANSELME GRANDON FELIPE ENRIQUE" userProvider="google-sheets"/>
        <Anchor>
          <Comment id="{f148740c-177d-484e-93c9-a1e704dea399}"/>
        </Anchor>
        <Assign userId="jsolisdeovando@uct.cl" userName="jsolisdeovando@uct.cl" userProvider="google-sheets"/>
      </Event>
    </History>
  </Task>
  <Task id="{56f17fcb-ed5c-4fc5-a70b-d3c3ca2a638e}">
    <Anchor>
      <Comment id="{0bb18298-3880-4e74-bf0b-c1a0c6a649ff}"/>
    </Anchor>
    <History>
      <Event time="2026-01-05T19:33:01.00" id="{28af69d9-c5dc-4ec2-aa5a-56d4a7685b1b}">
        <Attribution userId="placeholder@email.com" userName="ANSELME GRANDON FELIPE ENRIQUE" userProvider="google-sheets"/>
        <Anchor>
          <Comment id="{0bb18298-3880-4e74-bf0b-c1a0c6a649ff}"/>
        </Anchor>
        <Create/>
      </Event>
      <Event time="2026-01-05T19:33:01.00" id="{2a15e672-c189-4803-a101-c289d8ae43c5}">
        <Attribution userId="placeholder@email.com" userName="ANSELME GRANDON FELIPE ENRIQUE" userProvider="google-sheets"/>
        <Anchor>
          <Comment id="{0bb18298-3880-4e74-bf0b-c1a0c6a649ff}"/>
        </Anchor>
        <Assign userId="icisternas@uct.cl" userName="icisternas@uct.cl" userProvider="google-sheets"/>
      </Event>
    </History>
  </Task>
  <Task id="{f9f6e8ff-199b-439a-8879-f9dad48598f7}">
    <Anchor>
      <Comment id="{d1fdf998-ef08-4472-b02d-50d9091d5a5c}"/>
    </Anchor>
    <History>
      <Event time="2025-11-12T11:39:23.00" id="{eaf359a3-e0be-401f-b7d6-b61d159d1730}">
        <Attribution userId="placeholder@email.com" userName="ANSELME GRANDON FELIPE ENRIQUE" userProvider="google-sheets"/>
        <Anchor>
          <Comment id="{d1fdf998-ef08-4472-b02d-50d9091d5a5c}"/>
        </Anchor>
        <Create/>
      </Event>
      <Event time="2025-11-12T11:39:23.00" id="{8ed06cfa-729b-4c13-b817-d2b03499a6a3}">
        <Attribution userId="placeholder@email.com" userName="ANSELME GRANDON FELIPE ENRIQUE" userProvider="google-sheets"/>
        <Anchor>
          <Comment id="{d1fdf998-ef08-4472-b02d-50d9091d5a5c}"/>
        </Anchor>
        <Assign userId="ccorrea@uct.cl" userName="ccorrea@uct.cl" userProvider="google-sheets"/>
      </Event>
    </History>
  </Task>
  <Task id="{7fdb0ecd-b975-4984-840b-d2caf8148999}">
    <Anchor>
      <Comment id="{9b588921-535b-4e13-b7cc-961fbe84ddaf}"/>
    </Anchor>
    <History>
      <Event time="2025-11-12T11:53:50.00" id="{c91d9fce-b249-4f6f-8966-99d8e9d0b48b}">
        <Attribution userId="placeholder@email.com" userName="ANSELME GRANDON FELIPE ENRIQUE" userProvider="google-sheets"/>
        <Anchor>
          <Comment id="{9b588921-535b-4e13-b7cc-961fbe84ddaf}"/>
        </Anchor>
        <Create/>
      </Event>
      <Event time="2025-11-12T11:53:50.00" id="{3c64735d-fb33-40cb-a3a9-fb7417196c72}">
        <Attribution userId="placeholder@email.com" userName="ANSELME GRANDON FELIPE ENRIQUE" userProvider="google-sheets"/>
        <Anchor>
          <Comment id="{9b588921-535b-4e13-b7cc-961fbe84ddaf}"/>
        </Anchor>
        <Assign userId="mzurita@uct.cl" userName="mzurita@uct.cl" userProvider="google-sheets"/>
      </Event>
    </History>
  </Task>
</Tasks>
</file>

<file path=xl/documenttasks/documenttask4.xml><?xml version="1.0" encoding="utf-8"?>
<Tasks xmlns="http://schemas.microsoft.com/office/tasks/2019/documenttasks">
  <Task id="{36fff869-d24a-4a67-9c8f-68df56b44e07}">
    <Anchor>
      <Comment id="{d38a51ee-1288-4c9b-94eb-b510a84c1d02}"/>
    </Anchor>
    <History>
      <Event time="2026-04-21T18:50:18.00" id="{1bc3b385-e534-4f20-89f2-b6e32072300e}">
        <Attribution userId="placeholder@email.com" userName="ANSELME GRANDON FELIPE ENRIQUE" userProvider="google-sheets"/>
        <Anchor>
          <Comment id="{d38a51ee-1288-4c9b-94eb-b510a84c1d02}"/>
        </Anchor>
        <Create/>
      </Event>
      <Event time="2026-04-21T18:50:18.00" id="{ec2d2e08-3f82-486e-a6dd-178ebd46d727}">
        <Attribution userId="placeholder@email.com" userName="ANSELME GRANDON FELIPE ENRIQUE" userProvider="google-sheets"/>
        <Anchor>
          <Comment id="{d38a51ee-1288-4c9b-94eb-b510a84c1d02}"/>
        </Anchor>
        <Assign userId="ameza@uct.cl" userName="ameza@uct.cl" userProvider="google-sheets"/>
      </Event>
    </History>
  </Task>
  <Task id="{e262b519-cce5-47ad-beb7-906716cf66ec}">
    <Anchor>
      <Comment id="{123c7ef9-03cc-4c1b-9e12-e8f4d661bc78}"/>
    </Anchor>
    <History>
      <Event time="2026-01-21T17:03:56.00" id="{a604738a-6a27-4d64-b1a1-1f03afa0c7aa}">
        <Attribution userId="placeholder@email.com" userName="ANSELME GRANDON FELIPE ENRIQUE" userProvider="google-sheets"/>
        <Anchor>
          <Comment id="{123c7ef9-03cc-4c1b-9e12-e8f4d661bc78}"/>
        </Anchor>
        <Create/>
      </Event>
      <Event time="2026-01-21T17:03:56.00" id="{36252943-3ed0-4a34-ba35-84719a2d8219}">
        <Attribution userId="placeholder@email.com" userName="ANSELME GRANDON FELIPE ENRIQUE" userProvider="google-sheets"/>
        <Anchor>
          <Comment id="{123c7ef9-03cc-4c1b-9e12-e8f4d661bc78}"/>
        </Anchor>
        <Assign userId="lrios@uct.cl" userName="lrios@uct.cl" userProvider="google-sheets"/>
      </Event>
    </History>
  </Task>
  <Task id="{ecda2241-d702-4edb-8420-473e4feba4ea}">
    <Anchor>
      <Comment id="{94544823-ba93-4318-9677-43191deab1fe}"/>
    </Anchor>
    <History>
      <Event time="2026-01-21T17:05:30.00" id="{f9cc46ae-2a9a-49bb-865f-050a4c24b4ab}">
        <Attribution userId="placeholder@email.com" userName="ANSELME GRANDON FELIPE ENRIQUE" userProvider="google-sheets"/>
        <Anchor>
          <Comment id="{94544823-ba93-4318-9677-43191deab1fe}"/>
        </Anchor>
        <Create/>
      </Event>
      <Event time="2026-01-21T17:05:30.00" id="{1439e607-cf5e-49d2-9ed1-d95f3bb8b9b7}">
        <Attribution userId="placeholder@email.com" userName="ANSELME GRANDON FELIPE ENRIQUE" userProvider="google-sheets"/>
        <Anchor>
          <Comment id="{94544823-ba93-4318-9677-43191deab1fe}"/>
        </Anchor>
        <Assign userId="ameza@uct.cl" userName="ameza@uct.cl" userProvider="google-sheets"/>
      </Event>
    </History>
  </Task>
  <Task id="{6d11665a-1607-4fd0-a96b-34c3e51551c1}">
    <Anchor>
      <Comment id="{8648f577-fade-41f6-a7fd-a7066713383f}"/>
    </Anchor>
    <History>
      <Event time="2026-05-13T19:10:53.00" id="{0541fecc-d194-4bf8-b437-a1a5836bdf87}">
        <Attribution userId="placeholder@email.com" userName="ANSELME GRANDON FELIPE ENRIQUE" userProvider="google-sheets"/>
        <Anchor>
          <Comment id="{8648f577-fade-41f6-a7fd-a7066713383f}"/>
        </Anchor>
        <Create/>
      </Event>
      <Event time="2026-05-13T19:10:53.00" id="{636585cd-2a5b-4663-882f-4bcbb5b9ce03}">
        <Attribution userId="placeholder@email.com" userName="ANSELME GRANDON FELIPE ENRIQUE" userProvider="google-sheets"/>
        <Anchor>
          <Comment id="{8648f577-fade-41f6-a7fd-a7066713383f}"/>
        </Anchor>
        <Assign userId="ameza@uct.cl" userName="ameza@uct.cl" userProvider="google-sheets"/>
      </Event>
    </History>
  </Task>
  <Task id="{5db63476-65d5-4535-94d5-fd303f9fbb2d}">
    <Anchor>
      <Comment id="{5312cbee-456b-4991-a3d7-bc58643c30b0}"/>
    </Anchor>
    <History>
      <Event time="2026-04-16T15:42:24.00" id="{d7ba7589-d6e1-4663-ad80-27af91a68f36}">
        <Attribution userId="placeholder@email.com" userName="ANSELME GRANDON FELIPE ENRIQUE" userProvider="google-sheets"/>
        <Anchor>
          <Comment id="{5312cbee-456b-4991-a3d7-bc58643c30b0}"/>
        </Anchor>
        <Create/>
      </Event>
      <Event time="2026-04-16T15:42:24.00" id="{2bc555db-4c1d-4b41-a3bc-2406ac45e32a}">
        <Attribution userId="placeholder@email.com" userName="ANSELME GRANDON FELIPE ENRIQUE" userProvider="google-sheets"/>
        <Anchor>
          <Comment id="{5312cbee-456b-4991-a3d7-bc58643c30b0}"/>
        </Anchor>
        <Assign userId="ccorrea@uct.cl" userName="ccorrea@uct.cl" userProvider="google-sheets"/>
      </Event>
    </History>
  </Task>
  <Task id="{2d9221fb-a1b4-4199-9bb6-99d1f1d28207}">
    <Anchor>
      <Comment id="{86a644fd-8620-45f3-8061-a196d8b3512f}"/>
    </Anchor>
    <History>
      <Event time="2026-04-21T18:54:31.00" id="{e3cf80d0-5946-4579-9d20-61c364c03f02}">
        <Attribution userId="placeholder@email.com" userName="ANSELME GRANDON FELIPE ENRIQUE" userProvider="google-sheets"/>
        <Anchor>
          <Comment id="{86a644fd-8620-45f3-8061-a196d8b3512f}"/>
        </Anchor>
        <Create/>
      </Event>
      <Event time="2026-04-21T18:54:31.00" id="{d2b98f24-6e03-4a59-b633-e18cdd2eb69f}">
        <Attribution userId="placeholder@email.com" userName="ANSELME GRANDON FELIPE ENRIQUE" userProvider="google-sheets"/>
        <Anchor>
          <Comment id="{86a644fd-8620-45f3-8061-a196d8b3512f}"/>
        </Anchor>
        <Assign userId="ccorrea@uct.cl" userName="ccorrea@uct.cl" userProvider="google-sheets"/>
      </Event>
    </History>
  </Task>
  <Task id="{c00a7747-49a7-4964-9fe1-7de234e50d55}">
    <Anchor>
      <Comment id="{174dfe82-3483-449c-9112-a0312715bd01}"/>
    </Anchor>
    <History>
      <Event time="2026-04-21T18:51:42.00" id="{bab1028e-2014-4b54-931a-37ed5c99b763}">
        <Attribution userId="placeholder@email.com" userName="ANSELME GRANDON FELIPE ENRIQUE" userProvider="google-sheets"/>
        <Anchor>
          <Comment id="{174dfe82-3483-449c-9112-a0312715bd01}"/>
        </Anchor>
        <Create/>
      </Event>
      <Event time="2026-04-21T18:51:42.00" id="{8fab7c09-6a67-47b4-99de-6f160ccbaa96}">
        <Attribution userId="placeholder@email.com" userName="ANSELME GRANDON FELIPE ENRIQUE" userProvider="google-sheets"/>
        <Anchor>
          <Comment id="{174dfe82-3483-449c-9112-a0312715bd01}"/>
        </Anchor>
        <Assign userId="jsolisdeovando@uct.cl" userName="jsolisdeovando@uct.cl" userProvider="google-sheets"/>
      </Event>
    </History>
  </Task>
  <Task id="{f8657589-9a23-43ed-b1b7-d9db32d1f301}">
    <Anchor>
      <Comment id="{a3e2ec2a-64a2-4974-a5ee-bdb7802dd551}"/>
    </Anchor>
    <History>
      <Event time="2026-05-07T14:33:12.00" id="{0fd7b1c5-c074-475a-92ff-6466d66c968c}">
        <Attribution userId="placeholder@email.com" userName="ANSELME GRANDON FELIPE ENRIQUE" userProvider="google-sheets"/>
        <Anchor>
          <Comment id="{a3e2ec2a-64a2-4974-a5ee-bdb7802dd551}"/>
        </Anchor>
        <Create/>
      </Event>
      <Event time="2026-05-07T14:33:12.00" id="{1ac8c55c-d84d-4e56-96a1-28ebd451c730}">
        <Attribution userId="placeholder@email.com" userName="ANSELME GRANDON FELIPE ENRIQUE" userProvider="google-sheets"/>
        <Anchor>
          <Comment id="{a3e2ec2a-64a2-4974-a5ee-bdb7802dd551}"/>
        </Anchor>
        <Assign userId="jsolisdeovando@uct.cl" userName="jsolisdeovando@uct.cl" userProvider="google-sheets"/>
      </Event>
    </History>
  </Task>
  <Task id="{92fb8f2b-3314-4899-8d3f-c5aaeb7b3ffc}">
    <Anchor>
      <Comment id="{d29d9fb5-a571-40e6-9286-b153c08b65bc}"/>
    </Anchor>
    <History>
      <Event time="2026-06-04T14:24:24.00" id="{ca098d68-a4dc-434e-9be6-c22e4163ee94}">
        <Attribution userId="placeholder@email.com" userName="ANSELME GRANDON FELIPE ENRIQUE" userProvider="google-sheets"/>
        <Anchor>
          <Comment id="{d29d9fb5-a571-40e6-9286-b153c08b65bc}"/>
        </Anchor>
        <Create/>
      </Event>
      <Event time="2026-06-04T14:24:24.00" id="{1a139729-7640-4c12-8145-b7268b2a412c}">
        <Attribution userId="placeholder@email.com" userName="ANSELME GRANDON FELIPE ENRIQUE" userProvider="google-sheets"/>
        <Anchor>
          <Comment id="{d29d9fb5-a571-40e6-9286-b153c08b65bc}"/>
        </Anchor>
        <Assign userId="ccorrea@uct.cl" userName="ccorrea@uct.cl" userProvider="google-sheets"/>
      </Event>
    </History>
  </Task>
  <Task id="{82f1cd9e-e711-4062-8d28-06a702dd4dcf}">
    <Anchor>
      <Comment id="{12da3bee-e8d6-4fa5-926e-ec1d3eb44fb8}"/>
    </Anchor>
    <History>
      <Event time="2026-04-22T19:05:57.00" id="{b4ab52f3-1ba4-4ed1-96a2-7b1e23160816}">
        <Attribution userId="placeholder@email.com" userName="ANSELME GRANDON FELIPE ENRIQUE" userProvider="google-sheets"/>
        <Anchor>
          <Comment id="{12da3bee-e8d6-4fa5-926e-ec1d3eb44fb8}"/>
        </Anchor>
        <Create/>
      </Event>
      <Event time="2026-04-22T19:05:57.00" id="{f0648931-4e5d-4073-9093-ded2876382a1}">
        <Attribution userId="placeholder@email.com" userName="ANSELME GRANDON FELIPE ENRIQUE" userProvider="google-sheets"/>
        <Anchor>
          <Comment id="{12da3bee-e8d6-4fa5-926e-ec1d3eb44fb8}"/>
        </Anchor>
        <Assign userId="lrios@uct.cl" userName="lrios@uct.cl" userProvider="google-sheets"/>
      </Event>
    </History>
  </Task>
  <Task id="{0fcd2264-460c-445f-add4-e78608b41372}">
    <Anchor>
      <Comment id="{e98e1717-ccd1-4d1f-8fa5-1ccb6cb32d3b}"/>
    </Anchor>
    <History>
      <Event time="2026-04-21T18:56:25.00" id="{8d3a2a8c-0ed3-4aaf-9109-612d7e5dcf77}">
        <Attribution userId="placeholder@email.com" userName="ANSELME GRANDON FELIPE ENRIQUE" userProvider="google-sheets"/>
        <Anchor>
          <Comment id="{e98e1717-ccd1-4d1f-8fa5-1ccb6cb32d3b}"/>
        </Anchor>
        <Create/>
      </Event>
      <Event time="2026-04-21T18:56:25.00" id="{1f88ead5-9a1d-4733-a52b-c5be54f41c7e}">
        <Attribution userId="placeholder@email.com" userName="ANSELME GRANDON FELIPE ENRIQUE" userProvider="google-sheets"/>
        <Anchor>
          <Comment id="{e98e1717-ccd1-4d1f-8fa5-1ccb6cb32d3b}"/>
        </Anchor>
        <Assign userId="jsolisdeovando@uct.cl" userName="jsolisdeovando@uct.cl" userProvider="google-sheets"/>
      </Event>
    </History>
  </Task>
  <Task id="{7227bff0-5134-48dc-bdf3-2798b35972e6}">
    <Anchor>
      <Comment id="{ac1ea13b-0f39-4b2e-9ed7-8db1422b3139}"/>
    </Anchor>
    <History>
      <Event time="2026-04-21T18:52:59.00" id="{1a358868-e963-4f19-a015-3daf84acc49d}">
        <Attribution userId="placeholder@email.com" userName="ANSELME GRANDON FELIPE ENRIQUE" userProvider="google-sheets"/>
        <Anchor>
          <Comment id="{ac1ea13b-0f39-4b2e-9ed7-8db1422b3139}"/>
        </Anchor>
        <Create/>
      </Event>
      <Event time="2026-04-21T18:52:59.00" id="{9f1c6568-9762-44cf-b845-fb6ee8e4f60d}">
        <Attribution userId="placeholder@email.com" userName="ANSELME GRANDON FELIPE ENRIQUE" userProvider="google-sheets"/>
        <Anchor>
          <Comment id="{ac1ea13b-0f39-4b2e-9ed7-8db1422b3139}"/>
        </Anchor>
        <Assign userId="jsolisdeovando@uct.cl" userName="jsolisdeovando@uct.cl" userProvider="google-sheets"/>
      </Event>
    </History>
  </Task>
  <Task id="{84170341-dd43-4e56-a534-fa6a7f45fe60}">
    <Anchor>
      <Comment id="{be8b22c8-0779-4de7-834a-cb8464c70497}"/>
    </Anchor>
    <History>
      <Event time="2026-01-27T14:02:00.00" id="{2c1c3b65-26e5-4e59-a2cd-d305b2b07c72}">
        <Attribution userId="placeholder@email.com" userName="ANSELME GRANDON FELIPE ENRIQUE" userProvider="google-sheets"/>
        <Anchor>
          <Comment id="{be8b22c8-0779-4de7-834a-cb8464c70497}"/>
        </Anchor>
        <Create/>
      </Event>
      <Event time="2026-01-27T14:02:00.00" id="{53adbe18-143e-452b-a319-729677bd7624}">
        <Attribution userId="placeholder@email.com" userName="ANSELME GRANDON FELIPE ENRIQUE" userProvider="google-sheets"/>
        <Anchor>
          <Comment id="{be8b22c8-0779-4de7-834a-cb8464c70497}"/>
        </Anchor>
        <Assign userId="ameza@uct.cl" userName="ameza@uct.cl" userProvider="google-sheets"/>
      </Event>
    </History>
  </Task>
  <Task id="{2ae01d4e-9744-42f5-8975-039238b93c39}">
    <Anchor>
      <Comment id="{c36439a7-1f0b-48fd-abe3-4b7606216e4d}"/>
    </Anchor>
    <History>
      <Event time="2026-04-28T20:39:27.00" id="{1a34d028-af4a-4ada-8cb3-1e6a8eaefc08}">
        <Attribution userId="placeholder@email.com" userName="ANSELME GRANDON FELIPE ENRIQUE" userProvider="google-sheets"/>
        <Anchor>
          <Comment id="{c36439a7-1f0b-48fd-abe3-4b7606216e4d}"/>
        </Anchor>
        <Create/>
      </Event>
      <Event time="2026-04-28T20:39:27.00" id="{91daf8e6-9552-4893-864c-8d4256520814}">
        <Attribution userId="placeholder@email.com" userName="ANSELME GRANDON FELIPE ENRIQUE" userProvider="google-sheets"/>
        <Anchor>
          <Comment id="{c36439a7-1f0b-48fd-abe3-4b7606216e4d}"/>
        </Anchor>
        <Assign userId="dsilva@uct.cl" userName="dsilva@uct.cl" userProvider="google-sheets"/>
      </Event>
    </History>
  </Task>
  <Task id="{f4f3947f-a18e-47bb-8a6b-dc9e1ea5a742}">
    <Anchor>
      <Comment id="{27c5e1f1-7cfd-41be-ab08-f0283c0afeeb}"/>
    </Anchor>
    <History>
      <Event time="2026-04-28T20:24:39.00" id="{dfb40b6e-c98c-4abf-b207-e4a2500efc7c}">
        <Attribution userId="placeholder@email.com" userName="ANSELME GRANDON FELIPE ENRIQUE" userProvider="google-sheets"/>
        <Anchor>
          <Comment id="{27c5e1f1-7cfd-41be-ab08-f0283c0afeeb}"/>
        </Anchor>
        <Create/>
      </Event>
      <Event time="2026-04-28T20:24:39.00" id="{572cd598-5c49-434d-b661-6370bab61687}">
        <Attribution userId="placeholder@email.com" userName="ANSELME GRANDON FELIPE ENRIQUE" userProvider="google-sheets"/>
        <Anchor>
          <Comment id="{27c5e1f1-7cfd-41be-ab08-f0283c0afeeb}"/>
        </Anchor>
        <Assign userId="jsolisdeovando@uct.cl" userName="jsolisdeovando@uct.cl" userProvider="google-sheets"/>
      </Event>
    </History>
  </Task>
  <Task id="{66fe593c-0902-4c97-b856-9f08d533c964}">
    <Anchor>
      <Comment id="{af8a1c87-847f-4c7a-b859-f11680018513}"/>
    </Anchor>
    <History>
      <Event time="2026-04-22T19:01:29.00" id="{f86a68a7-2136-4ccf-9e6d-d6bb284483cc}">
        <Attribution userId="placeholder@email.com" userName="ANSELME GRANDON FELIPE ENRIQUE" userProvider="google-sheets"/>
        <Anchor>
          <Comment id="{af8a1c87-847f-4c7a-b859-f11680018513}"/>
        </Anchor>
        <Create/>
      </Event>
      <Event time="2026-04-22T19:01:29.00" id="{bfec6e18-37c6-4384-b807-4863b0fa2af3}">
        <Attribution userId="placeholder@email.com" userName="ANSELME GRANDON FELIPE ENRIQUE" userProvider="google-sheets"/>
        <Anchor>
          <Comment id="{af8a1c87-847f-4c7a-b859-f11680018513}"/>
        </Anchor>
        <Assign userId="dsilva@uct.cl" userName="dsilva@uct.cl" userProvider="google-sheets"/>
      </Event>
    </History>
  </Task>
  <Task id="{111e9988-0e11-4a24-a2fb-f2fe7a0c303b}">
    <Anchor>
      <Comment id="{3e5bca96-40ab-4b7e-8a99-4be8e2400e66}"/>
    </Anchor>
    <History>
      <Event time="2026-04-22T19:02:10.00" id="{875517d4-e4ea-4349-a8b0-34fba6cc0ac2}">
        <Attribution userId="placeholder@email.com" userName="ANSELME GRANDON FELIPE ENRIQUE" userProvider="google-sheets"/>
        <Anchor>
          <Comment id="{3e5bca96-40ab-4b7e-8a99-4be8e2400e66}"/>
        </Anchor>
        <Create/>
      </Event>
      <Event time="2026-04-22T19:02:10.00" id="{54030e97-b006-4fec-8645-d37e06fdf47c}">
        <Attribution userId="placeholder@email.com" userName="ANSELME GRANDON FELIPE ENRIQUE" userProvider="google-sheets"/>
        <Anchor>
          <Comment id="{3e5bca96-40ab-4b7e-8a99-4be8e2400e66}"/>
        </Anchor>
        <Assign userId="dsilva@uct.cl" userName="dsilva@uct.cl" userProvider="google-sheets"/>
      </Event>
    </History>
  </Task>
  <Task id="{e88b505d-518d-4dd7-8303-280dd0852e15}">
    <Anchor>
      <Comment id="{fd07ebb1-c0e3-4e5b-8b9e-2da375099676}"/>
    </Anchor>
    <History>
      <Event time="2026-04-22T19:05:05.00" id="{635b592e-3b4d-4d13-b778-9c418c20e827}">
        <Attribution userId="placeholder@email.com" userName="ANSELME GRANDON FELIPE ENRIQUE" userProvider="google-sheets"/>
        <Anchor>
          <Comment id="{fd07ebb1-c0e3-4e5b-8b9e-2da375099676}"/>
        </Anchor>
        <Create/>
      </Event>
      <Event time="2026-04-22T19:05:05.00" id="{0c7e080f-e3aa-456f-96ad-9125c90554fd}">
        <Attribution userId="placeholder@email.com" userName="ANSELME GRANDON FELIPE ENRIQUE" userProvider="google-sheets"/>
        <Anchor>
          <Comment id="{fd07ebb1-c0e3-4e5b-8b9e-2da375099676}"/>
        </Anchor>
        <Assign userId="ameza@uct.cl" userName="ameza@uct.cl" userProvider="google-sheets"/>
      </Event>
    </History>
  </Task>
  <Task id="{ce67ced3-7a19-419d-bab0-0279473e2ed3}">
    <Anchor>
      <Comment id="{0bcc7a99-bc1a-45b2-8027-7ce9769fcf3d}"/>
    </Anchor>
    <History>
      <Event time="2026-04-15T16:30:33.00" id="{391af0fc-242c-4b7b-baa7-050cde511703}">
        <Attribution userId="placeholder@email.com" userName="ANSELME GRANDON FELIPE ENRIQUE" userProvider="google-sheets"/>
        <Anchor>
          <Comment id="{0bcc7a99-bc1a-45b2-8027-7ce9769fcf3d}"/>
        </Anchor>
        <Create/>
      </Event>
      <Event time="2026-04-15T16:30:33.00" id="{16ff0db2-0921-4ece-a674-77a74b4e0843}">
        <Attribution userId="placeholder@email.com" userName="ANSELME GRANDON FELIPE ENRIQUE" userProvider="google-sheets"/>
        <Anchor>
          <Comment id="{0bcc7a99-bc1a-45b2-8027-7ce9769fcf3d}"/>
        </Anchor>
        <Assign userId="jsolisdeovando@uct.cl" userName="jsolisdeovando@uct.cl" userProvider="google-sheets"/>
      </Event>
    </History>
  </Task>
  <Task id="{96763ceb-8ca5-4e0f-b553-48683b509b85}">
    <Anchor>
      <Comment id="{1e68805b-317d-49cf-9ca1-cf3d361042d0}"/>
    </Anchor>
    <History>
      <Event time="2026-04-24T19:05:44.00" id="{b927f9cb-a4fb-4649-affa-0a0d17b9ec68}">
        <Attribution userId="placeholder@email.com" userName="ANSELME GRANDON FELIPE ENRIQUE" userProvider="google-sheets"/>
        <Anchor>
          <Comment id="{1e68805b-317d-49cf-9ca1-cf3d361042d0}"/>
        </Anchor>
        <Create/>
      </Event>
      <Event time="2026-04-24T19:05:44.00" id="{3ff53e85-19ef-4207-a6eb-745df0b933b1}">
        <Attribution userId="placeholder@email.com" userName="ANSELME GRANDON FELIPE ENRIQUE" userProvider="google-sheets"/>
        <Anchor>
          <Comment id="{1e68805b-317d-49cf-9ca1-cf3d361042d0}"/>
        </Anchor>
        <Assign userId="mauricio.matus@uct.cl" userName="mauricio.matus@uct.cl" userProvider="google-sheets"/>
      </Event>
    </History>
  </Task>
  <Task id="{57acfdd5-d089-46fb-b999-29814074def3}">
    <Anchor>
      <Comment id="{a0bfa2e2-dfa9-4763-ad4e-af7bcc4729d7}"/>
    </Anchor>
    <History>
      <Event time="2026-04-24T19:02:51.00" id="{127762cd-0e19-45bc-9820-555c2f57d5b1}">
        <Attribution userId="placeholder@email.com" userName="ANSELME GRANDON FELIPE ENRIQUE" userProvider="google-sheets"/>
        <Anchor>
          <Comment id="{a0bfa2e2-dfa9-4763-ad4e-af7bcc4729d7}"/>
        </Anchor>
        <Create/>
      </Event>
      <Event time="2026-04-24T19:02:51.00" id="{47d2d5ad-a821-49c6-8fac-835e14e8aeac}">
        <Attribution userId="placeholder@email.com" userName="ANSELME GRANDON FELIPE ENRIQUE" userProvider="google-sheets"/>
        <Anchor>
          <Comment id="{a0bfa2e2-dfa9-4763-ad4e-af7bcc4729d7}"/>
        </Anchor>
        <Assign userId="dsilva@uct.cl" userName="dsilva@uct.cl" userProvider="google-sheets"/>
      </Event>
    </History>
  </Task>
  <Task id="{bf60cb40-3d4a-4852-a4de-f72af4128460}">
    <Anchor>
      <Comment id="{538eddc7-6754-4d54-84c9-ea2b78660890}"/>
    </Anchor>
    <History>
      <Event time="2026-05-05T18:53:39.00" id="{f92603f4-9fc8-4ba4-8218-6c10805a45ec}">
        <Attribution userId="placeholder@email.com" userName="ANSELME GRANDON FELIPE ENRIQUE" userProvider="google-sheets"/>
        <Anchor>
          <Comment id="{538eddc7-6754-4d54-84c9-ea2b78660890}"/>
        </Anchor>
        <Create/>
      </Event>
      <Event time="2026-05-05T18:53:39.00" id="{95e6de65-284f-4985-ab45-33525cf0f7da}">
        <Attribution userId="placeholder@email.com" userName="ANSELME GRANDON FELIPE ENRIQUE" userProvider="google-sheets"/>
        <Anchor>
          <Comment id="{538eddc7-6754-4d54-84c9-ea2b78660890}"/>
        </Anchor>
        <Assign userId="jsolisdeovando@uct.cl" userName="jsolisdeovando@uct.cl" userProvider="google-sheets"/>
      </Event>
    </History>
  </Task>
  <Task id="{630ea8d3-22cc-4345-8dd2-cc38a9ffa061}">
    <Anchor>
      <Comment id="{f632904f-4221-4951-b35b-c90b86306459}"/>
    </Anchor>
    <History>
      <Event time="2026-01-26T17:49:47.00" id="{536c9f3b-3b11-46ae-ae4f-b436ebef6aa5}">
        <Attribution userId="placeholder@email.com" userName="ANSELME GRANDON FELIPE ENRIQUE" userProvider="google-sheets"/>
        <Anchor>
          <Comment id="{f632904f-4221-4951-b35b-c90b86306459}"/>
        </Anchor>
        <Create/>
      </Event>
      <Event time="2026-01-26T17:49:47.00" id="{67b0f8a0-1dab-4418-9a88-63b3b45d813f}">
        <Attribution userId="placeholder@email.com" userName="ANSELME GRANDON FELIPE ENRIQUE" userProvider="google-sheets"/>
        <Anchor>
          <Comment id="{f632904f-4221-4951-b35b-c90b86306459}"/>
        </Anchor>
        <Assign userId="ccorrea@uct.cl" userName="ccorrea@uct.cl" userProvider="google-sheets"/>
      </Event>
    </History>
  </Task>
  <Task id="{46c56fd1-b51e-4f1a-aeda-082f42f7af64}">
    <Anchor>
      <Comment id="{8f17c05a-51e2-4aae-a63c-b956df2c7ae0}"/>
    </Anchor>
    <History>
      <Event time="2026-05-05T18:52:31.00" id="{eefa6e54-4dcb-4225-b23e-d68258d4c8d3}">
        <Attribution userId="placeholder@email.com" userName="ANSELME GRANDON FELIPE ENRIQUE" userProvider="google-sheets"/>
        <Anchor>
          <Comment id="{8f17c05a-51e2-4aae-a63c-b956df2c7ae0}"/>
        </Anchor>
        <Create/>
      </Event>
      <Event time="2026-05-05T18:52:31.00" id="{2c24dff7-dd29-45e2-a0e9-259f159176d4}">
        <Attribution userId="placeholder@email.com" userName="ANSELME GRANDON FELIPE ENRIQUE" userProvider="google-sheets"/>
        <Anchor>
          <Comment id="{8f17c05a-51e2-4aae-a63c-b956df2c7ae0}"/>
        </Anchor>
        <Assign userId="ameza@uct.cl" userName="ameza@uct.cl" userProvider="google-sheets"/>
      </Event>
    </History>
  </Task>
</Tasks>
</file>

<file path=xl/documenttasks/documenttask5.xml><?xml version="1.0" encoding="utf-8"?>
<Tasks xmlns="http://schemas.microsoft.com/office/tasks/2019/documenttasks">
  <Task id="{f6c12a56-48d9-4370-befe-f9212e81bb26}">
    <Anchor>
      <Comment id="{22e806c0-847a-4a26-980d-d951c954956b}"/>
    </Anchor>
    <History>
      <Event time="2026-04-16T14:28:01.00" id="{a8ac5da7-71c1-43f2-a4a4-1b82782eced4}">
        <Attribution userId="placeholder@email.com" userName="ANSELME GRANDON FELIPE ENRIQUE" userProvider="google-sheets"/>
        <Anchor>
          <Comment id="{22e806c0-847a-4a26-980d-d951c954956b}"/>
        </Anchor>
        <Create/>
      </Event>
      <Event time="2026-04-16T14:28:01.00" id="{c5380d22-0433-4d72-adf2-fdb7f29d59d9}">
        <Attribution userId="placeholder@email.com" userName="ANSELME GRANDON FELIPE ENRIQUE" userProvider="google-sheets"/>
        <Anchor>
          <Comment id="{22e806c0-847a-4a26-980d-d951c954956b}"/>
        </Anchor>
        <Assign userId="mzurita@uct.cl" userName="mzurita@uct.cl" userProvider="google-sheets"/>
      </Event>
    </History>
  </Task>
  <Task id="{647fe43b-9157-4d2a-b0a6-6195c0400ef1}">
    <Anchor>
      <Comment id="{cc69c7b6-1edc-40f4-b74f-a4a03fd9a3a7}"/>
    </Anchor>
    <History>
      <Event time="2026-04-16T15:36:36.00" id="{b5d998e8-b6bb-46dd-befe-32ca8fd83339}">
        <Attribution userId="placeholder@email.com" userName="ANSELME GRANDON FELIPE ENRIQUE" userProvider="google-sheets"/>
        <Anchor>
          <Comment id="{cc69c7b6-1edc-40f4-b74f-a4a03fd9a3a7}"/>
        </Anchor>
        <Create/>
      </Event>
      <Event time="2026-04-16T15:36:36.00" id="{c9afd45e-c4be-41e8-ada4-6655a03a4421}">
        <Attribution userId="placeholder@email.com" userName="ANSELME GRANDON FELIPE ENRIQUE" userProvider="google-sheets"/>
        <Anchor>
          <Comment id="{cc69c7b6-1edc-40f4-b74f-a4a03fd9a3a7}"/>
        </Anchor>
        <Assign userId="mzurita@uct.cl" userName="mzurita@uct.cl" userProvider="google-sheets"/>
      </Event>
    </History>
  </Task>
</Tasks>
</file>

<file path=xl/documenttasks/documenttask6.xml><?xml version="1.0" encoding="utf-8"?>
<Tasks xmlns="http://schemas.microsoft.com/office/tasks/2019/documenttasks"/>
</file>

<file path=xl/documenttasks/documenttask7.xml><?xml version="1.0" encoding="utf-8"?>
<Tasks xmlns="http://schemas.microsoft.com/office/tasks/2019/documenttasks">
  <Task id="{eef3b713-38d0-45df-8244-bebd4eac9b6e}">
    <Anchor>
      <Comment id="{a2d044bc-e4fb-4728-b713-b502bbddaf26}"/>
    </Anchor>
    <History>
      <Event time="2026-05-11T19:57:53.00" id="{57b3f4d3-0379-46e0-abb4-8a9fb5b71abb}">
        <Attribution userId="placeholder@email.com" userName="ANSELME GRANDON FELIPE ENRIQUE" userProvider="google-sheets"/>
        <Anchor>
          <Comment id="{a2d044bc-e4fb-4728-b713-b502bbddaf26}"/>
        </Anchor>
        <Create/>
      </Event>
      <Event time="2026-05-11T19:57:53.00" id="{dfc20be9-ae60-4a2c-9b72-6c88f1627012}">
        <Attribution userId="placeholder@email.com" userName="ANSELME GRANDON FELIPE ENRIQUE" userProvider="google-sheets"/>
        <Anchor>
          <Comment id="{a2d044bc-e4fb-4728-b713-b502bbddaf26}"/>
        </Anchor>
        <Assign userId="jsolisdeovando@uct.cl" userName="jsolisdeovando@uct.cl" userProvider="google-sheets"/>
      </Event>
    </History>
  </Task>
</Tasks>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447675</xdr:colOff>
      <xdr:row>7</xdr:row>
      <xdr:rowOff>180975</xdr:rowOff>
    </xdr:from>
    <xdr:ext cx="9344025" cy="4591050"/>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4</xdr:row>
      <xdr:rowOff>104775</xdr:rowOff>
    </xdr:from>
    <xdr:ext cx="2124075" cy="2857500"/>
    <mc:AlternateContent>
      <mc:Choice Requires="sle15">
        <xdr:graphicFrame>
          <xdr:nvGraphicFramePr>
            <xdr:cNvPr id="1" name="Prioridad_1"/>
            <xdr:cNvGraphicFramePr/>
          </xdr:nvGraphicFramePr>
          <xdr:xfrm>
            <a:off x="0" y="0"/>
            <a:ext cx="0" cy="0"/>
          </xdr:xfrm>
          <a:graphic>
            <a:graphicData uri="http://schemas.microsoft.com/office/drawing/2010/slicer">
              <x3Unk:slicer name="Prioridad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76200</xdr:colOff>
      <xdr:row>16</xdr:row>
      <xdr:rowOff>123825</xdr:rowOff>
    </xdr:from>
    <xdr:ext cx="2085975" cy="2857500"/>
    <mc:AlternateContent>
      <mc:Choice Requires="sle15">
        <xdr:graphicFrame>
          <xdr:nvGraphicFramePr>
            <xdr:cNvPr id="2" name="Prioridad_2"/>
            <xdr:cNvGraphicFramePr/>
          </xdr:nvGraphicFramePr>
          <xdr:xfrm>
            <a:off x="0" y="0"/>
            <a:ext cx="0" cy="0"/>
          </xdr:xfrm>
          <a:graphic>
            <a:graphicData uri="http://schemas.microsoft.com/office/drawing/2010/slicer">
              <x3Unk:slicer name="Prioridad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76200</xdr:colOff>
      <xdr:row>30</xdr:row>
      <xdr:rowOff>133350</xdr:rowOff>
    </xdr:from>
    <xdr:ext cx="2085975" cy="2857500"/>
    <mc:AlternateContent>
      <mc:Choice Requires="sle15">
        <xdr:graphicFrame>
          <xdr:nvGraphicFramePr>
            <xdr:cNvPr id="3" name="Prioridad_3"/>
            <xdr:cNvGraphicFramePr/>
          </xdr:nvGraphicFramePr>
          <xdr:xfrm>
            <a:off x="0" y="0"/>
            <a:ext cx="0" cy="0"/>
          </xdr:xfrm>
          <a:graphic>
            <a:graphicData uri="http://schemas.microsoft.com/office/drawing/2010/slicer">
              <x3Unk:slicer name="Prioridad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304800</xdr:colOff>
      <xdr:row>0</xdr:row>
      <xdr:rowOff>133350</xdr:rowOff>
    </xdr:from>
    <xdr:ext cx="1619250" cy="47625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2047875</xdr:colOff>
      <xdr:row>0</xdr:row>
      <xdr:rowOff>76200</xdr:rowOff>
    </xdr:from>
    <xdr:ext cx="2857500" cy="2857500"/>
    <mc:AlternateContent>
      <mc:Choice Requires="sle15">
        <xdr:graphicFrame>
          <xdr:nvGraphicFramePr>
            <xdr:cNvPr id="4" name="OP_4"/>
            <xdr:cNvGraphicFramePr/>
          </xdr:nvGraphicFramePr>
          <xdr:xfrm>
            <a:off x="0" y="0"/>
            <a:ext cx="0" cy="0"/>
          </xdr:xfrm>
          <a:graphic>
            <a:graphicData uri="http://schemas.microsoft.com/office/drawing/2010/slicer">
              <x3Unk:slicer name="OP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152400</xdr:colOff>
      <xdr:row>0</xdr:row>
      <xdr:rowOff>104775</xdr:rowOff>
    </xdr:from>
    <xdr:ext cx="6191250" cy="24479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EZA VEGA ARTURO OCTAVIO" id="{2a10fdf3-bcc8-4d0e-8c92-1b53ded0a960}" providerId="google-sheets"/>
  <x18tc:person displayName="ANSELME GRANDON FELIPE ENRIQUE" id="{a491286a-4907-4728-a2e3-f225d9dc7ac4}" providerId="google-sheets"/>
  <x18tc:person displayName="dsilva@uct.cl" id="{033b8898-d3eb-482b-9718-7dbcc0351e86}" userId="dsilva@uct.cl" providerId="google-sheets"/>
  <x18tc:person displayName="mzurita@uct.cl" id="{9800b436-d914-445a-8f6b-2b93575f8b3e}" userId="mzurita@uct.cl" providerId="google-sheets"/>
  <x18tc:person displayName="SOLIS DE OVANDO SOTO JUAN IGNACIO" id="{69791d5d-42a1-4a84-91c5-3c5a7f7ff273}" providerId="google-sheets"/>
  <x18tc:person displayName="mauricio.matus@uct.cl" id="{865a2c63-033b-4e86-98a4-4cb868e426e0}" userId="mauricio.matus@uct.cl" providerId="google-sheets"/>
  <x18tc:person displayName="ccorrea@uct.cl" id="{4ed3d4fb-a389-47d4-8653-754dcf2d691a}" userId="ccorrea@uct.cl" providerId="google-sheets"/>
  <x18tc:person displayName="CORREA DEL RIO CRISTOBAL ANDRES" id="{940ed73f-8c06-4c27-86a6-dc9c9c21882b}" providerId="google-sheets"/>
  <x18tc:person displayName="SILVA ROCO DAVID ROBINSON" id="{ad94508a-3b65-479a-8357-c304755df866}" providerId="google-sheets"/>
  <x18tc:person displayName="ameza@uct.cl" id="{d748293b-148a-4d3d-8e6e-e688a51fa605}" userId="ameza@uct.cl" providerId="google-sheets"/>
  <x18tc:person displayName="icisternas@uct.cl" id="{9dc56117-d4fb-41e2-8bcc-475f9c817baa}" userId="icisternas@uct.cl" providerId="google-sheets"/>
  <x18tc:person displayName="lrios@uct.cl" id="{d8a25a3c-030b-4b80-8e66-ee0f830ba023}" userId="lrios@uct.cl" providerId="google-sheets"/>
  <x18tc:person displayName="ZURITA ALDEA MAURICIO ANDRES" id="{f10875f2-7ad6-4a41-a9ea-a8588c1dc14b}" providerId="google-sheets"/>
  <x18tc:person displayName="jsolisdeovando@uct.cl" id="{b725716d-9ef1-4954-a7bc-f8092fa1dba7}" userId="jsolisdeovando@uct.cl" providerId="google-sheets"/>
</x18tc:personList>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OP">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3_Col_10" sourceName="Prioridad">
  <x14:extLst>
    <ext uri="{2F2917AC-EB37-4324-AD4E-5DD8C200BD13}">
      <x15:tableSlicerCache tableId="3" column="10"/>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4_Col_10" sourceName="Prioridad">
  <x14:extLst>
    <ext uri="{2F2917AC-EB37-4324-AD4E-5DD8C200BD13}">
      <x15:tableSlicerCache tableId="4" column="10"/>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5_Col_10" sourceName="Prioridad">
  <x14:extLst>
    <ext uri="{2F2917AC-EB37-4324-AD4E-5DD8C200BD13}">
      <x15:tableSlicerCache tableId="5" column="10"/>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rioridad_1" cache="SlicerCache_Table_3_Col_10" caption="Prioridad" rowHeight="247650"/>
  <x14:slicer name="Prioridad_2" cache="SlicerCache_Table_4_Col_10" caption="Prioridad" rowHeight="247650"/>
  <x14:slicer name="Prioridad_3" cache="SlicerCache_Table_5_Col_10" caption="Prioridad"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OP_4" cache="SlicerCache_Table_1_Col_1" caption="OP" rowHeight="247650"/>
</x14:slicers>
</file>

<file path=xl/tables/table1.xml><?xml version="1.0" encoding="utf-8"?>
<table xmlns="http://schemas.openxmlformats.org/spreadsheetml/2006/main" ref="A1:F6" displayName="Resumen" name="Resumen" id="7">
  <tableColumns count="6">
    <tableColumn name="CC" id="1"/>
    <tableColumn name="Ppto " id="2"/>
    <tableColumn name="Ppto ajustado" id="3"/>
    <tableColumn name="ppto doc." id="4"/>
    <tableColumn name="Saldo " id="5"/>
    <tableColumn name="%" id="6"/>
  </tableColumns>
  <tableStyleInfo name="Resumen-style" showColumnStripes="0" showFirstColumn="1" showLastColumn="1" showRowStripes="1"/>
</table>
</file>

<file path=xl/tables/table2.xml><?xml version="1.0" encoding="utf-8"?>
<table xmlns="http://schemas.openxmlformats.org/spreadsheetml/2006/main" ref="A4:BM89" displayName="Proyección" name="Proyección" id="2">
  <autoFilter ref="$A$4:$BM$89"/>
  <tableColumns count="65">
    <tableColumn name="CC" id="1"/>
    <tableColumn name="Año" id="2"/>
    <tableColumn name="OP" id="3"/>
    <tableColumn name="OC" id="4"/>
    <tableColumn name="Descripción" id="5"/>
    <tableColumn name="Monto" id="6"/>
    <tableColumn name="Pagado" id="7"/>
    <tableColumn name="Saldo" id="8"/>
    <tableColumn name="Columna 1" id="9"/>
    <tableColumn name="Columna 2" id="10"/>
    <tableColumn name="Δ" id="11"/>
    <tableColumn name="05 al 11" id="12"/>
    <tableColumn name="12 al 18" id="13"/>
    <tableColumn name="19 al 25" id="14"/>
    <tableColumn name="26 al 01" id="15"/>
    <tableColumn name="02 al 08" id="16"/>
    <tableColumn name="09 al 15" id="17"/>
    <tableColumn name="16 al 22" id="18"/>
    <tableColumn name="23 al 01" id="19"/>
    <tableColumn name="02 al 08 2" id="20"/>
    <tableColumn name="09 al 15 2" id="21"/>
    <tableColumn name="16 al 22 2" id="22"/>
    <tableColumn name="23 al 29" id="23"/>
    <tableColumn name="30 al 05" id="24"/>
    <tableColumn name="06 al 12" id="25"/>
    <tableColumn name="13 al 19" id="26"/>
    <tableColumn name="20 al 26" id="27"/>
    <tableColumn name="27 al 03" id="28"/>
    <tableColumn name="04 al 10" id="29"/>
    <tableColumn name="11 al 17" id="30"/>
    <tableColumn name="18 al 24" id="31"/>
    <tableColumn name="25 al 31" id="32"/>
    <tableColumn name="01 al 07" id="33"/>
    <tableColumn name="08 al 14" id="34"/>
    <tableColumn name="15 al 21" id="35"/>
    <tableColumn name="22 al 28" id="36"/>
    <tableColumn name="29 al 05" id="37"/>
    <tableColumn name="06 al 12 2" id="38"/>
    <tableColumn name="13 al 19 2" id="39"/>
    <tableColumn name="20 al 26 2" id="40"/>
    <tableColumn name="27 al 02" id="41"/>
    <tableColumn name="03 al 09" id="42"/>
    <tableColumn name="10 al 16" id="43"/>
    <tableColumn name="17 al 23" id="44"/>
    <tableColumn name="24 al 30" id="45"/>
    <tableColumn name="31al 06" id="46"/>
    <tableColumn name="07 al 13" id="47"/>
    <tableColumn name="14 al 20" id="48"/>
    <tableColumn name="21 al 27" id="49"/>
    <tableColumn name="28 al 04" id="50"/>
    <tableColumn name="05 al 11 2" id="51"/>
    <tableColumn name="12 al 18 2" id="52"/>
    <tableColumn name="19 al 25 2" id="53"/>
    <tableColumn name="26 al 01 2" id="54"/>
    <tableColumn name="02 al 08 3" id="55"/>
    <tableColumn name="09 al 15 3" id="56"/>
    <tableColumn name="16 al 22 3" id="57"/>
    <tableColumn name="23 al 29 2" id="58"/>
    <tableColumn name="24 al 30 2" id="59"/>
    <tableColumn name="30 al 06" id="60"/>
    <tableColumn name="07 al 13 2" id="61"/>
    <tableColumn name="14 al 20 2" id="62"/>
    <tableColumn name="21 al 27 2" id="63"/>
    <tableColumn name="28 al 03" id="64"/>
    <tableColumn name="05 al 11 3" id="65"/>
  </tableColumns>
  <tableStyleInfo name="Proyección-style" showColumnStripes="0" showFirstColumn="1" showLastColumn="1" showRowStripes="1"/>
</table>
</file>

<file path=xl/tables/table3.xml><?xml version="1.0" encoding="utf-8"?>
<table xmlns="http://schemas.openxmlformats.org/spreadsheetml/2006/main" ref="A9:U16" displayName="Continuidad_de_obras_2026" name="Continuidad_de_obras_2026" id="3">
  <autoFilter ref="$A$9:$U$16"/>
  <tableColumns count="21">
    <tableColumn name="Ítem" id="1"/>
    <tableColumn name="Responsable " id="2"/>
    <tableColumn name="Colaborador" id="3"/>
    <tableColumn name="CC" id="4"/>
    <tableColumn name="C" id="5"/>
    <tableColumn name="Proyecto " id="6"/>
    <tableColumn name="Trabajos Receso 2026" id="7"/>
    <tableColumn name="Inicio " id="8"/>
    <tableColumn name="Termino " id="9"/>
    <tableColumn name="Prioridad" id="10"/>
    <tableColumn name="Ppto 2022" id="11"/>
    <tableColumn name="Ppto 2023" id="12"/>
    <tableColumn name="Ppto 2024" id="13"/>
    <tableColumn name="Ppto 2025" id="14"/>
    <tableColumn name="Ppto 2026" id="15"/>
    <tableColumn name="Ppto doc. 2026" id="16"/>
    <tableColumn name="Saldo" id="17"/>
    <tableColumn name="Ajuste " id="18"/>
    <tableColumn name="% " id="19"/>
    <tableColumn name="Superficie " id="20"/>
    <tableColumn name="Comentario " id="21"/>
  </tableColumns>
  <tableStyleInfo name="Ppto 2026-style" showColumnStripes="0" showFirstColumn="1" showLastColumn="1" showRowStripes="1"/>
</table>
</file>

<file path=xl/tables/table4.xml><?xml version="1.0" encoding="utf-8"?>
<table xmlns="http://schemas.openxmlformats.org/spreadsheetml/2006/main" ref="A21:U30" displayName="_Obras_2026" name="_Obras_2026" id="4">
  <autoFilter ref="$A$21:$U$30"/>
  <tableColumns count="21">
    <tableColumn name="Ítem" id="1"/>
    <tableColumn name="Responsable " id="2"/>
    <tableColumn name="Colaborador" id="3"/>
    <tableColumn name="CC" id="4"/>
    <tableColumn name="C" id="5"/>
    <tableColumn name="Proyecto " id="6"/>
    <tableColumn name="Trabajos Receso 2026" id="7"/>
    <tableColumn name="Inicio " id="8"/>
    <tableColumn name="Termino " id="9"/>
    <tableColumn name="Prioridad" id="10"/>
    <tableColumn name="Ppto 2022" id="11"/>
    <tableColumn name="Ppto 2023" id="12"/>
    <tableColumn name="Ppto 2024" id="13"/>
    <tableColumn name="Ppto 2025" id="14"/>
    <tableColumn name="Ppto 2026" id="15"/>
    <tableColumn name="Ppto doc. 2026" id="16"/>
    <tableColumn name="Saldo" id="17"/>
    <tableColumn name="Ajuste " id="18"/>
    <tableColumn name="%" id="19"/>
    <tableColumn name="Superficie " id="20"/>
    <tableColumn name="Comentario " id="21"/>
  </tableColumns>
  <tableStyleInfo name="Ppto 2026-style 2" showColumnStripes="0" showFirstColumn="1" showLastColumn="1" showRowStripes="1"/>
</table>
</file>

<file path=xl/tables/table5.xml><?xml version="1.0" encoding="utf-8"?>
<table xmlns="http://schemas.openxmlformats.org/spreadsheetml/2006/main" ref="A35:U83" displayName="Remodelaciones_2026" name="Remodelaciones_2026" id="5">
  <autoFilter ref="$A$35:$U$83">
    <filterColumn colId="9">
      <filters>
        <filter val="1"/>
        <filter val="3"/>
      </filters>
    </filterColumn>
  </autoFilter>
  <tableColumns count="21">
    <tableColumn name="Ítem" id="1"/>
    <tableColumn name="Responsable " id="2"/>
    <tableColumn name="Colaborador" id="3"/>
    <tableColumn name="CC" id="4"/>
    <tableColumn name="C" id="5"/>
    <tableColumn name="Proyecto " id="6"/>
    <tableColumn name="Trabajos Receso 2026" id="7"/>
    <tableColumn name="Inicio " id="8"/>
    <tableColumn name="Termino " id="9"/>
    <tableColumn name="Prioridad" id="10"/>
    <tableColumn name="Ppto 2022" id="11"/>
    <tableColumn name="Ppto 2023" id="12"/>
    <tableColumn name="Ppto 2024" id="13"/>
    <tableColumn name="Ppto 2025" id="14"/>
    <tableColumn name="Ppto 2026" id="15"/>
    <tableColumn name="Ppto doc. 2026" id="16"/>
    <tableColumn name="Saldo" id="17"/>
    <tableColumn name="Ajuste " id="18"/>
    <tableColumn name="%" id="19"/>
    <tableColumn name="Superficie " id="20"/>
    <tableColumn name="Comentario " id="21"/>
  </tableColumns>
  <tableStyleInfo name="Ppto 2026-style 3" showColumnStripes="0" showFirstColumn="1" showLastColumn="1" showRowStripes="1"/>
</table>
</file>

<file path=xl/tables/table6.xml><?xml version="1.0" encoding="utf-8"?>
<table xmlns="http://schemas.openxmlformats.org/spreadsheetml/2006/main" headerRowCount="0" ref="Q128" displayName="Table_2" name="Table_2" id="6">
  <tableColumns count="1">
    <tableColumn name="Column1" id="1"/>
  </tableColumns>
  <tableStyleInfo name="Ppto 2026-style 4" showColumnStripes="0" showFirstColumn="1" showLastColumn="1" showRowStripes="1"/>
</table>
</file>

<file path=xl/tables/table7.xml><?xml version="1.0" encoding="utf-8"?>
<table xmlns="http://schemas.openxmlformats.org/spreadsheetml/2006/main" ref="C3:C215" displayName="Table_1" name="Table_1" id="1">
  <autoFilter ref="$C$3:$C$215"/>
  <tableColumns count="1">
    <tableColumn name="OP" id="1"/>
  </tableColumns>
  <tableStyleInfo showColumnStripes="0" showFirstColumn="0" showLastColumn="0" showRowStripes="0"/>
</table>
</file>

<file path=xl/tables/table8.xml><?xml version="1.0" encoding="utf-8"?>
<table xmlns="http://schemas.openxmlformats.org/spreadsheetml/2006/main" ref="A3:BR22" displayName="Tabla_2" name="Tabla_2" id="8">
  <autoFilter ref="$A$3:$BR$22"/>
  <tableColumns count="70">
    <tableColumn name="CC" id="1"/>
    <tableColumn name="Proyecto" id="2"/>
    <tableColumn name="Año" id="3"/>
    <tableColumn name="OC" id="4"/>
    <tableColumn name="Tipo Obra" id="5"/>
    <tableColumn name="Campus" id="6"/>
    <tableColumn name="Edificio" id="7"/>
    <tableColumn name="Uso" id="8"/>
    <tableColumn name="Descripción" id="9"/>
    <tableColumn name="Monto" id="10"/>
    <tableColumn name="Pagado" id="11"/>
    <tableColumn name="Saldo" id="12"/>
    <tableColumn name="%" id="13"/>
    <tableColumn name="Contratista" id="14"/>
    <tableColumn name="Responsable" id="15"/>
    <tableColumn name="Δ" id="16"/>
    <tableColumn name="05 al 11" id="17"/>
    <tableColumn name="12 al 18" id="18"/>
    <tableColumn name="19 al 25" id="19"/>
    <tableColumn name="26 al 01" id="20"/>
    <tableColumn name="02 al 08" id="21"/>
    <tableColumn name="09 al 15" id="22"/>
    <tableColumn name="16 al 22" id="23"/>
    <tableColumn name="23 al 01" id="24"/>
    <tableColumn name="02 al 08 2" id="25"/>
    <tableColumn name="09 al 15 2" id="26"/>
    <tableColumn name="16 al 22 2" id="27"/>
    <tableColumn name="23 al 29" id="28"/>
    <tableColumn name="30 al 05" id="29"/>
    <tableColumn name="06 al 12" id="30"/>
    <tableColumn name="13 al 19" id="31"/>
    <tableColumn name="20 al 26" id="32"/>
    <tableColumn name="27 al 03" id="33"/>
    <tableColumn name="04 al 10" id="34"/>
    <tableColumn name="11 al 17" id="35"/>
    <tableColumn name="18 al 24" id="36"/>
    <tableColumn name="25 al 31" id="37"/>
    <tableColumn name="01 al 07" id="38"/>
    <tableColumn name="08 al 14" id="39"/>
    <tableColumn name="15 al 21" id="40"/>
    <tableColumn name="22 al 28" id="41"/>
    <tableColumn name="29 al 05" id="42"/>
    <tableColumn name="06 al 12 2" id="43"/>
    <tableColumn name="13 al 19 2" id="44"/>
    <tableColumn name="20 al 26 2" id="45"/>
    <tableColumn name="27 al 02" id="46"/>
    <tableColumn name="03 al 09" id="47"/>
    <tableColumn name="10 al 16" id="48"/>
    <tableColumn name="17 al 23" id="49"/>
    <tableColumn name="24 al 30" id="50"/>
    <tableColumn name="31al 06" id="51"/>
    <tableColumn name="07 al 13" id="52"/>
    <tableColumn name="14 al 20" id="53"/>
    <tableColumn name="21 al 27" id="54"/>
    <tableColumn name="28 al 04" id="55"/>
    <tableColumn name="05 al 11 2" id="56"/>
    <tableColumn name="12 al 18 2" id="57"/>
    <tableColumn name="19 al 25 2" id="58"/>
    <tableColumn name="26 al 01 2" id="59"/>
    <tableColumn name="02 al 08 3" id="60"/>
    <tableColumn name="09 al 15 3" id="61"/>
    <tableColumn name="16 al 22 3" id="62"/>
    <tableColumn name="23 al 29 2" id="63"/>
    <tableColumn name="24 al 30 2" id="64"/>
    <tableColumn name="30 al 06" id="65"/>
    <tableColumn name="07 al 13 2" id="66"/>
    <tableColumn name="14 al 20 2" id="67"/>
    <tableColumn name="21 al 27 2" id="68"/>
    <tableColumn name="28 al 03" id="69"/>
    <tableColumn name="05 al 11 3" id="70"/>
  </tableColumns>
  <tableStyleInfo name="Base de datoas ≤ 2025-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11-10T12:53:10.00" personId="{ad94508a-3b65-479a-8357-c304755df866}" id="{f67bc3f3-a4e1-476d-ad20-daf8e3c80265}" done="0">
    <x18tc:text xml:space="preserve">cual es ese?</x18tc:text>
  </x18tc:threadedComment>
  <x18tc:threadedComment ref="A1" dT="2025-11-10T13:05:07.00" personId="{a491286a-4907-4728-a2e3-f225d9dc7ac4}" id="{eb3ed52e-e5c6-4ddf-a32e-a0dce4d88736}" parentId="{f67bc3f3-a4e1-476d-ad20-daf8e3c80265}">
    <x18tc:text xml:space="preserve">hay que borrar, se confundió JI es es tratamiento de la madera laminada</x18tc:text>
  </x18tc:threadedComment>
  <x18tc:threadedComment ref="A1" dT="2026-07-06T15:40:45.00" personId="{69791d5d-42a1-4a84-91c5-3c5a7f7ff273}" id="{adf1eb50-848e-4b02-b9e3-1007e6d3428c}" done="0">
    <x18tc:text xml:space="preserve">Anterior $178.457.507</x18tc:text>
  </x18tc:threadedComment>
  <x18tc:threadedComment ref="A1" dT="2026-07-06T15:41:52.00" personId="{69791d5d-42a1-4a84-91c5-3c5a7f7ff273}" id="{60b3499b-eda3-430a-b6a2-37531182526b}" done="0">
    <x18tc:text xml:space="preserve">Anterior $97.363.163</x18tc:text>
  </x18tc:threadedComment>
  <x18tc:threadedComment ref="A1" dT="2025-11-10T19:20:19.00" personId="{a491286a-4907-4728-a2e3-f225d9dc7ac4}" id="{813ef00f-95ea-43d6-8196-45b079c605d3}" done="1">
    <x18tc:text xml:space="preserve">200KW</x18tc:text>
  </x18tc:threadedComment>
  <x18tc:threadedComment ref="A1" dT="2025-11-11T11:57:45.00" personId="{a491286a-4907-4728-a2e3-f225d9dc7ac4}" id="{27e9083e-9e00-4035-8a13-64f6a1edc9f0}" done="1">
    <x18tc:text xml:space="preserve">@dsilva@uct.cl
Asignada a dsilva@uct.cl</x18tc:text>
    <x18tc:mentions>
      <x18tc:mention mentionpersonId="{033b8898-d3eb-482b-9718-7dbcc0351e86}" mentionId="{6b0c194a-096e-4259-a07e-87edd463f8be}" startIndex="0" length="14"/>
    </x18tc:mentions>
  </x18tc:threadedComment>
  <x18tc:threadedComment ref="A1" dT="2025-11-11T12:14:39.00" personId="{a491286a-4907-4728-a2e3-f225d9dc7ac4}" id="{cf2b9a4e-9f20-4f40-b832-99644fd42a36}" parentId="{27e9083e-9e00-4035-8a13-64f6a1edc9f0}">
    <x18tc:text xml:space="preserve">Marcado como completado</x18tc:text>
  </x18tc:threadedComment>
  <x18tc:threadedComment ref="A1" dT="2025-11-11T12:20:25.00" personId="{ad94508a-3b65-479a-8357-c304755df866}" id="{0f52e5d1-5def-428d-b327-53d956f380de}" parentId="{27e9083e-9e00-4035-8a13-64f6a1edc9f0}">
    <x18tc:text xml:space="preserve">mejor sacarlo y dejar el diseño de la fila 40
Reabierto</x18tc:text>
  </x18tc:threadedComment>
  <x18tc:threadedComment ref="A1" dT="2025-11-11T12:32:34.00" personId="{a491286a-4907-4728-a2e3-f225d9dc7ac4}" id="{7b15c4b0-3f15-4c7f-a9fb-0edb50804dbe}" parentId="{27e9083e-9e00-4035-8a13-64f6a1edc9f0}">
    <x18tc:text xml:space="preserv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V64" dT="2026-04-17T15:27:17.00" personId="{a491286a-4907-4728-a2e3-f225d9dc7ac4}" id="{3e167ece-1681-47c6-b9ff-9143ac0a6401}" done="1">
    <x18tc:text xml:space="preserve">@ccorrea@uct.cl
Asignada a ccorrea@uct.cl</x18tc:text>
    <x18tc:mentions>
      <x18tc:mention mentionpersonId="{4ed3d4fb-a389-47d4-8653-754dcf2d691a}" mentionId="{5b41aedf-0896-47a7-a2e4-5a95abe41a6f}" startIndex="0" length="15"/>
    </x18tc:mentions>
  </x18tc:threadedComment>
  <x18tc:threadedComment ref="K74" dT="2026-04-17T21:34:35.00" personId="{a491286a-4907-4728-a2e3-f225d9dc7ac4}" id="{59d13b3c-3fc6-40d3-ac59-3b24f9c20327}" done="1">
    <x18tc:text xml:space="preserve">@ccorrea@uct.cl cuando termina?
Asignada a ccorrea@uct.cl</x18tc:text>
    <x18tc:mentions>
      <x18tc:mention mentionpersonId="{4ed3d4fb-a389-47d4-8653-754dcf2d691a}" mentionId="{02335877-4c67-4f4c-bb6d-c959db31436c}" startIndex="0" length="15"/>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T55" dT="2025-11-12T11:53:35.00" personId="{ad94508a-3b65-479a-8357-c304755df866}" id="{f9a61851-1346-4432-8b93-90f93303bd9e}" done="1">
    <x18tc:text xml:space="preserve">cambio de piezas, reforzamiento, mejorar pasarela, pintura.</x18tc:text>
  </x18tc:threadedComment>
  <x18tc:threadedComment ref="F12" dT="2025-11-10T17:46:20.00" personId="{a491286a-4907-4728-a2e3-f225d9dc7ac4}" id="{2e8de2b0-29e8-41de-9b67-02b51c7a2798}" done="0">
    <x18tc:text xml:space="preserve">Terminar proyecto</x18tc:text>
  </x18tc:threadedComment>
  <x18tc:threadedComment ref="U67" dT="2025-11-12T11:53:28.00" personId="{a491286a-4907-4728-a2e3-f225d9dc7ac4}" id="{4731aa3f-03d7-45dc-9890-0ab23bb6e53b}" done="0">
    <x18tc:text xml:space="preserve">@mzurita@uct.cl describir la intervención
Asignada a mzurita@uct.cl</x18tc:text>
    <x18tc:mentions>
      <x18tc:mention mentionpersonId="{9800b436-d914-445a-8f6b-2b93575f8b3e}" mentionId="{9eecb676-9b68-4805-8cd4-49de70c84659}" startIndex="0" length="15"/>
    </x18tc:mentions>
  </x18tc:threadedComment>
  <x18tc:threadedComment ref="O10" dT="2025-11-10T17:45:26.00" personId="{a491286a-4907-4728-a2e3-f225d9dc7ac4}" id="{775e2844-9873-43cf-b07f-eafc953b6032}" done="1">
    <x18tc:text xml:space="preserve">Esquineros</x18tc:text>
  </x18tc:threadedComment>
  <x18tc:threadedComment ref="U71" dT="2025-11-12T12:08:20.00" personId="{a491286a-4907-4728-a2e3-f225d9dc7ac4}" id="{200aa0c3-2b5e-4cb4-a5a8-46aef055159d}" done="0">
    <x18tc:text xml:space="preserve">@mzurita@uct.cl describir
Asignada a mzurita@uct.cl</x18tc:text>
    <x18tc:mentions>
      <x18tc:mention mentionpersonId="{9800b436-d914-445a-8f6b-2b93575f8b3e}" mentionId="{8e5e3fa9-8691-4015-8940-b5bd023f478c}" startIndex="0" length="15"/>
    </x18tc:mentions>
  </x18tc:threadedComment>
  <x18tc:threadedComment ref="T23" dT="2025-11-12T11:38:38.00" personId="{a491286a-4907-4728-a2e3-f225d9dc7ac4}" id="{0f8a74bc-080c-479d-8478-4e77ca66e50a}" done="1">
    <x18tc:text xml:space="preserve">@jsolisdeovando@uct.cl  indicar M2 app
Asignada a jsolisdeovando@uct.cl</x18tc:text>
    <x18tc:mentions>
      <x18tc:mention mentionpersonId="{b725716d-9ef1-4954-a7bc-f8092fa1dba7}" mentionId="{584072e1-b342-4ad7-96bb-b0b830d47967}" startIndex="0" length="22"/>
    </x18tc:mentions>
  </x18tc:threadedComment>
  <x18tc:threadedComment ref="F16" dT="2025-11-10T17:48:54.00" personId="{a491286a-4907-4728-a2e3-f225d9dc7ac4}" id="{7b4bb873-3d6a-4967-ba4c-e6ddf3ff2738}" done="1">
    <x18tc:text xml:space="preserve">ver si se realiza</x18tc:text>
  </x18tc:threadedComment>
  <x18tc:threadedComment ref="F43" dT="2025-11-10T18:26:58.00" personId="{a491286a-4907-4728-a2e3-f225d9dc7ac4}" id="{c1eed5c1-4014-4940-84e0-0a16015d9824}" done="1">
    <x18tc:text xml:space="preserve">150 un.</x18tc:text>
  </x18tc:threadedComment>
  <x18tc:threadedComment ref="T29" dT="2025-11-12T11:38:15.00" personId="{a491286a-4907-4728-a2e3-f225d9dc7ac4}" id="{69a57c2b-69b3-442e-878d-4739648820e2}" done="1">
    <x18tc:text xml:space="preserve">@lrios@uct.cl indicar m2 de dos módulos
Asignada a lrios@uct.cl</x18tc:text>
    <x18tc:mentions>
      <x18tc:mention mentionpersonId="{d8a25a3c-030b-4b80-8e66-ee0f830ba023}" mentionId="{0bb437e8-4cbd-4ca9-ba28-5d1e9e9b56f0}" startIndex="0" length="13"/>
    </x18tc:mentions>
  </x18tc:threadedComment>
  <x18tc:threadedComment ref="T50" dT="2025-11-12T11:46:44.00" personId="{a491286a-4907-4728-a2e3-f225d9dc7ac4}" id="{58ef2a4f-f94f-4502-bff1-ef6ed5ed00c5}" done="1">
    <x18tc:text xml:space="preserve">@jsolisdeovando@uct.cl indicar m2
Asignada a jsolisdeovando@uct.cl</x18tc:text>
    <x18tc:mentions>
      <x18tc:mention mentionpersonId="{b725716d-9ef1-4954-a7bc-f8092fa1dba7}" mentionId="{e6df17de-d6ce-4724-b6b5-23f6f68e6b3a}" startIndex="0" length="22"/>
    </x18tc:mentions>
  </x18tc:threadedComment>
  <x18tc:threadedComment ref="O11" dT="2025-11-10T18:51:56.00" personId="{a491286a-4907-4728-a2e3-f225d9dc7ac4}" id="{9a45fff7-ce7f-4c6f-87b0-ff4879c6e75b}" done="1">
    <x18tc:text xml:space="preserve">obra + GE</x18tc:text>
  </x18tc:threadedComment>
  <x18tc:threadedComment ref="T48" dT="2025-11-12T11:45:49.00" personId="{a491286a-4907-4728-a2e3-f225d9dc7ac4}" id="{6eb3df57-711c-4572-bc4f-5581bfd34fa7}" done="1">
    <x18tc:text xml:space="preserve">@jsolisdeovando@uct.cl indicar m2 app
Asignada a jsolisdeovando@uct.cl</x18tc:text>
    <x18tc:mentions>
      <x18tc:mention mentionpersonId="{b725716d-9ef1-4954-a7bc-f8092fa1dba7}" mentionId="{4a907603-7105-4364-9f91-4cdf321a8836}" startIndex="0" length="22"/>
    </x18tc:mentions>
  </x18tc:threadedComment>
  <x18tc:threadedComment ref="U76" dT="2025-11-12T12:08:57.00" personId="{a491286a-4907-4728-a2e3-f225d9dc7ac4}" id="{59ad2133-7192-4d2d-b044-058c068511a8}" done="0">
    <x18tc:text xml:space="preserve">@mzurita@uct.cl describir
Asignada a mzurita@uct.cl</x18tc:text>
    <x18tc:mentions>
      <x18tc:mention mentionpersonId="{9800b436-d914-445a-8f6b-2b93575f8b3e}" mentionId="{6c4db2bc-b526-4ca5-bc80-379a4f0ce46e}" startIndex="0" length="15"/>
    </x18tc:mentions>
  </x18tc:threadedComment>
  <x18tc:threadedComment ref="F67" dT="2025-11-13T13:53:44.00" personId="{a491286a-4907-4728-a2e3-f225d9dc7ac4}" id="{d871cfad-7456-4ab6-8036-5a97402c2dde}" done="0">
    <x18tc:text xml:space="preserve">@mzurita@uct.cl ver cual de los tres es prioridad
Asignada a mzurita@uct.cl</x18tc:text>
    <x18tc:mentions>
      <x18tc:mention mentionpersonId="{9800b436-d914-445a-8f6b-2b93575f8b3e}" mentionId="{4a270343-025d-46d1-bb43-cd9b42ce0702}" startIndex="0" length="15"/>
    </x18tc:mentions>
  </x18tc:threadedComment>
  <x18tc:threadedComment ref="F67" dT="2025-12-18T17:16:51.00" personId="{f10875f2-7ad6-4a41-a9ea-a8588c1dc14b}" id="{562065a7-c050-47ba-b68d-340b666663a1}" parentId="{d871cfad-7456-4ab6-8036-5a97402c2dde}">
    <x18tc:text xml:space="preserve">El edificio 14</x18tc:text>
  </x18tc:threadedComment>
  <x18tc:threadedComment ref="U75" dT="2025-11-12T12:08:44.00" personId="{a491286a-4907-4728-a2e3-f225d9dc7ac4}" id="{3cb68320-5f2e-479e-8a10-380f4815627f}" done="0">
    <x18tc:text xml:space="preserve">@mzurita@uct.cl describir
Asignada a mzurita@uct.cl</x18tc:text>
    <x18tc:mentions>
      <x18tc:mention mentionpersonId="{9800b436-d914-445a-8f6b-2b93575f8b3e}" mentionId="{79e91d71-d134-45a1-bf82-dd19bb7aa3f1}" startIndex="0" length="15"/>
    </x18tc:mentions>
  </x18tc:threadedComment>
  <x18tc:threadedComment ref="T53" dT="2025-11-12T11:48:31.00" personId="{a491286a-4907-4728-a2e3-f225d9dc7ac4}" id="{202660fd-c94d-4fbd-a652-7022e2108cc0}" done="1">
    <x18tc:text xml:space="preserve">@jsolisdeovando@uct.cl indicar m2 app
Asignada a jsolisdeovando@uct.cl</x18tc:text>
    <x18tc:mentions>
      <x18tc:mention mentionpersonId="{b725716d-9ef1-4954-a7bc-f8092fa1dba7}" mentionId="{a8522c0e-eba2-4d82-ac95-d50508642864}" startIndex="0" length="22"/>
    </x18tc:mentions>
  </x18tc:threadedComment>
  <x18tc:threadedComment ref="T51" dT="2025-11-12T11:47:55.00" personId="{a491286a-4907-4728-a2e3-f225d9dc7ac4}" id="{b9646792-6045-4ff3-86c2-c577bd1c0c20}" done="1">
    <x18tc:text xml:space="preserve">@ccorrea@uct.cl puedes indicar m2 de fachadas que dan hacia contenedores y CRC16 porfa
Asignada a ccorrea@uct.cl</x18tc:text>
    <x18tc:mentions>
      <x18tc:mention mentionpersonId="{4ed3d4fb-a389-47d4-8653-754dcf2d691a}" mentionId="{e5401c16-93cf-4444-b4cf-d119900aa3e0}" startIndex="0" length="15"/>
    </x18tc:mentions>
  </x18tc:threadedComment>
  <x18tc:threadedComment ref="O55" dT="2025-11-12T11:50:32.00" personId="{a491286a-4907-4728-a2e3-f225d9dc7ac4}" id="{bd24edec-0ed1-4ab4-a287-fc6a1e8d5fa6}" done="1">
    <x18tc:text xml:space="preserve">@dsilva@uct.cl detallar trabajos
Asignada a dsilva@uct.cl</x18tc:text>
    <x18tc:mentions>
      <x18tc:mention mentionpersonId="{033b8898-d3eb-482b-9718-7dbcc0351e86}" mentionId="{babb0a2f-fd7d-4268-ae16-ce07ede7be62}" startIndex="0" length="14"/>
    </x18tc:mentions>
  </x18tc:threadedComment>
  <x18tc:threadedComment ref="O55" dT="2025-11-12T11:59:08.00" personId="{ad94508a-3b65-479a-8357-c304755df866}" id="{69dd31eb-0959-4811-9c1d-a5f668413598}" parentId="{bd24edec-0ed1-4ab4-a287-fc6a1e8d5fa6}">
    <x18tc:text xml:space="preserve">listo</x18tc:text>
  </x18tc:threadedComment>
  <x18tc:threadedComment ref="T54" dT="2025-11-12T11:49:21.00" personId="{a491286a-4907-4728-a2e3-f225d9dc7ac4}" id="{2bcf633c-b172-4edb-9d8d-eb2acac61343}" done="1">
    <x18tc:text xml:space="preserve">@dsilva@uct.cl indicar m2 app
Asignada a dsilva@uct.cl</x18tc:text>
    <x18tc:mentions>
      <x18tc:mention mentionpersonId="{033b8898-d3eb-482b-9718-7dbcc0351e86}" mentionId="{9124d3ea-62be-47a7-b255-2428c8360901}" startIndex="0" length="14"/>
    </x18tc:mentions>
  </x18tc:threadedComment>
  <x18tc:threadedComment ref="U70" dT="2025-11-12T11:54:28.00" personId="{a491286a-4907-4728-a2e3-f225d9dc7ac4}" id="{28683950-3447-406e-a0a4-edb025294cbf}" done="1">
    <x18tc:text xml:space="preserve">@lrios@uct.cl describir
Asignada a lrios@uct.cl</x18tc:text>
    <x18tc:mentions>
      <x18tc:mention mentionpersonId="{d8a25a3c-030b-4b80-8e66-ee0f830ba023}" mentionId="{2a09b4e0-506f-44b0-a781-45858983c330}" startIndex="0" length="13"/>
    </x18tc:mentions>
  </x18tc:threadedComment>
  <x18tc:threadedComment ref="U69" dT="2025-11-12T11:54:05.00" personId="{a491286a-4907-4728-a2e3-f225d9dc7ac4}" id="{1c04bd73-ef7f-434c-a198-96d4d305961f}" done="0">
    <x18tc:text xml:space="preserve">@mzurita@uct.cl describir
Asignada a mzurita@uct.cl</x18tc:text>
    <x18tc:mentions>
      <x18tc:mention mentionpersonId="{9800b436-d914-445a-8f6b-2b93575f8b3e}" mentionId="{56293a38-1588-42d4-b2fb-bde51b471d2d}" startIndex="0" length="15"/>
    </x18tc:mentions>
  </x18tc:threadedComment>
  <x18tc:threadedComment ref="U69" dT="2025-11-13T11:55:38.00" personId="{f10875f2-7ad6-4a41-a9ea-a8588c1dc14b}" id="{dc7564c1-d8fc-44da-b68c-00fb664d4d67}" parentId="{1c04bd73-ef7f-434c-a198-96d4d305961f}">
    <x18tc:text xml:space="preserve">Lo completas tú con el documento o yo?</x18tc:text>
  </x18tc:threadedComment>
  <x18tc:threadedComment ref="O13" dT="2025-11-10T17:53:10.00" personId="{a491286a-4907-4728-a2e3-f225d9dc7ac4}" id="{c6943022-d9ec-4d1a-aba3-9dd9d69761cb}" done="1">
    <x18tc:text xml:space="preserve">2025 $160.000.000</x18tc:text>
  </x18tc:threadedComment>
  <x18tc:threadedComment ref="U73" dT="2025-11-12T12:08:32.00" personId="{a491286a-4907-4728-a2e3-f225d9dc7ac4}" id="{8e698f69-6ce0-41a9-b8f1-b2c71ad1ca80}" done="0">
    <x18tc:text xml:space="preserve">@mzurita@uct.cl describir
Asignada a mzurita@uct.cl</x18tc:text>
    <x18tc:mentions>
      <x18tc:mention mentionpersonId="{9800b436-d914-445a-8f6b-2b93575f8b3e}" mentionId="{dba17f86-9a2f-429e-9dde-124c8f1e6f86}" startIndex="0" length="15"/>
    </x18tc:mentions>
  </x18tc:threadedComment>
  <x18tc:threadedComment ref="O16" dT="2025-11-11T17:33:08.00" personId="{ad94508a-3b65-479a-8357-c304755df866}" id="{e4802878-08a2-497a-a83d-dd072608b43f}" done="1">
    <x18tc:text xml:space="preserve">cubierta, revestimientos, aislación y terminaciones. instalaciones eléctricas y sanitarias. habilitación básica (calefacción, cocina, mobiliario básico)</x18tc:text>
  </x18tc:threadedComment>
  <x18tc:threadedComment ref="T40" dT="2025-11-12T11:42:01.00" personId="{a491286a-4907-4728-a2e3-f225d9dc7ac4}" id="{4177b570-9612-4978-91e1-2927a6c726dc}" done="1">
    <x18tc:text xml:space="preserve">@jsolisdeovando@uct.cl indicar m2 app</x18tc:text>
    <x18tc:mentions>
      <x18tc:mention mentionpersonId="{b725716d-9ef1-4954-a7bc-f8092fa1dba7}" mentionId="{3712443b-20ee-427d-a3ec-b6ecca755cb4}" startIndex="0" length="22"/>
    </x18tc:mentions>
  </x18tc:threadedComment>
  <x18tc:threadedComment ref="U72" dT="2025-11-12T12:08:27.00" personId="{a491286a-4907-4728-a2e3-f225d9dc7ac4}" id="{f432e14a-d9f1-4322-af94-104be0ca9feb}" done="0">
    <x18tc:text xml:space="preserve">@mzurita@uct.cl describir
Asignada a mzurita@uct.cl</x18tc:text>
    <x18tc:mentions>
      <x18tc:mention mentionpersonId="{9800b436-d914-445a-8f6b-2b93575f8b3e}" mentionId="{d1f03b72-74ae-4b6e-bca3-36e6e32c0eb3}" startIndex="0" length="15"/>
    </x18tc:mentions>
  </x18tc:threadedComment>
  <x18tc:threadedComment ref="O22" dT="2025-11-11T13:29:21.00" personId="{ad94508a-3b65-479a-8357-c304755df866}" id="{84fe4a84-e839-44f6-b75e-dbac44339ed0}" done="1">
    <x18tc:text xml:space="preserve">barandas de seguridad, cierre perimetral piscina, portones, senderos, paisajismo</x18tc:text>
  </x18tc:threadedComment>
  <x18tc:threadedComment ref="U74" dT="2025-11-12T12:08:38.00" personId="{a491286a-4907-4728-a2e3-f225d9dc7ac4}" id="{03a6bab5-f2cf-405e-9588-b32ec25c072b}" done="0">
    <x18tc:text xml:space="preserve">@mzurita@uct.cl describir
Asignada a mzurita@uct.cl</x18tc:text>
    <x18tc:mentions>
      <x18tc:mention mentionpersonId="{9800b436-d914-445a-8f6b-2b93575f8b3e}" mentionId="{c0fc9cd2-9bc0-4840-8d4d-96c653d49cb7}" startIndex="0" length="15"/>
    </x18tc:mentions>
  </x18tc:threadedComment>
  <x18tc:threadedComment ref="T47" dT="2025-11-12T11:44:51.00" personId="{a491286a-4907-4728-a2e3-f225d9dc7ac4}" id="{2d338a56-b612-46d6-a942-7e4ae3fc5b8e}" done="1">
    <x18tc:text xml:space="preserve">@jsolisdeovando@uct.cl indicar m2 app
Asignada a jsolisdeovando@uct.cl</x18tc:text>
    <x18tc:mentions>
      <x18tc:mention mentionpersonId="{b725716d-9ef1-4954-a7bc-f8092fa1dba7}" mentionId="{32049663-8469-4038-af71-96f9fbecd05c}" startIndex="0" length="22"/>
    </x18tc:mentions>
  </x18tc:threadedComment>
  <x18tc:threadedComment ref="U80" dT="2025-11-12T11:55:36.00" personId="{a491286a-4907-4728-a2e3-f225d9dc7ac4}" id="{b317e789-c7d9-471e-b02d-e185cb94639c}" done="0">
    <x18tc:text xml:space="preserve">@ccorrea@uct.cl que edificios deberíamos incorporar según plan este año
Asignada a ccorrea@uct.cl</x18tc:text>
    <x18tc:mentions>
      <x18tc:mention mentionpersonId="{4ed3d4fb-a389-47d4-8653-754dcf2d691a}" mentionId="{f7a0a1d7-dc4d-43a8-b4e3-9c018b3cf686}" startIndex="0" length="15"/>
    </x18tc:mentions>
  </x18tc:threadedComment>
  <x18tc:threadedComment ref="U80" dT="2025-11-12T13:01:33.00" personId="{940ed73f-8c06-4c27-86a6-dc9c9c21882b}" id="{c0bc8949-f0cf-4864-a700-5b995cb8b4b0}" parentId="{b317e789-c7d9-471e-b02d-e185cb94639c}">
    <x18tc:text xml:space="preserve">el FAAD o el EDI, ¿lo esta viendo pedro? sino alguno de esos</x18tc:text>
  </x18tc:threadedComment>
  <x18tc:threadedComment ref="U80" dT="2025-11-12T14:49:51.00" personId="{a491286a-4907-4728-a2e3-f225d9dc7ac4}" id="{2c50bb5f-bb98-4982-8a0e-f195f36d88c0}" parentId="{b317e789-c7d9-471e-b02d-e185cb94639c}">
    <x18tc:text xml:space="preserve">CJP01, CRC09, CRC16 y CSF11-13</x18tc:text>
  </x18tc:threadedComment>
  <x18tc:threadedComment ref="O43" dT="2025-11-12T11:43:33.00" personId="{a491286a-4907-4728-a2e3-f225d9dc7ac4}" id="{ae720dde-d3aa-4247-9378-190999db0a63}" done="1">
    <x18tc:text xml:space="preserve">@jsolisdeovando@uct.cl indicar sector y cantidad
Asignada a jsolisdeovando@uct.cl</x18tc:text>
    <x18tc:mentions>
      <x18tc:mention mentionpersonId="{b725716d-9ef1-4954-a7bc-f8092fa1dba7}" mentionId="{79daac0c-823b-4856-9dfd-c593da055043}" startIndex="0" length="22"/>
    </x18tc:mentions>
  </x18tc:threadedComment>
  <x18tc:threadedComment ref="O15" dT="2025-11-10T18:48:16.00" personId="{a491286a-4907-4728-a2e3-f225d9dc7ac4}" id="{0e6b4a80-1c65-4272-b2c2-17742286310c}" done="1">
    <x18tc:text xml:space="preserve">habilitar laboratorio +Torniquete</x18tc:text>
  </x18tc:threadedComment>
  <x18tc:threadedComment ref="T38" dT="2025-11-12T11:41:27.00" personId="{a491286a-4907-4728-a2e3-f225d9dc7ac4}" id="{f148740c-177d-484e-93c9-a1e704dea399}" done="1">
    <x18tc:text xml:space="preserve">@jsolisdeovando@uct.cl indicar m2 app
Asignada a jsolisdeovando@uct.cl</x18tc:text>
    <x18tc:mentions>
      <x18tc:mention mentionpersonId="{b725716d-9ef1-4954-a7bc-f8092fa1dba7}" mentionId="{025529af-e7a8-4cd5-8179-34980ae92ea2}" startIndex="0" length="22"/>
    </x18tc:mentions>
  </x18tc:threadedComment>
  <x18tc:threadedComment ref="T3" dT="2026-01-05T19:33:01.00" personId="{a491286a-4907-4728-a2e3-f225d9dc7ac4}" id="{0bb18298-3880-4e74-bf0b-c1a0c6a649ff}" done="0">
    <x18tc:text xml:space="preserve">@icisternas@uct.cl
Asignada a icisternas@uct.cl</x18tc:text>
    <x18tc:mentions>
      <x18tc:mention mentionpersonId="{9dc56117-d4fb-41e2-8bcc-475f9c817baa}" mentionId="{8f7189f2-fc22-48cb-8f9e-214e02b38053}" startIndex="0" length="18"/>
    </x18tc:mentions>
  </x18tc:threadedComment>
  <x18tc:threadedComment ref="O24" dT="2025-11-12T11:39:23.00" personId="{a491286a-4907-4728-a2e3-f225d9dc7ac4}" id="{d1fdf998-ef08-4472-b02d-50d9091d5a5c}" done="1">
    <x18tc:text xml:space="preserve">@ccorrea@uct.cl detallar obras
Asignada a ccorrea@uct.cl</x18tc:text>
    <x18tc:mentions>
      <x18tc:mention mentionpersonId="{4ed3d4fb-a389-47d4-8653-754dcf2d691a}" mentionId="{cb25d156-e15c-43fb-a31b-7b8ef6ff02bb}" startIndex="0" length="15"/>
    </x18tc:mentions>
  </x18tc:threadedComment>
  <x18tc:threadedComment ref="U68" dT="2025-11-12T11:53:50.00" personId="{a491286a-4907-4728-a2e3-f225d9dc7ac4}" id="{9b588921-535b-4e13-b7cc-961fbe84ddaf}" done="0">
    <x18tc:text xml:space="preserve">@mzurita@uct.cl describir
Asignada a mzurita@uct.cl</x18tc:text>
    <x18tc:mentions>
      <x18tc:mention mentionpersonId="{9800b436-d914-445a-8f6b-2b93575f8b3e}" mentionId="{d7a572d1-dfea-4856-b224-3c034bf96155}" startIndex="0" length="15"/>
    </x18tc:mentions>
  </x18tc:threadedComment>
  <x18tc:threadedComment ref="U68" dT="2025-11-13T11:55:03.00" personId="{f10875f2-7ad6-4a41-a9ea-a8588c1dc14b}" id="{986f7241-af63-48f6-851f-20078ba3613e}" parentId="{9b588921-535b-4e13-b7cc-961fbe84ddaf}">
    <x18tc:text xml:space="preserve">Se ha descrito en documento, es necesario completar esta celda igualmente</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S47" dT="2026-04-21T18:50:18.00" personId="{a491286a-4907-4728-a2e3-f225d9dc7ac4}" id="{d38a51ee-1288-4c9b-94eb-b510a84c1d02}" done="0">
    <x18tc:text xml:space="preserve">@ameza@uct.cl indicar fecha de pago
Asignada a ameza@uct.cl</x18tc:text>
    <x18tc:mentions>
      <x18tc:mention mentionpersonId="{d748293b-148a-4d3d-8e6e-e688a51fa605}" mentionId="{3de2a804-2e4f-4277-863d-1979749d5c1a}" startIndex="0" length="13"/>
    </x18tc:mentions>
  </x18tc:threadedComment>
  <x18tc:threadedComment ref="S47" dT="2026-05-11T16:31:44.00" personId="{a491286a-4907-4728-a2e3-f225d9dc7ac4}" id="{84f32cb2-837a-4e9e-93cc-52cf734e0508}" parentId="{d38a51ee-1288-4c9b-94eb-b510a84c1d02}">
    <x18tc:text xml:space="preserve">indicar fecha</x18tc:text>
  </x18tc:threadedComment>
  <x18tc:threadedComment ref="S47" dT="2026-05-14T15:10:39.00" personId="{2a10fdf3-bcc8-4d0e-8c92-1b53ded0a960}" id="{21d5dcd6-1751-4a1d-aeee-23079fa044fb}" parentId="{d38a51ee-1288-4c9b-94eb-b510a84c1d02}">
    <x18tc:text xml:space="preserve">Proveedor despacho producto pero no ha llegado, copie en correo pq le estoy haciendo el seguimiento. Slds</x18tc:text>
  </x18tc:threadedComment>
  <x18tc:threadedComment ref="O35" dT="2026-01-21T17:03:56.00" personId="{a491286a-4907-4728-a2e3-f225d9dc7ac4}" id="{123c7ef9-03cc-4c1b-9e12-e8f4d661bc78}" done="1">
    <x18tc:text xml:space="preserve">@lrios@uct.cl indicar proyección de pago
Asignada a lrios@uct.cl</x18tc:text>
    <x18tc:mentions>
      <x18tc:mention mentionpersonId="{d8a25a3c-030b-4b80-8e66-ee0f830ba023}" mentionId="{65f2f1d4-5bb1-4479-9433-6c25722468a6}" startIndex="0" length="13"/>
    </x18tc:mentions>
  </x18tc:threadedComment>
  <x18tc:threadedComment ref="O38" dT="2026-01-21T17:05:30.00" personId="{a491286a-4907-4728-a2e3-f225d9dc7ac4}" id="{94544823-ba93-4318-9677-43191deab1fe}" done="1">
    <x18tc:text xml:space="preserve">@ameza@uct.cl indicar proyección de pago
Asignada a ameza@uct.cl</x18tc:text>
    <x18tc:mentions>
      <x18tc:mention mentionpersonId="{d748293b-148a-4d3d-8e6e-e688a51fa605}" mentionId="{ed167f31-75e5-4149-b7c5-04e42d81369d}" startIndex="0" length="13"/>
    </x18tc:mentions>
  </x18tc:threadedComment>
  <x18tc:threadedComment ref="S68" dT="2026-05-13T19:10:53.00" personId="{a491286a-4907-4728-a2e3-f225d9dc7ac4}" id="{8648f577-fade-41f6-a7fd-a7066713383f}" done="1">
    <x18tc:text xml:space="preserve">@ameza@uct.cl indicar fecha de termino
Asignada a ameza@uct.cl</x18tc:text>
    <x18tc:mentions>
      <x18tc:mention mentionpersonId="{d748293b-148a-4d3d-8e6e-e688a51fa605}" mentionId="{6900dd8f-59e9-4c2c-a091-6d0b73b83a9a}" startIndex="0" length="13"/>
    </x18tc:mentions>
  </x18tc:threadedComment>
  <x18tc:threadedComment ref="S14" dT="2026-04-16T15:42:24.00" personId="{a491286a-4907-4728-a2e3-f225d9dc7ac4}" id="{5312cbee-456b-4991-a3d7-bc58643c30b0}" done="1">
    <x18tc:text xml:space="preserve">@ccorrea@uct.cl confirmar fecha de pago
Asignada a ccorrea@uct.cl</x18tc:text>
    <x18tc:mentions>
      <x18tc:mention mentionpersonId="{4ed3d4fb-a389-47d4-8653-754dcf2d691a}" mentionId="{882df6af-bdba-419c-bd9c-aca9eaf3e5a7}" startIndex="0" length="15"/>
    </x18tc:mentions>
  </x18tc:threadedComment>
  <x18tc:threadedComment ref="S50" dT="2026-04-21T18:54:31.00" personId="{a491286a-4907-4728-a2e3-f225d9dc7ac4}" id="{86a644fd-8620-45f3-8061-a196d8b3512f}" done="0">
    <x18tc:text xml:space="preserve">@ccorrea@uct.cl indicar fecha
Asignada a ccorrea@uct.cl</x18tc:text>
    <x18tc:mentions>
      <x18tc:mention mentionpersonId="{4ed3d4fb-a389-47d4-8653-754dcf2d691a}" mentionId="{0a34242f-4f4d-4e00-9358-f0385c9e08c5}" startIndex="0" length="15"/>
    </x18tc:mentions>
  </x18tc:threadedComment>
  <x18tc:threadedComment ref="S50" dT="2026-04-22T14:03:11.00" personId="{940ed73f-8c06-4c27-86a6-dc9c9c21882b}" id="{e96e0c15-b99e-4363-91b1-1db614e05f53}" parentId="{86a644fd-8620-45f3-8061-a196d8b3512f}">
    <x18tc:text xml:space="preserve">3 semanas después que se emita OC</x18tc:text>
  </x18tc:threadedComment>
  <x18tc:threadedComment ref="S48" dT="2026-04-21T18:51:42.00" personId="{a491286a-4907-4728-a2e3-f225d9dc7ac4}" id="{174dfe82-3483-449c-9112-a0312715bd01}" done="0">
    <x18tc:text xml:space="preserve">@jsolisdeovando@uct.cl indicar fecha de llegada
Asignada a jsolisdeovando@uct.cl</x18tc:text>
    <x18tc:mentions>
      <x18tc:mention mentionpersonId="{b725716d-9ef1-4954-a7bc-f8092fa1dba7}" mentionId="{9191878c-243b-4530-97f1-5c001495fcf6}" startIndex="0" length="22"/>
    </x18tc:mentions>
  </x18tc:threadedComment>
  <x18tc:threadedComment ref="S81" dT="2026-06-04T14:21:55.00" personId="{a491286a-4907-4728-a2e3-f225d9dc7ac4}" id="{c31fddf6-464a-4d5e-8208-4b891c2c8fcf}" done="0">
    <x18tc:text xml:space="preserve">@indicar fecha d epago</x18tc:text>
  </x18tc:threadedComment>
  <x18tc:threadedComment ref="S64" dT="2026-05-07T14:33:12.00" personId="{a491286a-4907-4728-a2e3-f225d9dc7ac4}" id="{a3e2ec2a-64a2-4974-a5ee-bdb7802dd551}" done="1">
    <x18tc:text xml:space="preserve">@jsolisdeovando@uct.cl  indicar fecha
Asignada a jsolisdeovando@uct.cl</x18tc:text>
    <x18tc:mentions>
      <x18tc:mention mentionpersonId="{b725716d-9ef1-4954-a7bc-f8092fa1dba7}" mentionId="{f42a6d58-9c9a-4680-ba0a-aaf2807de16e}" startIndex="0" length="22"/>
    </x18tc:mentions>
  </x18tc:threadedComment>
  <x18tc:threadedComment ref="S82" dT="2026-06-04T14:24:24.00" personId="{a491286a-4907-4728-a2e3-f225d9dc7ac4}" id="{d29d9fb5-a571-40e6-9286-b153c08b65bc}" done="1">
    <x18tc:text xml:space="preserve">@ccorrea@uct.cl indicar fecha de facturación
Asignada a ccorrea@uct.cl</x18tc:text>
    <x18tc:mentions>
      <x18tc:mention mentionpersonId="{4ed3d4fb-a389-47d4-8653-754dcf2d691a}" mentionId="{cae76e76-c61f-40da-b710-e152f91cb257}" startIndex="0" length="15"/>
    </x18tc:mentions>
  </x18tc:threadedComment>
  <x18tc:threadedComment ref="S55" dT="2026-04-22T19:05:57.00" personId="{a491286a-4907-4728-a2e3-f225d9dc7ac4}" id="{12da3bee-e8d6-4fa5-926e-ec1d3eb44fb8}" done="1">
    <x18tc:text xml:space="preserve">@lrios@uct.cl indicar fecha de pago
Asignada a lrios@uct.cl</x18tc:text>
    <x18tc:mentions>
      <x18tc:mention mentionpersonId="{d8a25a3c-030b-4b80-8e66-ee0f830ba023}" mentionId="{f70568a9-fdbc-41a2-938a-840115646467}" startIndex="0" length="13"/>
    </x18tc:mentions>
  </x18tc:threadedComment>
  <x18tc:threadedComment ref="S51" dT="2026-04-21T18:56:25.00" personId="{a491286a-4907-4728-a2e3-f225d9dc7ac4}" id="{e98e1717-ccd1-4d1f-8fa5-1ccb6cb32d3b}" done="0">
    <x18tc:text xml:space="preserve">@jsolisdeovando@uct.cl indicar fecha
Asignada a jsolisdeovando@uct.cl</x18tc:text>
    <x18tc:mentions>
      <x18tc:mention mentionpersonId="{b725716d-9ef1-4954-a7bc-f8092fa1dba7}" mentionId="{3b36b0ed-f41c-4d80-9d4b-647022ee0208}" startIndex="0" length="22"/>
    </x18tc:mentions>
  </x18tc:threadedComment>
  <x18tc:threadedComment ref="S49" dT="2026-04-21T18:52:59.00" personId="{a491286a-4907-4728-a2e3-f225d9dc7ac4}" id="{ac1ea13b-0f39-4b2e-9ed7-8db1422b3139}" done="0">
    <x18tc:text xml:space="preserve">@jsolisdeovando@uct.cl indicar fecha de llegada
Asignada a jsolisdeovando@uct.cl</x18tc:text>
    <x18tc:mentions>
      <x18tc:mention mentionpersonId="{b725716d-9ef1-4954-a7bc-f8092fa1dba7}" mentionId="{8b66d75f-af0d-4956-9a78-8d0e6e9b4eb9}" startIndex="0" length="22"/>
    </x18tc:mentions>
  </x18tc:threadedComment>
  <x18tc:threadedComment ref="S41" dT="2026-01-27T14:02:00.00" personId="{a491286a-4907-4728-a2e3-f225d9dc7ac4}" id="{be8b22c8-0779-4de7-834a-cb8464c70497}" done="1">
    <x18tc:text xml:space="preserve">@ameza@uct.cl indicar
Asignada a ameza@uct.cl</x18tc:text>
    <x18tc:mentions>
      <x18tc:mention mentionpersonId="{d748293b-148a-4d3d-8e6e-e688a51fa605}" mentionId="{22ce1ea6-7148-4fe5-9068-efc9c761c5e5}" startIndex="0" length="13"/>
    </x18tc:mentions>
  </x18tc:threadedComment>
  <x18tc:threadedComment ref="S37" dT="2026-04-15T21:12:48.00" personId="{a491286a-4907-4728-a2e3-f225d9dc7ac4}" id="{fd65127c-114c-4d7d-aec8-2f4fed4ace9b}" done="1">
    <x18tc:text xml:space="preserve">@lrios@uct.cl  indicar fecha de pago</x18tc:text>
    <x18tc:mentions>
      <x18tc:mention mentionpersonId="{d8a25a3c-030b-4b80-8e66-ee0f830ba023}" mentionId="{bab95203-900b-482f-af13-6055904e06ac}" startIndex="0" length="13"/>
    </x18tc:mentions>
  </x18tc:threadedComment>
  <x18tc:threadedComment ref="S59" dT="2026-04-28T20:39:27.00" personId="{a491286a-4907-4728-a2e3-f225d9dc7ac4}" id="{c36439a7-1f0b-48fd-abe3-4b7606216e4d}" done="1">
    <x18tc:text xml:space="preserve">@dsilva@uct.cl informar fecha de pago
Asignada a dsilva@uct.cl</x18tc:text>
    <x18tc:mentions>
      <x18tc:mention mentionpersonId="{033b8898-d3eb-482b-9718-7dbcc0351e86}" mentionId="{990bc550-0d1d-46d2-bcc2-11a9b6a75f3c}" startIndex="0" length="14"/>
    </x18tc:mentions>
  </x18tc:threadedComment>
  <x18tc:threadedComment ref="S59" dT="2026-04-28T20:54:17.00" personId="{ad94508a-3b65-479a-8357-c304755df866}" id="{1d06ee0c-eb0b-43e9-8c7a-1e9e3b0bc4c6}" parentId="{c36439a7-1f0b-48fd-abe3-4b7606216e4d}">
    <x18tc:text xml:space="preserve">Marcado como completado</x18tc:text>
  </x18tc:threadedComment>
  <x18tc:threadedComment ref="S58" dT="2026-04-28T20:24:39.00" personId="{a491286a-4907-4728-a2e3-f225d9dc7ac4}" id="{27c5e1f1-7cfd-41be-ab08-f0283c0afeeb}" done="1">
    <x18tc:text xml:space="preserve">@jsolisdeovando@uct.cl indicar fecha de llegada
Asignada a jsolisdeovando@uct.cl</x18tc:text>
    <x18tc:mentions>
      <x18tc:mention mentionpersonId="{b725716d-9ef1-4954-a7bc-f8092fa1dba7}" mentionId="{da663b1c-68bb-45e3-b4cb-1d0f2d0c9ed1}" startIndex="0" length="22"/>
    </x18tc:mentions>
  </x18tc:threadedComment>
  <x18tc:threadedComment ref="S52" dT="2026-04-22T19:01:29.00" personId="{a491286a-4907-4728-a2e3-f225d9dc7ac4}" id="{af8a1c87-847f-4c7a-b859-f11680018513}" done="1">
    <x18tc:text xml:space="preserve">@dsilva@uct.cl indicar fecha de pago
Asignada a dsilva@uct.cl</x18tc:text>
    <x18tc:mentions>
      <x18tc:mention mentionpersonId="{033b8898-d3eb-482b-9718-7dbcc0351e86}" mentionId="{9573c794-54c5-47b2-8502-a498959a3451}" startIndex="0" length="14"/>
    </x18tc:mentions>
  </x18tc:threadedComment>
  <x18tc:threadedComment ref="S53" dT="2026-04-22T19:02:10.00" personId="{a491286a-4907-4728-a2e3-f225d9dc7ac4}" id="{3e5bca96-40ab-4b7e-8a99-4be8e2400e66}" done="1">
    <x18tc:text xml:space="preserve">@dsilva@uct.cl indicar fecha de pago
Asignada a dsilva@uct.cl</x18tc:text>
    <x18tc:mentions>
      <x18tc:mention mentionpersonId="{033b8898-d3eb-482b-9718-7dbcc0351e86}" mentionId="{608092cb-df6e-485c-bc47-bf6809c1277a}" startIndex="0" length="14"/>
    </x18tc:mentions>
  </x18tc:threadedComment>
  <x18tc:threadedComment ref="S54" dT="2026-04-22T19:05:05.00" personId="{a491286a-4907-4728-a2e3-f225d9dc7ac4}" id="{fd07ebb1-c0e3-4e5b-8b9e-2da375099676}" done="1">
    <x18tc:text xml:space="preserve">@ameza@uct.cl indicar fecha de pago
Asignada a ameza@uct.cl</x18tc:text>
    <x18tc:mentions>
      <x18tc:mention mentionpersonId="{d748293b-148a-4d3d-8e6e-e688a51fa605}" mentionId="{7bf0d44f-6706-474e-a9f7-750b313be3d8}" startIndex="0" length="13"/>
    </x18tc:mentions>
  </x18tc:threadedComment>
  <x18tc:threadedComment ref="S54" dT="2026-05-11T16:31:33.00" personId="{a491286a-4907-4728-a2e3-f225d9dc7ac4}" id="{f90f3058-334d-4b1f-b042-61fff695697b}" parentId="{fd07ebb1-c0e3-4e5b-8b9e-2da375099676}">
    <x18tc:text xml:space="preserve">favor indicar fecha</x18tc:text>
  </x18tc:threadedComment>
  <x18tc:threadedComment ref="S34" dT="2026-04-15T16:30:33.00" personId="{a491286a-4907-4728-a2e3-f225d9dc7ac4}" id="{0bcc7a99-bc1a-45b2-8027-7ce9769fcf3d}" done="1">
    <x18tc:text xml:space="preserve">@jsolisdeovando@uct.cl indicar fecha de pago
Asignada a jsolisdeovando@uct.cl</x18tc:text>
    <x18tc:mentions>
      <x18tc:mention mentionpersonId="{b725716d-9ef1-4954-a7bc-f8092fa1dba7}" mentionId="{69def5c5-225b-4900-ac05-20fe93016015}" startIndex="0" length="22"/>
    </x18tc:mentions>
  </x18tc:threadedComment>
  <x18tc:threadedComment ref="S34" dT="2026-04-15T16:53:54.00" personId="{69791d5d-42a1-4a84-91c5-3c5a7f7ff273}" id="{2558739d-92c3-40af-93c2-f0086cb0988a}" parentId="{0bcc7a99-bc1a-45b2-8027-7ce9769fcf3d}">
    <x18tc:text xml:space="preserve">30% DE ANTICIPO SEMANA DE 20 / 70% RESTANTE SEMANA DEL 20 DE MAYO</x18tc:text>
  </x18tc:threadedComment>
  <x18tc:threadedComment ref="S57" dT="2026-04-24T19:05:44.00" personId="{a491286a-4907-4728-a2e3-f225d9dc7ac4}" id="{1e68805b-317d-49cf-9ca1-cf3d361042d0}" done="1">
    <x18tc:text xml:space="preserve">@mauricio.matus@uct.cl  indicar fecha de pago
Asignada a mauricio.matus@uct.cl</x18tc:text>
    <x18tc:mentions>
      <x18tc:mention mentionpersonId="{865a2c63-033b-4e86-98a4-4cb868e426e0}" mentionId="{e78da595-349c-4ee6-aebc-3558397e2f6b}" startIndex="0" length="22"/>
    </x18tc:mentions>
  </x18tc:threadedComment>
  <x18tc:threadedComment ref="S56" dT="2026-04-24T19:02:51.00" personId="{a491286a-4907-4728-a2e3-f225d9dc7ac4}" id="{a0bfa2e2-dfa9-4763-ad4e-af7bcc4729d7}" done="1">
    <x18tc:text xml:space="preserve">@dsilva@uct.cl informar fecha de pago
Asignada a dsilva@uct.cl</x18tc:text>
    <x18tc:mentions>
      <x18tc:mention mentionpersonId="{033b8898-d3eb-482b-9718-7dbcc0351e86}" mentionId="{36513429-4b37-4111-98f5-023d393e63e3}" startIndex="0" length="14"/>
    </x18tc:mentions>
  </x18tc:threadedComment>
  <x18tc:threadedComment ref="S56" dT="2026-04-24T19:21:12.00" personId="{ad94508a-3b65-479a-8357-c304755df866}" id="{30906dfc-dad1-474d-a42f-6ae864f67d35}" parentId="{a0bfa2e2-dfa9-4763-ad4e-af7bcc4729d7}">
    <x18tc:text xml:space="preserve">Marcado como completado</x18tc:text>
  </x18tc:threadedComment>
  <x18tc:threadedComment ref="S63" dT="2026-05-05T18:53:39.00" personId="{a491286a-4907-4728-a2e3-f225d9dc7ac4}" id="{538eddc7-6754-4d54-84c9-ea2b78660890}" done="1">
    <x18tc:text xml:space="preserve">@jsolisdeovando@uct.cl indicar fecha de pago
Asignada a jsolisdeovando@uct.cl</x18tc:text>
    <x18tc:mentions>
      <x18tc:mention mentionpersonId="{b725716d-9ef1-4954-a7bc-f8092fa1dba7}" mentionId="{0ebe6b5e-a633-429f-82a7-df5a8504e5ad}" startIndex="0" length="22"/>
    </x18tc:mentions>
  </x18tc:threadedComment>
  <x18tc:threadedComment ref="O10" dT="2026-01-26T17:49:47.00" personId="{a491286a-4907-4728-a2e3-f225d9dc7ac4}" id="{f632904f-4221-4951-b35b-c90b86306459}" done="1">
    <x18tc:text xml:space="preserve">@ccorrea@uct.cl indicar fecha de pago
Asignada a ccorrea@uct.cl</x18tc:text>
    <x18tc:mentions>
      <x18tc:mention mentionpersonId="{4ed3d4fb-a389-47d4-8653-754dcf2d691a}" mentionId="{1dbcc2bd-1e5c-405e-8542-38cd2ef745d3}" startIndex="0" length="15"/>
    </x18tc:mentions>
  </x18tc:threadedComment>
  <x18tc:threadedComment ref="S62" dT="2026-05-05T18:52:31.00" personId="{a491286a-4907-4728-a2e3-f225d9dc7ac4}" id="{8f17c05a-51e2-4aae-a63c-b956df2c7ae0}" done="1">
    <x18tc:text xml:space="preserve">@ameza@uct.cl  indicar termino de trabajos
Asignada a ameza@uct.cl</x18tc:text>
    <x18tc:mentions>
      <x18tc:mention mentionpersonId="{d748293b-148a-4d3d-8e6e-e688a51fa605}" mentionId="{a110f9c2-1297-4bea-a2df-381299055d91}" startIndex="0" length="13"/>
    </x18tc:mentions>
  </x18tc:threadedComment>
  <x18tc:threadedComment ref="S62" dT="2026-05-07T14:33:32.00" personId="{a491286a-4907-4728-a2e3-f225d9dc7ac4}" id="{ed37ae81-5ec2-47bd-aab4-4b9568d17cd6}" parentId="{8f17c05a-51e2-4aae-a63c-b956df2c7ae0}">
    <x18tc:text xml:space="preserve">favor contestar para proyectar pago!!!!!</x18tc:text>
  </x18tc:threadedComment>
  <x18tc:threadedComment ref="S62" dT="2026-05-08T15:40:33.00" personId="{2a10fdf3-bcc8-4d0e-8c92-1b53ded0a960}" id="{4c482b9f-58f8-44a9-a8bb-2c722a9c15b8}" parentId="{8f17c05a-51e2-4aae-a63c-b956df2c7ae0}">
    <x18tc:text xml:space="preserve">25 a 30 de mayo</x18tc:text>
  </x18tc:threadedComment>
  <x18tc:threadedComment ref="S62" dT="2026-05-11T16:31:15.00" personId="{a491286a-4907-4728-a2e3-f225d9dc7ac4}" id="{aa90c3e7-1977-44f7-9ab6-173581f66238}" parentId="{8f17c05a-51e2-4aae-a63c-b956df2c7ae0}">
    <x18tc:text xml:space="preserve">escribir en planilla</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P21" dT="2026-04-16T14:28:01.00" personId="{a491286a-4907-4728-a2e3-f225d9dc7ac4}" id="{22e806c0-847a-4a26-980d-d951c954956b}" done="0">
    <x18tc:text xml:space="preserve">@mzurita@uct.cl esto aun no figura el cobro
Asignada a mzurita@uct.cl</x18tc:text>
    <x18tc:mentions>
      <x18tc:mention mentionpersonId="{9800b436-d914-445a-8f6b-2b93575f8b3e}" mentionId="{b71f935a-aa65-4e66-8a67-a75fc96faf02}" startIndex="0" length="15"/>
    </x18tc:mentions>
  </x18tc:threadedComment>
  <x18tc:threadedComment ref="P16" dT="2026-04-16T15:36:36.00" personId="{a491286a-4907-4728-a2e3-f225d9dc7ac4}" id="{cc69c7b6-1edc-40f4-b74f-a4a03fd9a3a7}" done="1">
    <x18tc:text xml:space="preserve">@mzurita@uct.cl cobraron?
Asignada a mzurita@uct.cl</x18tc:text>
    <x18tc:mentions>
      <x18tc:mention mentionpersonId="{9800b436-d914-445a-8f6b-2b93575f8b3e}" mentionId="{b5ba8ad6-34d5-44ea-add2-7f024bbaf4aa}" startIndex="0" length="15"/>
    </x18tc:mentions>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0" dT="2026-04-15T19:49:38.00" personId="{a491286a-4907-4728-a2e3-f225d9dc7ac4}" id="{9d527204-862a-4509-9c71-ee847c8d9489}" done="0">
    <x18tc:text xml:space="preserve">Aumento RF + eléctrico</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25" dT="2026-05-11T19:57:53.00" personId="{a491286a-4907-4728-a2e3-f225d9dc7ac4}" id="{a2d044bc-e4fb-4728-b713-b502bbddaf26}" done="0">
    <x18tc:text xml:space="preserve">@jsolisdeovando@uct.cl indicar monto
Asignada a jsolisdeovando@uct.cl</x18tc:text>
    <x18tc:mentions>
      <x18tc:mention mentionpersonId="{b725716d-9ef1-4954-a7bc-f8092fa1dba7}" mentionId="{ef7c0bd4-1502-4e82-8a6f-b3e210d53fc2}" startIndex="0" length="22"/>
    </x18tc:mentions>
  </x18tc:threadedComment>
  <x18tc:threadedComment ref="N25" dT="2026-05-11T20:19:37.00" personId="{69791d5d-42a1-4a84-91c5-3c5a7f7ff273}" id="{8eb0fd71-4d58-42da-8315-5a6d1a9ca046}" parentId="{a2d044bc-e4fb-4728-b713-b502bbddaf26}">
    <x18tc:text xml:space="preserve">LISTO</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 Id="rId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 Id="rId7"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11" Type="http://schemas.openxmlformats.org/officeDocument/2006/relationships/table" Target="../tables/table4.xml"/><Relationship Id="rId10" Type="http://schemas.openxmlformats.org/officeDocument/2006/relationships/table" Target="../tables/table3.xml"/><Relationship Id="rId13" Type="http://schemas.openxmlformats.org/officeDocument/2006/relationships/table" Target="../tables/table6.xml"/><Relationship Id="rId12" Type="http://schemas.openxmlformats.org/officeDocument/2006/relationships/table" Target="../tables/table5.xml"/><Relationship Id="rId14" Type="http://schemas.microsoft.com/office/2007/relationships/slicer" Target="../slicers/slicer1.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4.xml"/><Relationship Id="rId5" Type="http://schemas.openxmlformats.org/officeDocument/2006/relationships/vmlDrawing" Target="../drawings/vmlDrawing4.vml"/><Relationship Id="rId7" Type="http://schemas.openxmlformats.org/officeDocument/2006/relationships/table" Target="../tables/table7.xml"/><Relationship Id="rId8" Type="http://schemas.microsoft.com/office/2007/relationships/slicer" Target="../slicers/slicer2.x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5.xml"/><Relationship Id="rId5" Type="http://schemas.openxmlformats.org/officeDocument/2006/relationships/vmlDrawing" Target="../drawings/vmlDrawing5.vml"/><Relationship Id="rId7" Type="http://schemas.openxmlformats.org/officeDocument/2006/relationships/table" Target="../tables/table8.x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6.xml"/><Relationship Id="rId5"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7.xml"/><Relationship Id="rId5"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hyperlink" Target="mailto:cajatemuco@edipac.cmpc.cl"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40" Type="http://schemas.openxmlformats.org/officeDocument/2006/relationships/hyperlink" Target="https://drive.google.com/open?id=1npEBki6tTKkhUw5yCFjueI107EAkg0TL" TargetMode="External"/><Relationship Id="rId42" Type="http://schemas.openxmlformats.org/officeDocument/2006/relationships/hyperlink" Target="https://drive.google.com/open?id=1RrUImtIAJ_MtgGxdNtbXPIgSJWvep8gD" TargetMode="External"/><Relationship Id="rId41" Type="http://schemas.openxmlformats.org/officeDocument/2006/relationships/hyperlink" Target="https://drive.google.com/open?id=1ItdJxkYaNGR1VHQOlB4ZrCxHPAtc4Meb" TargetMode="External"/><Relationship Id="rId44" Type="http://schemas.openxmlformats.org/officeDocument/2006/relationships/hyperlink" Target="https://drive.google.com/open?id=17W0EdujcIRAMugYlw1ETf9U75HJIfH1v" TargetMode="External"/><Relationship Id="rId43" Type="http://schemas.openxmlformats.org/officeDocument/2006/relationships/hyperlink" Target="https://drive.google.com/open?id=1VUcfJZHtaojYembzDXDx5Hr9RWK5__af" TargetMode="External"/><Relationship Id="rId46" Type="http://schemas.openxmlformats.org/officeDocument/2006/relationships/hyperlink" Target="https://drive.google.com/open?id=1Ug5ZzegXIyMSySWrRkazj_7YMgALYcwm" TargetMode="External"/><Relationship Id="rId45" Type="http://schemas.openxmlformats.org/officeDocument/2006/relationships/hyperlink" Target="https://drive.google.com/open?id=1JfEutnb4a-j9tE19fAsh26VhSA2dbmtJ" TargetMode="External"/><Relationship Id="rId107" Type="http://schemas.openxmlformats.org/officeDocument/2006/relationships/hyperlink" Target="https://drive.google.com/open?id=104mjxPUf2yhcLYy8HSQLFQwwXIb6B5sT" TargetMode="External"/><Relationship Id="rId106" Type="http://schemas.openxmlformats.org/officeDocument/2006/relationships/hyperlink" Target="https://drive.google.com/open?id=1j56VW5TDRbyuG4Gy1o1bLkJ5xkpJPtqc" TargetMode="External"/><Relationship Id="rId105" Type="http://schemas.openxmlformats.org/officeDocument/2006/relationships/hyperlink" Target="https://drive.google.com/open?id=17FcYm7p-h0QsU82vZtSn1w_QiWYYAY3I" TargetMode="External"/><Relationship Id="rId104" Type="http://schemas.openxmlformats.org/officeDocument/2006/relationships/hyperlink" Target="https://drive.google.com/open?id=1xq2rEbmarCSlL4W4zAL_o3yxvYcOuOgF" TargetMode="External"/><Relationship Id="rId109" Type="http://schemas.openxmlformats.org/officeDocument/2006/relationships/hyperlink" Target="https://drive.google.com/open?id=1V72PABx2DSSLYD5lHoiwJeGcnyLE8oHb" TargetMode="External"/><Relationship Id="rId108" Type="http://schemas.openxmlformats.org/officeDocument/2006/relationships/hyperlink" Target="https://drive.google.com/open?id=1poE_-1amvb8l2wZMCDTVAM0WvqjO93Fw" TargetMode="External"/><Relationship Id="rId48" Type="http://schemas.openxmlformats.org/officeDocument/2006/relationships/hyperlink" Target="https://drive.google.com/open?id=15R9mdHYLH_jd-on_akkQUHLRkc8dLkK6" TargetMode="External"/><Relationship Id="rId47" Type="http://schemas.openxmlformats.org/officeDocument/2006/relationships/hyperlink" Target="https://drive.google.com/open?id=1cdVNMs-o5I4bgJhKBltGh9ejgMt4HKa0" TargetMode="External"/><Relationship Id="rId49" Type="http://schemas.openxmlformats.org/officeDocument/2006/relationships/hyperlink" Target="https://drive.google.com/open?id=13NA8tXOqaUlVBjrVF0UDwflJ7FlOIfHm" TargetMode="External"/><Relationship Id="rId103" Type="http://schemas.openxmlformats.org/officeDocument/2006/relationships/hyperlink" Target="https://drive.google.com/open?id=1_ZXCPQa-xRVVl6iUiFF7g3HXXpYe8LQX" TargetMode="External"/><Relationship Id="rId102" Type="http://schemas.openxmlformats.org/officeDocument/2006/relationships/hyperlink" Target="https://drive.google.com/open?id=1uMeWR4E5Jbteg0Vh9kgByp2ke8lyShya" TargetMode="External"/><Relationship Id="rId101" Type="http://schemas.openxmlformats.org/officeDocument/2006/relationships/hyperlink" Target="https://drive.google.com/open?id=17XtvjIxgWy4UblQT4dqk1-LWrxbCELrC" TargetMode="External"/><Relationship Id="rId100" Type="http://schemas.openxmlformats.org/officeDocument/2006/relationships/hyperlink" Target="https://drive.google.com/open?id=11gGpp8YIM75J_RTzBZH-5ZccJw75vB4s" TargetMode="External"/><Relationship Id="rId31" Type="http://schemas.openxmlformats.org/officeDocument/2006/relationships/hyperlink" Target="https://drive.google.com/open?id=1P0wbTdqeZ7srT0uYYI8fn_xKt9PaxM5g" TargetMode="External"/><Relationship Id="rId30" Type="http://schemas.openxmlformats.org/officeDocument/2006/relationships/hyperlink" Target="https://drive.google.com/open?id=1d2ibdwSs_k5lOXHcFc1uM2iZK4sDvB5e" TargetMode="External"/><Relationship Id="rId33" Type="http://schemas.openxmlformats.org/officeDocument/2006/relationships/hyperlink" Target="https://drive.google.com/open?id=1ZKjTWl5K90wfyuk8Ws1i_4ySjL8azPcw" TargetMode="External"/><Relationship Id="rId32" Type="http://schemas.openxmlformats.org/officeDocument/2006/relationships/hyperlink" Target="https://drive.google.com/open?id=1OOVK9z7pTnPkTNkJF7BLMgW2UafC0m3G" TargetMode="External"/><Relationship Id="rId35" Type="http://schemas.openxmlformats.org/officeDocument/2006/relationships/hyperlink" Target="https://drive.google.com/open?id=1HT1OZA6NeB-QLyO0G2r2CaCJ0SixSvLJ" TargetMode="External"/><Relationship Id="rId34" Type="http://schemas.openxmlformats.org/officeDocument/2006/relationships/hyperlink" Target="https://drive.google.com/open?id=1ooxYZGpGUliAQRm0bW6_2kRHFsy84HCv" TargetMode="External"/><Relationship Id="rId37" Type="http://schemas.openxmlformats.org/officeDocument/2006/relationships/hyperlink" Target="https://drive.google.com/open?id=1xi52j-3cSNCGAkNyTem6dB6XLCiMgODc" TargetMode="External"/><Relationship Id="rId36" Type="http://schemas.openxmlformats.org/officeDocument/2006/relationships/hyperlink" Target="https://drive.google.com/open?id=12wLwM7P59HP2OH-FLfvGJFiXFjRyhIzw" TargetMode="External"/><Relationship Id="rId39" Type="http://schemas.openxmlformats.org/officeDocument/2006/relationships/hyperlink" Target="https://drive.google.com/open?id=1CH7OQ64WCC9_nAiBGs6-nIh6MU9xrfbO" TargetMode="External"/><Relationship Id="rId38" Type="http://schemas.openxmlformats.org/officeDocument/2006/relationships/hyperlink" Target="https://drive.google.com/open?id=1nSJGFnn9trqCbbaBGj6ujvSZm3uzhbME" TargetMode="External"/><Relationship Id="rId20" Type="http://schemas.openxmlformats.org/officeDocument/2006/relationships/hyperlink" Target="https://drive.google.com/open?id=17MTxr3-7O4TZZNS7-JUSHTRuI-y6UItf" TargetMode="External"/><Relationship Id="rId22" Type="http://schemas.openxmlformats.org/officeDocument/2006/relationships/hyperlink" Target="https://drive.google.com/open?id=1lvQwSUxQrdtaL6HGn6oCn69QqyX-0Zq9" TargetMode="External"/><Relationship Id="rId21" Type="http://schemas.openxmlformats.org/officeDocument/2006/relationships/hyperlink" Target="https://drive.google.com/open?id=1n1fkXHhShoWXmLwTxksQ6-ZMHxqxrnxt" TargetMode="External"/><Relationship Id="rId24" Type="http://schemas.openxmlformats.org/officeDocument/2006/relationships/hyperlink" Target="https://drive.google.com/open?id=14uy1pWh1BxBUGRfIsfPF0n0D_yuwW_ZL" TargetMode="External"/><Relationship Id="rId23" Type="http://schemas.openxmlformats.org/officeDocument/2006/relationships/hyperlink" Target="https://drive.google.com/open?id=1HpM4nyEjJRPCIKzlnnLD5Y_QhuoCqs6F" TargetMode="External"/><Relationship Id="rId129" Type="http://schemas.openxmlformats.org/officeDocument/2006/relationships/hyperlink" Target="https://drive.google.com/open?id=1kVTR1IDSgamsFXm4Goc0oBFat4slwvq3" TargetMode="External"/><Relationship Id="rId128" Type="http://schemas.openxmlformats.org/officeDocument/2006/relationships/hyperlink" Target="https://drive.google.com/open?id=1fVPU4f81P8FcS6BsxvXc0a92deg1yYtI" TargetMode="External"/><Relationship Id="rId127" Type="http://schemas.openxmlformats.org/officeDocument/2006/relationships/hyperlink" Target="https://drive.google.com/open?id=1m0-5T409_AnDXDmKyGqds5IwWwWjDxox" TargetMode="External"/><Relationship Id="rId126" Type="http://schemas.openxmlformats.org/officeDocument/2006/relationships/hyperlink" Target="https://drive.google.com/open?id=1EmOSVlln1l5MK6kHAeZUPsEXs70wfMqH" TargetMode="External"/><Relationship Id="rId26" Type="http://schemas.openxmlformats.org/officeDocument/2006/relationships/hyperlink" Target="https://drive.google.com/open?id=1uMj57h3gyxogF3-BvlNY9XosplIvwhBM" TargetMode="External"/><Relationship Id="rId121" Type="http://schemas.openxmlformats.org/officeDocument/2006/relationships/hyperlink" Target="https://drive.google.com/open?id=1jSpmzucOxlDN6luvg9pfh5kws8KxUlYH" TargetMode="External"/><Relationship Id="rId25" Type="http://schemas.openxmlformats.org/officeDocument/2006/relationships/hyperlink" Target="https://drive.google.com/open?id=1ij0pECFAjdj3KBlFVReEkB7h1VUpUmSR" TargetMode="External"/><Relationship Id="rId120" Type="http://schemas.openxmlformats.org/officeDocument/2006/relationships/hyperlink" Target="https://drive.google.com/open?id=1qgwOubqmhXopkxWeeBNCX12YqHcQOt2_" TargetMode="External"/><Relationship Id="rId28" Type="http://schemas.openxmlformats.org/officeDocument/2006/relationships/hyperlink" Target="https://drive.google.com/open?id=16Fr9FtA5TSzOKorfaJYxqSFK2bwHXQx4" TargetMode="External"/><Relationship Id="rId27" Type="http://schemas.openxmlformats.org/officeDocument/2006/relationships/hyperlink" Target="https://drive.google.com/open?id=130v1nybf2Zga6yAFpCF8Panu3YZBIFU-" TargetMode="External"/><Relationship Id="rId125" Type="http://schemas.openxmlformats.org/officeDocument/2006/relationships/hyperlink" Target="https://drive.google.com/open?id=13qR8NLvmp1D2IdUtGpiEsfgM3M8_pNtt" TargetMode="External"/><Relationship Id="rId29" Type="http://schemas.openxmlformats.org/officeDocument/2006/relationships/hyperlink" Target="https://drive.google.com/open?id=1mqBfW_q1TWf22GNKEbmfZYMAmhWUabHj" TargetMode="External"/><Relationship Id="rId124" Type="http://schemas.openxmlformats.org/officeDocument/2006/relationships/hyperlink" Target="https://drive.google.com/open?id=1e3xYw5cDtwhuZxMeKnIv63Mwd54KpORV" TargetMode="External"/><Relationship Id="rId123" Type="http://schemas.openxmlformats.org/officeDocument/2006/relationships/hyperlink" Target="https://drive.google.com/open?id=1lWc3LJ0vy-3n_sJm0HMzd5nPIZYqZnYi" TargetMode="External"/><Relationship Id="rId122" Type="http://schemas.openxmlformats.org/officeDocument/2006/relationships/hyperlink" Target="https://drive.google.com/open?id=1k61g7MCE76-ANxoOmmMr83TNSbxXIBGS" TargetMode="External"/><Relationship Id="rId95" Type="http://schemas.openxmlformats.org/officeDocument/2006/relationships/hyperlink" Target="https://drive.google.com/open?id=1l8dpZOo92-fqVrNCZfCEchRlf5u7QBOT" TargetMode="External"/><Relationship Id="rId94" Type="http://schemas.openxmlformats.org/officeDocument/2006/relationships/hyperlink" Target="https://drive.google.com/open?id=1bIrrzQnMMdHkuG5MrbartKyXoRQv3xo8" TargetMode="External"/><Relationship Id="rId97" Type="http://schemas.openxmlformats.org/officeDocument/2006/relationships/hyperlink" Target="https://drive.google.com/open?id=10WGTYxiV_NbwBdt8oLjmn7IHzUzSRoxW" TargetMode="External"/><Relationship Id="rId96" Type="http://schemas.openxmlformats.org/officeDocument/2006/relationships/hyperlink" Target="https://drive.google.com/open?id=1Wbb9ts8hcZ_nwY0EbRVta3IAgPsouy29" TargetMode="External"/><Relationship Id="rId11" Type="http://schemas.openxmlformats.org/officeDocument/2006/relationships/hyperlink" Target="https://drive.google.com/open?id=1RNvj6VIPe0MUfqbgrtwyBxbxd4QB14d9" TargetMode="External"/><Relationship Id="rId99" Type="http://schemas.openxmlformats.org/officeDocument/2006/relationships/hyperlink" Target="https://drive.google.com/open?id=1N2v87f55KGHwtjmkKrsW-YbVtPXNj6Lb" TargetMode="External"/><Relationship Id="rId10" Type="http://schemas.openxmlformats.org/officeDocument/2006/relationships/hyperlink" Target="https://drive.google.com/open?id=1lipQ5LIsI6njXIJ2vLA8RXLTOH88Bn4q" TargetMode="External"/><Relationship Id="rId98" Type="http://schemas.openxmlformats.org/officeDocument/2006/relationships/hyperlink" Target="https://drive.google.com/open?id=1vw8OP7iCSOUN_PINWzQUzh7dSIF38YfH" TargetMode="External"/><Relationship Id="rId13" Type="http://schemas.openxmlformats.org/officeDocument/2006/relationships/hyperlink" Target="https://drive.google.com/open?id=1EZox5flf0yAYWrS8YQfA_5jOaVV5SP_E" TargetMode="External"/><Relationship Id="rId12" Type="http://schemas.openxmlformats.org/officeDocument/2006/relationships/hyperlink" Target="https://drive.google.com/open?id=1j6Eb9QFL6s1sjfTipYC2BSQnhs5TISVr" TargetMode="External"/><Relationship Id="rId91" Type="http://schemas.openxmlformats.org/officeDocument/2006/relationships/hyperlink" Target="https://drive.google.com/open?id=1jBGX-wangnyAvMxMdvKVHRWrMSW9PlYF" TargetMode="External"/><Relationship Id="rId90" Type="http://schemas.openxmlformats.org/officeDocument/2006/relationships/hyperlink" Target="https://drive.google.com/open?id=1aHZMncg3nQ_G-p_abPMChrGeoT03ct5w" TargetMode="External"/><Relationship Id="rId93" Type="http://schemas.openxmlformats.org/officeDocument/2006/relationships/hyperlink" Target="https://drive.google.com/open?id=15SPCH0VM4fGABuNZy6EEWpvev3u7D3OQ" TargetMode="External"/><Relationship Id="rId92" Type="http://schemas.openxmlformats.org/officeDocument/2006/relationships/hyperlink" Target="https://drive.google.com/open?id=1qYbi3_NhPRCL7KUBSFdbjUHM4hZ_R5yJ" TargetMode="External"/><Relationship Id="rId118" Type="http://schemas.openxmlformats.org/officeDocument/2006/relationships/hyperlink" Target="https://drive.google.com/open?id=1_IOCLO4vX8ZUFmX2KdeK6uODM0K3xZO0" TargetMode="External"/><Relationship Id="rId117" Type="http://schemas.openxmlformats.org/officeDocument/2006/relationships/hyperlink" Target="https://drive.google.com/open?id=1b6iEw3laqcPEVgljvpvTED-LtDGOCkYK" TargetMode="External"/><Relationship Id="rId116" Type="http://schemas.openxmlformats.org/officeDocument/2006/relationships/hyperlink" Target="https://drive.google.com/open?id=1_OrfMKcEWuQsg7Q5zz15XZBVde9fvxfM" TargetMode="External"/><Relationship Id="rId115" Type="http://schemas.openxmlformats.org/officeDocument/2006/relationships/hyperlink" Target="https://drive.google.com/open?id=1lc5ncNFU0L0Pd7o8yZgcimfZ4R9kqT1I" TargetMode="External"/><Relationship Id="rId119" Type="http://schemas.openxmlformats.org/officeDocument/2006/relationships/hyperlink" Target="https://drive.google.com/open?id=1W7e1lf6kkVGC-a20tbSLFoELZmUNrlZK" TargetMode="External"/><Relationship Id="rId15" Type="http://schemas.openxmlformats.org/officeDocument/2006/relationships/hyperlink" Target="https://drive.google.com/open?id=1l2MDLdeUenuVMAabGHDNbhlfUyme5On7" TargetMode="External"/><Relationship Id="rId110" Type="http://schemas.openxmlformats.org/officeDocument/2006/relationships/hyperlink" Target="https://drive.google.com/open?id=18MKJafgbQ86rQEWiJfgziyuim9v29P-7" TargetMode="External"/><Relationship Id="rId14" Type="http://schemas.openxmlformats.org/officeDocument/2006/relationships/hyperlink" Target="https://drive.google.com/open?id=1ynNaa-F39shxIdNba9lGoPfzEcBKJPZx" TargetMode="External"/><Relationship Id="rId17" Type="http://schemas.openxmlformats.org/officeDocument/2006/relationships/hyperlink" Target="https://drive.google.com/open?id=1bvmnBLyioCggDAdoObeaoaMsMIvdzTlH" TargetMode="External"/><Relationship Id="rId16" Type="http://schemas.openxmlformats.org/officeDocument/2006/relationships/hyperlink" Target="https://drive.google.com/open?id=1rYLIIBse7jcHonsRGOT2aMnH6rlRQzq8" TargetMode="External"/><Relationship Id="rId19" Type="http://schemas.openxmlformats.org/officeDocument/2006/relationships/hyperlink" Target="https://drive.google.com/open?id=1pKIPLLaT9OxCkgIP02Hgh9XtWn6D5o1J" TargetMode="External"/><Relationship Id="rId114" Type="http://schemas.openxmlformats.org/officeDocument/2006/relationships/hyperlink" Target="https://drive.google.com/open?id=1vz60JfUjAD6ebhW53OCnPLCAD9hvKFDM" TargetMode="External"/><Relationship Id="rId18" Type="http://schemas.openxmlformats.org/officeDocument/2006/relationships/hyperlink" Target="https://drive.google.com/open?id=1T4fsvUNWIGNO1gs7DlIFEQae3OXoCkrC" TargetMode="External"/><Relationship Id="rId113" Type="http://schemas.openxmlformats.org/officeDocument/2006/relationships/hyperlink" Target="https://drive.google.com/open?id=1fGWFLUJ_zvVW5BevT1CIjYKN1i9u8Uw_" TargetMode="External"/><Relationship Id="rId112" Type="http://schemas.openxmlformats.org/officeDocument/2006/relationships/hyperlink" Target="https://drive.google.com/open?id=1W7Lzd5g0ui6xj3yUEqbmaS0PFLFhypwS" TargetMode="External"/><Relationship Id="rId111" Type="http://schemas.openxmlformats.org/officeDocument/2006/relationships/hyperlink" Target="https://drive.google.com/open?id=1QXfMUaZklC4Yc08CPxhpoX-cAhCVZIbQ" TargetMode="External"/><Relationship Id="rId84" Type="http://schemas.openxmlformats.org/officeDocument/2006/relationships/hyperlink" Target="https://drive.google.com/open?id=1rPaTsB8MDd0V0-9eKYBTj2jiDLDUJo45" TargetMode="External"/><Relationship Id="rId83" Type="http://schemas.openxmlformats.org/officeDocument/2006/relationships/hyperlink" Target="https://drive.google.com/open?id=1D2XcwABNRdI8gvNHVhb10qgKhromGm4N" TargetMode="External"/><Relationship Id="rId86" Type="http://schemas.openxmlformats.org/officeDocument/2006/relationships/hyperlink" Target="https://drive.google.com/open?id=1HiLmOAMMJcQ7s5kjeAw5ZdF-OcWa9Ern" TargetMode="External"/><Relationship Id="rId85" Type="http://schemas.openxmlformats.org/officeDocument/2006/relationships/hyperlink" Target="https://drive.google.com/open?id=1ODcUULjdnJuj30oNZB5XPHt4bJXDMnLJ" TargetMode="External"/><Relationship Id="rId88" Type="http://schemas.openxmlformats.org/officeDocument/2006/relationships/hyperlink" Target="https://drive.google.com/open?id=1hFU1KeV5u1g3UaN4PluaPeeCGeOPUJ_r" TargetMode="External"/><Relationship Id="rId150" Type="http://schemas.openxmlformats.org/officeDocument/2006/relationships/hyperlink" Target="https://drive.google.com/open?id=1stCmp93yPY_WW2w2bpWJUbYAlcZ-H8MB" TargetMode="External"/><Relationship Id="rId87" Type="http://schemas.openxmlformats.org/officeDocument/2006/relationships/hyperlink" Target="https://drive.google.com/open?id=1-_cYAdGFgMQ2uOuH_23KLoi4TLG7W7FY" TargetMode="External"/><Relationship Id="rId89" Type="http://schemas.openxmlformats.org/officeDocument/2006/relationships/hyperlink" Target="https://drive.google.com/open?id=1vCV00MYNsYqZTsouC43IwC1QY76k71cL" TargetMode="External"/><Relationship Id="rId80" Type="http://schemas.openxmlformats.org/officeDocument/2006/relationships/hyperlink" Target="https://drive.google.com/open?id=1_pghPBtTyuyMJjtBjFz3q0E5IONxpv5E" TargetMode="External"/><Relationship Id="rId82" Type="http://schemas.openxmlformats.org/officeDocument/2006/relationships/hyperlink" Target="https://drive.google.com/open?id=1_gGGLqgLJyl4kp4f3hTkxJQD8ODcDBBU" TargetMode="External"/><Relationship Id="rId81" Type="http://schemas.openxmlformats.org/officeDocument/2006/relationships/hyperlink" Target="https://drive.google.com/open?id=1dbUMkjE4gAm5ePa_IvorVvZ1Az3rstzV" TargetMode="External"/><Relationship Id="rId1" Type="http://schemas.openxmlformats.org/officeDocument/2006/relationships/hyperlink" Target="https://drive.google.com/open?id=1Ulh_7RPC9fk_MoIrBlF0bLa7huCYzYbx" TargetMode="External"/><Relationship Id="rId2" Type="http://schemas.openxmlformats.org/officeDocument/2006/relationships/hyperlink" Target="https://drive.google.com/open?id=1j8Zhb213Rmf_3f3J6zybBjHBRg0Zex3h" TargetMode="External"/><Relationship Id="rId3" Type="http://schemas.openxmlformats.org/officeDocument/2006/relationships/hyperlink" Target="https://drive.google.com/open?id=13xhYLXIUr7r951KqW8GfDmyxjOneyDFF" TargetMode="External"/><Relationship Id="rId149" Type="http://schemas.openxmlformats.org/officeDocument/2006/relationships/hyperlink" Target="https://drive.google.com/open?id=1phav2ZczOqoFv-atJaIlIFhV2FWqE-Os" TargetMode="External"/><Relationship Id="rId4" Type="http://schemas.openxmlformats.org/officeDocument/2006/relationships/hyperlink" Target="https://drive.google.com/open?id=1ffk0KrfeL6AlDoXHdX20bIsC9tK7Q-S7" TargetMode="External"/><Relationship Id="rId148" Type="http://schemas.openxmlformats.org/officeDocument/2006/relationships/hyperlink" Target="https://drive.google.com/open?id=1gnUajcafD3wcj2hvwZn9LEpvuTP_ZkjZ" TargetMode="External"/><Relationship Id="rId9" Type="http://schemas.openxmlformats.org/officeDocument/2006/relationships/hyperlink" Target="https://drive.google.com/open?id=1uDicWn3JU_ZYqIDUWL2J31zNua6IEwKZ" TargetMode="External"/><Relationship Id="rId143" Type="http://schemas.openxmlformats.org/officeDocument/2006/relationships/hyperlink" Target="https://drive.google.com/open?id=1Lz9jcJ_WYwBF6-b45HEVOJL69BFzii3j" TargetMode="External"/><Relationship Id="rId142" Type="http://schemas.openxmlformats.org/officeDocument/2006/relationships/hyperlink" Target="https://drive.google.com/open?id=19ypG2wifBlfYVPQMNfgWqKEgGCo9EG8z" TargetMode="External"/><Relationship Id="rId141" Type="http://schemas.openxmlformats.org/officeDocument/2006/relationships/hyperlink" Target="https://drive.google.com/open?id=1idwi3XHvWuz2-kjf5pW2Lz9Yb-R5RSZV" TargetMode="External"/><Relationship Id="rId140" Type="http://schemas.openxmlformats.org/officeDocument/2006/relationships/hyperlink" Target="https://drive.google.com/open?id=1hz1UZvpN842pbye1tNYFBR3qGeZjICT7" TargetMode="External"/><Relationship Id="rId5" Type="http://schemas.openxmlformats.org/officeDocument/2006/relationships/hyperlink" Target="https://drive.google.com/open?id=1_h4rGzW0NLTH0vlf0RjjgDqp7D7dkD4C" TargetMode="External"/><Relationship Id="rId147" Type="http://schemas.openxmlformats.org/officeDocument/2006/relationships/hyperlink" Target="https://drive.google.com/open?id=1jD25-L3RMlMiDNkiksoJMm0X0Cy1YTd0" TargetMode="External"/><Relationship Id="rId6" Type="http://schemas.openxmlformats.org/officeDocument/2006/relationships/hyperlink" Target="https://drive.google.com/open?id=1NyyMwrk7ygIItgSqL4kXVkYv6ZfXkeMF" TargetMode="External"/><Relationship Id="rId146" Type="http://schemas.openxmlformats.org/officeDocument/2006/relationships/hyperlink" Target="https://drive.google.com/open?id=1LXvo8av8LcLmcs_rb810Be4dPf-s4uPO" TargetMode="External"/><Relationship Id="rId7" Type="http://schemas.openxmlformats.org/officeDocument/2006/relationships/hyperlink" Target="https://drive.google.com/open?id=1Ykyjmw4yOan6KjkRCEECnACb4SuGcufe" TargetMode="External"/><Relationship Id="rId145" Type="http://schemas.openxmlformats.org/officeDocument/2006/relationships/hyperlink" Target="https://drive.google.com/open?id=1SofI0PRQQZeVoRR9LYsXbkocMcj8emvn" TargetMode="External"/><Relationship Id="rId8" Type="http://schemas.openxmlformats.org/officeDocument/2006/relationships/hyperlink" Target="https://drive.google.com/open?id=14IPYaedLQbwgtqQBlVsUmuaMtf9nMZpt" TargetMode="External"/><Relationship Id="rId144" Type="http://schemas.openxmlformats.org/officeDocument/2006/relationships/hyperlink" Target="https://drive.google.com/open?id=1sKTePN0VRq_nODku0-cH1q7jaAZFkIFa" TargetMode="External"/><Relationship Id="rId73" Type="http://schemas.openxmlformats.org/officeDocument/2006/relationships/hyperlink" Target="https://drive.google.com/open?id=1MmgbddOqkac2frtxPhbzM-9OEoNZvdaX" TargetMode="External"/><Relationship Id="rId72" Type="http://schemas.openxmlformats.org/officeDocument/2006/relationships/hyperlink" Target="https://drive.google.com/open?id=1VO5Ei92l4ZvHFJ6LVrTbBpZKiPgg5gDR" TargetMode="External"/><Relationship Id="rId75" Type="http://schemas.openxmlformats.org/officeDocument/2006/relationships/hyperlink" Target="https://drive.google.com/open?id=11BaLTmGqQk88p_WBbz8FaScx5MMlk3IG" TargetMode="External"/><Relationship Id="rId74" Type="http://schemas.openxmlformats.org/officeDocument/2006/relationships/hyperlink" Target="https://drive.google.com/open?id=10dvNADpHor4EP5KQIoRofZ0GwXnKfEKl" TargetMode="External"/><Relationship Id="rId77" Type="http://schemas.openxmlformats.org/officeDocument/2006/relationships/hyperlink" Target="https://drive.google.com/open?id=1bIU0wS8hfMc1B11FawLAe2L1Ku8Ck0hD" TargetMode="External"/><Relationship Id="rId76" Type="http://schemas.openxmlformats.org/officeDocument/2006/relationships/hyperlink" Target="https://drive.google.com/open?id=1WoOQX61Q7L4tR3NYwsuq6uhe3ts1i-zv" TargetMode="External"/><Relationship Id="rId79" Type="http://schemas.openxmlformats.org/officeDocument/2006/relationships/hyperlink" Target="https://drive.google.com/open?id=1ntVcdtnwz5DFng1Tc5Q6g7C7d1zWHOqP" TargetMode="External"/><Relationship Id="rId78" Type="http://schemas.openxmlformats.org/officeDocument/2006/relationships/hyperlink" Target="https://drive.google.com/open?id=1eufv8zMU1DcW1X4OkMDqw34uPUQn-Tpf" TargetMode="External"/><Relationship Id="rId71" Type="http://schemas.openxmlformats.org/officeDocument/2006/relationships/hyperlink" Target="https://drive.google.com/open?id=1M476NjG1Q42Wvv1ETascIEwkz53vhrm9" TargetMode="External"/><Relationship Id="rId70" Type="http://schemas.openxmlformats.org/officeDocument/2006/relationships/hyperlink" Target="https://drive.google.com/open?id=10622fnEF5pI6FeDWjHMX7sKOHP0KBbr9" TargetMode="External"/><Relationship Id="rId139" Type="http://schemas.openxmlformats.org/officeDocument/2006/relationships/hyperlink" Target="https://drive.google.com/open?id=1Uc3AlDKjHrwzboBuXDzBdASefSl4x_8T" TargetMode="External"/><Relationship Id="rId138" Type="http://schemas.openxmlformats.org/officeDocument/2006/relationships/hyperlink" Target="https://drive.google.com/open?id=1qMGJhIyhP9kAn5koKogYakQQGsgdMlHT" TargetMode="External"/><Relationship Id="rId137" Type="http://schemas.openxmlformats.org/officeDocument/2006/relationships/hyperlink" Target="https://drive.google.com/open?id=1GDOHe8UzzRF9Tq2OZzfbd9R-cqcb5LSE" TargetMode="External"/><Relationship Id="rId132" Type="http://schemas.openxmlformats.org/officeDocument/2006/relationships/hyperlink" Target="https://drive.google.com/open?id=1raAuLih6-Khu4omWaArvvMkcvPiBBRzU" TargetMode="External"/><Relationship Id="rId131" Type="http://schemas.openxmlformats.org/officeDocument/2006/relationships/hyperlink" Target="https://drive.google.com/open?id=1ozBd4Kxf17JWQtVXiWl9qjvaJLrATT8o" TargetMode="External"/><Relationship Id="rId130" Type="http://schemas.openxmlformats.org/officeDocument/2006/relationships/hyperlink" Target="https://drive.google.com/open?id=17l1h3JFIneEYkuKOPSRettvLnpGGeR-L" TargetMode="External"/><Relationship Id="rId136" Type="http://schemas.openxmlformats.org/officeDocument/2006/relationships/hyperlink" Target="https://drive.google.com/open?id=1hyyOW65jU-mdbwQnIA4Y53mE3Ri3NUeL" TargetMode="External"/><Relationship Id="rId135" Type="http://schemas.openxmlformats.org/officeDocument/2006/relationships/hyperlink" Target="https://drive.google.com/open?id=1FL4F3wyzwInpbedVJD6YdsFPRVsinJCi" TargetMode="External"/><Relationship Id="rId134" Type="http://schemas.openxmlformats.org/officeDocument/2006/relationships/hyperlink" Target="https://drive.google.com/open?id=1HhL-ElQpWagd2GEVw_kKXKp0RdjURQqo" TargetMode="External"/><Relationship Id="rId133" Type="http://schemas.openxmlformats.org/officeDocument/2006/relationships/hyperlink" Target="https://drive.google.com/open?id=1Zn6jhOK47GrlceAWFOM25_a0KzMeS5Yj" TargetMode="External"/><Relationship Id="rId62" Type="http://schemas.openxmlformats.org/officeDocument/2006/relationships/hyperlink" Target="https://drive.google.com/open?id=1Tp_dD0xI2bRIZNnLGbOCEW4BsGHNY2Y7" TargetMode="External"/><Relationship Id="rId61" Type="http://schemas.openxmlformats.org/officeDocument/2006/relationships/hyperlink" Target="https://drive.google.com/open?id=1Oh8MqLf62UsOGZ8sqvpac4UOQtCXTCXy" TargetMode="External"/><Relationship Id="rId64" Type="http://schemas.openxmlformats.org/officeDocument/2006/relationships/hyperlink" Target="https://drive.google.com/open?id=132PBDZ9Z_qucI6UkZXX8z2YiIfgIyf_N" TargetMode="External"/><Relationship Id="rId63" Type="http://schemas.openxmlformats.org/officeDocument/2006/relationships/hyperlink" Target="https://drive.google.com/open?id=1ZFjw7ovAZ-DI2wQaoeqspdw65tIky0J5" TargetMode="External"/><Relationship Id="rId66" Type="http://schemas.openxmlformats.org/officeDocument/2006/relationships/hyperlink" Target="https://drive.google.com/open?id=18F2ThvhKuho_O1_e3xn9HI6E7qfUWQSs" TargetMode="External"/><Relationship Id="rId65" Type="http://schemas.openxmlformats.org/officeDocument/2006/relationships/hyperlink" Target="https://drive.google.com/open?id=1PBFv_iZlBrMILAWAFfoqYPcAyVAiV6bV" TargetMode="External"/><Relationship Id="rId68" Type="http://schemas.openxmlformats.org/officeDocument/2006/relationships/hyperlink" Target="https://drive.google.com/open?id=1ySsD3tGmXBcRdZbrtYSEu195TtO_ZCn5" TargetMode="External"/><Relationship Id="rId67" Type="http://schemas.openxmlformats.org/officeDocument/2006/relationships/hyperlink" Target="https://drive.google.com/open?id=1qmGbXb4vWPbkZgE603wnvUoHYS3JNiGe" TargetMode="External"/><Relationship Id="rId60" Type="http://schemas.openxmlformats.org/officeDocument/2006/relationships/hyperlink" Target="https://drive.google.com/open?id=1JDyOLZBSaZT41BiGKZ0Zy7JF5fjGqcfD" TargetMode="External"/><Relationship Id="rId69" Type="http://schemas.openxmlformats.org/officeDocument/2006/relationships/hyperlink" Target="https://drive.google.com/open?id=1CuBEmq4bLfwexG2qEqoYqW8RDTk5WAUd" TargetMode="External"/><Relationship Id="rId163" Type="http://schemas.openxmlformats.org/officeDocument/2006/relationships/drawing" Target="../drawings/drawing9.xml"/><Relationship Id="rId162" Type="http://schemas.openxmlformats.org/officeDocument/2006/relationships/hyperlink" Target="https://drive.google.com/open?id=1VUexG7T-YO1ILjhqmAeaEraRaWkPcHQK" TargetMode="External"/><Relationship Id="rId51" Type="http://schemas.openxmlformats.org/officeDocument/2006/relationships/hyperlink" Target="https://drive.google.com/open?id=1Jtj2SjRiahJWk1SCFQRPAJPCrYk1rc2m" TargetMode="External"/><Relationship Id="rId50" Type="http://schemas.openxmlformats.org/officeDocument/2006/relationships/hyperlink" Target="https://drive.google.com/open?id=1mZnYixX-M9oLlD3MmKtL0zbaKgpsef8y" TargetMode="External"/><Relationship Id="rId53" Type="http://schemas.openxmlformats.org/officeDocument/2006/relationships/hyperlink" Target="https://drive.google.com/open?id=12jgoJe31N-rhqiEoVsM4K6NDDYKMtuaA" TargetMode="External"/><Relationship Id="rId52" Type="http://schemas.openxmlformats.org/officeDocument/2006/relationships/hyperlink" Target="https://drive.google.com/open?id=1NEJ1f4mTivZkFX0l8zCxUVRf8YG7qC_H" TargetMode="External"/><Relationship Id="rId55" Type="http://schemas.openxmlformats.org/officeDocument/2006/relationships/hyperlink" Target="https://drive.google.com/open?id=1Sn5HrsTzaw-UKjlnF3EyhFB9-k76musr" TargetMode="External"/><Relationship Id="rId161" Type="http://schemas.openxmlformats.org/officeDocument/2006/relationships/hyperlink" Target="https://drive.google.com/open?id=1dW1gTWJ5JJCIG59WVI4mUDAyfRplv5aD" TargetMode="External"/><Relationship Id="rId54" Type="http://schemas.openxmlformats.org/officeDocument/2006/relationships/hyperlink" Target="https://drive.google.com/open?id=14tjq2NECtRUcvVJK2v0PS-epTcHnGgQ6" TargetMode="External"/><Relationship Id="rId160" Type="http://schemas.openxmlformats.org/officeDocument/2006/relationships/hyperlink" Target="https://drive.google.com/open?id=1ChvXS1MBIEQipZ-vhTByfJhS11-pp8_-" TargetMode="External"/><Relationship Id="rId57" Type="http://schemas.openxmlformats.org/officeDocument/2006/relationships/hyperlink" Target="https://drive.google.com/open?id=1KT8Dq_vFpb0EpJZdwwOBhH_HF1NxpRxH" TargetMode="External"/><Relationship Id="rId56" Type="http://schemas.openxmlformats.org/officeDocument/2006/relationships/hyperlink" Target="https://drive.google.com/open?id=1Ss-f3ELq-QrHKyx56VGrKAPpH9gyU0vy" TargetMode="External"/><Relationship Id="rId159" Type="http://schemas.openxmlformats.org/officeDocument/2006/relationships/hyperlink" Target="https://drive.google.com/open?id=1g7AxGnDKktz7ddDJIaIw2cUS8Ov0e_2S" TargetMode="External"/><Relationship Id="rId59" Type="http://schemas.openxmlformats.org/officeDocument/2006/relationships/hyperlink" Target="https://drive.google.com/open?id=19kOVmbMVYYAhWfngp5DKE772ETa7njCJ" TargetMode="External"/><Relationship Id="rId154" Type="http://schemas.openxmlformats.org/officeDocument/2006/relationships/hyperlink" Target="https://drive.google.com/open?id=1-xHu7fAqafF_qT22K8QzcAe_ZfJzcMh3" TargetMode="External"/><Relationship Id="rId58" Type="http://schemas.openxmlformats.org/officeDocument/2006/relationships/hyperlink" Target="https://drive.google.com/open?id=1LYTvHg03419ofYJncTd6Ol8ZvU0r7Vuh" TargetMode="External"/><Relationship Id="rId153" Type="http://schemas.openxmlformats.org/officeDocument/2006/relationships/hyperlink" Target="https://drive.google.com/open?id=1Wk50fnd98UZhpcCOjYiSP8tL1DpZdM6y" TargetMode="External"/><Relationship Id="rId152" Type="http://schemas.openxmlformats.org/officeDocument/2006/relationships/hyperlink" Target="https://drive.google.com/open?id=1-nFxrXvrplUMSIO28FqqTpuKl4CL4pxo" TargetMode="External"/><Relationship Id="rId151" Type="http://schemas.openxmlformats.org/officeDocument/2006/relationships/hyperlink" Target="https://drive.google.com/open?id=1x8MHbJjrPlDgbpJkL8hd4pLvdOFADqTz" TargetMode="External"/><Relationship Id="rId158" Type="http://schemas.openxmlformats.org/officeDocument/2006/relationships/hyperlink" Target="https://drive.google.com/open?id=1SaeKFlDM1ejBrtf0Bqu-k-1AkR3YVKGm" TargetMode="External"/><Relationship Id="rId157" Type="http://schemas.openxmlformats.org/officeDocument/2006/relationships/hyperlink" Target="https://drive.google.com/open?id=16logP9S22suAYi649fu6DKtP0yUr4xRu" TargetMode="External"/><Relationship Id="rId156" Type="http://schemas.openxmlformats.org/officeDocument/2006/relationships/hyperlink" Target="https://drive.google.com/open?id=1fCj3XDheiubWvoDu8pj9XfbVoT3dXwr9" TargetMode="External"/><Relationship Id="rId155" Type="http://schemas.openxmlformats.org/officeDocument/2006/relationships/hyperlink" Target="https://drive.google.com/open?id=1D3uQWdBzDhrvTopPwKim06EEsIdSCc5c"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5.86"/>
    <col customWidth="1" min="2" max="4" width="17.14"/>
    <col customWidth="1" min="5" max="5" width="15.43"/>
    <col customWidth="1" min="6" max="6" width="11.57"/>
    <col customWidth="1" min="11" max="11" width="10.14"/>
    <col customWidth="1" min="15" max="15" width="33.43"/>
    <col customWidth="1" min="16" max="16" width="19.71"/>
    <col customWidth="1" min="17" max="17" width="5.43"/>
  </cols>
  <sheetData>
    <row r="1" ht="22.5" customHeight="1">
      <c r="A1" s="16" t="s">
        <v>2</v>
      </c>
      <c r="B1" s="16" t="s">
        <v>3</v>
      </c>
      <c r="C1" s="19" t="s">
        <v>4</v>
      </c>
      <c r="D1" s="16" t="s">
        <v>5</v>
      </c>
      <c r="E1" s="16" t="s">
        <v>6</v>
      </c>
      <c r="F1" s="16" t="s">
        <v>7</v>
      </c>
      <c r="H1" s="22" t="s">
        <v>9</v>
      </c>
      <c r="I1" s="22" t="s">
        <v>11</v>
      </c>
      <c r="J1" s="22" t="s">
        <v>13</v>
      </c>
      <c r="K1" s="24">
        <v>46149.0</v>
      </c>
    </row>
    <row r="2" ht="22.5" customHeight="1">
      <c r="A2" s="25" t="s">
        <v>18</v>
      </c>
      <c r="B2" s="28">
        <f>SUMIF('Ppto 2026'!$D:$D,A2,'Ppto 2026'!$O:$O)</f>
        <v>730355177</v>
      </c>
      <c r="C2" s="30">
        <v>8.2295186E8</v>
      </c>
      <c r="D2" s="28">
        <f>SUMIF('Ppto 2026'!$D:$D,A2,'Ppto 2026'!$P:$P)</f>
        <v>576590671</v>
      </c>
      <c r="E2" s="28">
        <f t="shared" ref="E2:E6" si="1">C2-D2</f>
        <v>246361189</v>
      </c>
      <c r="F2" s="34">
        <f t="shared" ref="F2:F5" si="2">D2/B2</f>
        <v>0.7894661244</v>
      </c>
      <c r="H2" s="35">
        <v>2.64211915E8</v>
      </c>
      <c r="I2" s="40">
        <f>H2+B37</f>
        <v>264211915</v>
      </c>
      <c r="J2" s="43">
        <f t="shared" ref="J2:J3" si="3">I2-E2</f>
        <v>17850726</v>
      </c>
      <c r="K2" s="45">
        <f t="shared" ref="K2:K5" si="4">(J2/E2)</f>
        <v>0.07245754119</v>
      </c>
    </row>
    <row r="3" ht="22.5" customHeight="1">
      <c r="A3" s="25" t="s">
        <v>75</v>
      </c>
      <c r="B3" s="28">
        <f>SUMIF('Ppto 2026'!$D:$D,A3,'Ppto 2026'!$O:$O)</f>
        <v>1641182758</v>
      </c>
      <c r="C3" s="30">
        <f>'Ppto 2026'!O11</f>
        <v>1641182758</v>
      </c>
      <c r="D3" s="28">
        <f>SUMIF('Ppto 2026'!$D:$D,A3,'Ppto 2026'!$P:$P)</f>
        <v>1577697306</v>
      </c>
      <c r="E3" s="28">
        <f t="shared" si="1"/>
        <v>63485452</v>
      </c>
      <c r="F3" s="34">
        <f t="shared" si="2"/>
        <v>0.9613172563</v>
      </c>
      <c r="H3" s="35">
        <v>6.0488457E7</v>
      </c>
      <c r="I3" s="55">
        <f>B45+H3</f>
        <v>60488457</v>
      </c>
      <c r="J3" s="58">
        <f t="shared" si="3"/>
        <v>-2996995</v>
      </c>
      <c r="K3" s="45">
        <f t="shared" si="4"/>
        <v>-0.04720758702</v>
      </c>
    </row>
    <row r="4" ht="22.5" hidden="1" customHeight="1">
      <c r="A4" s="25" t="s">
        <v>90</v>
      </c>
      <c r="B4" s="28">
        <f>SUMIF('Ppto 2026'!$D:$D,A4,'Ppto 2026'!$O:$O)</f>
        <v>0</v>
      </c>
      <c r="C4" s="28"/>
      <c r="D4" s="28">
        <f>SUMIF('Ppto 2026'!$D:$D,A4,'Ppto 2026'!$P:$P)</f>
        <v>0</v>
      </c>
      <c r="E4" s="28">
        <f t="shared" si="1"/>
        <v>0</v>
      </c>
      <c r="F4" s="34" t="str">
        <f t="shared" si="2"/>
        <v>#DIV/0!</v>
      </c>
      <c r="H4" s="40"/>
      <c r="J4" s="40">
        <f t="shared" ref="J4:J5" si="5">H4-E4</f>
        <v>0</v>
      </c>
      <c r="K4" s="45" t="str">
        <f t="shared" si="4"/>
        <v>#DIV/0!</v>
      </c>
    </row>
    <row r="5" ht="22.5" customHeight="1">
      <c r="A5" s="65" t="s">
        <v>98</v>
      </c>
      <c r="B5" s="28">
        <f>SUMIF('Ppto 2026'!$D:$D,A5,'Ppto 2026'!$O:$O)</f>
        <v>995200912</v>
      </c>
      <c r="C5" s="30">
        <v>9.95200912E8</v>
      </c>
      <c r="D5" s="28">
        <f>SUMIF('Ppto 2026'!$D:$D,A5,'Ppto 2026'!$P:$P)</f>
        <v>957708957</v>
      </c>
      <c r="E5" s="28">
        <f t="shared" si="1"/>
        <v>37491955</v>
      </c>
      <c r="F5" s="34">
        <f t="shared" si="2"/>
        <v>0.9623272502</v>
      </c>
      <c r="H5" s="35">
        <v>1.33118933E8</v>
      </c>
      <c r="I5" s="55">
        <f>B53+H5</f>
        <v>133118933</v>
      </c>
      <c r="J5" s="40">
        <f t="shared" si="5"/>
        <v>95626978</v>
      </c>
      <c r="K5" s="45">
        <f t="shared" si="4"/>
        <v>2.550599935</v>
      </c>
    </row>
    <row r="6" ht="22.5" customHeight="1">
      <c r="A6" s="67" t="s">
        <v>107</v>
      </c>
      <c r="B6" s="69">
        <v>4.0E7</v>
      </c>
      <c r="C6" s="69">
        <f>B6</f>
        <v>40000000</v>
      </c>
      <c r="D6" s="70">
        <f>SUMIF('Ppto 2026'!$D:$D,A6,'Ppto 2026'!$P:$P)</f>
        <v>2196742</v>
      </c>
      <c r="E6" s="70">
        <f t="shared" si="1"/>
        <v>37803258</v>
      </c>
      <c r="F6" s="71"/>
      <c r="H6" s="35" t="s">
        <v>114</v>
      </c>
      <c r="K6" s="45"/>
    </row>
    <row r="7">
      <c r="K7" s="45"/>
    </row>
    <row r="8">
      <c r="I8" s="40">
        <f>C5+C3+C2</f>
        <v>3459335530</v>
      </c>
      <c r="J8" s="40">
        <f>I8*0.05</f>
        <v>172966776.5</v>
      </c>
      <c r="K8" s="45"/>
    </row>
    <row r="9">
      <c r="K9" s="45"/>
    </row>
    <row r="10">
      <c r="K10" s="45"/>
    </row>
    <row r="11">
      <c r="K11" s="45"/>
    </row>
    <row r="12">
      <c r="K12" s="45"/>
    </row>
    <row r="13">
      <c r="K13" s="45"/>
    </row>
    <row r="14">
      <c r="K14" s="45"/>
    </row>
    <row r="15">
      <c r="K15" s="45"/>
      <c r="Q15" s="74"/>
    </row>
    <row r="16">
      <c r="K16" s="45"/>
      <c r="R16" s="55"/>
    </row>
    <row r="17">
      <c r="K17" s="45"/>
      <c r="R17" s="55"/>
    </row>
    <row r="18">
      <c r="K18" s="45"/>
      <c r="R18" s="55"/>
    </row>
    <row r="19">
      <c r="K19" s="45"/>
      <c r="R19" s="55"/>
    </row>
    <row r="20">
      <c r="K20" s="45"/>
      <c r="R20" s="55"/>
    </row>
    <row r="21">
      <c r="K21" s="45"/>
      <c r="O21" s="77"/>
      <c r="R21" s="55"/>
    </row>
    <row r="22">
      <c r="K22" s="45"/>
      <c r="R22" s="55"/>
    </row>
    <row r="23">
      <c r="K23" s="45"/>
      <c r="R23" s="55"/>
    </row>
    <row r="24">
      <c r="K24" s="45"/>
    </row>
    <row r="25">
      <c r="K25" s="45"/>
    </row>
    <row r="26">
      <c r="K26" s="45"/>
    </row>
    <row r="27">
      <c r="K27" s="45"/>
    </row>
    <row r="28">
      <c r="K28" s="45"/>
    </row>
    <row r="29">
      <c r="K29" s="45"/>
    </row>
    <row r="30">
      <c r="K30" s="45"/>
    </row>
    <row r="31">
      <c r="K31" s="45"/>
    </row>
    <row r="32">
      <c r="K32" s="45"/>
    </row>
    <row r="33">
      <c r="K33" s="45"/>
    </row>
    <row r="34">
      <c r="K34" s="45"/>
    </row>
    <row r="35">
      <c r="A35" s="78" t="s">
        <v>128</v>
      </c>
      <c r="K35" s="45"/>
    </row>
    <row r="36">
      <c r="K36" s="45"/>
    </row>
    <row r="37">
      <c r="A37" s="79" t="s">
        <v>129</v>
      </c>
      <c r="B37" s="80"/>
      <c r="C37" s="81"/>
      <c r="D37" s="81"/>
      <c r="E37" s="82"/>
      <c r="K37" s="45"/>
    </row>
    <row r="38">
      <c r="A38" s="83" t="s">
        <v>130</v>
      </c>
      <c r="B38" s="83" t="s">
        <v>131</v>
      </c>
      <c r="C38" s="83"/>
      <c r="D38" s="83" t="s">
        <v>132</v>
      </c>
      <c r="E38" s="83" t="s">
        <v>133</v>
      </c>
      <c r="K38" s="45"/>
    </row>
    <row r="39">
      <c r="A39" s="84" t="s">
        <v>134</v>
      </c>
      <c r="B39" s="85">
        <v>4.7267344E7</v>
      </c>
      <c r="C39" s="84"/>
      <c r="D39" s="84" t="s">
        <v>136</v>
      </c>
      <c r="E39" s="86" t="b">
        <v>1</v>
      </c>
      <c r="K39" s="45"/>
    </row>
    <row r="40">
      <c r="K40" s="45"/>
    </row>
    <row r="41">
      <c r="K41" s="45"/>
    </row>
    <row r="42">
      <c r="K42" s="45"/>
    </row>
    <row r="43">
      <c r="K43" s="45"/>
    </row>
    <row r="44">
      <c r="K44" s="45"/>
    </row>
    <row r="45">
      <c r="A45" s="87" t="s">
        <v>75</v>
      </c>
      <c r="B45" s="80"/>
      <c r="C45" s="81"/>
      <c r="D45" s="81"/>
      <c r="E45" s="82"/>
      <c r="K45" s="45"/>
    </row>
    <row r="46">
      <c r="A46" s="83" t="s">
        <v>130</v>
      </c>
      <c r="B46" s="83" t="s">
        <v>131</v>
      </c>
      <c r="C46" s="83"/>
      <c r="D46" s="83" t="s">
        <v>132</v>
      </c>
      <c r="E46" s="83" t="s">
        <v>133</v>
      </c>
      <c r="K46" s="45"/>
    </row>
    <row r="47">
      <c r="A47" s="84" t="s">
        <v>138</v>
      </c>
      <c r="B47" s="85">
        <v>1.10752237E8</v>
      </c>
      <c r="C47" s="84"/>
      <c r="D47" s="84" t="s">
        <v>136</v>
      </c>
      <c r="E47" s="86" t="b">
        <v>1</v>
      </c>
      <c r="K47" s="45"/>
    </row>
    <row r="48">
      <c r="K48" s="45"/>
    </row>
    <row r="49">
      <c r="K49" s="45"/>
    </row>
    <row r="50">
      <c r="K50" s="45"/>
    </row>
    <row r="51">
      <c r="K51" s="45"/>
    </row>
    <row r="52">
      <c r="K52" s="45"/>
    </row>
    <row r="53">
      <c r="A53" s="87" t="s">
        <v>98</v>
      </c>
      <c r="B53" s="80">
        <f>B55+B56+B57</f>
        <v>0</v>
      </c>
      <c r="C53" s="81"/>
      <c r="D53" s="81"/>
      <c r="E53" s="82"/>
      <c r="K53" s="45"/>
    </row>
    <row r="54">
      <c r="A54" s="83" t="s">
        <v>130</v>
      </c>
      <c r="B54" s="83" t="s">
        <v>131</v>
      </c>
      <c r="C54" s="83"/>
      <c r="D54" s="83" t="s">
        <v>132</v>
      </c>
      <c r="E54" s="83" t="s">
        <v>133</v>
      </c>
      <c r="K54" s="45"/>
    </row>
    <row r="55">
      <c r="A55" s="81"/>
      <c r="B55" s="92"/>
      <c r="C55" s="81"/>
      <c r="D55" s="81"/>
      <c r="E55" s="86" t="b">
        <v>0</v>
      </c>
      <c r="K55" s="45"/>
    </row>
    <row r="56">
      <c r="K56" s="45"/>
    </row>
    <row r="57">
      <c r="K57" s="45"/>
    </row>
    <row r="58">
      <c r="K58" s="45"/>
    </row>
    <row r="59">
      <c r="K59" s="45"/>
    </row>
    <row r="60">
      <c r="K60" s="45"/>
    </row>
    <row r="61">
      <c r="K61" s="45"/>
    </row>
    <row r="62">
      <c r="K62" s="45"/>
    </row>
    <row r="63">
      <c r="K63" s="45"/>
    </row>
    <row r="64">
      <c r="K64" s="45"/>
    </row>
    <row r="65">
      <c r="K65" s="45"/>
    </row>
    <row r="66">
      <c r="K66" s="45"/>
    </row>
    <row r="67">
      <c r="K67" s="45"/>
    </row>
    <row r="68">
      <c r="K68" s="45"/>
    </row>
    <row r="69">
      <c r="K69" s="45"/>
    </row>
    <row r="70">
      <c r="K70" s="45"/>
    </row>
    <row r="71">
      <c r="K71" s="45"/>
    </row>
    <row r="72">
      <c r="K72" s="45"/>
    </row>
    <row r="73">
      <c r="K73" s="45"/>
    </row>
    <row r="74">
      <c r="K74" s="45"/>
    </row>
    <row r="75">
      <c r="K75" s="45"/>
    </row>
    <row r="76">
      <c r="K76" s="45"/>
    </row>
    <row r="77">
      <c r="K77" s="45"/>
    </row>
    <row r="78">
      <c r="K78" s="45"/>
    </row>
    <row r="79">
      <c r="K79" s="45"/>
    </row>
    <row r="80">
      <c r="K80" s="45"/>
    </row>
    <row r="81">
      <c r="K81" s="45"/>
    </row>
    <row r="82">
      <c r="K82" s="45"/>
    </row>
    <row r="83">
      <c r="K83" s="45"/>
    </row>
    <row r="84">
      <c r="K84" s="45"/>
    </row>
    <row r="85">
      <c r="K85" s="45"/>
    </row>
    <row r="86">
      <c r="K86" s="45"/>
    </row>
    <row r="87">
      <c r="K87" s="45"/>
    </row>
    <row r="88">
      <c r="K88" s="45"/>
    </row>
    <row r="89">
      <c r="K89" s="45"/>
    </row>
    <row r="90">
      <c r="K90" s="45"/>
    </row>
    <row r="91">
      <c r="K91" s="45"/>
    </row>
    <row r="92">
      <c r="K92" s="45"/>
    </row>
    <row r="93">
      <c r="K93" s="45"/>
    </row>
    <row r="94">
      <c r="K94" s="45"/>
    </row>
    <row r="95">
      <c r="K95" s="45"/>
    </row>
    <row r="96">
      <c r="K96" s="45"/>
    </row>
    <row r="97">
      <c r="K97" s="45"/>
    </row>
    <row r="98">
      <c r="K98" s="45"/>
    </row>
    <row r="99">
      <c r="K99" s="45"/>
    </row>
    <row r="100">
      <c r="K100" s="45"/>
    </row>
    <row r="101">
      <c r="K101" s="45"/>
    </row>
    <row r="102">
      <c r="K102" s="45"/>
    </row>
    <row r="103">
      <c r="K103" s="45"/>
    </row>
    <row r="104">
      <c r="K104" s="45"/>
    </row>
    <row r="105">
      <c r="K105" s="45"/>
    </row>
    <row r="106">
      <c r="K106" s="45"/>
    </row>
    <row r="107">
      <c r="K107" s="45"/>
    </row>
    <row r="108">
      <c r="K108" s="45"/>
    </row>
    <row r="109">
      <c r="K109" s="45"/>
    </row>
    <row r="110">
      <c r="K110" s="45"/>
    </row>
    <row r="111">
      <c r="K111" s="45"/>
    </row>
    <row r="112">
      <c r="K112" s="45"/>
    </row>
    <row r="113">
      <c r="K113" s="45"/>
    </row>
    <row r="114">
      <c r="K114" s="45"/>
    </row>
    <row r="115">
      <c r="K115" s="45"/>
    </row>
    <row r="116">
      <c r="K116" s="45"/>
    </row>
    <row r="117">
      <c r="K117" s="45"/>
    </row>
    <row r="118">
      <c r="K118" s="45"/>
    </row>
    <row r="119">
      <c r="K119" s="45"/>
    </row>
    <row r="120">
      <c r="K120" s="45"/>
    </row>
    <row r="121">
      <c r="K121" s="45"/>
    </row>
    <row r="122">
      <c r="K122" s="45"/>
    </row>
    <row r="123">
      <c r="K123" s="45"/>
    </row>
    <row r="124">
      <c r="K124" s="45"/>
    </row>
    <row r="125">
      <c r="K125" s="45"/>
    </row>
    <row r="126">
      <c r="K126" s="45"/>
    </row>
    <row r="127">
      <c r="K127" s="45"/>
    </row>
    <row r="128">
      <c r="K128" s="45"/>
    </row>
    <row r="129">
      <c r="K129" s="45"/>
    </row>
    <row r="130">
      <c r="K130" s="45"/>
    </row>
    <row r="131">
      <c r="K131" s="45"/>
    </row>
    <row r="132">
      <c r="K132" s="45"/>
    </row>
    <row r="133">
      <c r="K133" s="45"/>
    </row>
    <row r="134">
      <c r="K134" s="45"/>
    </row>
    <row r="135">
      <c r="K135" s="45"/>
    </row>
    <row r="136">
      <c r="K136" s="45"/>
    </row>
    <row r="137">
      <c r="K137" s="45"/>
    </row>
    <row r="138">
      <c r="K138" s="45"/>
    </row>
    <row r="139">
      <c r="K139" s="45"/>
    </row>
    <row r="140">
      <c r="K140" s="45"/>
    </row>
    <row r="141">
      <c r="K141" s="45"/>
    </row>
    <row r="142">
      <c r="K142" s="45"/>
    </row>
    <row r="143">
      <c r="K143" s="45"/>
    </row>
    <row r="144">
      <c r="K144" s="45"/>
    </row>
    <row r="145">
      <c r="K145" s="45"/>
    </row>
    <row r="146">
      <c r="K146" s="45"/>
    </row>
    <row r="147">
      <c r="K147" s="45"/>
    </row>
    <row r="148">
      <c r="K148" s="45"/>
    </row>
    <row r="149">
      <c r="K149" s="45"/>
    </row>
    <row r="150">
      <c r="K150" s="45"/>
    </row>
    <row r="151">
      <c r="K151" s="45"/>
    </row>
    <row r="152">
      <c r="K152" s="45"/>
    </row>
    <row r="153">
      <c r="K153" s="45"/>
    </row>
    <row r="154">
      <c r="K154" s="45"/>
    </row>
    <row r="155">
      <c r="K155" s="45"/>
    </row>
    <row r="156">
      <c r="K156" s="45"/>
    </row>
    <row r="157">
      <c r="K157" s="45"/>
    </row>
    <row r="158">
      <c r="K158" s="45"/>
    </row>
    <row r="159">
      <c r="K159" s="45"/>
    </row>
    <row r="160">
      <c r="K160" s="45"/>
    </row>
    <row r="161">
      <c r="K161" s="45"/>
    </row>
    <row r="162">
      <c r="K162" s="45"/>
    </row>
    <row r="163">
      <c r="K163" s="45"/>
    </row>
    <row r="164">
      <c r="K164" s="45"/>
    </row>
    <row r="165">
      <c r="K165" s="45"/>
    </row>
    <row r="166">
      <c r="K166" s="45"/>
    </row>
    <row r="167">
      <c r="K167" s="45"/>
    </row>
    <row r="168">
      <c r="K168" s="45"/>
    </row>
    <row r="169">
      <c r="K169" s="45"/>
    </row>
    <row r="170">
      <c r="K170" s="45"/>
    </row>
    <row r="171">
      <c r="K171" s="45"/>
    </row>
    <row r="172">
      <c r="K172" s="45"/>
    </row>
    <row r="173">
      <c r="K173" s="45"/>
    </row>
    <row r="174">
      <c r="K174" s="45"/>
    </row>
    <row r="175">
      <c r="K175" s="45"/>
    </row>
    <row r="176">
      <c r="K176" s="45"/>
    </row>
    <row r="177">
      <c r="K177" s="45"/>
    </row>
    <row r="178">
      <c r="K178" s="45"/>
    </row>
    <row r="179">
      <c r="K179" s="45"/>
    </row>
    <row r="180">
      <c r="K180" s="45"/>
    </row>
    <row r="181">
      <c r="K181" s="45"/>
    </row>
    <row r="182">
      <c r="K182" s="45"/>
    </row>
    <row r="183">
      <c r="K183" s="45"/>
    </row>
    <row r="184">
      <c r="K184" s="45"/>
    </row>
    <row r="185">
      <c r="K185" s="45"/>
    </row>
    <row r="186">
      <c r="K186" s="45"/>
    </row>
    <row r="187">
      <c r="K187" s="45"/>
    </row>
    <row r="188">
      <c r="K188" s="45"/>
    </row>
    <row r="189">
      <c r="K189" s="45"/>
    </row>
    <row r="190">
      <c r="K190" s="45"/>
    </row>
    <row r="191">
      <c r="K191" s="45"/>
    </row>
    <row r="192">
      <c r="K192" s="45"/>
    </row>
    <row r="193">
      <c r="K193" s="45"/>
    </row>
    <row r="194">
      <c r="K194" s="45"/>
    </row>
    <row r="195">
      <c r="K195" s="45"/>
    </row>
    <row r="196">
      <c r="K196" s="45"/>
    </row>
    <row r="197">
      <c r="K197" s="45"/>
    </row>
    <row r="198">
      <c r="K198" s="45"/>
    </row>
    <row r="199">
      <c r="K199" s="45"/>
    </row>
    <row r="200">
      <c r="K200" s="45"/>
    </row>
    <row r="201">
      <c r="K201" s="45"/>
    </row>
    <row r="202">
      <c r="K202" s="45"/>
    </row>
    <row r="203">
      <c r="K203" s="45"/>
    </row>
    <row r="204">
      <c r="K204" s="45"/>
    </row>
    <row r="205">
      <c r="K205" s="45"/>
    </row>
    <row r="206">
      <c r="K206" s="45"/>
    </row>
    <row r="207">
      <c r="K207" s="45"/>
    </row>
    <row r="208">
      <c r="K208" s="45"/>
    </row>
    <row r="209">
      <c r="K209" s="45"/>
    </row>
    <row r="210">
      <c r="K210" s="45"/>
    </row>
    <row r="211">
      <c r="K211" s="45"/>
    </row>
    <row r="212">
      <c r="K212" s="45"/>
    </row>
    <row r="213">
      <c r="K213" s="45"/>
    </row>
    <row r="214">
      <c r="K214" s="45"/>
    </row>
    <row r="215">
      <c r="K215" s="45"/>
    </row>
    <row r="216">
      <c r="K216" s="45"/>
    </row>
    <row r="217">
      <c r="K217" s="45"/>
    </row>
    <row r="218">
      <c r="K218" s="45"/>
    </row>
    <row r="219">
      <c r="K219" s="45"/>
    </row>
    <row r="220">
      <c r="K220" s="45"/>
    </row>
    <row r="221">
      <c r="K221" s="45"/>
    </row>
    <row r="222">
      <c r="K222" s="45"/>
    </row>
    <row r="223">
      <c r="K223" s="45"/>
    </row>
    <row r="224">
      <c r="K224" s="45"/>
    </row>
    <row r="225">
      <c r="K225" s="45"/>
    </row>
    <row r="226">
      <c r="K226" s="45"/>
    </row>
    <row r="227">
      <c r="K227" s="45"/>
    </row>
    <row r="228">
      <c r="K228" s="45"/>
    </row>
    <row r="229">
      <c r="K229" s="45"/>
    </row>
    <row r="230">
      <c r="K230" s="45"/>
    </row>
    <row r="231">
      <c r="K231" s="45"/>
    </row>
    <row r="232">
      <c r="K232" s="45"/>
    </row>
    <row r="233">
      <c r="K233" s="45"/>
    </row>
    <row r="234">
      <c r="K234" s="45"/>
    </row>
    <row r="235">
      <c r="K235" s="45"/>
    </row>
    <row r="236">
      <c r="K236" s="45"/>
    </row>
    <row r="237">
      <c r="K237" s="45"/>
    </row>
    <row r="238">
      <c r="K238" s="45"/>
    </row>
    <row r="239">
      <c r="K239" s="45"/>
    </row>
    <row r="240">
      <c r="K240" s="45"/>
    </row>
    <row r="241">
      <c r="K241" s="45"/>
    </row>
    <row r="242">
      <c r="K242" s="45"/>
    </row>
    <row r="243">
      <c r="K243" s="45"/>
    </row>
    <row r="244">
      <c r="K244" s="45"/>
    </row>
    <row r="245">
      <c r="K245" s="45"/>
    </row>
    <row r="246">
      <c r="K246" s="45"/>
    </row>
    <row r="247">
      <c r="K247" s="45"/>
    </row>
    <row r="248">
      <c r="K248" s="45"/>
    </row>
    <row r="249">
      <c r="K249" s="45"/>
    </row>
    <row r="250">
      <c r="K250" s="45"/>
    </row>
    <row r="251">
      <c r="K251" s="45"/>
    </row>
    <row r="252">
      <c r="K252" s="45"/>
    </row>
    <row r="253">
      <c r="K253" s="45"/>
    </row>
    <row r="254">
      <c r="K254" s="45"/>
    </row>
    <row r="255">
      <c r="K255" s="45"/>
    </row>
    <row r="256">
      <c r="K256" s="45"/>
    </row>
    <row r="257">
      <c r="K257" s="45"/>
    </row>
    <row r="258">
      <c r="K258" s="45"/>
    </row>
    <row r="259">
      <c r="K259" s="45"/>
    </row>
    <row r="260">
      <c r="K260" s="45"/>
    </row>
    <row r="261">
      <c r="K261" s="45"/>
    </row>
    <row r="262">
      <c r="K262" s="45"/>
    </row>
    <row r="263">
      <c r="K263" s="45"/>
    </row>
    <row r="264">
      <c r="K264" s="45"/>
    </row>
    <row r="265">
      <c r="K265" s="45"/>
    </row>
    <row r="266">
      <c r="K266" s="45"/>
    </row>
    <row r="267">
      <c r="K267" s="45"/>
    </row>
    <row r="268">
      <c r="K268" s="45"/>
    </row>
    <row r="269">
      <c r="K269" s="45"/>
    </row>
    <row r="270">
      <c r="K270" s="45"/>
    </row>
    <row r="271">
      <c r="K271" s="45"/>
    </row>
    <row r="272">
      <c r="K272" s="45"/>
    </row>
    <row r="273">
      <c r="K273" s="45"/>
    </row>
    <row r="274">
      <c r="K274" s="45"/>
    </row>
    <row r="275">
      <c r="K275" s="45"/>
    </row>
    <row r="276">
      <c r="K276" s="45"/>
    </row>
    <row r="277">
      <c r="K277" s="45"/>
    </row>
    <row r="278">
      <c r="K278" s="45"/>
    </row>
    <row r="279">
      <c r="K279" s="45"/>
    </row>
    <row r="280">
      <c r="K280" s="45"/>
    </row>
    <row r="281">
      <c r="K281" s="45"/>
    </row>
    <row r="282">
      <c r="K282" s="45"/>
    </row>
    <row r="283">
      <c r="K283" s="45"/>
    </row>
    <row r="284">
      <c r="K284" s="45"/>
    </row>
    <row r="285">
      <c r="K285" s="45"/>
    </row>
    <row r="286">
      <c r="K286" s="45"/>
    </row>
    <row r="287">
      <c r="K287" s="45"/>
    </row>
    <row r="288">
      <c r="K288" s="45"/>
    </row>
    <row r="289">
      <c r="K289" s="45"/>
    </row>
    <row r="290">
      <c r="K290" s="45"/>
    </row>
    <row r="291">
      <c r="K291" s="45"/>
    </row>
    <row r="292">
      <c r="K292" s="45"/>
    </row>
    <row r="293">
      <c r="K293" s="45"/>
    </row>
    <row r="294">
      <c r="K294" s="45"/>
    </row>
    <row r="295">
      <c r="K295" s="45"/>
    </row>
    <row r="296">
      <c r="K296" s="45"/>
    </row>
    <row r="297">
      <c r="K297" s="45"/>
    </row>
    <row r="298">
      <c r="K298" s="45"/>
    </row>
    <row r="299">
      <c r="K299" s="45"/>
    </row>
    <row r="300">
      <c r="K300" s="45"/>
    </row>
    <row r="301">
      <c r="K301" s="45"/>
    </row>
    <row r="302">
      <c r="K302" s="45"/>
    </row>
    <row r="303">
      <c r="K303" s="45"/>
    </row>
    <row r="304">
      <c r="K304" s="45"/>
    </row>
    <row r="305">
      <c r="K305" s="45"/>
    </row>
    <row r="306">
      <c r="K306" s="45"/>
    </row>
    <row r="307">
      <c r="K307" s="45"/>
    </row>
    <row r="308">
      <c r="K308" s="45"/>
    </row>
    <row r="309">
      <c r="K309" s="45"/>
    </row>
    <row r="310">
      <c r="K310" s="45"/>
    </row>
    <row r="311">
      <c r="K311" s="45"/>
    </row>
    <row r="312">
      <c r="K312" s="45"/>
    </row>
    <row r="313">
      <c r="K313" s="45"/>
    </row>
    <row r="314">
      <c r="K314" s="45"/>
    </row>
    <row r="315">
      <c r="K315" s="45"/>
    </row>
    <row r="316">
      <c r="K316" s="45"/>
    </row>
    <row r="317">
      <c r="K317" s="45"/>
    </row>
    <row r="318">
      <c r="K318" s="45"/>
    </row>
    <row r="319">
      <c r="K319" s="45"/>
    </row>
    <row r="320">
      <c r="K320" s="45"/>
    </row>
    <row r="321">
      <c r="K321" s="45"/>
    </row>
    <row r="322">
      <c r="K322" s="45"/>
    </row>
    <row r="323">
      <c r="K323" s="45"/>
    </row>
    <row r="324">
      <c r="K324" s="45"/>
    </row>
    <row r="325">
      <c r="K325" s="45"/>
    </row>
    <row r="326">
      <c r="K326" s="45"/>
    </row>
    <row r="327">
      <c r="K327" s="45"/>
    </row>
    <row r="328">
      <c r="K328" s="45"/>
    </row>
    <row r="329">
      <c r="K329" s="45"/>
    </row>
    <row r="330">
      <c r="K330" s="45"/>
    </row>
    <row r="331">
      <c r="K331" s="45"/>
    </row>
    <row r="332">
      <c r="K332" s="45"/>
    </row>
    <row r="333">
      <c r="K333" s="45"/>
    </row>
    <row r="334">
      <c r="K334" s="45"/>
    </row>
    <row r="335">
      <c r="K335" s="45"/>
    </row>
    <row r="336">
      <c r="K336" s="45"/>
    </row>
    <row r="337">
      <c r="K337" s="45"/>
    </row>
    <row r="338">
      <c r="K338" s="45"/>
    </row>
    <row r="339">
      <c r="K339" s="45"/>
    </row>
    <row r="340">
      <c r="K340" s="45"/>
    </row>
    <row r="341">
      <c r="K341" s="45"/>
    </row>
    <row r="342">
      <c r="K342" s="45"/>
    </row>
    <row r="343">
      <c r="K343" s="45"/>
    </row>
    <row r="344">
      <c r="K344" s="45"/>
    </row>
    <row r="345">
      <c r="K345" s="45"/>
    </row>
    <row r="346">
      <c r="K346" s="45"/>
    </row>
    <row r="347">
      <c r="K347" s="45"/>
    </row>
    <row r="348">
      <c r="K348" s="45"/>
    </row>
    <row r="349">
      <c r="K349" s="45"/>
    </row>
    <row r="350">
      <c r="K350" s="45"/>
    </row>
    <row r="351">
      <c r="K351" s="45"/>
    </row>
    <row r="352">
      <c r="K352" s="45"/>
    </row>
    <row r="353">
      <c r="K353" s="45"/>
    </row>
    <row r="354">
      <c r="K354" s="45"/>
    </row>
    <row r="355">
      <c r="K355" s="45"/>
    </row>
    <row r="356">
      <c r="K356" s="45"/>
    </row>
    <row r="357">
      <c r="K357" s="45"/>
    </row>
    <row r="358">
      <c r="K358" s="45"/>
    </row>
    <row r="359">
      <c r="K359" s="45"/>
    </row>
    <row r="360">
      <c r="K360" s="45"/>
    </row>
    <row r="361">
      <c r="K361" s="45"/>
    </row>
    <row r="362">
      <c r="K362" s="45"/>
    </row>
    <row r="363">
      <c r="K363" s="45"/>
    </row>
    <row r="364">
      <c r="K364" s="45"/>
    </row>
    <row r="365">
      <c r="K365" s="45"/>
    </row>
    <row r="366">
      <c r="K366" s="45"/>
    </row>
    <row r="367">
      <c r="K367" s="45"/>
    </row>
    <row r="368">
      <c r="K368" s="45"/>
    </row>
    <row r="369">
      <c r="K369" s="45"/>
    </row>
    <row r="370">
      <c r="K370" s="45"/>
    </row>
    <row r="371">
      <c r="K371" s="45"/>
    </row>
    <row r="372">
      <c r="K372" s="45"/>
    </row>
    <row r="373">
      <c r="K373" s="45"/>
    </row>
    <row r="374">
      <c r="K374" s="45"/>
    </row>
    <row r="375">
      <c r="K375" s="45"/>
    </row>
    <row r="376">
      <c r="K376" s="45"/>
    </row>
    <row r="377">
      <c r="K377" s="45"/>
    </row>
    <row r="378">
      <c r="K378" s="45"/>
    </row>
    <row r="379">
      <c r="K379" s="45"/>
    </row>
    <row r="380">
      <c r="K380" s="45"/>
    </row>
    <row r="381">
      <c r="K381" s="45"/>
    </row>
    <row r="382">
      <c r="K382" s="45"/>
    </row>
    <row r="383">
      <c r="K383" s="45"/>
    </row>
    <row r="384">
      <c r="K384" s="45"/>
    </row>
    <row r="385">
      <c r="K385" s="45"/>
    </row>
    <row r="386">
      <c r="K386" s="45"/>
    </row>
    <row r="387">
      <c r="K387" s="45"/>
    </row>
    <row r="388">
      <c r="K388" s="45"/>
    </row>
    <row r="389">
      <c r="K389" s="45"/>
    </row>
    <row r="390">
      <c r="K390" s="45"/>
    </row>
    <row r="391">
      <c r="K391" s="45"/>
    </row>
    <row r="392">
      <c r="K392" s="45"/>
    </row>
    <row r="393">
      <c r="K393" s="45"/>
    </row>
    <row r="394">
      <c r="K394" s="45"/>
    </row>
    <row r="395">
      <c r="K395" s="45"/>
    </row>
    <row r="396">
      <c r="K396" s="45"/>
    </row>
    <row r="397">
      <c r="K397" s="45"/>
    </row>
    <row r="398">
      <c r="K398" s="45"/>
    </row>
    <row r="399">
      <c r="K399" s="45"/>
    </row>
    <row r="400">
      <c r="K400" s="45"/>
    </row>
    <row r="401">
      <c r="K401" s="45"/>
    </row>
    <row r="402">
      <c r="K402" s="45"/>
    </row>
    <row r="403">
      <c r="K403" s="45"/>
    </row>
    <row r="404">
      <c r="K404" s="45"/>
    </row>
    <row r="405">
      <c r="K405" s="45"/>
    </row>
    <row r="406">
      <c r="K406" s="45"/>
    </row>
    <row r="407">
      <c r="K407" s="45"/>
    </row>
    <row r="408">
      <c r="K408" s="45"/>
    </row>
    <row r="409">
      <c r="K409" s="45"/>
    </row>
    <row r="410">
      <c r="K410" s="45"/>
    </row>
    <row r="411">
      <c r="K411" s="45"/>
    </row>
    <row r="412">
      <c r="K412" s="45"/>
    </row>
    <row r="413">
      <c r="K413" s="45"/>
    </row>
    <row r="414">
      <c r="K414" s="45"/>
    </row>
    <row r="415">
      <c r="K415" s="45"/>
    </row>
    <row r="416">
      <c r="K416" s="45"/>
    </row>
    <row r="417">
      <c r="K417" s="45"/>
    </row>
    <row r="418">
      <c r="K418" s="45"/>
    </row>
    <row r="419">
      <c r="K419" s="45"/>
    </row>
    <row r="420">
      <c r="K420" s="45"/>
    </row>
    <row r="421">
      <c r="K421" s="45"/>
    </row>
    <row r="422">
      <c r="K422" s="45"/>
    </row>
    <row r="423">
      <c r="K423" s="45"/>
    </row>
    <row r="424">
      <c r="K424" s="45"/>
    </row>
    <row r="425">
      <c r="K425" s="45"/>
    </row>
    <row r="426">
      <c r="K426" s="45"/>
    </row>
    <row r="427">
      <c r="K427" s="45"/>
    </row>
    <row r="428">
      <c r="K428" s="45"/>
    </row>
    <row r="429">
      <c r="K429" s="45"/>
    </row>
    <row r="430">
      <c r="K430" s="45"/>
    </row>
    <row r="431">
      <c r="K431" s="45"/>
    </row>
    <row r="432">
      <c r="K432" s="45"/>
    </row>
    <row r="433">
      <c r="K433" s="45"/>
    </row>
    <row r="434">
      <c r="K434" s="45"/>
    </row>
    <row r="435">
      <c r="K435" s="45"/>
    </row>
    <row r="436">
      <c r="K436" s="45"/>
    </row>
    <row r="437">
      <c r="K437" s="45"/>
    </row>
    <row r="438">
      <c r="K438" s="45"/>
    </row>
    <row r="439">
      <c r="K439" s="45"/>
    </row>
    <row r="440">
      <c r="K440" s="45"/>
    </row>
    <row r="441">
      <c r="K441" s="45"/>
    </row>
    <row r="442">
      <c r="K442" s="45"/>
    </row>
    <row r="443">
      <c r="K443" s="45"/>
    </row>
    <row r="444">
      <c r="K444" s="45"/>
    </row>
    <row r="445">
      <c r="K445" s="45"/>
    </row>
    <row r="446">
      <c r="K446" s="45"/>
    </row>
    <row r="447">
      <c r="K447" s="45"/>
    </row>
    <row r="448">
      <c r="K448" s="45"/>
    </row>
    <row r="449">
      <c r="K449" s="45"/>
    </row>
    <row r="450">
      <c r="K450" s="45"/>
    </row>
    <row r="451">
      <c r="K451" s="45"/>
    </row>
    <row r="452">
      <c r="K452" s="45"/>
    </row>
    <row r="453">
      <c r="K453" s="45"/>
    </row>
    <row r="454">
      <c r="K454" s="45"/>
    </row>
    <row r="455">
      <c r="K455" s="45"/>
    </row>
    <row r="456">
      <c r="K456" s="45"/>
    </row>
    <row r="457">
      <c r="K457" s="45"/>
    </row>
    <row r="458">
      <c r="K458" s="45"/>
    </row>
    <row r="459">
      <c r="K459" s="45"/>
    </row>
    <row r="460">
      <c r="K460" s="45"/>
    </row>
    <row r="461">
      <c r="K461" s="45"/>
    </row>
    <row r="462">
      <c r="K462" s="45"/>
    </row>
    <row r="463">
      <c r="K463" s="45"/>
    </row>
    <row r="464">
      <c r="K464" s="45"/>
    </row>
    <row r="465">
      <c r="K465" s="45"/>
    </row>
    <row r="466">
      <c r="K466" s="45"/>
    </row>
    <row r="467">
      <c r="K467" s="45"/>
    </row>
    <row r="468">
      <c r="K468" s="45"/>
    </row>
    <row r="469">
      <c r="K469" s="45"/>
    </row>
    <row r="470">
      <c r="K470" s="45"/>
    </row>
    <row r="471">
      <c r="K471" s="45"/>
    </row>
    <row r="472">
      <c r="K472" s="45"/>
    </row>
    <row r="473">
      <c r="K473" s="45"/>
    </row>
    <row r="474">
      <c r="K474" s="45"/>
    </row>
    <row r="475">
      <c r="K475" s="45"/>
    </row>
    <row r="476">
      <c r="K476" s="45"/>
    </row>
    <row r="477">
      <c r="K477" s="45"/>
    </row>
    <row r="478">
      <c r="K478" s="45"/>
    </row>
    <row r="479">
      <c r="K479" s="45"/>
    </row>
    <row r="480">
      <c r="K480" s="45"/>
    </row>
    <row r="481">
      <c r="K481" s="45"/>
    </row>
    <row r="482">
      <c r="K482" s="45"/>
    </row>
    <row r="483">
      <c r="K483" s="45"/>
    </row>
    <row r="484">
      <c r="K484" s="45"/>
    </row>
    <row r="485">
      <c r="K485" s="45"/>
    </row>
    <row r="486">
      <c r="K486" s="45"/>
    </row>
    <row r="487">
      <c r="K487" s="45"/>
    </row>
    <row r="488">
      <c r="K488" s="45"/>
    </row>
    <row r="489">
      <c r="K489" s="45"/>
    </row>
    <row r="490">
      <c r="K490" s="45"/>
    </row>
    <row r="491">
      <c r="K491" s="45"/>
    </row>
    <row r="492">
      <c r="K492" s="45"/>
    </row>
    <row r="493">
      <c r="K493" s="45"/>
    </row>
    <row r="494">
      <c r="K494" s="45"/>
    </row>
    <row r="495">
      <c r="K495" s="45"/>
    </row>
    <row r="496">
      <c r="K496" s="45"/>
    </row>
    <row r="497">
      <c r="K497" s="45"/>
    </row>
    <row r="498">
      <c r="K498" s="45"/>
    </row>
    <row r="499">
      <c r="K499" s="45"/>
    </row>
    <row r="500">
      <c r="K500" s="45"/>
    </row>
    <row r="501">
      <c r="K501" s="45"/>
    </row>
    <row r="502">
      <c r="K502" s="45"/>
    </row>
    <row r="503">
      <c r="K503" s="45"/>
    </row>
    <row r="504">
      <c r="K504" s="45"/>
    </row>
    <row r="505">
      <c r="K505" s="45"/>
    </row>
    <row r="506">
      <c r="K506" s="45"/>
    </row>
    <row r="507">
      <c r="K507" s="45"/>
    </row>
    <row r="508">
      <c r="K508" s="45"/>
    </row>
    <row r="509">
      <c r="K509" s="45"/>
    </row>
    <row r="510">
      <c r="K510" s="45"/>
    </row>
    <row r="511">
      <c r="K511" s="45"/>
    </row>
    <row r="512">
      <c r="K512" s="45"/>
    </row>
    <row r="513">
      <c r="K513" s="45"/>
    </row>
    <row r="514">
      <c r="K514" s="45"/>
    </row>
    <row r="515">
      <c r="K515" s="45"/>
    </row>
    <row r="516">
      <c r="K516" s="45"/>
    </row>
    <row r="517">
      <c r="K517" s="45"/>
    </row>
    <row r="518">
      <c r="K518" s="45"/>
    </row>
    <row r="519">
      <c r="K519" s="45"/>
    </row>
    <row r="520">
      <c r="K520" s="45"/>
    </row>
    <row r="521">
      <c r="K521" s="45"/>
    </row>
    <row r="522">
      <c r="K522" s="45"/>
    </row>
    <row r="523">
      <c r="K523" s="45"/>
    </row>
    <row r="524">
      <c r="K524" s="45"/>
    </row>
    <row r="525">
      <c r="K525" s="45"/>
    </row>
    <row r="526">
      <c r="K526" s="45"/>
    </row>
    <row r="527">
      <c r="K527" s="45"/>
    </row>
    <row r="528">
      <c r="K528" s="45"/>
    </row>
    <row r="529">
      <c r="K529" s="45"/>
    </row>
    <row r="530">
      <c r="K530" s="45"/>
    </row>
    <row r="531">
      <c r="K531" s="45"/>
    </row>
    <row r="532">
      <c r="K532" s="45"/>
    </row>
    <row r="533">
      <c r="K533" s="45"/>
    </row>
    <row r="534">
      <c r="K534" s="45"/>
    </row>
    <row r="535">
      <c r="K535" s="45"/>
    </row>
    <row r="536">
      <c r="K536" s="45"/>
    </row>
    <row r="537">
      <c r="K537" s="45"/>
    </row>
    <row r="538">
      <c r="K538" s="45"/>
    </row>
    <row r="539">
      <c r="K539" s="45"/>
    </row>
    <row r="540">
      <c r="K540" s="45"/>
    </row>
    <row r="541">
      <c r="K541" s="45"/>
    </row>
    <row r="542">
      <c r="K542" s="45"/>
    </row>
    <row r="543">
      <c r="K543" s="45"/>
    </row>
    <row r="544">
      <c r="K544" s="45"/>
    </row>
    <row r="545">
      <c r="K545" s="45"/>
    </row>
    <row r="546">
      <c r="K546" s="45"/>
    </row>
    <row r="547">
      <c r="K547" s="45"/>
    </row>
    <row r="548">
      <c r="K548" s="45"/>
    </row>
    <row r="549">
      <c r="K549" s="45"/>
    </row>
    <row r="550">
      <c r="K550" s="45"/>
    </row>
    <row r="551">
      <c r="K551" s="45"/>
    </row>
    <row r="552">
      <c r="K552" s="45"/>
    </row>
    <row r="553">
      <c r="K553" s="45"/>
    </row>
    <row r="554">
      <c r="K554" s="45"/>
    </row>
    <row r="555">
      <c r="K555" s="45"/>
    </row>
    <row r="556">
      <c r="K556" s="45"/>
    </row>
    <row r="557">
      <c r="K557" s="45"/>
    </row>
    <row r="558">
      <c r="K558" s="45"/>
    </row>
    <row r="559">
      <c r="K559" s="45"/>
    </row>
    <row r="560">
      <c r="K560" s="45"/>
    </row>
    <row r="561">
      <c r="K561" s="45"/>
    </row>
    <row r="562">
      <c r="K562" s="45"/>
    </row>
    <row r="563">
      <c r="K563" s="45"/>
    </row>
    <row r="564">
      <c r="K564" s="45"/>
    </row>
    <row r="565">
      <c r="K565" s="45"/>
    </row>
    <row r="566">
      <c r="K566" s="45"/>
    </row>
    <row r="567">
      <c r="K567" s="45"/>
    </row>
    <row r="568">
      <c r="K568" s="45"/>
    </row>
    <row r="569">
      <c r="K569" s="45"/>
    </row>
    <row r="570">
      <c r="K570" s="45"/>
    </row>
    <row r="571">
      <c r="K571" s="45"/>
    </row>
    <row r="572">
      <c r="K572" s="45"/>
    </row>
    <row r="573">
      <c r="K573" s="45"/>
    </row>
    <row r="574">
      <c r="K574" s="45"/>
    </row>
    <row r="575">
      <c r="K575" s="45"/>
    </row>
    <row r="576">
      <c r="K576" s="45"/>
    </row>
    <row r="577">
      <c r="K577" s="45"/>
    </row>
    <row r="578">
      <c r="K578" s="45"/>
    </row>
    <row r="579">
      <c r="K579" s="45"/>
    </row>
    <row r="580">
      <c r="K580" s="45"/>
    </row>
    <row r="581">
      <c r="K581" s="45"/>
    </row>
    <row r="582">
      <c r="K582" s="45"/>
    </row>
    <row r="583">
      <c r="K583" s="45"/>
    </row>
    <row r="584">
      <c r="K584" s="45"/>
    </row>
    <row r="585">
      <c r="K585" s="45"/>
    </row>
    <row r="586">
      <c r="K586" s="45"/>
    </row>
    <row r="587">
      <c r="K587" s="45"/>
    </row>
    <row r="588">
      <c r="K588" s="45"/>
    </row>
    <row r="589">
      <c r="K589" s="45"/>
    </row>
    <row r="590">
      <c r="K590" s="45"/>
    </row>
    <row r="591">
      <c r="K591" s="45"/>
    </row>
    <row r="592">
      <c r="K592" s="45"/>
    </row>
    <row r="593">
      <c r="K593" s="45"/>
    </row>
    <row r="594">
      <c r="K594" s="45"/>
    </row>
    <row r="595">
      <c r="K595" s="45"/>
    </row>
    <row r="596">
      <c r="K596" s="45"/>
    </row>
    <row r="597">
      <c r="K597" s="45"/>
    </row>
    <row r="598">
      <c r="K598" s="45"/>
    </row>
    <row r="599">
      <c r="K599" s="45"/>
    </row>
    <row r="600">
      <c r="K600" s="45"/>
    </row>
    <row r="601">
      <c r="K601" s="45"/>
    </row>
    <row r="602">
      <c r="K602" s="45"/>
    </row>
    <row r="603">
      <c r="K603" s="45"/>
    </row>
    <row r="604">
      <c r="K604" s="45"/>
    </row>
    <row r="605">
      <c r="K605" s="45"/>
    </row>
    <row r="606">
      <c r="K606" s="45"/>
    </row>
    <row r="607">
      <c r="K607" s="45"/>
    </row>
    <row r="608">
      <c r="K608" s="45"/>
    </row>
    <row r="609">
      <c r="K609" s="45"/>
    </row>
    <row r="610">
      <c r="K610" s="45"/>
    </row>
    <row r="611">
      <c r="K611" s="45"/>
    </row>
    <row r="612">
      <c r="K612" s="45"/>
    </row>
    <row r="613">
      <c r="K613" s="45"/>
    </row>
    <row r="614">
      <c r="K614" s="45"/>
    </row>
    <row r="615">
      <c r="K615" s="45"/>
    </row>
    <row r="616">
      <c r="K616" s="45"/>
    </row>
    <row r="617">
      <c r="K617" s="45"/>
    </row>
    <row r="618">
      <c r="K618" s="45"/>
    </row>
    <row r="619">
      <c r="K619" s="45"/>
    </row>
    <row r="620">
      <c r="K620" s="45"/>
    </row>
    <row r="621">
      <c r="K621" s="45"/>
    </row>
    <row r="622">
      <c r="K622" s="45"/>
    </row>
    <row r="623">
      <c r="K623" s="45"/>
    </row>
    <row r="624">
      <c r="K624" s="45"/>
    </row>
    <row r="625">
      <c r="K625" s="45"/>
    </row>
    <row r="626">
      <c r="K626" s="45"/>
    </row>
    <row r="627">
      <c r="K627" s="45"/>
    </row>
    <row r="628">
      <c r="K628" s="45"/>
    </row>
    <row r="629">
      <c r="K629" s="45"/>
    </row>
    <row r="630">
      <c r="K630" s="45"/>
    </row>
    <row r="631">
      <c r="K631" s="45"/>
    </row>
    <row r="632">
      <c r="K632" s="45"/>
    </row>
    <row r="633">
      <c r="K633" s="45"/>
    </row>
    <row r="634">
      <c r="K634" s="45"/>
    </row>
    <row r="635">
      <c r="K635" s="45"/>
    </row>
    <row r="636">
      <c r="K636" s="45"/>
    </row>
    <row r="637">
      <c r="K637" s="45"/>
    </row>
    <row r="638">
      <c r="K638" s="45"/>
    </row>
    <row r="639">
      <c r="K639" s="45"/>
    </row>
    <row r="640">
      <c r="K640" s="45"/>
    </row>
    <row r="641">
      <c r="K641" s="45"/>
    </row>
    <row r="642">
      <c r="K642" s="45"/>
    </row>
    <row r="643">
      <c r="K643" s="45"/>
    </row>
    <row r="644">
      <c r="K644" s="45"/>
    </row>
    <row r="645">
      <c r="K645" s="45"/>
    </row>
    <row r="646">
      <c r="K646" s="45"/>
    </row>
    <row r="647">
      <c r="K647" s="45"/>
    </row>
    <row r="648">
      <c r="K648" s="45"/>
    </row>
    <row r="649">
      <c r="K649" s="45"/>
    </row>
    <row r="650">
      <c r="K650" s="45"/>
    </row>
    <row r="651">
      <c r="K651" s="45"/>
    </row>
    <row r="652">
      <c r="K652" s="45"/>
    </row>
    <row r="653">
      <c r="K653" s="45"/>
    </row>
    <row r="654">
      <c r="K654" s="45"/>
    </row>
    <row r="655">
      <c r="K655" s="45"/>
    </row>
    <row r="656">
      <c r="K656" s="45"/>
    </row>
    <row r="657">
      <c r="K657" s="45"/>
    </row>
    <row r="658">
      <c r="K658" s="45"/>
    </row>
    <row r="659">
      <c r="K659" s="45"/>
    </row>
    <row r="660">
      <c r="K660" s="45"/>
    </row>
    <row r="661">
      <c r="K661" s="45"/>
    </row>
    <row r="662">
      <c r="K662" s="45"/>
    </row>
    <row r="663">
      <c r="K663" s="45"/>
    </row>
    <row r="664">
      <c r="K664" s="45"/>
    </row>
    <row r="665">
      <c r="K665" s="45"/>
    </row>
    <row r="666">
      <c r="K666" s="45"/>
    </row>
    <row r="667">
      <c r="K667" s="45"/>
    </row>
    <row r="668">
      <c r="K668" s="45"/>
    </row>
    <row r="669">
      <c r="K669" s="45"/>
    </row>
    <row r="670">
      <c r="K670" s="45"/>
    </row>
    <row r="671">
      <c r="K671" s="45"/>
    </row>
    <row r="672">
      <c r="K672" s="45"/>
    </row>
    <row r="673">
      <c r="K673" s="45"/>
    </row>
    <row r="674">
      <c r="K674" s="45"/>
    </row>
    <row r="675">
      <c r="K675" s="45"/>
    </row>
    <row r="676">
      <c r="K676" s="45"/>
    </row>
    <row r="677">
      <c r="K677" s="45"/>
    </row>
    <row r="678">
      <c r="K678" s="45"/>
    </row>
    <row r="679">
      <c r="K679" s="45"/>
    </row>
    <row r="680">
      <c r="K680" s="45"/>
    </row>
    <row r="681">
      <c r="K681" s="45"/>
    </row>
    <row r="682">
      <c r="K682" s="45"/>
    </row>
    <row r="683">
      <c r="K683" s="45"/>
    </row>
    <row r="684">
      <c r="K684" s="45"/>
    </row>
    <row r="685">
      <c r="K685" s="45"/>
    </row>
    <row r="686">
      <c r="K686" s="45"/>
    </row>
    <row r="687">
      <c r="K687" s="45"/>
    </row>
    <row r="688">
      <c r="K688" s="45"/>
    </row>
    <row r="689">
      <c r="K689" s="45"/>
    </row>
    <row r="690">
      <c r="K690" s="45"/>
    </row>
    <row r="691">
      <c r="K691" s="45"/>
    </row>
    <row r="692">
      <c r="K692" s="45"/>
    </row>
    <row r="693">
      <c r="K693" s="45"/>
    </row>
    <row r="694">
      <c r="K694" s="45"/>
    </row>
    <row r="695">
      <c r="K695" s="45"/>
    </row>
    <row r="696">
      <c r="K696" s="45"/>
    </row>
    <row r="697">
      <c r="K697" s="45"/>
    </row>
    <row r="698">
      <c r="K698" s="45"/>
    </row>
    <row r="699">
      <c r="K699" s="45"/>
    </row>
    <row r="700">
      <c r="K700" s="45"/>
    </row>
    <row r="701">
      <c r="K701" s="45"/>
    </row>
    <row r="702">
      <c r="K702" s="45"/>
    </row>
    <row r="703">
      <c r="K703" s="45"/>
    </row>
    <row r="704">
      <c r="K704" s="45"/>
    </row>
    <row r="705">
      <c r="K705" s="45"/>
    </row>
    <row r="706">
      <c r="K706" s="45"/>
    </row>
    <row r="707">
      <c r="K707" s="45"/>
    </row>
    <row r="708">
      <c r="K708" s="45"/>
    </row>
    <row r="709">
      <c r="K709" s="45"/>
    </row>
    <row r="710">
      <c r="K710" s="45"/>
    </row>
    <row r="711">
      <c r="K711" s="45"/>
    </row>
    <row r="712">
      <c r="K712" s="45"/>
    </row>
    <row r="713">
      <c r="K713" s="45"/>
    </row>
    <row r="714">
      <c r="K714" s="45"/>
    </row>
    <row r="715">
      <c r="K715" s="45"/>
    </row>
    <row r="716">
      <c r="K716" s="45"/>
    </row>
    <row r="717">
      <c r="K717" s="45"/>
    </row>
    <row r="718">
      <c r="K718" s="45"/>
    </row>
    <row r="719">
      <c r="K719" s="45"/>
    </row>
    <row r="720">
      <c r="K720" s="45"/>
    </row>
    <row r="721">
      <c r="K721" s="45"/>
    </row>
    <row r="722">
      <c r="K722" s="45"/>
    </row>
    <row r="723">
      <c r="K723" s="45"/>
    </row>
    <row r="724">
      <c r="K724" s="45"/>
    </row>
    <row r="725">
      <c r="K725" s="45"/>
    </row>
    <row r="726">
      <c r="K726" s="45"/>
    </row>
    <row r="727">
      <c r="K727" s="45"/>
    </row>
    <row r="728">
      <c r="K728" s="45"/>
    </row>
    <row r="729">
      <c r="K729" s="45"/>
    </row>
    <row r="730">
      <c r="K730" s="45"/>
    </row>
    <row r="731">
      <c r="K731" s="45"/>
    </row>
    <row r="732">
      <c r="K732" s="45"/>
    </row>
    <row r="733">
      <c r="K733" s="45"/>
    </row>
    <row r="734">
      <c r="K734" s="45"/>
    </row>
    <row r="735">
      <c r="K735" s="45"/>
    </row>
    <row r="736">
      <c r="K736" s="45"/>
    </row>
    <row r="737">
      <c r="K737" s="45"/>
    </row>
    <row r="738">
      <c r="K738" s="45"/>
    </row>
    <row r="739">
      <c r="K739" s="45"/>
    </row>
    <row r="740">
      <c r="K740" s="45"/>
    </row>
    <row r="741">
      <c r="K741" s="45"/>
    </row>
    <row r="742">
      <c r="K742" s="45"/>
    </row>
    <row r="743">
      <c r="K743" s="45"/>
    </row>
    <row r="744">
      <c r="K744" s="45"/>
    </row>
    <row r="745">
      <c r="K745" s="45"/>
    </row>
    <row r="746">
      <c r="K746" s="45"/>
    </row>
    <row r="747">
      <c r="K747" s="45"/>
    </row>
    <row r="748">
      <c r="K748" s="45"/>
    </row>
    <row r="749">
      <c r="K749" s="45"/>
    </row>
    <row r="750">
      <c r="K750" s="45"/>
    </row>
    <row r="751">
      <c r="K751" s="45"/>
    </row>
    <row r="752">
      <c r="K752" s="45"/>
    </row>
    <row r="753">
      <c r="K753" s="45"/>
    </row>
    <row r="754">
      <c r="K754" s="45"/>
    </row>
    <row r="755">
      <c r="K755" s="45"/>
    </row>
    <row r="756">
      <c r="K756" s="45"/>
    </row>
    <row r="757">
      <c r="K757" s="45"/>
    </row>
    <row r="758">
      <c r="K758" s="45"/>
    </row>
    <row r="759">
      <c r="K759" s="45"/>
    </row>
    <row r="760">
      <c r="K760" s="45"/>
    </row>
    <row r="761">
      <c r="K761" s="45"/>
    </row>
    <row r="762">
      <c r="K762" s="45"/>
    </row>
    <row r="763">
      <c r="K763" s="45"/>
    </row>
    <row r="764">
      <c r="K764" s="45"/>
    </row>
    <row r="765">
      <c r="K765" s="45"/>
    </row>
    <row r="766">
      <c r="K766" s="45"/>
    </row>
    <row r="767">
      <c r="K767" s="45"/>
    </row>
    <row r="768">
      <c r="K768" s="45"/>
    </row>
    <row r="769">
      <c r="K769" s="45"/>
    </row>
    <row r="770">
      <c r="K770" s="45"/>
    </row>
    <row r="771">
      <c r="K771" s="45"/>
    </row>
    <row r="772">
      <c r="K772" s="45"/>
    </row>
    <row r="773">
      <c r="K773" s="45"/>
    </row>
    <row r="774">
      <c r="K774" s="45"/>
    </row>
    <row r="775">
      <c r="K775" s="45"/>
    </row>
    <row r="776">
      <c r="K776" s="45"/>
    </row>
    <row r="777">
      <c r="K777" s="45"/>
    </row>
    <row r="778">
      <c r="K778" s="45"/>
    </row>
    <row r="779">
      <c r="K779" s="45"/>
    </row>
    <row r="780">
      <c r="K780" s="45"/>
    </row>
    <row r="781">
      <c r="K781" s="45"/>
    </row>
    <row r="782">
      <c r="K782" s="45"/>
    </row>
    <row r="783">
      <c r="K783" s="45"/>
    </row>
    <row r="784">
      <c r="K784" s="45"/>
    </row>
    <row r="785">
      <c r="K785" s="45"/>
    </row>
    <row r="786">
      <c r="K786" s="45"/>
    </row>
    <row r="787">
      <c r="K787" s="45"/>
    </row>
    <row r="788">
      <c r="K788" s="45"/>
    </row>
    <row r="789">
      <c r="K789" s="45"/>
    </row>
    <row r="790">
      <c r="K790" s="45"/>
    </row>
    <row r="791">
      <c r="K791" s="45"/>
    </row>
    <row r="792">
      <c r="K792" s="45"/>
    </row>
    <row r="793">
      <c r="K793" s="45"/>
    </row>
    <row r="794">
      <c r="K794" s="45"/>
    </row>
    <row r="795">
      <c r="K795" s="45"/>
    </row>
    <row r="796">
      <c r="K796" s="45"/>
    </row>
    <row r="797">
      <c r="K797" s="45"/>
    </row>
    <row r="798">
      <c r="K798" s="45"/>
    </row>
    <row r="799">
      <c r="K799" s="45"/>
    </row>
    <row r="800">
      <c r="K800" s="45"/>
    </row>
    <row r="801">
      <c r="K801" s="45"/>
    </row>
    <row r="802">
      <c r="K802" s="45"/>
    </row>
    <row r="803">
      <c r="K803" s="45"/>
    </row>
    <row r="804">
      <c r="K804" s="45"/>
    </row>
    <row r="805">
      <c r="K805" s="45"/>
    </row>
    <row r="806">
      <c r="K806" s="45"/>
    </row>
    <row r="807">
      <c r="K807" s="45"/>
    </row>
    <row r="808">
      <c r="K808" s="45"/>
    </row>
    <row r="809">
      <c r="K809" s="45"/>
    </row>
    <row r="810">
      <c r="K810" s="45"/>
    </row>
    <row r="811">
      <c r="K811" s="45"/>
    </row>
    <row r="812">
      <c r="K812" s="45"/>
    </row>
    <row r="813">
      <c r="K813" s="45"/>
    </row>
    <row r="814">
      <c r="K814" s="45"/>
    </row>
    <row r="815">
      <c r="K815" s="45"/>
    </row>
    <row r="816">
      <c r="K816" s="45"/>
    </row>
    <row r="817">
      <c r="K817" s="45"/>
    </row>
    <row r="818">
      <c r="K818" s="45"/>
    </row>
    <row r="819">
      <c r="K819" s="45"/>
    </row>
    <row r="820">
      <c r="K820" s="45"/>
    </row>
    <row r="821">
      <c r="K821" s="45"/>
    </row>
    <row r="822">
      <c r="K822" s="45"/>
    </row>
    <row r="823">
      <c r="K823" s="45"/>
    </row>
    <row r="824">
      <c r="K824" s="45"/>
    </row>
    <row r="825">
      <c r="K825" s="45"/>
    </row>
    <row r="826">
      <c r="K826" s="45"/>
    </row>
    <row r="827">
      <c r="K827" s="45"/>
    </row>
    <row r="828">
      <c r="K828" s="45"/>
    </row>
    <row r="829">
      <c r="K829" s="45"/>
    </row>
    <row r="830">
      <c r="K830" s="45"/>
    </row>
    <row r="831">
      <c r="K831" s="45"/>
    </row>
    <row r="832">
      <c r="K832" s="45"/>
    </row>
    <row r="833">
      <c r="K833" s="45"/>
    </row>
    <row r="834">
      <c r="K834" s="45"/>
    </row>
    <row r="835">
      <c r="K835" s="45"/>
    </row>
    <row r="836">
      <c r="K836" s="45"/>
    </row>
    <row r="837">
      <c r="K837" s="45"/>
    </row>
    <row r="838">
      <c r="K838" s="45"/>
    </row>
    <row r="839">
      <c r="K839" s="45"/>
    </row>
    <row r="840">
      <c r="K840" s="45"/>
    </row>
    <row r="841">
      <c r="K841" s="45"/>
    </row>
    <row r="842">
      <c r="K842" s="45"/>
    </row>
    <row r="843">
      <c r="K843" s="45"/>
    </row>
    <row r="844">
      <c r="K844" s="45"/>
    </row>
    <row r="845">
      <c r="K845" s="45"/>
    </row>
    <row r="846">
      <c r="K846" s="45"/>
    </row>
    <row r="847">
      <c r="K847" s="45"/>
    </row>
    <row r="848">
      <c r="K848" s="45"/>
    </row>
    <row r="849">
      <c r="K849" s="45"/>
    </row>
    <row r="850">
      <c r="K850" s="45"/>
    </row>
    <row r="851">
      <c r="K851" s="45"/>
    </row>
    <row r="852">
      <c r="K852" s="45"/>
    </row>
    <row r="853">
      <c r="K853" s="45"/>
    </row>
    <row r="854">
      <c r="K854" s="45"/>
    </row>
    <row r="855">
      <c r="K855" s="45"/>
    </row>
    <row r="856">
      <c r="K856" s="45"/>
    </row>
    <row r="857">
      <c r="K857" s="45"/>
    </row>
    <row r="858">
      <c r="K858" s="45"/>
    </row>
    <row r="859">
      <c r="K859" s="45"/>
    </row>
    <row r="860">
      <c r="K860" s="45"/>
    </row>
    <row r="861">
      <c r="K861" s="45"/>
    </row>
    <row r="862">
      <c r="K862" s="45"/>
    </row>
    <row r="863">
      <c r="K863" s="45"/>
    </row>
    <row r="864">
      <c r="K864" s="45"/>
    </row>
    <row r="865">
      <c r="K865" s="45"/>
    </row>
    <row r="866">
      <c r="K866" s="45"/>
    </row>
    <row r="867">
      <c r="K867" s="45"/>
    </row>
    <row r="868">
      <c r="K868" s="45"/>
    </row>
    <row r="869">
      <c r="K869" s="45"/>
    </row>
    <row r="870">
      <c r="K870" s="45"/>
    </row>
    <row r="871">
      <c r="K871" s="45"/>
    </row>
    <row r="872">
      <c r="K872" s="45"/>
    </row>
    <row r="873">
      <c r="K873" s="45"/>
    </row>
    <row r="874">
      <c r="K874" s="45"/>
    </row>
    <row r="875">
      <c r="K875" s="45"/>
    </row>
    <row r="876">
      <c r="K876" s="45"/>
    </row>
    <row r="877">
      <c r="K877" s="45"/>
    </row>
    <row r="878">
      <c r="K878" s="45"/>
    </row>
    <row r="879">
      <c r="K879" s="45"/>
    </row>
    <row r="880">
      <c r="K880" s="45"/>
    </row>
    <row r="881">
      <c r="K881" s="45"/>
    </row>
    <row r="882">
      <c r="K882" s="45"/>
    </row>
    <row r="883">
      <c r="K883" s="45"/>
    </row>
    <row r="884">
      <c r="K884" s="45"/>
    </row>
    <row r="885">
      <c r="K885" s="45"/>
    </row>
    <row r="886">
      <c r="K886" s="45"/>
    </row>
    <row r="887">
      <c r="K887" s="45"/>
    </row>
    <row r="888">
      <c r="K888" s="45"/>
    </row>
    <row r="889">
      <c r="K889" s="45"/>
    </row>
    <row r="890">
      <c r="K890" s="45"/>
    </row>
    <row r="891">
      <c r="K891" s="45"/>
    </row>
    <row r="892">
      <c r="K892" s="45"/>
    </row>
    <row r="893">
      <c r="K893" s="45"/>
    </row>
    <row r="894">
      <c r="K894" s="45"/>
    </row>
    <row r="895">
      <c r="K895" s="45"/>
    </row>
    <row r="896">
      <c r="K896" s="45"/>
    </row>
    <row r="897">
      <c r="K897" s="45"/>
    </row>
    <row r="898">
      <c r="K898" s="45"/>
    </row>
    <row r="899">
      <c r="K899" s="45"/>
    </row>
    <row r="900">
      <c r="K900" s="45"/>
    </row>
    <row r="901">
      <c r="K901" s="45"/>
    </row>
    <row r="902">
      <c r="K902" s="45"/>
    </row>
    <row r="903">
      <c r="K903" s="45"/>
    </row>
    <row r="904">
      <c r="K904" s="45"/>
    </row>
    <row r="905">
      <c r="K905" s="45"/>
    </row>
    <row r="906">
      <c r="K906" s="45"/>
    </row>
    <row r="907">
      <c r="K907" s="45"/>
    </row>
    <row r="908">
      <c r="K908" s="45"/>
    </row>
    <row r="909">
      <c r="K909" s="45"/>
    </row>
    <row r="910">
      <c r="K910" s="45"/>
    </row>
    <row r="911">
      <c r="K911" s="45"/>
    </row>
    <row r="912">
      <c r="K912" s="45"/>
    </row>
    <row r="913">
      <c r="K913" s="45"/>
    </row>
    <row r="914">
      <c r="K914" s="45"/>
    </row>
    <row r="915">
      <c r="K915" s="45"/>
    </row>
    <row r="916">
      <c r="K916" s="45"/>
    </row>
    <row r="917">
      <c r="K917" s="45"/>
    </row>
    <row r="918">
      <c r="K918" s="45"/>
    </row>
    <row r="919">
      <c r="K919" s="45"/>
    </row>
    <row r="920">
      <c r="K920" s="45"/>
    </row>
    <row r="921">
      <c r="K921" s="45"/>
    </row>
    <row r="922">
      <c r="K922" s="45"/>
    </row>
    <row r="923">
      <c r="K923" s="45"/>
    </row>
    <row r="924">
      <c r="K924" s="45"/>
    </row>
    <row r="925">
      <c r="K925" s="45"/>
    </row>
    <row r="926">
      <c r="K926" s="45"/>
    </row>
    <row r="927">
      <c r="K927" s="45"/>
    </row>
    <row r="928">
      <c r="K928" s="45"/>
    </row>
    <row r="929">
      <c r="K929" s="45"/>
    </row>
    <row r="930">
      <c r="K930" s="45"/>
    </row>
    <row r="931">
      <c r="K931" s="45"/>
    </row>
    <row r="932">
      <c r="K932" s="45"/>
    </row>
    <row r="933">
      <c r="K933" s="45"/>
    </row>
    <row r="934">
      <c r="K934" s="45"/>
    </row>
    <row r="935">
      <c r="K935" s="45"/>
    </row>
    <row r="936">
      <c r="K936" s="45"/>
    </row>
    <row r="937">
      <c r="K937" s="45"/>
    </row>
    <row r="938">
      <c r="K938" s="45"/>
    </row>
    <row r="939">
      <c r="K939" s="45"/>
    </row>
    <row r="940">
      <c r="K940" s="45"/>
    </row>
    <row r="941">
      <c r="K941" s="45"/>
    </row>
    <row r="942">
      <c r="K942" s="45"/>
    </row>
    <row r="943">
      <c r="K943" s="45"/>
    </row>
    <row r="944">
      <c r="K944" s="45"/>
    </row>
    <row r="945">
      <c r="K945" s="45"/>
    </row>
    <row r="946">
      <c r="K946" s="45"/>
    </row>
    <row r="947">
      <c r="K947" s="45"/>
    </row>
    <row r="948">
      <c r="K948" s="45"/>
    </row>
    <row r="949">
      <c r="K949" s="45"/>
    </row>
    <row r="950">
      <c r="K950" s="45"/>
    </row>
    <row r="951">
      <c r="K951" s="45"/>
    </row>
    <row r="952">
      <c r="K952" s="45"/>
    </row>
    <row r="953">
      <c r="K953" s="45"/>
    </row>
    <row r="954">
      <c r="K954" s="45"/>
    </row>
    <row r="955">
      <c r="K955" s="45"/>
    </row>
    <row r="956">
      <c r="K956" s="45"/>
    </row>
    <row r="957">
      <c r="K957" s="45"/>
    </row>
    <row r="958">
      <c r="K958" s="45"/>
    </row>
    <row r="959">
      <c r="K959" s="45"/>
    </row>
    <row r="960">
      <c r="K960" s="45"/>
    </row>
    <row r="961">
      <c r="K961" s="45"/>
    </row>
    <row r="962">
      <c r="K962" s="45"/>
    </row>
    <row r="963">
      <c r="K963" s="45"/>
    </row>
    <row r="964">
      <c r="K964" s="45"/>
    </row>
    <row r="965">
      <c r="K965" s="45"/>
    </row>
    <row r="966">
      <c r="K966" s="45"/>
    </row>
    <row r="967">
      <c r="K967" s="45"/>
    </row>
    <row r="968">
      <c r="K968" s="45"/>
    </row>
    <row r="969">
      <c r="K969" s="45"/>
    </row>
    <row r="970">
      <c r="K970" s="45"/>
    </row>
    <row r="971">
      <c r="K971" s="45"/>
    </row>
    <row r="972">
      <c r="K972" s="45"/>
    </row>
    <row r="973">
      <c r="K973" s="45"/>
    </row>
    <row r="974">
      <c r="K974" s="45"/>
    </row>
    <row r="975">
      <c r="K975" s="45"/>
    </row>
    <row r="976">
      <c r="K976" s="45"/>
    </row>
    <row r="977">
      <c r="K977" s="45"/>
    </row>
    <row r="978">
      <c r="K978" s="45"/>
    </row>
    <row r="979">
      <c r="K979" s="45"/>
    </row>
    <row r="980">
      <c r="K980" s="45"/>
    </row>
    <row r="981">
      <c r="K981" s="45"/>
    </row>
    <row r="982">
      <c r="K982" s="45"/>
    </row>
    <row r="983">
      <c r="K983" s="45"/>
    </row>
    <row r="984">
      <c r="K984" s="45"/>
    </row>
    <row r="985">
      <c r="K985" s="45"/>
    </row>
    <row r="986">
      <c r="K986" s="45"/>
    </row>
    <row r="987">
      <c r="K987" s="45"/>
    </row>
    <row r="988">
      <c r="K988" s="45"/>
    </row>
    <row r="989">
      <c r="K989" s="45"/>
    </row>
    <row r="990">
      <c r="K990" s="45"/>
    </row>
    <row r="991">
      <c r="K991" s="45"/>
    </row>
    <row r="992">
      <c r="K992" s="45"/>
    </row>
    <row r="993">
      <c r="K993" s="45"/>
    </row>
    <row r="994">
      <c r="K994" s="45"/>
    </row>
    <row r="995">
      <c r="K995" s="45"/>
    </row>
    <row r="996">
      <c r="K996" s="45"/>
    </row>
    <row r="997">
      <c r="K997" s="45"/>
    </row>
    <row r="998">
      <c r="K998" s="45"/>
    </row>
    <row r="999">
      <c r="K999" s="45"/>
    </row>
    <row r="1000">
      <c r="K1000" s="45"/>
    </row>
  </sheetData>
  <mergeCells count="1">
    <mergeCell ref="O21:O22"/>
  </mergeCells>
  <dataValidations>
    <dataValidation type="custom" allowBlank="1" showDropDown="1" sqref="B2:B6 F2:F6">
      <formula1>AND(ISNUMBER(B2),(NOT(OR(NOT(ISERROR(DATEVALUE(B2))), AND(ISNUMBER(B2), LEFT(CELL("format", B2))="D")))))</formula1>
    </dataValidation>
  </dataValidations>
  <drawing r:id="rId4"/>
  <legacyDrawing r:id="rId5"/>
  <tableParts count="1">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7.29"/>
    <col customWidth="1" min="2" max="2" width="10.0"/>
    <col customWidth="1" min="3" max="4" width="9.14"/>
    <col customWidth="1" min="5" max="5" width="74.14"/>
    <col customWidth="1" min="6" max="7" width="17.71"/>
    <col customWidth="1" min="8" max="8" width="16.0"/>
    <col customWidth="1" min="9" max="9" width="18.0"/>
    <col customWidth="1" min="10" max="10" width="21.0"/>
    <col customWidth="1" min="11" max="11" width="15.43"/>
    <col customWidth="1" min="20" max="20" width="16.0"/>
    <col customWidth="1" min="23" max="23" width="13.71"/>
    <col customWidth="1" min="24" max="24" width="15.43"/>
    <col customWidth="1" min="27" max="27" width="14.86"/>
    <col customWidth="1" min="28" max="28" width="15.14"/>
    <col customWidth="1" min="29" max="29" width="16.0"/>
  </cols>
  <sheetData>
    <row r="1">
      <c r="A1" s="2"/>
      <c r="B1" s="2"/>
      <c r="C1" s="2"/>
      <c r="D1" s="2"/>
      <c r="E1" s="2"/>
      <c r="F1" s="2"/>
      <c r="G1" s="2"/>
      <c r="H1" s="2"/>
      <c r="I1" s="2"/>
      <c r="J1" s="2"/>
      <c r="K1" s="2"/>
      <c r="L1" s="6">
        <f>L2/'Ppto 2026'!$P$3</f>
        <v>0.00055517045</v>
      </c>
      <c r="M1" s="6">
        <f>M2/'Ppto 2026'!$P$3</f>
        <v>0.001630652928</v>
      </c>
      <c r="N1" s="6">
        <f>N2/'Ppto 2026'!$P$3</f>
        <v>0.01264995734</v>
      </c>
      <c r="O1" s="6">
        <f>O2/'Ppto 2026'!$P$3</f>
        <v>0.0151090291</v>
      </c>
      <c r="P1" s="6">
        <f>P2/'Ppto 2026'!$P$3</f>
        <v>0.0006410744226</v>
      </c>
      <c r="Q1" s="6">
        <f>Q2/'Ppto 2026'!$P$3</f>
        <v>0</v>
      </c>
      <c r="R1" s="6">
        <f>R2/'Ppto 2026'!$P$3</f>
        <v>0</v>
      </c>
      <c r="S1" s="6">
        <f>S2/'Ppto 2026'!$P$3</f>
        <v>0.001267404134</v>
      </c>
      <c r="T1" s="6">
        <f>T2/'Ppto 2026'!$P$3</f>
        <v>0.1450435818</v>
      </c>
      <c r="U1" s="6">
        <f>U2/'Ppto 2026'!$P$3</f>
        <v>0.03508472421</v>
      </c>
      <c r="V1" s="6">
        <f>V2/'Ppto 2026'!$P$3</f>
        <v>0.003750512371</v>
      </c>
      <c r="W1" s="6">
        <f>W2/'Ppto 2026'!$P$3</f>
        <v>0.001602942195</v>
      </c>
      <c r="X1" s="6">
        <f>X2/'Ppto 2026'!$P$3</f>
        <v>0.05784063615</v>
      </c>
      <c r="Y1" s="6">
        <f>Y2/'Ppto 2026'!$P$3</f>
        <v>0</v>
      </c>
      <c r="Z1" s="6">
        <f>Z2/'Ppto 2026'!$P$3</f>
        <v>0.01756914273</v>
      </c>
      <c r="AA1" s="6">
        <f>AA2/'Ppto 2026'!$P$3</f>
        <v>0.02219003301</v>
      </c>
      <c r="AB1" s="6">
        <f>AB2/'Ppto 2026'!$P$3</f>
        <v>0.03620827794</v>
      </c>
      <c r="AC1" s="6">
        <f>AC2/'Ppto 2026'!$P$3</f>
        <v>0.1256132466</v>
      </c>
      <c r="AD1" s="6">
        <f>AD2/'Ppto 2026'!$P$3</f>
        <v>0.007526116978</v>
      </c>
      <c r="AE1" s="6">
        <f>AE2/'Ppto 2026'!$P$3</f>
        <v>0.005806927592</v>
      </c>
      <c r="AF1" s="6">
        <f>AF2/'Ppto 2026'!$P$3</f>
        <v>0.004287494986</v>
      </c>
      <c r="AG1" s="6">
        <f>AG2/'Ppto 2026'!$P$3</f>
        <v>0.06467601234</v>
      </c>
      <c r="AH1" s="6">
        <f>AH2/'Ppto 2026'!$P$3</f>
        <v>0.0006250854437</v>
      </c>
      <c r="AI1" s="6">
        <f>AI2/'Ppto 2026'!$P$3</f>
        <v>0</v>
      </c>
      <c r="AJ1" s="6">
        <f>AJ2/'Ppto 2026'!$P$3</f>
        <v>0.001254179919</v>
      </c>
      <c r="AK1" s="6">
        <f>AK2/'Ppto 2026'!$P$3</f>
        <v>0.04811764425</v>
      </c>
      <c r="AL1" s="6">
        <f>AL2/'Ppto 2026'!$P$3</f>
        <v>0</v>
      </c>
      <c r="AM1" s="6">
        <f>AM2/'Ppto 2026'!$P$3</f>
        <v>0</v>
      </c>
      <c r="AN1" s="6">
        <f>AN2/'Ppto 2026'!$P$3</f>
        <v>0</v>
      </c>
      <c r="AO1" s="6">
        <f>AO2/'Ppto 2026'!$P$3</f>
        <v>0.06486617541</v>
      </c>
      <c r="AP1" s="6">
        <f>AP2/'Ppto 2026'!$P$3</f>
        <v>0.003351070846</v>
      </c>
      <c r="AQ1" s="6">
        <f>AQ2/'Ppto 2026'!$P$3</f>
        <v>0</v>
      </c>
      <c r="AR1" s="6">
        <f>AR2/'Ppto 2026'!$P$3</f>
        <v>0</v>
      </c>
      <c r="AS1" s="6">
        <f>AS2/'Ppto 2026'!$P$3</f>
        <v>0</v>
      </c>
      <c r="AT1" s="6">
        <f>AT2/'Ppto 2026'!$P$3</f>
        <v>0.05095468239</v>
      </c>
      <c r="AU1" s="6">
        <f>AU2/'Ppto 2026'!$P$3</f>
        <v>0</v>
      </c>
      <c r="AV1" s="6">
        <f>AV2/'Ppto 2026'!$P$3</f>
        <v>0</v>
      </c>
      <c r="AW1" s="6">
        <f>AW2/'Ppto 2026'!$P$3</f>
        <v>0</v>
      </c>
      <c r="AX1" s="6">
        <f>AX2/'Ppto 2026'!$P$3</f>
        <v>0.012460169</v>
      </c>
      <c r="AY1" s="6">
        <f>AY2/'Ppto 2026'!$P$3</f>
        <v>0</v>
      </c>
      <c r="AZ1" s="6">
        <f>AZ2/'Ppto 2026'!$P$3</f>
        <v>0</v>
      </c>
      <c r="BA1" s="6">
        <f>BA2/'Ppto 2026'!$P$3</f>
        <v>0</v>
      </c>
      <c r="BB1" s="6">
        <f>BB2/'Ppto 2026'!$P$3</f>
        <v>0</v>
      </c>
      <c r="BC1" s="6">
        <f>BC2/'Ppto 2026'!$P$3</f>
        <v>0</v>
      </c>
      <c r="BD1" s="6">
        <f>BD2/'Ppto 2026'!$P$3</f>
        <v>0</v>
      </c>
      <c r="BE1" s="6">
        <f>BE2/'Ppto 2026'!$P$3</f>
        <v>0</v>
      </c>
      <c r="BF1" s="6">
        <f>BF2/'Ppto 2026'!$P$3</f>
        <v>0</v>
      </c>
      <c r="BG1" s="6">
        <f>BG2/'Ppto 2026'!$P$3</f>
        <v>0</v>
      </c>
      <c r="BH1" s="6">
        <f>BH2/'Ppto 2026'!$P$3</f>
        <v>0.004616571746</v>
      </c>
      <c r="BI1" s="6">
        <f>BI2/'Ppto 2026'!$P$3</f>
        <v>0</v>
      </c>
      <c r="BJ1" s="6">
        <f>BJ2/'Ppto 2026'!$P$3</f>
        <v>0</v>
      </c>
      <c r="BK1" s="6">
        <f>BK2/'Ppto 2026'!$P$3</f>
        <v>0</v>
      </c>
      <c r="BL1" s="6">
        <f>BL2/'Ppto 2026'!$P$3</f>
        <v>0</v>
      </c>
      <c r="BM1" s="6">
        <f>BM2/'Ppto 2026'!$P$3</f>
        <v>0</v>
      </c>
    </row>
    <row r="2">
      <c r="A2" s="1"/>
      <c r="B2" s="1"/>
      <c r="C2" s="1"/>
      <c r="D2" s="1"/>
      <c r="E2" s="1"/>
      <c r="F2" s="1"/>
      <c r="G2" s="1"/>
      <c r="H2" s="1"/>
      <c r="I2" s="1"/>
      <c r="J2" s="1"/>
      <c r="K2" s="1"/>
      <c r="L2" s="7">
        <f t="shared" ref="L2:BM2" si="1">SUM(L5:L79)</f>
        <v>1905200</v>
      </c>
      <c r="M2" s="7">
        <f t="shared" si="1"/>
        <v>5595975</v>
      </c>
      <c r="N2" s="7">
        <f t="shared" si="1"/>
        <v>43411350</v>
      </c>
      <c r="O2" s="7">
        <f t="shared" si="1"/>
        <v>51850242.1</v>
      </c>
      <c r="P2" s="7">
        <f t="shared" si="1"/>
        <v>2200000</v>
      </c>
      <c r="Q2" s="7">
        <f t="shared" si="1"/>
        <v>0</v>
      </c>
      <c r="R2" s="7">
        <f t="shared" si="1"/>
        <v>0</v>
      </c>
      <c r="S2" s="7">
        <f t="shared" si="1"/>
        <v>4349400</v>
      </c>
      <c r="T2" s="7">
        <f t="shared" si="1"/>
        <v>497751694</v>
      </c>
      <c r="U2" s="7">
        <f t="shared" si="1"/>
        <v>120401611</v>
      </c>
      <c r="V2" s="7">
        <f t="shared" si="1"/>
        <v>12870779</v>
      </c>
      <c r="W2" s="7">
        <f t="shared" si="1"/>
        <v>5500879</v>
      </c>
      <c r="X2" s="7">
        <f t="shared" si="1"/>
        <v>198493958</v>
      </c>
      <c r="Y2" s="7">
        <f t="shared" si="1"/>
        <v>0</v>
      </c>
      <c r="Z2" s="7">
        <f t="shared" si="1"/>
        <v>60292709.6</v>
      </c>
      <c r="AA2" s="7">
        <f t="shared" si="1"/>
        <v>76150398.3</v>
      </c>
      <c r="AB2" s="7">
        <f t="shared" si="1"/>
        <v>124257354</v>
      </c>
      <c r="AC2" s="7">
        <f t="shared" si="1"/>
        <v>431071858</v>
      </c>
      <c r="AD2" s="7">
        <f t="shared" si="1"/>
        <v>25827668</v>
      </c>
      <c r="AE2" s="7">
        <f t="shared" si="1"/>
        <v>19927859</v>
      </c>
      <c r="AF2" s="7">
        <f t="shared" si="1"/>
        <v>14713563.1</v>
      </c>
      <c r="AG2" s="7">
        <f t="shared" si="1"/>
        <v>221951184</v>
      </c>
      <c r="AH2" s="7">
        <f t="shared" si="1"/>
        <v>2145130</v>
      </c>
      <c r="AI2" s="7">
        <f t="shared" si="1"/>
        <v>0</v>
      </c>
      <c r="AJ2" s="7">
        <f t="shared" si="1"/>
        <v>4304017.95</v>
      </c>
      <c r="AK2" s="7">
        <f t="shared" si="1"/>
        <v>165127189</v>
      </c>
      <c r="AL2" s="7">
        <f t="shared" si="1"/>
        <v>0</v>
      </c>
      <c r="AM2" s="7">
        <f t="shared" si="1"/>
        <v>0</v>
      </c>
      <c r="AN2" s="7">
        <f t="shared" si="1"/>
        <v>0</v>
      </c>
      <c r="AO2" s="7">
        <f t="shared" si="1"/>
        <v>222603774</v>
      </c>
      <c r="AP2" s="7">
        <f t="shared" si="1"/>
        <v>11500000</v>
      </c>
      <c r="AQ2" s="7">
        <f t="shared" si="1"/>
        <v>0</v>
      </c>
      <c r="AR2" s="7">
        <f t="shared" si="1"/>
        <v>0</v>
      </c>
      <c r="AS2" s="7">
        <f t="shared" si="1"/>
        <v>0</v>
      </c>
      <c r="AT2" s="7">
        <f t="shared" si="1"/>
        <v>174863163</v>
      </c>
      <c r="AU2" s="7">
        <f t="shared" si="1"/>
        <v>0</v>
      </c>
      <c r="AV2" s="7">
        <f t="shared" si="1"/>
        <v>0</v>
      </c>
      <c r="AW2" s="7">
        <f t="shared" si="1"/>
        <v>0</v>
      </c>
      <c r="AX2" s="7">
        <f t="shared" si="1"/>
        <v>42760046</v>
      </c>
      <c r="AY2" s="7">
        <f t="shared" si="1"/>
        <v>0</v>
      </c>
      <c r="AZ2" s="7">
        <f t="shared" si="1"/>
        <v>0</v>
      </c>
      <c r="BA2" s="7">
        <f t="shared" si="1"/>
        <v>0</v>
      </c>
      <c r="BB2" s="7">
        <f t="shared" si="1"/>
        <v>0</v>
      </c>
      <c r="BC2" s="7">
        <f t="shared" si="1"/>
        <v>0</v>
      </c>
      <c r="BD2" s="7">
        <f t="shared" si="1"/>
        <v>0</v>
      </c>
      <c r="BE2" s="7">
        <f t="shared" si="1"/>
        <v>0</v>
      </c>
      <c r="BF2" s="7">
        <f t="shared" si="1"/>
        <v>0</v>
      </c>
      <c r="BG2" s="7">
        <f t="shared" si="1"/>
        <v>0</v>
      </c>
      <c r="BH2" s="7">
        <f t="shared" si="1"/>
        <v>15842868.6</v>
      </c>
      <c r="BI2" s="7">
        <f t="shared" si="1"/>
        <v>0</v>
      </c>
      <c r="BJ2" s="7">
        <f t="shared" si="1"/>
        <v>0</v>
      </c>
      <c r="BK2" s="7">
        <f t="shared" si="1"/>
        <v>0</v>
      </c>
      <c r="BL2" s="7">
        <f t="shared" si="1"/>
        <v>0</v>
      </c>
      <c r="BM2" s="7">
        <f t="shared" si="1"/>
        <v>0</v>
      </c>
    </row>
    <row r="3" ht="27.0" customHeight="1">
      <c r="A3" s="1"/>
      <c r="B3" s="1"/>
      <c r="C3" s="1"/>
      <c r="D3" s="1"/>
      <c r="E3" s="1"/>
      <c r="F3" s="1"/>
      <c r="G3" s="1"/>
      <c r="H3" s="1"/>
      <c r="I3" s="1"/>
      <c r="J3" s="1"/>
      <c r="K3" s="1"/>
      <c r="L3" s="21" t="s">
        <v>8</v>
      </c>
      <c r="M3" s="21" t="s">
        <v>10</v>
      </c>
      <c r="N3" s="21" t="s">
        <v>12</v>
      </c>
      <c r="O3" s="23" t="s">
        <v>14</v>
      </c>
      <c r="P3" s="21" t="s">
        <v>15</v>
      </c>
      <c r="Q3" s="23" t="s">
        <v>16</v>
      </c>
      <c r="R3" s="21" t="s">
        <v>17</v>
      </c>
      <c r="S3" s="23" t="s">
        <v>19</v>
      </c>
      <c r="T3" s="21" t="s">
        <v>20</v>
      </c>
      <c r="U3" s="23" t="s">
        <v>21</v>
      </c>
      <c r="V3" s="21" t="s">
        <v>22</v>
      </c>
      <c r="W3" s="23" t="s">
        <v>23</v>
      </c>
      <c r="X3" s="21" t="s">
        <v>24</v>
      </c>
      <c r="Y3" s="23" t="s">
        <v>25</v>
      </c>
      <c r="Z3" s="21" t="s">
        <v>26</v>
      </c>
      <c r="AA3" s="23" t="s">
        <v>27</v>
      </c>
      <c r="AB3" s="21" t="s">
        <v>28</v>
      </c>
      <c r="AC3" s="23" t="s">
        <v>29</v>
      </c>
      <c r="AD3" s="21" t="s">
        <v>30</v>
      </c>
      <c r="AE3" s="23" t="s">
        <v>31</v>
      </c>
      <c r="AF3" s="21" t="s">
        <v>32</v>
      </c>
      <c r="AG3" s="23" t="s">
        <v>33</v>
      </c>
      <c r="AH3" s="21" t="s">
        <v>34</v>
      </c>
      <c r="AI3" s="23" t="s">
        <v>35</v>
      </c>
      <c r="AJ3" s="21" t="s">
        <v>36</v>
      </c>
      <c r="AK3" s="21" t="s">
        <v>38</v>
      </c>
      <c r="AL3" s="21" t="s">
        <v>39</v>
      </c>
      <c r="AM3" s="21" t="s">
        <v>40</v>
      </c>
      <c r="AN3" s="21" t="s">
        <v>41</v>
      </c>
      <c r="AO3" s="21" t="s">
        <v>42</v>
      </c>
      <c r="AP3" s="21" t="s">
        <v>43</v>
      </c>
      <c r="AQ3" s="21" t="s">
        <v>44</v>
      </c>
      <c r="AR3" s="21" t="s">
        <v>45</v>
      </c>
      <c r="AS3" s="21" t="s">
        <v>46</v>
      </c>
      <c r="AT3" s="21" t="s">
        <v>47</v>
      </c>
      <c r="AU3" s="21" t="s">
        <v>48</v>
      </c>
      <c r="AV3" s="21" t="s">
        <v>49</v>
      </c>
      <c r="AW3" s="21" t="s">
        <v>50</v>
      </c>
      <c r="AX3" s="21" t="s">
        <v>51</v>
      </c>
      <c r="AY3" s="21" t="s">
        <v>52</v>
      </c>
      <c r="AZ3" s="21" t="s">
        <v>53</v>
      </c>
      <c r="BA3" s="21" t="s">
        <v>54</v>
      </c>
      <c r="BB3" s="21" t="s">
        <v>55</v>
      </c>
      <c r="BC3" s="21" t="s">
        <v>56</v>
      </c>
      <c r="BD3" s="21" t="s">
        <v>58</v>
      </c>
      <c r="BE3" s="21" t="s">
        <v>59</v>
      </c>
      <c r="BF3" s="21" t="s">
        <v>60</v>
      </c>
      <c r="BG3" s="21" t="s">
        <v>61</v>
      </c>
      <c r="BH3" s="21" t="s">
        <v>62</v>
      </c>
      <c r="BI3" s="21" t="s">
        <v>63</v>
      </c>
      <c r="BJ3" s="21" t="s">
        <v>64</v>
      </c>
      <c r="BK3" s="21" t="s">
        <v>65</v>
      </c>
      <c r="BL3" s="21" t="s">
        <v>66</v>
      </c>
      <c r="BM3" s="21" t="s">
        <v>8</v>
      </c>
    </row>
    <row r="4" ht="22.5" customHeight="1">
      <c r="A4" s="104" t="s">
        <v>2</v>
      </c>
      <c r="B4" s="104" t="s">
        <v>151</v>
      </c>
      <c r="C4" s="104" t="s">
        <v>68</v>
      </c>
      <c r="D4" s="104" t="s">
        <v>70</v>
      </c>
      <c r="E4" s="104" t="s">
        <v>79</v>
      </c>
      <c r="F4" s="104" t="s">
        <v>80</v>
      </c>
      <c r="G4" s="104" t="s">
        <v>81</v>
      </c>
      <c r="H4" s="104" t="s">
        <v>82</v>
      </c>
      <c r="I4" s="110" t="s">
        <v>159</v>
      </c>
      <c r="J4" s="110" t="s">
        <v>161</v>
      </c>
      <c r="K4" s="104" t="s">
        <v>88</v>
      </c>
      <c r="L4" s="104" t="s">
        <v>89</v>
      </c>
      <c r="M4" s="104" t="s">
        <v>91</v>
      </c>
      <c r="N4" s="104" t="s">
        <v>92</v>
      </c>
      <c r="O4" s="104" t="s">
        <v>93</v>
      </c>
      <c r="P4" s="104" t="s">
        <v>94</v>
      </c>
      <c r="Q4" s="104" t="s">
        <v>95</v>
      </c>
      <c r="R4" s="104" t="s">
        <v>96</v>
      </c>
      <c r="S4" s="104" t="s">
        <v>97</v>
      </c>
      <c r="T4" s="104" t="s">
        <v>171</v>
      </c>
      <c r="U4" s="104" t="s">
        <v>172</v>
      </c>
      <c r="V4" s="104" t="s">
        <v>173</v>
      </c>
      <c r="W4" s="104" t="s">
        <v>99</v>
      </c>
      <c r="X4" s="104" t="s">
        <v>100</v>
      </c>
      <c r="Y4" s="104" t="s">
        <v>102</v>
      </c>
      <c r="Z4" s="104" t="s">
        <v>103</v>
      </c>
      <c r="AA4" s="104" t="s">
        <v>104</v>
      </c>
      <c r="AB4" s="104" t="s">
        <v>105</v>
      </c>
      <c r="AC4" s="104" t="s">
        <v>106</v>
      </c>
      <c r="AD4" s="104" t="s">
        <v>108</v>
      </c>
      <c r="AE4" s="104" t="s">
        <v>109</v>
      </c>
      <c r="AF4" s="104" t="s">
        <v>110</v>
      </c>
      <c r="AG4" s="104" t="s">
        <v>111</v>
      </c>
      <c r="AH4" s="104" t="s">
        <v>112</v>
      </c>
      <c r="AI4" s="104" t="s">
        <v>113</v>
      </c>
      <c r="AJ4" s="104" t="s">
        <v>115</v>
      </c>
      <c r="AK4" s="104" t="s">
        <v>116</v>
      </c>
      <c r="AL4" s="104" t="s">
        <v>176</v>
      </c>
      <c r="AM4" s="104" t="s">
        <v>177</v>
      </c>
      <c r="AN4" s="104" t="s">
        <v>178</v>
      </c>
      <c r="AO4" s="104" t="s">
        <v>118</v>
      </c>
      <c r="AP4" s="104" t="s">
        <v>119</v>
      </c>
      <c r="AQ4" s="104" t="s">
        <v>120</v>
      </c>
      <c r="AR4" s="104" t="s">
        <v>121</v>
      </c>
      <c r="AS4" s="104" t="s">
        <v>122</v>
      </c>
      <c r="AT4" s="104" t="s">
        <v>123</v>
      </c>
      <c r="AU4" s="104" t="s">
        <v>124</v>
      </c>
      <c r="AV4" s="104" t="s">
        <v>125</v>
      </c>
      <c r="AW4" s="104" t="s">
        <v>126</v>
      </c>
      <c r="AX4" s="104" t="s">
        <v>127</v>
      </c>
      <c r="AY4" s="104" t="s">
        <v>180</v>
      </c>
      <c r="AZ4" s="104" t="s">
        <v>181</v>
      </c>
      <c r="BA4" s="104" t="s">
        <v>182</v>
      </c>
      <c r="BB4" s="104" t="s">
        <v>183</v>
      </c>
      <c r="BC4" s="104" t="s">
        <v>184</v>
      </c>
      <c r="BD4" s="104" t="s">
        <v>185</v>
      </c>
      <c r="BE4" s="104" t="s">
        <v>186</v>
      </c>
      <c r="BF4" s="104" t="s">
        <v>187</v>
      </c>
      <c r="BG4" s="104" t="s">
        <v>188</v>
      </c>
      <c r="BH4" s="104" t="s">
        <v>137</v>
      </c>
      <c r="BI4" s="104" t="s">
        <v>190</v>
      </c>
      <c r="BJ4" s="104" t="s">
        <v>191</v>
      </c>
      <c r="BK4" s="104" t="s">
        <v>193</v>
      </c>
      <c r="BL4" s="104" t="s">
        <v>140</v>
      </c>
      <c r="BM4" s="132" t="s">
        <v>196</v>
      </c>
    </row>
    <row r="5" ht="22.5" customHeight="1">
      <c r="A5" s="135" t="s">
        <v>75</v>
      </c>
      <c r="B5" s="135">
        <v>2024.0</v>
      </c>
      <c r="C5" s="135"/>
      <c r="D5" s="135">
        <v>8022.0</v>
      </c>
      <c r="E5" s="135" t="s">
        <v>202</v>
      </c>
      <c r="F5" s="137">
        <v>4.40829987E9</v>
      </c>
      <c r="G5" s="137">
        <f>200000000+214576722+451540786+242312734+224174189+155623352+252294712+201102519+155455601+218152853+324983774+366374243+153086824+152511772+102298014+203742698+184685827+170139342</f>
        <v>3973055962</v>
      </c>
      <c r="H5" s="139">
        <f t="shared" ref="H5:H89" si="2">F5-G5</f>
        <v>435243908</v>
      </c>
      <c r="I5" s="135" t="s">
        <v>205</v>
      </c>
      <c r="J5" s="135" t="s">
        <v>142</v>
      </c>
      <c r="K5" s="140">
        <f t="shared" ref="K5:K89" si="3">F5-G5-(SUM(L5:BM5))</f>
        <v>0</v>
      </c>
      <c r="L5" s="139"/>
      <c r="M5" s="139"/>
      <c r="N5" s="139"/>
      <c r="O5" s="139"/>
      <c r="P5" s="139"/>
      <c r="Q5" s="139"/>
      <c r="R5" s="139"/>
      <c r="S5" s="139"/>
      <c r="T5" s="142">
        <v>1.85222684E8</v>
      </c>
      <c r="U5" s="139"/>
      <c r="V5" s="139"/>
      <c r="W5" s="139"/>
      <c r="X5" s="139"/>
      <c r="Y5" s="143"/>
      <c r="Z5" s="143"/>
      <c r="AA5" s="143"/>
      <c r="AB5" s="143"/>
      <c r="AC5" s="143">
        <v>2.50021224E8</v>
      </c>
      <c r="AD5" s="143"/>
      <c r="AE5" s="143"/>
      <c r="AF5" s="143"/>
      <c r="AG5" s="143"/>
      <c r="AH5" s="143"/>
      <c r="AI5" s="143"/>
      <c r="AJ5" s="143"/>
      <c r="AK5" s="143"/>
      <c r="AL5" s="143"/>
      <c r="AM5" s="143"/>
      <c r="AN5" s="143"/>
      <c r="AO5" s="143"/>
      <c r="AP5" s="143"/>
      <c r="AQ5" s="143"/>
      <c r="AR5" s="143"/>
      <c r="AS5" s="143"/>
      <c r="AT5" s="143"/>
      <c r="AU5" s="143"/>
      <c r="AV5" s="143"/>
      <c r="AW5" s="143"/>
      <c r="AX5" s="143"/>
      <c r="AY5" s="143"/>
      <c r="AZ5" s="143"/>
      <c r="BA5" s="143"/>
      <c r="BB5" s="143"/>
      <c r="BC5" s="143"/>
      <c r="BD5" s="143"/>
      <c r="BE5" s="143"/>
      <c r="BF5" s="143"/>
      <c r="BG5" s="143"/>
      <c r="BH5" s="143"/>
      <c r="BI5" s="143"/>
      <c r="BJ5" s="143"/>
      <c r="BK5" s="143"/>
      <c r="BL5" s="143"/>
      <c r="BM5" s="143"/>
    </row>
    <row r="6" ht="22.5" customHeight="1">
      <c r="A6" s="153" t="s">
        <v>75</v>
      </c>
      <c r="B6" s="153">
        <v>2025.0</v>
      </c>
      <c r="C6" s="153"/>
      <c r="D6" s="153">
        <v>9031.0</v>
      </c>
      <c r="E6" s="153" t="s">
        <v>214</v>
      </c>
      <c r="F6" s="154">
        <v>4.56637235E8</v>
      </c>
      <c r="G6" s="154">
        <f>81204459+170270732+89858090+110752237</f>
        <v>452085518</v>
      </c>
      <c r="H6" s="155">
        <f t="shared" si="2"/>
        <v>4551717</v>
      </c>
      <c r="I6" s="153" t="s">
        <v>205</v>
      </c>
      <c r="J6" s="153" t="s">
        <v>142</v>
      </c>
      <c r="K6" s="157">
        <f t="shared" si="3"/>
        <v>0</v>
      </c>
      <c r="L6" s="155"/>
      <c r="M6" s="155"/>
      <c r="N6" s="155"/>
      <c r="O6" s="155"/>
      <c r="P6" s="155"/>
      <c r="Q6" s="155"/>
      <c r="R6" s="155"/>
      <c r="S6" s="155"/>
      <c r="T6" s="155"/>
      <c r="U6" s="155"/>
      <c r="V6" s="155"/>
      <c r="W6" s="155"/>
      <c r="X6" s="155"/>
      <c r="Y6" s="161"/>
      <c r="Z6" s="161"/>
      <c r="AA6" s="161"/>
      <c r="AB6" s="161"/>
      <c r="AC6" s="161"/>
      <c r="AD6" s="161">
        <v>4551717.0</v>
      </c>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1"/>
      <c r="BK6" s="161"/>
      <c r="BL6" s="161"/>
      <c r="BM6" s="161"/>
    </row>
    <row r="7" ht="22.5" customHeight="1">
      <c r="A7" s="135" t="s">
        <v>75</v>
      </c>
      <c r="B7" s="135">
        <v>2024.0</v>
      </c>
      <c r="C7" s="135"/>
      <c r="D7" s="135">
        <v>4075.0</v>
      </c>
      <c r="E7" s="135" t="s">
        <v>224</v>
      </c>
      <c r="F7" s="137">
        <v>8.6080359E7</v>
      </c>
      <c r="G7" s="137">
        <f>24432144+7173363+12912054+7173363</f>
        <v>51690924</v>
      </c>
      <c r="H7" s="139">
        <f t="shared" si="2"/>
        <v>34389435</v>
      </c>
      <c r="I7" s="135" t="s">
        <v>225</v>
      </c>
      <c r="J7" s="135" t="s">
        <v>142</v>
      </c>
      <c r="K7" s="140">
        <f t="shared" si="3"/>
        <v>14304017.95</v>
      </c>
      <c r="L7" s="139"/>
      <c r="M7" s="139"/>
      <c r="N7" s="139"/>
      <c r="O7" s="139"/>
      <c r="P7" s="139"/>
      <c r="Q7" s="139"/>
      <c r="R7" s="139"/>
      <c r="S7" s="139"/>
      <c r="T7" s="139"/>
      <c r="U7" s="139"/>
      <c r="V7" s="139"/>
      <c r="W7" s="139"/>
      <c r="X7" s="139"/>
      <c r="Y7" s="143"/>
      <c r="Z7" s="143"/>
      <c r="AA7" s="143">
        <v>7173363.0</v>
      </c>
      <c r="AB7" s="143"/>
      <c r="AC7" s="143"/>
      <c r="AD7" s="143"/>
      <c r="AE7" s="143"/>
      <c r="AF7" s="143">
        <v>8608036.100000001</v>
      </c>
      <c r="AG7" s="143"/>
      <c r="AH7" s="143"/>
      <c r="AI7" s="143"/>
      <c r="AJ7" s="143">
        <v>4304017.95</v>
      </c>
      <c r="AK7" s="143"/>
      <c r="AL7" s="143"/>
      <c r="AM7" s="143"/>
      <c r="AN7" s="143"/>
      <c r="AO7" s="143"/>
      <c r="AP7" s="143"/>
      <c r="AQ7" s="143"/>
      <c r="AR7" s="143"/>
      <c r="AS7" s="143"/>
      <c r="AT7" s="143"/>
      <c r="AU7" s="143"/>
      <c r="AV7" s="143"/>
      <c r="AW7" s="143"/>
      <c r="AX7" s="143"/>
      <c r="AY7" s="143"/>
      <c r="AZ7" s="143"/>
      <c r="BA7" s="143"/>
      <c r="BB7" s="143"/>
      <c r="BC7" s="143"/>
      <c r="BD7" s="143"/>
      <c r="BE7" s="143"/>
      <c r="BF7" s="143"/>
      <c r="BG7" s="143"/>
      <c r="BH7" s="143"/>
      <c r="BI7" s="143"/>
      <c r="BJ7" s="143"/>
      <c r="BK7" s="143"/>
      <c r="BL7" s="143"/>
      <c r="BM7" s="143"/>
    </row>
    <row r="8" ht="22.5" customHeight="1">
      <c r="A8" s="153" t="s">
        <v>75</v>
      </c>
      <c r="B8" s="153">
        <v>2025.0</v>
      </c>
      <c r="C8" s="153"/>
      <c r="D8" s="153">
        <v>13112.0</v>
      </c>
      <c r="E8" s="153" t="s">
        <v>232</v>
      </c>
      <c r="F8" s="154">
        <v>1.391705E7</v>
      </c>
      <c r="G8" s="154">
        <v>5566820.0</v>
      </c>
      <c r="H8" s="155">
        <f t="shared" si="2"/>
        <v>8350230</v>
      </c>
      <c r="I8" s="153" t="s">
        <v>233</v>
      </c>
      <c r="J8" s="153" t="s">
        <v>142</v>
      </c>
      <c r="K8" s="157">
        <f t="shared" si="3"/>
        <v>0</v>
      </c>
      <c r="L8" s="155"/>
      <c r="M8" s="155"/>
      <c r="N8" s="155"/>
      <c r="O8" s="178">
        <v>5566820.0</v>
      </c>
      <c r="P8" s="155"/>
      <c r="Q8" s="155"/>
      <c r="R8" s="155"/>
      <c r="S8" s="155"/>
      <c r="T8" s="155"/>
      <c r="U8" s="155"/>
      <c r="V8" s="155"/>
      <c r="W8" s="155"/>
      <c r="X8" s="155"/>
      <c r="Y8" s="161"/>
      <c r="Z8" s="161"/>
      <c r="AA8" s="161"/>
      <c r="AB8" s="161"/>
      <c r="AC8" s="161"/>
      <c r="AD8" s="161">
        <v>2783410.0</v>
      </c>
      <c r="AE8" s="161"/>
      <c r="AF8" s="161"/>
      <c r="AG8" s="161"/>
      <c r="AH8" s="161"/>
      <c r="AI8" s="161"/>
      <c r="AJ8" s="161"/>
      <c r="AK8" s="161"/>
      <c r="AL8" s="161"/>
      <c r="AM8" s="161"/>
      <c r="AN8" s="161"/>
      <c r="AO8" s="161"/>
      <c r="AP8" s="161"/>
      <c r="AQ8" s="161"/>
      <c r="AR8" s="161"/>
      <c r="AS8" s="161"/>
      <c r="AT8" s="161"/>
      <c r="AU8" s="161"/>
      <c r="AV8" s="161"/>
      <c r="AW8" s="161"/>
      <c r="AX8" s="161"/>
      <c r="AY8" s="161"/>
      <c r="AZ8" s="161"/>
      <c r="BA8" s="161"/>
      <c r="BB8" s="161"/>
      <c r="BC8" s="161"/>
      <c r="BD8" s="161"/>
      <c r="BE8" s="161"/>
      <c r="BF8" s="161"/>
      <c r="BG8" s="161"/>
      <c r="BH8" s="161"/>
      <c r="BI8" s="161"/>
      <c r="BJ8" s="161"/>
      <c r="BK8" s="161"/>
      <c r="BL8" s="161"/>
      <c r="BM8" s="161"/>
    </row>
    <row r="9" ht="22.5" customHeight="1">
      <c r="A9" s="135" t="s">
        <v>75</v>
      </c>
      <c r="B9" s="135">
        <v>2025.0</v>
      </c>
      <c r="C9" s="135"/>
      <c r="D9" s="135">
        <v>13810.0</v>
      </c>
      <c r="E9" s="135" t="s">
        <v>235</v>
      </c>
      <c r="F9" s="137">
        <v>8.5398978E7</v>
      </c>
      <c r="G9" s="137"/>
      <c r="H9" s="139">
        <f t="shared" si="2"/>
        <v>85398978</v>
      </c>
      <c r="I9" s="135"/>
      <c r="J9" s="135" t="s">
        <v>101</v>
      </c>
      <c r="K9" s="140">
        <f t="shared" si="3"/>
        <v>85398978</v>
      </c>
      <c r="L9" s="139"/>
      <c r="M9" s="139"/>
      <c r="N9" s="139"/>
      <c r="O9" s="142"/>
      <c r="P9" s="139"/>
      <c r="Q9" s="139"/>
      <c r="R9" s="139"/>
      <c r="S9" s="139"/>
      <c r="T9" s="139"/>
      <c r="U9" s="139"/>
      <c r="V9" s="139"/>
      <c r="W9" s="139"/>
      <c r="X9" s="139"/>
      <c r="Y9" s="143"/>
      <c r="Z9" s="143"/>
      <c r="AA9" s="143"/>
      <c r="AB9" s="143"/>
      <c r="AC9" s="143"/>
      <c r="AD9" s="143"/>
      <c r="AE9" s="143"/>
      <c r="AF9" s="143"/>
      <c r="AG9" s="143"/>
      <c r="AH9" s="143"/>
      <c r="AI9" s="143"/>
      <c r="AJ9" s="143"/>
      <c r="AK9" s="143"/>
      <c r="AL9" s="143"/>
      <c r="AM9" s="143"/>
      <c r="AN9" s="143"/>
      <c r="AO9" s="143"/>
      <c r="AP9" s="143"/>
      <c r="AQ9" s="143"/>
      <c r="AR9" s="143"/>
      <c r="AS9" s="143"/>
      <c r="AT9" s="143"/>
      <c r="AU9" s="143"/>
      <c r="AV9" s="143"/>
      <c r="AW9" s="143"/>
      <c r="AX9" s="143"/>
      <c r="AY9" s="143"/>
      <c r="AZ9" s="143"/>
      <c r="BA9" s="143"/>
      <c r="BB9" s="143"/>
      <c r="BC9" s="143"/>
      <c r="BD9" s="143"/>
      <c r="BE9" s="143"/>
      <c r="BF9" s="143"/>
      <c r="BG9" s="143"/>
      <c r="BH9" s="143"/>
      <c r="BI9" s="143"/>
      <c r="BJ9" s="143"/>
      <c r="BK9" s="143"/>
      <c r="BL9" s="143"/>
      <c r="BM9" s="143"/>
    </row>
    <row r="10" ht="22.5" customHeight="1">
      <c r="A10" s="153" t="s">
        <v>75</v>
      </c>
      <c r="B10" s="153">
        <v>2026.0</v>
      </c>
      <c r="C10" s="153">
        <v>91.0</v>
      </c>
      <c r="D10" s="153">
        <v>66.0</v>
      </c>
      <c r="E10" s="153" t="s">
        <v>241</v>
      </c>
      <c r="F10" s="154">
        <v>6.64691208E8</v>
      </c>
      <c r="G10" s="154">
        <f>186646382+118263881+132505939</f>
        <v>437416202</v>
      </c>
      <c r="H10" s="155">
        <f t="shared" si="2"/>
        <v>227275006</v>
      </c>
      <c r="I10" s="153" t="s">
        <v>205</v>
      </c>
      <c r="J10" s="153" t="s">
        <v>142</v>
      </c>
      <c r="K10" s="157">
        <f t="shared" si="3"/>
        <v>18000001</v>
      </c>
      <c r="L10" s="155"/>
      <c r="M10" s="155"/>
      <c r="N10" s="155"/>
      <c r="O10" s="178"/>
      <c r="P10" s="155"/>
      <c r="Q10" s="155"/>
      <c r="R10" s="155"/>
      <c r="S10" s="155"/>
      <c r="T10" s="197">
        <v>2.09275005E8</v>
      </c>
      <c r="U10" s="198"/>
      <c r="V10" s="198"/>
      <c r="W10" s="198"/>
      <c r="X10" s="198"/>
      <c r="Y10" s="199"/>
      <c r="Z10" s="199"/>
      <c r="AA10" s="199"/>
      <c r="AB10" s="199"/>
      <c r="AC10" s="199"/>
      <c r="AD10" s="199"/>
      <c r="AE10" s="199"/>
      <c r="AF10" s="199"/>
      <c r="AG10" s="199"/>
      <c r="AH10" s="199"/>
      <c r="AI10" s="199"/>
      <c r="AJ10" s="199"/>
      <c r="AK10" s="199"/>
      <c r="AL10" s="199"/>
      <c r="AM10" s="199"/>
      <c r="AN10" s="199"/>
      <c r="AO10" s="199"/>
      <c r="AP10" s="199"/>
      <c r="AQ10" s="199"/>
      <c r="AR10" s="199"/>
      <c r="AS10" s="199"/>
      <c r="AT10" s="199"/>
      <c r="AU10" s="199"/>
      <c r="AV10" s="199"/>
      <c r="AW10" s="199"/>
      <c r="AX10" s="199"/>
      <c r="AY10" s="199"/>
      <c r="AZ10" s="199"/>
      <c r="BA10" s="199"/>
      <c r="BB10" s="199"/>
      <c r="BC10" s="199"/>
      <c r="BD10" s="199"/>
      <c r="BE10" s="199"/>
      <c r="BF10" s="199"/>
      <c r="BG10" s="199"/>
      <c r="BH10" s="199"/>
      <c r="BI10" s="199"/>
      <c r="BJ10" s="199"/>
      <c r="BK10" s="199"/>
      <c r="BL10" s="199"/>
      <c r="BM10" s="199"/>
    </row>
    <row r="11" ht="22.5" customHeight="1">
      <c r="A11" s="153" t="s">
        <v>75</v>
      </c>
      <c r="B11" s="153">
        <v>2026.0</v>
      </c>
      <c r="C11" s="153">
        <v>699.0</v>
      </c>
      <c r="D11" s="153">
        <v>703.0</v>
      </c>
      <c r="E11" s="153" t="s">
        <v>251</v>
      </c>
      <c r="F11" s="154">
        <v>2416890.0</v>
      </c>
      <c r="G11" s="154"/>
      <c r="H11" s="155">
        <f t="shared" si="2"/>
        <v>2416890</v>
      </c>
      <c r="I11" s="153" t="s">
        <v>145</v>
      </c>
      <c r="J11" s="153" t="s">
        <v>101</v>
      </c>
      <c r="K11" s="157">
        <f t="shared" si="3"/>
        <v>0</v>
      </c>
      <c r="L11" s="155"/>
      <c r="M11" s="155"/>
      <c r="N11" s="155"/>
      <c r="O11" s="178"/>
      <c r="P11" s="155"/>
      <c r="Q11" s="155"/>
      <c r="R11" s="155"/>
      <c r="S11" s="155"/>
      <c r="T11" s="204"/>
      <c r="U11" s="198"/>
      <c r="V11" s="198"/>
      <c r="W11" s="198"/>
      <c r="X11" s="205">
        <v>2416890.0</v>
      </c>
      <c r="Y11" s="199"/>
      <c r="Z11" s="199"/>
      <c r="AA11" s="199"/>
      <c r="AB11" s="199"/>
      <c r="AC11" s="199"/>
      <c r="AD11" s="199"/>
      <c r="AE11" s="199"/>
      <c r="AF11" s="199"/>
      <c r="AG11" s="199"/>
      <c r="AH11" s="199"/>
      <c r="AI11" s="199"/>
      <c r="AJ11" s="199"/>
      <c r="AK11" s="199"/>
      <c r="AL11" s="199"/>
      <c r="AM11" s="199"/>
      <c r="AN11" s="199"/>
      <c r="AO11" s="199"/>
      <c r="AP11" s="199"/>
      <c r="AQ11" s="199"/>
      <c r="AR11" s="199"/>
      <c r="AS11" s="199"/>
      <c r="AT11" s="199"/>
      <c r="AU11" s="199"/>
      <c r="AV11" s="199"/>
      <c r="AW11" s="199"/>
      <c r="AX11" s="199"/>
      <c r="AY11" s="199"/>
      <c r="AZ11" s="199"/>
      <c r="BA11" s="199"/>
      <c r="BB11" s="199"/>
      <c r="BC11" s="199"/>
      <c r="BD11" s="199"/>
      <c r="BE11" s="199"/>
      <c r="BF11" s="199"/>
      <c r="BG11" s="199"/>
      <c r="BH11" s="199"/>
      <c r="BI11" s="199"/>
      <c r="BJ11" s="199"/>
      <c r="BK11" s="199"/>
      <c r="BL11" s="199"/>
      <c r="BM11" s="199"/>
    </row>
    <row r="12" ht="22.5" customHeight="1">
      <c r="A12" s="153" t="s">
        <v>75</v>
      </c>
      <c r="B12" s="153">
        <v>2026.0</v>
      </c>
      <c r="C12" s="153">
        <v>799.0</v>
      </c>
      <c r="D12" s="153">
        <v>864.0</v>
      </c>
      <c r="E12" s="153" t="s">
        <v>143</v>
      </c>
      <c r="F12" s="154">
        <v>5537070.0</v>
      </c>
      <c r="G12" s="154"/>
      <c r="H12" s="155">
        <f t="shared" si="2"/>
        <v>5537070</v>
      </c>
      <c r="I12" s="153" t="s">
        <v>145</v>
      </c>
      <c r="J12" s="153" t="s">
        <v>147</v>
      </c>
      <c r="K12" s="157">
        <f t="shared" si="3"/>
        <v>0</v>
      </c>
      <c r="L12" s="155"/>
      <c r="M12" s="155"/>
      <c r="N12" s="211"/>
      <c r="O12" s="178"/>
      <c r="P12" s="155"/>
      <c r="Q12" s="155"/>
      <c r="R12" s="155"/>
      <c r="S12" s="155"/>
      <c r="T12" s="198"/>
      <c r="U12" s="198"/>
      <c r="V12" s="198"/>
      <c r="W12" s="198"/>
      <c r="X12" s="198"/>
      <c r="Y12" s="199"/>
      <c r="Z12" s="213">
        <v>5537070.0</v>
      </c>
      <c r="AA12" s="199"/>
      <c r="AB12" s="199"/>
      <c r="AC12" s="199"/>
      <c r="AD12" s="199"/>
      <c r="AE12" s="199"/>
      <c r="AF12" s="199"/>
      <c r="AG12" s="199"/>
      <c r="AH12" s="199"/>
      <c r="AI12" s="199"/>
      <c r="AJ12" s="199"/>
      <c r="AK12" s="199"/>
      <c r="AL12" s="199"/>
      <c r="AM12" s="199"/>
      <c r="AN12" s="199"/>
      <c r="AO12" s="199"/>
      <c r="AP12" s="199"/>
      <c r="AQ12" s="199"/>
      <c r="AR12" s="199"/>
      <c r="AS12" s="199"/>
      <c r="AT12" s="199"/>
      <c r="AU12" s="199"/>
      <c r="AV12" s="199"/>
      <c r="AW12" s="199"/>
      <c r="AX12" s="199"/>
      <c r="AY12" s="199"/>
      <c r="AZ12" s="199"/>
      <c r="BA12" s="199"/>
      <c r="BB12" s="199"/>
      <c r="BC12" s="199"/>
      <c r="BD12" s="199"/>
      <c r="BE12" s="199"/>
      <c r="BF12" s="199"/>
      <c r="BG12" s="199"/>
      <c r="BH12" s="199"/>
      <c r="BI12" s="199"/>
      <c r="BJ12" s="199"/>
      <c r="BK12" s="199"/>
      <c r="BL12" s="199"/>
      <c r="BM12" s="199"/>
    </row>
    <row r="13" ht="22.5" customHeight="1">
      <c r="A13" s="153" t="s">
        <v>75</v>
      </c>
      <c r="B13" s="153">
        <v>2026.0</v>
      </c>
      <c r="C13" s="153">
        <v>788.0</v>
      </c>
      <c r="D13" s="153">
        <v>731.0</v>
      </c>
      <c r="E13" s="153" t="s">
        <v>262</v>
      </c>
      <c r="F13" s="154">
        <v>2.5523715E7</v>
      </c>
      <c r="G13" s="154"/>
      <c r="H13" s="155">
        <f t="shared" si="2"/>
        <v>25523715</v>
      </c>
      <c r="I13" s="153" t="s">
        <v>233</v>
      </c>
      <c r="J13" s="153" t="s">
        <v>142</v>
      </c>
      <c r="K13" s="157">
        <f t="shared" si="3"/>
        <v>1.5</v>
      </c>
      <c r="L13" s="155"/>
      <c r="M13" s="155"/>
      <c r="N13" s="155"/>
      <c r="O13" s="197">
        <v>7657114.5</v>
      </c>
      <c r="P13" s="155"/>
      <c r="Q13" s="155"/>
      <c r="R13" s="155"/>
      <c r="S13" s="155"/>
      <c r="T13" s="197">
        <v>1.7866599E7</v>
      </c>
      <c r="U13" s="198"/>
      <c r="V13" s="198"/>
      <c r="W13" s="198"/>
      <c r="X13" s="198"/>
      <c r="Y13" s="199"/>
      <c r="Z13" s="199"/>
      <c r="AA13" s="199"/>
      <c r="AB13" s="199"/>
      <c r="AC13" s="199"/>
      <c r="AD13" s="199"/>
      <c r="AE13" s="199"/>
      <c r="AF13" s="199"/>
      <c r="AG13" s="199"/>
      <c r="AH13" s="199"/>
      <c r="AI13" s="199"/>
      <c r="AJ13" s="199"/>
      <c r="AK13" s="199"/>
      <c r="AL13" s="199"/>
      <c r="AM13" s="199"/>
      <c r="AN13" s="199"/>
      <c r="AO13" s="199"/>
      <c r="AP13" s="199"/>
      <c r="AQ13" s="199"/>
      <c r="AR13" s="199"/>
      <c r="AS13" s="199"/>
      <c r="AT13" s="199"/>
      <c r="AU13" s="199"/>
      <c r="AV13" s="199"/>
      <c r="AW13" s="199"/>
      <c r="AX13" s="199"/>
      <c r="AY13" s="199"/>
      <c r="AZ13" s="199"/>
      <c r="BA13" s="199"/>
      <c r="BB13" s="199"/>
      <c r="BC13" s="199"/>
      <c r="BD13" s="199"/>
      <c r="BE13" s="199"/>
      <c r="BF13" s="199"/>
      <c r="BG13" s="199"/>
      <c r="BH13" s="199"/>
      <c r="BI13" s="199"/>
      <c r="BJ13" s="199"/>
      <c r="BK13" s="199"/>
      <c r="BL13" s="199"/>
      <c r="BM13" s="199"/>
    </row>
    <row r="14" ht="22.5" customHeight="1">
      <c r="A14" s="153" t="s">
        <v>75</v>
      </c>
      <c r="B14" s="153">
        <v>2026.0</v>
      </c>
      <c r="C14" s="153">
        <v>789.0</v>
      </c>
      <c r="D14" s="153">
        <v>732.0</v>
      </c>
      <c r="E14" s="153" t="s">
        <v>266</v>
      </c>
      <c r="F14" s="154">
        <v>8425200.0</v>
      </c>
      <c r="G14" s="154"/>
      <c r="H14" s="155">
        <f t="shared" si="2"/>
        <v>8425200</v>
      </c>
      <c r="I14" s="153" t="s">
        <v>233</v>
      </c>
      <c r="J14" s="153" t="s">
        <v>142</v>
      </c>
      <c r="K14" s="157">
        <f t="shared" si="3"/>
        <v>0</v>
      </c>
      <c r="L14" s="155"/>
      <c r="M14" s="155"/>
      <c r="N14" s="155"/>
      <c r="O14" s="197">
        <v>2527560.0</v>
      </c>
      <c r="P14" s="155"/>
      <c r="Q14" s="155"/>
      <c r="R14" s="155"/>
      <c r="S14" s="155"/>
      <c r="T14" s="155"/>
      <c r="U14" s="197">
        <v>5897640.0</v>
      </c>
      <c r="V14" s="198"/>
      <c r="W14" s="198"/>
      <c r="X14" s="198"/>
      <c r="Y14" s="199"/>
      <c r="Z14" s="199"/>
      <c r="AA14" s="199"/>
      <c r="AB14" s="199"/>
      <c r="AC14" s="199"/>
      <c r="AD14" s="199"/>
      <c r="AE14" s="199"/>
      <c r="AF14" s="199"/>
      <c r="AG14" s="199"/>
      <c r="AH14" s="199"/>
      <c r="AI14" s="199"/>
      <c r="AJ14" s="199"/>
      <c r="AK14" s="199"/>
      <c r="AL14" s="199"/>
      <c r="AM14" s="199"/>
      <c r="AN14" s="199"/>
      <c r="AO14" s="199"/>
      <c r="AP14" s="199"/>
      <c r="AQ14" s="199"/>
      <c r="AR14" s="199"/>
      <c r="AS14" s="199"/>
      <c r="AT14" s="199"/>
      <c r="AU14" s="199"/>
      <c r="AV14" s="199"/>
      <c r="AW14" s="199"/>
      <c r="AX14" s="199"/>
      <c r="AY14" s="199"/>
      <c r="AZ14" s="199"/>
      <c r="BA14" s="199"/>
      <c r="BB14" s="199"/>
      <c r="BC14" s="199"/>
      <c r="BD14" s="199"/>
      <c r="BE14" s="199"/>
      <c r="BF14" s="199"/>
      <c r="BG14" s="199"/>
      <c r="BH14" s="199"/>
      <c r="BI14" s="199"/>
      <c r="BJ14" s="199"/>
      <c r="BK14" s="199"/>
      <c r="BL14" s="199"/>
      <c r="BM14" s="199"/>
    </row>
    <row r="15" ht="22.5" customHeight="1">
      <c r="A15" s="153" t="s">
        <v>75</v>
      </c>
      <c r="B15" s="153">
        <v>2026.0</v>
      </c>
      <c r="C15" s="153">
        <v>1473.0</v>
      </c>
      <c r="D15" s="153">
        <v>1578.0</v>
      </c>
      <c r="E15" s="153" t="s">
        <v>212</v>
      </c>
      <c r="F15" s="154">
        <v>3704470.0</v>
      </c>
      <c r="G15" s="154"/>
      <c r="H15" s="155">
        <f t="shared" si="2"/>
        <v>3704470</v>
      </c>
      <c r="I15" s="153" t="s">
        <v>145</v>
      </c>
      <c r="J15" s="153" t="s">
        <v>147</v>
      </c>
      <c r="K15" s="157">
        <f t="shared" si="3"/>
        <v>0</v>
      </c>
      <c r="L15" s="155"/>
      <c r="M15" s="155"/>
      <c r="N15" s="155"/>
      <c r="O15" s="155"/>
      <c r="P15" s="155"/>
      <c r="Q15" s="155"/>
      <c r="R15" s="155"/>
      <c r="S15" s="155"/>
      <c r="T15" s="155"/>
      <c r="U15" s="198"/>
      <c r="V15" s="198"/>
      <c r="W15" s="205">
        <v>3704470.0</v>
      </c>
      <c r="X15" s="198"/>
      <c r="Y15" s="199"/>
      <c r="Z15" s="199"/>
      <c r="AA15" s="199"/>
      <c r="AB15" s="199"/>
      <c r="AC15" s="199"/>
      <c r="AD15" s="199"/>
      <c r="AE15" s="199"/>
      <c r="AF15" s="199"/>
      <c r="AG15" s="199"/>
      <c r="AH15" s="199"/>
      <c r="AI15" s="199"/>
      <c r="AJ15" s="199"/>
      <c r="AK15" s="199"/>
      <c r="AL15" s="199"/>
      <c r="AM15" s="199"/>
      <c r="AN15" s="199"/>
      <c r="AO15" s="199"/>
      <c r="AP15" s="199"/>
      <c r="AQ15" s="199"/>
      <c r="AR15" s="199"/>
      <c r="AS15" s="199"/>
      <c r="AT15" s="199"/>
      <c r="AU15" s="199"/>
      <c r="AV15" s="199"/>
      <c r="AW15" s="199"/>
      <c r="AX15" s="199"/>
      <c r="AY15" s="199"/>
      <c r="AZ15" s="199"/>
      <c r="BA15" s="199"/>
      <c r="BB15" s="199"/>
      <c r="BC15" s="199"/>
      <c r="BD15" s="199"/>
      <c r="BE15" s="199"/>
      <c r="BF15" s="199"/>
      <c r="BG15" s="199"/>
      <c r="BH15" s="199"/>
      <c r="BI15" s="199"/>
      <c r="BJ15" s="199"/>
      <c r="BK15" s="199"/>
      <c r="BL15" s="199"/>
      <c r="BM15" s="199"/>
    </row>
    <row r="16" ht="22.5" customHeight="1">
      <c r="A16" s="153" t="s">
        <v>75</v>
      </c>
      <c r="B16" s="153">
        <v>2026.0</v>
      </c>
      <c r="C16" s="153">
        <v>1770.0</v>
      </c>
      <c r="D16" s="153">
        <v>1786.0</v>
      </c>
      <c r="E16" s="153" t="s">
        <v>220</v>
      </c>
      <c r="F16" s="154">
        <v>1.70432E7</v>
      </c>
      <c r="G16" s="154"/>
      <c r="H16" s="155">
        <f t="shared" si="2"/>
        <v>17043200</v>
      </c>
      <c r="I16" s="153" t="s">
        <v>145</v>
      </c>
      <c r="J16" s="153" t="s">
        <v>147</v>
      </c>
      <c r="K16" s="157">
        <f t="shared" si="3"/>
        <v>0</v>
      </c>
      <c r="L16" s="155"/>
      <c r="M16" s="155"/>
      <c r="N16" s="155"/>
      <c r="O16" s="155"/>
      <c r="P16" s="155"/>
      <c r="Q16" s="155"/>
      <c r="R16" s="155"/>
      <c r="S16" s="155"/>
      <c r="T16" s="155"/>
      <c r="U16" s="155"/>
      <c r="V16" s="155"/>
      <c r="W16" s="198"/>
      <c r="X16" s="205">
        <v>1.70432E7</v>
      </c>
      <c r="Y16" s="199"/>
      <c r="Z16" s="199"/>
      <c r="AA16" s="199"/>
      <c r="AB16" s="199"/>
      <c r="AC16" s="199"/>
      <c r="AD16" s="199"/>
      <c r="AE16" s="199"/>
      <c r="AF16" s="199"/>
      <c r="AG16" s="199"/>
      <c r="AH16" s="199"/>
      <c r="AI16" s="199"/>
      <c r="AJ16" s="199"/>
      <c r="AK16" s="199"/>
      <c r="AL16" s="199"/>
      <c r="AM16" s="199"/>
      <c r="AN16" s="199"/>
      <c r="AO16" s="199"/>
      <c r="AP16" s="199"/>
      <c r="AQ16" s="199"/>
      <c r="AR16" s="199"/>
      <c r="AS16" s="199"/>
      <c r="AT16" s="199"/>
      <c r="AU16" s="199"/>
      <c r="AV16" s="199"/>
      <c r="AW16" s="199"/>
      <c r="AX16" s="199"/>
      <c r="AY16" s="199"/>
      <c r="AZ16" s="199"/>
      <c r="BA16" s="199"/>
      <c r="BB16" s="199"/>
      <c r="BC16" s="199"/>
      <c r="BD16" s="199"/>
      <c r="BE16" s="199"/>
      <c r="BF16" s="199"/>
      <c r="BG16" s="199"/>
      <c r="BH16" s="199"/>
      <c r="BI16" s="199"/>
      <c r="BJ16" s="199"/>
      <c r="BK16" s="199"/>
      <c r="BL16" s="199"/>
      <c r="BM16" s="199"/>
    </row>
    <row r="17" ht="22.5" customHeight="1">
      <c r="A17" s="153" t="s">
        <v>75</v>
      </c>
      <c r="B17" s="153">
        <v>2026.0</v>
      </c>
      <c r="C17" s="153">
        <v>1803.0</v>
      </c>
      <c r="D17" s="153">
        <v>1788.0</v>
      </c>
      <c r="E17" s="153" t="s">
        <v>289</v>
      </c>
      <c r="F17" s="154">
        <v>856800.0</v>
      </c>
      <c r="G17" s="154"/>
      <c r="H17" s="155">
        <f t="shared" si="2"/>
        <v>856800</v>
      </c>
      <c r="I17" s="153" t="s">
        <v>233</v>
      </c>
      <c r="J17" s="153" t="s">
        <v>142</v>
      </c>
      <c r="K17" s="157">
        <f t="shared" si="3"/>
        <v>0</v>
      </c>
      <c r="L17" s="155"/>
      <c r="M17" s="155"/>
      <c r="N17" s="155"/>
      <c r="O17" s="155"/>
      <c r="P17" s="155"/>
      <c r="Q17" s="155"/>
      <c r="R17" s="155"/>
      <c r="S17" s="155"/>
      <c r="T17" s="155"/>
      <c r="U17" s="155"/>
      <c r="V17" s="155"/>
      <c r="W17" s="198"/>
      <c r="X17" s="198"/>
      <c r="Y17" s="199"/>
      <c r="Z17" s="199"/>
      <c r="AA17" s="213">
        <v>856800.0</v>
      </c>
      <c r="AB17" s="199"/>
      <c r="AC17" s="199"/>
      <c r="AD17" s="199"/>
      <c r="AE17" s="199"/>
      <c r="AF17" s="199"/>
      <c r="AG17" s="199"/>
      <c r="AH17" s="199"/>
      <c r="AI17" s="199"/>
      <c r="AJ17" s="199"/>
      <c r="AK17" s="199"/>
      <c r="AL17" s="199"/>
      <c r="AM17" s="199"/>
      <c r="AN17" s="199"/>
      <c r="AO17" s="199"/>
      <c r="AP17" s="199"/>
      <c r="AQ17" s="199"/>
      <c r="AR17" s="199"/>
      <c r="AS17" s="199"/>
      <c r="AT17" s="199"/>
      <c r="AU17" s="199"/>
      <c r="AV17" s="199"/>
      <c r="AW17" s="199"/>
      <c r="AX17" s="199"/>
      <c r="AY17" s="199"/>
      <c r="AZ17" s="199"/>
      <c r="BA17" s="199"/>
      <c r="BB17" s="199"/>
      <c r="BC17" s="199"/>
      <c r="BD17" s="199"/>
      <c r="BE17" s="199"/>
      <c r="BF17" s="199"/>
      <c r="BG17" s="199"/>
      <c r="BH17" s="199"/>
      <c r="BI17" s="199"/>
      <c r="BJ17" s="199"/>
      <c r="BK17" s="199"/>
      <c r="BL17" s="199"/>
      <c r="BM17" s="199"/>
    </row>
    <row r="18" ht="22.5" customHeight="1">
      <c r="A18" s="153" t="s">
        <v>75</v>
      </c>
      <c r="B18" s="153">
        <v>2026.0</v>
      </c>
      <c r="C18" s="153">
        <v>2055.0</v>
      </c>
      <c r="D18" s="153">
        <v>1991.0</v>
      </c>
      <c r="E18" s="153" t="s">
        <v>298</v>
      </c>
      <c r="F18" s="154">
        <v>1266755.0</v>
      </c>
      <c r="G18" s="154"/>
      <c r="H18" s="155">
        <f t="shared" si="2"/>
        <v>1266755</v>
      </c>
      <c r="I18" s="153" t="s">
        <v>299</v>
      </c>
      <c r="J18" s="153" t="s">
        <v>142</v>
      </c>
      <c r="K18" s="157">
        <f t="shared" si="3"/>
        <v>0</v>
      </c>
      <c r="L18" s="155"/>
      <c r="M18" s="155"/>
      <c r="N18" s="155"/>
      <c r="O18" s="155"/>
      <c r="P18" s="155"/>
      <c r="Q18" s="155"/>
      <c r="R18" s="155"/>
      <c r="S18" s="155"/>
      <c r="T18" s="155"/>
      <c r="U18" s="155"/>
      <c r="V18" s="155"/>
      <c r="W18" s="198"/>
      <c r="X18" s="198"/>
      <c r="Y18" s="199"/>
      <c r="Z18" s="199"/>
      <c r="AA18" s="199"/>
      <c r="AB18" s="213">
        <v>1266755.0</v>
      </c>
      <c r="AC18" s="199"/>
      <c r="AD18" s="199"/>
      <c r="AE18" s="199"/>
      <c r="AF18" s="199"/>
      <c r="AG18" s="199"/>
      <c r="AH18" s="199"/>
      <c r="AI18" s="199"/>
      <c r="AJ18" s="199"/>
      <c r="AK18" s="199"/>
      <c r="AL18" s="199"/>
      <c r="AM18" s="199"/>
      <c r="AN18" s="199"/>
      <c r="AO18" s="199"/>
      <c r="AP18" s="199"/>
      <c r="AQ18" s="199"/>
      <c r="AR18" s="199"/>
      <c r="AS18" s="199"/>
      <c r="AT18" s="199"/>
      <c r="AU18" s="199"/>
      <c r="AV18" s="199"/>
      <c r="AW18" s="199"/>
      <c r="AX18" s="199"/>
      <c r="AY18" s="199"/>
      <c r="AZ18" s="199"/>
      <c r="BA18" s="199"/>
      <c r="BB18" s="199"/>
      <c r="BC18" s="199"/>
      <c r="BD18" s="199"/>
      <c r="BE18" s="199"/>
      <c r="BF18" s="199"/>
      <c r="BG18" s="199"/>
      <c r="BH18" s="199"/>
      <c r="BI18" s="199"/>
      <c r="BJ18" s="199"/>
      <c r="BK18" s="199"/>
      <c r="BL18" s="199"/>
      <c r="BM18" s="199"/>
    </row>
    <row r="19" ht="22.5" customHeight="1">
      <c r="A19" s="153" t="s">
        <v>75</v>
      </c>
      <c r="B19" s="153">
        <v>2026.0</v>
      </c>
      <c r="C19" s="153"/>
      <c r="D19" s="153"/>
      <c r="E19" s="153" t="s">
        <v>307</v>
      </c>
      <c r="F19" s="154">
        <v>1.745952E7</v>
      </c>
      <c r="G19" s="154"/>
      <c r="H19" s="155">
        <f t="shared" si="2"/>
        <v>17459520</v>
      </c>
      <c r="I19" s="153"/>
      <c r="J19" s="153"/>
      <c r="K19" s="157">
        <f t="shared" si="3"/>
        <v>17459520</v>
      </c>
      <c r="L19" s="155"/>
      <c r="M19" s="155"/>
      <c r="N19" s="155"/>
      <c r="O19" s="155"/>
      <c r="P19" s="155"/>
      <c r="Q19" s="155"/>
      <c r="R19" s="155"/>
      <c r="S19" s="155"/>
      <c r="T19" s="155"/>
      <c r="U19" s="155"/>
      <c r="V19" s="155"/>
      <c r="W19" s="198"/>
      <c r="X19" s="198"/>
      <c r="Y19" s="199"/>
      <c r="Z19" s="199"/>
      <c r="AA19" s="199"/>
      <c r="AB19" s="199"/>
      <c r="AC19" s="199"/>
      <c r="AD19" s="199"/>
      <c r="AE19" s="199"/>
      <c r="AF19" s="199"/>
      <c r="AG19" s="199"/>
      <c r="AH19" s="199"/>
      <c r="AI19" s="199"/>
      <c r="AJ19" s="199"/>
      <c r="AK19" s="199"/>
      <c r="AL19" s="199"/>
      <c r="AM19" s="199"/>
      <c r="AN19" s="199"/>
      <c r="AO19" s="199"/>
      <c r="AP19" s="199"/>
      <c r="AQ19" s="199"/>
      <c r="AR19" s="199"/>
      <c r="AS19" s="199"/>
      <c r="AT19" s="199"/>
      <c r="AU19" s="199"/>
      <c r="AV19" s="199"/>
      <c r="AW19" s="199"/>
      <c r="AX19" s="199"/>
      <c r="AY19" s="199"/>
      <c r="AZ19" s="199"/>
      <c r="BA19" s="199"/>
      <c r="BB19" s="199"/>
      <c r="BC19" s="199"/>
      <c r="BD19" s="199"/>
      <c r="BE19" s="199"/>
      <c r="BF19" s="199"/>
      <c r="BG19" s="199"/>
      <c r="BH19" s="199"/>
      <c r="BI19" s="199"/>
      <c r="BJ19" s="199"/>
      <c r="BK19" s="199"/>
      <c r="BL19" s="199"/>
      <c r="BM19" s="199"/>
    </row>
    <row r="20" ht="22.5" customHeight="1">
      <c r="A20" s="153" t="s">
        <v>75</v>
      </c>
      <c r="B20" s="153">
        <v>2026.0</v>
      </c>
      <c r="C20" s="153">
        <v>2071.0</v>
      </c>
      <c r="D20" s="153">
        <v>2025.0</v>
      </c>
      <c r="E20" s="153" t="s">
        <v>317</v>
      </c>
      <c r="F20" s="154">
        <v>3599892.0</v>
      </c>
      <c r="G20" s="154"/>
      <c r="H20" s="155">
        <f t="shared" si="2"/>
        <v>3599892</v>
      </c>
      <c r="I20" s="153"/>
      <c r="J20" s="153" t="s">
        <v>142</v>
      </c>
      <c r="K20" s="157">
        <f t="shared" si="3"/>
        <v>0</v>
      </c>
      <c r="L20" s="155"/>
      <c r="M20" s="155"/>
      <c r="N20" s="155"/>
      <c r="O20" s="155"/>
      <c r="P20" s="155"/>
      <c r="Q20" s="155"/>
      <c r="R20" s="155"/>
      <c r="S20" s="155"/>
      <c r="T20" s="155"/>
      <c r="U20" s="155"/>
      <c r="V20" s="155"/>
      <c r="W20" s="198"/>
      <c r="X20" s="198"/>
      <c r="Y20" s="199"/>
      <c r="Z20" s="199"/>
      <c r="AA20" s="213">
        <v>3599892.0</v>
      </c>
      <c r="AB20" s="199"/>
      <c r="AC20" s="199"/>
      <c r="AD20" s="199"/>
      <c r="AE20" s="199"/>
      <c r="AF20" s="199"/>
      <c r="AG20" s="199"/>
      <c r="AH20" s="199"/>
      <c r="AI20" s="199"/>
      <c r="AJ20" s="199"/>
      <c r="AK20" s="199"/>
      <c r="AL20" s="199"/>
      <c r="AM20" s="199"/>
      <c r="AN20" s="199"/>
      <c r="AO20" s="199"/>
      <c r="AP20" s="199"/>
      <c r="AQ20" s="199"/>
      <c r="AR20" s="199"/>
      <c r="AS20" s="199"/>
      <c r="AT20" s="199"/>
      <c r="AU20" s="199"/>
      <c r="AV20" s="199"/>
      <c r="AW20" s="199"/>
      <c r="AX20" s="199"/>
      <c r="AY20" s="199"/>
      <c r="AZ20" s="199"/>
      <c r="BA20" s="199"/>
      <c r="BB20" s="199"/>
      <c r="BC20" s="199"/>
      <c r="BD20" s="199"/>
      <c r="BE20" s="199"/>
      <c r="BF20" s="199"/>
      <c r="BG20" s="199"/>
      <c r="BH20" s="199"/>
      <c r="BI20" s="199"/>
      <c r="BJ20" s="199"/>
      <c r="BK20" s="199"/>
      <c r="BL20" s="199"/>
      <c r="BM20" s="199"/>
    </row>
    <row r="21" ht="22.5" customHeight="1">
      <c r="A21" s="153" t="s">
        <v>75</v>
      </c>
      <c r="B21" s="153">
        <v>2026.0</v>
      </c>
      <c r="C21" s="153">
        <v>2497.0</v>
      </c>
      <c r="D21" s="153">
        <v>2421.0</v>
      </c>
      <c r="E21" s="153" t="s">
        <v>230</v>
      </c>
      <c r="F21" s="154">
        <v>799442.0</v>
      </c>
      <c r="G21" s="154"/>
      <c r="H21" s="155">
        <f t="shared" si="2"/>
        <v>799442</v>
      </c>
      <c r="I21" s="153" t="s">
        <v>145</v>
      </c>
      <c r="J21" s="153" t="s">
        <v>147</v>
      </c>
      <c r="K21" s="157">
        <f t="shared" si="3"/>
        <v>0</v>
      </c>
      <c r="L21" s="157"/>
      <c r="M21" s="157"/>
      <c r="N21" s="157"/>
      <c r="O21" s="157"/>
      <c r="P21" s="157"/>
      <c r="Q21" s="157"/>
      <c r="R21" s="157"/>
      <c r="S21" s="157"/>
      <c r="T21" s="157"/>
      <c r="U21" s="157"/>
      <c r="V21" s="157"/>
      <c r="W21" s="242"/>
      <c r="X21" s="242"/>
      <c r="Y21" s="243"/>
      <c r="Z21" s="243"/>
      <c r="AA21" s="244">
        <v>799442.0</v>
      </c>
      <c r="AB21" s="243"/>
      <c r="AC21" s="243"/>
      <c r="AD21" s="243"/>
      <c r="AE21" s="243"/>
      <c r="AF21" s="243"/>
      <c r="AG21" s="243"/>
      <c r="AH21" s="243"/>
      <c r="AI21" s="243"/>
      <c r="AJ21" s="243"/>
      <c r="AK21" s="243"/>
      <c r="AL21" s="243"/>
      <c r="AM21" s="243"/>
      <c r="AN21" s="243"/>
      <c r="AO21" s="243"/>
      <c r="AP21" s="243"/>
      <c r="AQ21" s="243"/>
      <c r="AR21" s="243"/>
      <c r="AS21" s="243"/>
      <c r="AT21" s="243"/>
      <c r="AU21" s="243"/>
      <c r="AV21" s="243"/>
      <c r="AW21" s="243"/>
      <c r="AX21" s="243"/>
      <c r="AY21" s="243"/>
      <c r="AZ21" s="243"/>
      <c r="BA21" s="243"/>
      <c r="BB21" s="243"/>
      <c r="BC21" s="243"/>
      <c r="BD21" s="243"/>
      <c r="BE21" s="243"/>
      <c r="BF21" s="243"/>
      <c r="BG21" s="243"/>
      <c r="BH21" s="243"/>
      <c r="BI21" s="243"/>
      <c r="BJ21" s="243"/>
      <c r="BK21" s="243"/>
      <c r="BL21" s="243"/>
      <c r="BM21" s="243"/>
    </row>
    <row r="22" ht="22.5" customHeight="1">
      <c r="A22" s="153" t="s">
        <v>75</v>
      </c>
      <c r="B22" s="153">
        <v>2026.0</v>
      </c>
      <c r="C22" s="153">
        <v>2714.0</v>
      </c>
      <c r="D22" s="153">
        <v>2483.0</v>
      </c>
      <c r="E22" s="153" t="s">
        <v>236</v>
      </c>
      <c r="F22" s="154">
        <v>1.5170428E7</v>
      </c>
      <c r="G22" s="154"/>
      <c r="H22" s="155">
        <f t="shared" si="2"/>
        <v>15170428</v>
      </c>
      <c r="I22" s="153" t="s">
        <v>237</v>
      </c>
      <c r="J22" s="153" t="s">
        <v>147</v>
      </c>
      <c r="K22" s="157">
        <f t="shared" si="3"/>
        <v>0</v>
      </c>
      <c r="L22" s="157"/>
      <c r="M22" s="157"/>
      <c r="N22" s="157"/>
      <c r="O22" s="157"/>
      <c r="P22" s="157"/>
      <c r="Q22" s="157"/>
      <c r="R22" s="157"/>
      <c r="S22" s="157"/>
      <c r="T22" s="157"/>
      <c r="U22" s="157"/>
      <c r="V22" s="157"/>
      <c r="W22" s="242"/>
      <c r="X22" s="242"/>
      <c r="Y22" s="243"/>
      <c r="Z22" s="243"/>
      <c r="AA22" s="243"/>
      <c r="AB22" s="243"/>
      <c r="AC22" s="243"/>
      <c r="AD22" s="244">
        <v>1.5170428E7</v>
      </c>
      <c r="AE22" s="243"/>
      <c r="AF22" s="243"/>
      <c r="AG22" s="243"/>
      <c r="AH22" s="243"/>
      <c r="AI22" s="243"/>
      <c r="AJ22" s="243"/>
      <c r="AK22" s="243"/>
      <c r="AL22" s="243"/>
      <c r="AM22" s="243"/>
      <c r="AN22" s="243"/>
      <c r="AO22" s="243"/>
      <c r="AP22" s="243"/>
      <c r="AQ22" s="243"/>
      <c r="AR22" s="243"/>
      <c r="AS22" s="243"/>
      <c r="AT22" s="243"/>
      <c r="AU22" s="243"/>
      <c r="AV22" s="243"/>
      <c r="AW22" s="243"/>
      <c r="AX22" s="243"/>
      <c r="AY22" s="243"/>
      <c r="AZ22" s="243"/>
      <c r="BA22" s="243"/>
      <c r="BB22" s="243"/>
      <c r="BC22" s="243"/>
      <c r="BD22" s="243"/>
      <c r="BE22" s="243"/>
      <c r="BF22" s="243"/>
      <c r="BG22" s="243"/>
      <c r="BH22" s="243"/>
      <c r="BI22" s="243"/>
      <c r="BJ22" s="243"/>
      <c r="BK22" s="243"/>
      <c r="BL22" s="243"/>
      <c r="BM22" s="243"/>
    </row>
    <row r="23" ht="22.5" customHeight="1">
      <c r="A23" s="153" t="s">
        <v>75</v>
      </c>
      <c r="B23" s="153">
        <v>2026.0</v>
      </c>
      <c r="C23" s="153">
        <v>2809.0</v>
      </c>
      <c r="D23" s="153"/>
      <c r="E23" s="153" t="s">
        <v>339</v>
      </c>
      <c r="F23" s="154">
        <v>2.846837E7</v>
      </c>
      <c r="G23" s="154"/>
      <c r="H23" s="155">
        <f t="shared" si="2"/>
        <v>28468370</v>
      </c>
      <c r="I23" s="153" t="s">
        <v>233</v>
      </c>
      <c r="J23" s="153" t="s">
        <v>142</v>
      </c>
      <c r="K23" s="157">
        <f t="shared" si="3"/>
        <v>0</v>
      </c>
      <c r="L23" s="157"/>
      <c r="M23" s="157"/>
      <c r="N23" s="157"/>
      <c r="O23" s="157"/>
      <c r="P23" s="157"/>
      <c r="Q23" s="157"/>
      <c r="R23" s="157"/>
      <c r="S23" s="157"/>
      <c r="T23" s="157"/>
      <c r="U23" s="157"/>
      <c r="V23" s="157"/>
      <c r="W23" s="242"/>
      <c r="X23" s="242"/>
      <c r="Y23" s="243"/>
      <c r="Z23" s="243"/>
      <c r="AA23" s="245">
        <v>8540511.0</v>
      </c>
      <c r="AB23" s="243"/>
      <c r="AC23" s="243"/>
      <c r="AD23" s="243"/>
      <c r="AE23" s="245">
        <v>1.9927859E7</v>
      </c>
      <c r="AF23" s="243"/>
      <c r="AG23" s="243"/>
      <c r="AH23" s="243"/>
      <c r="AI23" s="243"/>
      <c r="AJ23" s="243"/>
      <c r="AK23" s="243"/>
      <c r="AL23" s="243"/>
      <c r="AM23" s="243"/>
      <c r="AN23" s="243"/>
      <c r="AO23" s="243"/>
      <c r="AP23" s="243"/>
      <c r="AQ23" s="243"/>
      <c r="AR23" s="243"/>
      <c r="AS23" s="243"/>
      <c r="AT23" s="243"/>
      <c r="AU23" s="243"/>
      <c r="AV23" s="243"/>
      <c r="AW23" s="243"/>
      <c r="AX23" s="243"/>
      <c r="AY23" s="243"/>
      <c r="AZ23" s="243"/>
      <c r="BA23" s="243"/>
      <c r="BB23" s="243"/>
      <c r="BC23" s="243"/>
      <c r="BD23" s="243"/>
      <c r="BE23" s="243"/>
      <c r="BF23" s="243"/>
      <c r="BG23" s="243"/>
      <c r="BH23" s="243"/>
      <c r="BI23" s="243"/>
      <c r="BJ23" s="243"/>
      <c r="BK23" s="243"/>
      <c r="BL23" s="243"/>
      <c r="BM23" s="243"/>
    </row>
    <row r="24" ht="22.5" customHeight="1">
      <c r="A24" s="153" t="s">
        <v>75</v>
      </c>
      <c r="B24" s="153">
        <v>2026.0</v>
      </c>
      <c r="C24" s="153">
        <v>208.0</v>
      </c>
      <c r="D24" s="153">
        <v>1940.0</v>
      </c>
      <c r="E24" s="153" t="s">
        <v>347</v>
      </c>
      <c r="F24" s="154">
        <v>1796409.0</v>
      </c>
      <c r="G24" s="154"/>
      <c r="H24" s="155">
        <f t="shared" si="2"/>
        <v>1796409</v>
      </c>
      <c r="I24" s="153"/>
      <c r="J24" s="153"/>
      <c r="K24" s="157">
        <f t="shared" si="3"/>
        <v>0</v>
      </c>
      <c r="L24" s="157"/>
      <c r="M24" s="157"/>
      <c r="N24" s="157"/>
      <c r="O24" s="157"/>
      <c r="P24" s="157"/>
      <c r="Q24" s="157"/>
      <c r="R24" s="157"/>
      <c r="S24" s="157"/>
      <c r="T24" s="157"/>
      <c r="U24" s="242"/>
      <c r="V24" s="242"/>
      <c r="W24" s="246">
        <v>1796409.0</v>
      </c>
      <c r="X24" s="242"/>
      <c r="Y24" s="243"/>
      <c r="Z24" s="243"/>
      <c r="AA24" s="243"/>
      <c r="AB24" s="243"/>
      <c r="AC24" s="243"/>
      <c r="AD24" s="243"/>
      <c r="AE24" s="243"/>
      <c r="AF24" s="243"/>
      <c r="AG24" s="243"/>
      <c r="AH24" s="243"/>
      <c r="AI24" s="243"/>
      <c r="AJ24" s="243"/>
      <c r="AK24" s="243"/>
      <c r="AL24" s="243"/>
      <c r="AM24" s="243"/>
      <c r="AN24" s="243"/>
      <c r="AO24" s="243"/>
      <c r="AP24" s="243"/>
      <c r="AQ24" s="243"/>
      <c r="AR24" s="243"/>
      <c r="AS24" s="243"/>
      <c r="AT24" s="243"/>
      <c r="AU24" s="243"/>
      <c r="AV24" s="243"/>
      <c r="AW24" s="243"/>
      <c r="AX24" s="243"/>
      <c r="AY24" s="243"/>
      <c r="AZ24" s="243"/>
      <c r="BA24" s="243"/>
      <c r="BB24" s="243"/>
      <c r="BC24" s="243"/>
      <c r="BD24" s="243"/>
      <c r="BE24" s="243"/>
      <c r="BF24" s="243"/>
      <c r="BG24" s="243"/>
      <c r="BH24" s="243"/>
      <c r="BI24" s="243"/>
      <c r="BJ24" s="243"/>
      <c r="BK24" s="243"/>
      <c r="BL24" s="243"/>
      <c r="BM24" s="243"/>
    </row>
    <row r="25" ht="22.5" customHeight="1">
      <c r="A25" s="247" t="s">
        <v>75</v>
      </c>
      <c r="B25" s="247">
        <v>2026.0</v>
      </c>
      <c r="C25" s="247"/>
      <c r="D25" s="247"/>
      <c r="E25" s="248" t="s">
        <v>352</v>
      </c>
      <c r="F25" s="249">
        <v>1.0E7</v>
      </c>
      <c r="G25" s="250"/>
      <c r="H25" s="155">
        <f t="shared" si="2"/>
        <v>10000000</v>
      </c>
      <c r="I25" s="247"/>
      <c r="J25" s="247"/>
      <c r="K25" s="251">
        <f t="shared" si="3"/>
        <v>0</v>
      </c>
      <c r="L25" s="251"/>
      <c r="M25" s="251"/>
      <c r="N25" s="251"/>
      <c r="O25" s="251"/>
      <c r="P25" s="251"/>
      <c r="Q25" s="251"/>
      <c r="R25" s="251"/>
      <c r="S25" s="251"/>
      <c r="T25" s="251"/>
      <c r="U25" s="252"/>
      <c r="V25" s="252"/>
      <c r="W25" s="253"/>
      <c r="X25" s="252"/>
      <c r="Y25" s="252"/>
      <c r="Z25" s="252"/>
      <c r="AA25" s="252"/>
      <c r="AB25" s="252"/>
      <c r="AC25" s="249">
        <v>1.0E7</v>
      </c>
      <c r="AD25" s="252"/>
      <c r="AE25" s="252"/>
      <c r="AF25" s="252"/>
      <c r="AG25" s="252"/>
      <c r="AH25" s="252"/>
      <c r="AI25" s="252"/>
      <c r="AJ25" s="252"/>
      <c r="AK25" s="252"/>
      <c r="AL25" s="252"/>
      <c r="AM25" s="252"/>
      <c r="AN25" s="252"/>
      <c r="AO25" s="252"/>
      <c r="AP25" s="252"/>
      <c r="AQ25" s="252"/>
      <c r="AR25" s="252"/>
      <c r="AS25" s="252"/>
      <c r="AT25" s="252"/>
      <c r="AU25" s="252"/>
      <c r="AV25" s="252"/>
      <c r="AW25" s="252"/>
      <c r="AX25" s="252"/>
      <c r="AY25" s="252"/>
      <c r="AZ25" s="252"/>
      <c r="BA25" s="252"/>
      <c r="BB25" s="252"/>
      <c r="BC25" s="252"/>
      <c r="BD25" s="252"/>
      <c r="BE25" s="252"/>
      <c r="BF25" s="252"/>
      <c r="BG25" s="252"/>
      <c r="BH25" s="252"/>
      <c r="BI25" s="252"/>
      <c r="BJ25" s="252"/>
      <c r="BK25" s="252"/>
      <c r="BL25" s="252"/>
      <c r="BM25" s="252"/>
    </row>
    <row r="26" ht="22.5" customHeight="1">
      <c r="A26" s="247" t="s">
        <v>75</v>
      </c>
      <c r="B26" s="247">
        <v>2026.0</v>
      </c>
      <c r="C26" s="247"/>
      <c r="D26" s="247"/>
      <c r="E26" s="248" t="s">
        <v>357</v>
      </c>
      <c r="F26" s="249">
        <f>2019430+1302683</f>
        <v>3322113</v>
      </c>
      <c r="G26" s="250"/>
      <c r="H26" s="155">
        <f t="shared" si="2"/>
        <v>3322113</v>
      </c>
      <c r="I26" s="247"/>
      <c r="J26" s="247"/>
      <c r="K26" s="251">
        <f t="shared" si="3"/>
        <v>0</v>
      </c>
      <c r="L26" s="251"/>
      <c r="M26" s="251"/>
      <c r="N26" s="251"/>
      <c r="O26" s="251"/>
      <c r="P26" s="251"/>
      <c r="Q26" s="251"/>
      <c r="R26" s="251"/>
      <c r="S26" s="251"/>
      <c r="T26" s="251"/>
      <c r="U26" s="252"/>
      <c r="V26" s="252"/>
      <c r="W26" s="253"/>
      <c r="X26" s="252"/>
      <c r="Y26" s="252"/>
      <c r="Z26" s="252"/>
      <c r="AA26" s="252"/>
      <c r="AB26" s="252"/>
      <c r="AC26" s="249"/>
      <c r="AD26" s="249">
        <f>2019430+1302683</f>
        <v>3322113</v>
      </c>
      <c r="AE26" s="252"/>
      <c r="AF26" s="252"/>
      <c r="AG26" s="252"/>
      <c r="AH26" s="252"/>
      <c r="AI26" s="252"/>
      <c r="AJ26" s="252"/>
      <c r="AK26" s="252"/>
      <c r="AL26" s="252"/>
      <c r="AM26" s="252"/>
      <c r="AN26" s="252"/>
      <c r="AO26" s="252"/>
      <c r="AP26" s="252"/>
      <c r="AQ26" s="252"/>
      <c r="AR26" s="252"/>
      <c r="AS26" s="252"/>
      <c r="AT26" s="252"/>
      <c r="AU26" s="252"/>
      <c r="AV26" s="252"/>
      <c r="AW26" s="252"/>
      <c r="AX26" s="252"/>
      <c r="AY26" s="252"/>
      <c r="AZ26" s="252"/>
      <c r="BA26" s="252"/>
      <c r="BB26" s="252"/>
      <c r="BC26" s="252"/>
      <c r="BD26" s="252"/>
      <c r="BE26" s="252"/>
      <c r="BF26" s="252"/>
      <c r="BG26" s="252"/>
      <c r="BH26" s="252"/>
      <c r="BI26" s="252"/>
      <c r="BJ26" s="252"/>
      <c r="BK26" s="252"/>
      <c r="BL26" s="252"/>
      <c r="BM26" s="252"/>
    </row>
    <row r="27" ht="22.5" customHeight="1">
      <c r="A27" s="247" t="s">
        <v>75</v>
      </c>
      <c r="B27" s="247">
        <v>2026.0</v>
      </c>
      <c r="C27" s="247"/>
      <c r="D27" s="247"/>
      <c r="E27" s="248" t="s">
        <v>363</v>
      </c>
      <c r="F27" s="249">
        <v>1.1E8</v>
      </c>
      <c r="G27" s="250"/>
      <c r="H27" s="155">
        <f t="shared" si="2"/>
        <v>110000000</v>
      </c>
      <c r="I27" s="247"/>
      <c r="J27" s="247"/>
      <c r="K27" s="251">
        <f t="shared" si="3"/>
        <v>0</v>
      </c>
      <c r="L27" s="251"/>
      <c r="M27" s="251"/>
      <c r="N27" s="251"/>
      <c r="O27" s="251"/>
      <c r="P27" s="251"/>
      <c r="Q27" s="251"/>
      <c r="R27" s="251"/>
      <c r="S27" s="251"/>
      <c r="T27" s="251"/>
      <c r="U27" s="252"/>
      <c r="V27" s="252"/>
      <c r="W27" s="253"/>
      <c r="X27" s="252"/>
      <c r="Y27" s="252"/>
      <c r="Z27" s="252"/>
      <c r="AA27" s="252"/>
      <c r="AB27" s="252"/>
      <c r="AC27" s="249">
        <v>1.1E8</v>
      </c>
      <c r="AD27" s="252"/>
      <c r="AE27" s="252"/>
      <c r="AF27" s="252"/>
      <c r="AG27" s="252"/>
      <c r="AH27" s="252"/>
      <c r="AI27" s="252"/>
      <c r="AJ27" s="252"/>
      <c r="AK27" s="252"/>
      <c r="AL27" s="252"/>
      <c r="AM27" s="252"/>
      <c r="AN27" s="252"/>
      <c r="AO27" s="252"/>
      <c r="AP27" s="252"/>
      <c r="AQ27" s="252"/>
      <c r="AR27" s="252"/>
      <c r="AS27" s="252"/>
      <c r="AT27" s="252"/>
      <c r="AU27" s="252"/>
      <c r="AV27" s="252"/>
      <c r="AW27" s="252"/>
      <c r="AX27" s="252"/>
      <c r="AY27" s="252"/>
      <c r="AZ27" s="252"/>
      <c r="BA27" s="252"/>
      <c r="BB27" s="252"/>
      <c r="BC27" s="252"/>
      <c r="BD27" s="252"/>
      <c r="BE27" s="252"/>
      <c r="BF27" s="252"/>
      <c r="BG27" s="252"/>
      <c r="BH27" s="252"/>
      <c r="BI27" s="252"/>
      <c r="BJ27" s="252"/>
      <c r="BK27" s="252"/>
      <c r="BL27" s="252"/>
      <c r="BM27" s="252"/>
    </row>
    <row r="28" ht="22.5" customHeight="1">
      <c r="A28" s="247" t="s">
        <v>75</v>
      </c>
      <c r="B28" s="247">
        <v>2026.0</v>
      </c>
      <c r="C28" s="247"/>
      <c r="D28" s="247"/>
      <c r="E28" s="248" t="s">
        <v>371</v>
      </c>
      <c r="F28" s="249">
        <v>3.0E7</v>
      </c>
      <c r="G28" s="250"/>
      <c r="H28" s="155">
        <f t="shared" si="2"/>
        <v>30000000</v>
      </c>
      <c r="I28" s="247"/>
      <c r="J28" s="247"/>
      <c r="K28" s="251">
        <f t="shared" si="3"/>
        <v>0</v>
      </c>
      <c r="L28" s="251"/>
      <c r="M28" s="251"/>
      <c r="N28" s="251"/>
      <c r="O28" s="251"/>
      <c r="P28" s="251"/>
      <c r="Q28" s="251"/>
      <c r="R28" s="251"/>
      <c r="S28" s="251"/>
      <c r="T28" s="251"/>
      <c r="U28" s="252"/>
      <c r="V28" s="252"/>
      <c r="W28" s="253"/>
      <c r="X28" s="252"/>
      <c r="Y28" s="252"/>
      <c r="Z28" s="252"/>
      <c r="AA28" s="252"/>
      <c r="AB28" s="252"/>
      <c r="AC28" s="252"/>
      <c r="AD28" s="252"/>
      <c r="AE28" s="252"/>
      <c r="AF28" s="252"/>
      <c r="AG28" s="249">
        <v>3.0E7</v>
      </c>
      <c r="AH28" s="252"/>
      <c r="AI28" s="252"/>
      <c r="AJ28" s="252"/>
      <c r="AK28" s="252"/>
      <c r="AL28" s="252"/>
      <c r="AM28" s="252"/>
      <c r="AN28" s="252"/>
      <c r="AO28" s="252"/>
      <c r="AP28" s="252"/>
      <c r="AQ28" s="252"/>
      <c r="AR28" s="252"/>
      <c r="AS28" s="252"/>
      <c r="AT28" s="252"/>
      <c r="AU28" s="252"/>
      <c r="AV28" s="252"/>
      <c r="AW28" s="252"/>
      <c r="AX28" s="252"/>
      <c r="AY28" s="252"/>
      <c r="AZ28" s="252"/>
      <c r="BA28" s="252"/>
      <c r="BB28" s="252"/>
      <c r="BC28" s="252"/>
      <c r="BD28" s="252"/>
      <c r="BE28" s="252"/>
      <c r="BF28" s="252"/>
      <c r="BG28" s="252"/>
      <c r="BH28" s="252"/>
      <c r="BI28" s="252"/>
      <c r="BJ28" s="252"/>
      <c r="BK28" s="252"/>
      <c r="BL28" s="252"/>
      <c r="BM28" s="252"/>
    </row>
    <row r="29" ht="22.5" customHeight="1">
      <c r="A29" s="247" t="s">
        <v>75</v>
      </c>
      <c r="B29" s="247">
        <v>2026.0</v>
      </c>
      <c r="C29" s="247"/>
      <c r="D29" s="247"/>
      <c r="E29" s="248" t="s">
        <v>379</v>
      </c>
      <c r="F29" s="249">
        <v>1.5E7</v>
      </c>
      <c r="G29" s="250"/>
      <c r="H29" s="155">
        <f t="shared" si="2"/>
        <v>15000000</v>
      </c>
      <c r="I29" s="247"/>
      <c r="J29" s="247"/>
      <c r="K29" s="251">
        <f t="shared" si="3"/>
        <v>0</v>
      </c>
      <c r="L29" s="251"/>
      <c r="M29" s="251"/>
      <c r="N29" s="251"/>
      <c r="O29" s="251"/>
      <c r="P29" s="251"/>
      <c r="Q29" s="251"/>
      <c r="R29" s="251"/>
      <c r="S29" s="251"/>
      <c r="T29" s="251"/>
      <c r="U29" s="252"/>
      <c r="V29" s="252"/>
      <c r="W29" s="253"/>
      <c r="X29" s="252"/>
      <c r="Y29" s="252"/>
      <c r="Z29" s="252"/>
      <c r="AA29" s="252"/>
      <c r="AB29" s="252"/>
      <c r="AC29" s="252"/>
      <c r="AD29" s="252"/>
      <c r="AE29" s="252"/>
      <c r="AF29" s="252"/>
      <c r="AG29" s="249">
        <v>1.5E7</v>
      </c>
      <c r="AH29" s="252"/>
      <c r="AI29" s="252"/>
      <c r="AJ29" s="252"/>
      <c r="AK29" s="252"/>
      <c r="AL29" s="252"/>
      <c r="AM29" s="252"/>
      <c r="AN29" s="252"/>
      <c r="AO29" s="252"/>
      <c r="AP29" s="252"/>
      <c r="AQ29" s="252"/>
      <c r="AR29" s="252"/>
      <c r="AS29" s="252"/>
      <c r="AT29" s="252"/>
      <c r="AU29" s="252"/>
      <c r="AV29" s="252"/>
      <c r="AW29" s="252"/>
      <c r="AX29" s="252"/>
      <c r="AY29" s="252"/>
      <c r="AZ29" s="252"/>
      <c r="BA29" s="252"/>
      <c r="BB29" s="252"/>
      <c r="BC29" s="252"/>
      <c r="BD29" s="252"/>
      <c r="BE29" s="252"/>
      <c r="BF29" s="252"/>
      <c r="BG29" s="252"/>
      <c r="BH29" s="252"/>
      <c r="BI29" s="252"/>
      <c r="BJ29" s="252"/>
      <c r="BK29" s="252"/>
      <c r="BL29" s="252"/>
      <c r="BM29" s="252"/>
    </row>
    <row r="30" ht="22.5" customHeight="1">
      <c r="A30" s="247" t="s">
        <v>75</v>
      </c>
      <c r="B30" s="247">
        <v>2026.0</v>
      </c>
      <c r="C30" s="247"/>
      <c r="D30" s="247"/>
      <c r="E30" s="248" t="s">
        <v>385</v>
      </c>
      <c r="F30" s="249">
        <v>7500000.0</v>
      </c>
      <c r="G30" s="250"/>
      <c r="H30" s="155">
        <f t="shared" si="2"/>
        <v>7500000</v>
      </c>
      <c r="I30" s="247"/>
      <c r="J30" s="247"/>
      <c r="K30" s="251">
        <f t="shared" si="3"/>
        <v>0</v>
      </c>
      <c r="L30" s="251"/>
      <c r="M30" s="251"/>
      <c r="N30" s="251"/>
      <c r="O30" s="251"/>
      <c r="P30" s="251"/>
      <c r="Q30" s="251"/>
      <c r="R30" s="251"/>
      <c r="S30" s="251"/>
      <c r="T30" s="251"/>
      <c r="U30" s="252"/>
      <c r="V30" s="252"/>
      <c r="W30" s="253"/>
      <c r="X30" s="252"/>
      <c r="Y30" s="252"/>
      <c r="Z30" s="252"/>
      <c r="AA30" s="252"/>
      <c r="AB30" s="252"/>
      <c r="AC30" s="252"/>
      <c r="AD30" s="252"/>
      <c r="AE30" s="252"/>
      <c r="AF30" s="252"/>
      <c r="AG30" s="249">
        <v>7500000.0</v>
      </c>
      <c r="AH30" s="252"/>
      <c r="AI30" s="252"/>
      <c r="AJ30" s="252"/>
      <c r="AK30" s="252"/>
      <c r="AL30" s="252"/>
      <c r="AM30" s="252"/>
      <c r="AN30" s="252"/>
      <c r="AO30" s="252"/>
      <c r="AP30" s="252"/>
      <c r="AQ30" s="252"/>
      <c r="AR30" s="252"/>
      <c r="AS30" s="252"/>
      <c r="AT30" s="252"/>
      <c r="AU30" s="252"/>
      <c r="AV30" s="252"/>
      <c r="AW30" s="252"/>
      <c r="AX30" s="252"/>
      <c r="AY30" s="252"/>
      <c r="AZ30" s="252"/>
      <c r="BA30" s="252"/>
      <c r="BB30" s="252"/>
      <c r="BC30" s="252"/>
      <c r="BD30" s="252"/>
      <c r="BE30" s="252"/>
      <c r="BF30" s="252"/>
      <c r="BG30" s="252"/>
      <c r="BH30" s="252"/>
      <c r="BI30" s="252"/>
      <c r="BJ30" s="252"/>
      <c r="BK30" s="252"/>
      <c r="BL30" s="252"/>
      <c r="BM30" s="252"/>
    </row>
    <row r="31" ht="22.5" customHeight="1">
      <c r="A31" s="247" t="s">
        <v>75</v>
      </c>
      <c r="B31" s="247">
        <v>2026.0</v>
      </c>
      <c r="C31" s="247"/>
      <c r="D31" s="247"/>
      <c r="E31" s="248" t="s">
        <v>301</v>
      </c>
      <c r="F31" s="249">
        <v>1.2E7</v>
      </c>
      <c r="G31" s="250"/>
      <c r="H31" s="155">
        <f t="shared" si="2"/>
        <v>12000000</v>
      </c>
      <c r="I31" s="247"/>
      <c r="J31" s="247"/>
      <c r="K31" s="251">
        <f t="shared" si="3"/>
        <v>0</v>
      </c>
      <c r="L31" s="251"/>
      <c r="M31" s="251"/>
      <c r="N31" s="251"/>
      <c r="O31" s="251"/>
      <c r="P31" s="251"/>
      <c r="Q31" s="251"/>
      <c r="R31" s="251"/>
      <c r="S31" s="251"/>
      <c r="T31" s="251"/>
      <c r="U31" s="252"/>
      <c r="V31" s="252"/>
      <c r="W31" s="253"/>
      <c r="X31" s="252"/>
      <c r="Y31" s="252"/>
      <c r="Z31" s="252"/>
      <c r="AA31" s="252"/>
      <c r="AB31" s="252"/>
      <c r="AC31" s="249">
        <v>1.2E7</v>
      </c>
      <c r="AD31" s="252"/>
      <c r="AE31" s="252"/>
      <c r="AF31" s="252"/>
      <c r="AG31" s="252"/>
      <c r="AH31" s="252"/>
      <c r="AI31" s="252"/>
      <c r="AJ31" s="252"/>
      <c r="AK31" s="252"/>
      <c r="AL31" s="252"/>
      <c r="AM31" s="252"/>
      <c r="AN31" s="252"/>
      <c r="AO31" s="252"/>
      <c r="AP31" s="252"/>
      <c r="AQ31" s="252"/>
      <c r="AR31" s="252"/>
      <c r="AS31" s="252"/>
      <c r="AT31" s="252"/>
      <c r="AU31" s="252"/>
      <c r="AV31" s="252"/>
      <c r="AW31" s="252"/>
      <c r="AX31" s="252"/>
      <c r="AY31" s="252"/>
      <c r="AZ31" s="252"/>
      <c r="BA31" s="252"/>
      <c r="BB31" s="252"/>
      <c r="BC31" s="252"/>
      <c r="BD31" s="252"/>
      <c r="BE31" s="252"/>
      <c r="BF31" s="252"/>
      <c r="BG31" s="252"/>
      <c r="BH31" s="252"/>
      <c r="BI31" s="252"/>
      <c r="BJ31" s="252"/>
      <c r="BK31" s="252"/>
      <c r="BL31" s="252"/>
      <c r="BM31" s="252"/>
    </row>
    <row r="32" ht="22.5" customHeight="1">
      <c r="A32" s="247" t="s">
        <v>75</v>
      </c>
      <c r="B32" s="247">
        <v>2026.0</v>
      </c>
      <c r="C32" s="247"/>
      <c r="D32" s="247"/>
      <c r="E32" s="248" t="s">
        <v>401</v>
      </c>
      <c r="F32" s="249">
        <v>4000000.0</v>
      </c>
      <c r="G32" s="250"/>
      <c r="H32" s="155">
        <f t="shared" si="2"/>
        <v>4000000</v>
      </c>
      <c r="I32" s="247"/>
      <c r="J32" s="247"/>
      <c r="K32" s="251">
        <f t="shared" si="3"/>
        <v>0</v>
      </c>
      <c r="L32" s="251"/>
      <c r="M32" s="251"/>
      <c r="N32" s="251"/>
      <c r="O32" s="251"/>
      <c r="P32" s="251"/>
      <c r="Q32" s="251"/>
      <c r="R32" s="251"/>
      <c r="S32" s="251"/>
      <c r="T32" s="251"/>
      <c r="U32" s="252"/>
      <c r="V32" s="252"/>
      <c r="W32" s="253"/>
      <c r="X32" s="252"/>
      <c r="Y32" s="252"/>
      <c r="Z32" s="252"/>
      <c r="AA32" s="252"/>
      <c r="AB32" s="252"/>
      <c r="AC32" s="249"/>
      <c r="AD32" s="252"/>
      <c r="AE32" s="252"/>
      <c r="AF32" s="252"/>
      <c r="AG32" s="252"/>
      <c r="AH32" s="252"/>
      <c r="AI32" s="252"/>
      <c r="AJ32" s="252"/>
      <c r="AK32" s="252"/>
      <c r="AL32" s="252"/>
      <c r="AM32" s="252"/>
      <c r="AN32" s="252"/>
      <c r="AO32" s="252"/>
      <c r="AP32" s="249">
        <v>4000000.0</v>
      </c>
      <c r="AQ32" s="252"/>
      <c r="AR32" s="252"/>
      <c r="AS32" s="252"/>
      <c r="AT32" s="252"/>
      <c r="AU32" s="252"/>
      <c r="AV32" s="252"/>
      <c r="AW32" s="252"/>
      <c r="AX32" s="252"/>
      <c r="AY32" s="252"/>
      <c r="AZ32" s="252"/>
      <c r="BA32" s="252"/>
      <c r="BB32" s="252"/>
      <c r="BC32" s="252"/>
      <c r="BD32" s="252"/>
      <c r="BE32" s="252"/>
      <c r="BF32" s="252"/>
      <c r="BG32" s="252"/>
      <c r="BH32" s="252"/>
      <c r="BI32" s="252"/>
      <c r="BJ32" s="252"/>
      <c r="BK32" s="252"/>
      <c r="BL32" s="252"/>
      <c r="BM32" s="252"/>
    </row>
    <row r="33" ht="22.5" customHeight="1">
      <c r="A33" s="153" t="s">
        <v>18</v>
      </c>
      <c r="B33" s="153">
        <v>2025.0</v>
      </c>
      <c r="C33" s="153"/>
      <c r="D33" s="153">
        <v>3946.0</v>
      </c>
      <c r="E33" s="153" t="s">
        <v>308</v>
      </c>
      <c r="F33" s="154">
        <v>3.16857372E8</v>
      </c>
      <c r="G33" s="154">
        <f>95057212+27725020+27725020+75253626+75253626</f>
        <v>301014504</v>
      </c>
      <c r="H33" s="155">
        <f t="shared" si="2"/>
        <v>15842868</v>
      </c>
      <c r="I33" s="153" t="s">
        <v>293</v>
      </c>
      <c r="J33" s="153" t="s">
        <v>74</v>
      </c>
      <c r="K33" s="157">
        <f t="shared" si="3"/>
        <v>-15842869.2</v>
      </c>
      <c r="L33" s="157"/>
      <c r="M33" s="157"/>
      <c r="N33" s="157"/>
      <c r="O33" s="157"/>
      <c r="P33" s="157"/>
      <c r="Q33" s="157"/>
      <c r="R33" s="157"/>
      <c r="S33" s="157"/>
      <c r="T33" s="157"/>
      <c r="U33" s="157"/>
      <c r="V33" s="157"/>
      <c r="W33" s="157"/>
      <c r="X33" s="157"/>
      <c r="Y33" s="283"/>
      <c r="Z33" s="283"/>
      <c r="AA33" s="283">
        <v>1.5842868600000001E7</v>
      </c>
      <c r="AB33" s="283"/>
      <c r="AC33" s="283"/>
      <c r="AD33" s="283"/>
      <c r="AE33" s="283"/>
      <c r="AF33" s="283"/>
      <c r="AG33" s="283"/>
      <c r="AH33" s="283"/>
      <c r="AI33" s="283"/>
      <c r="AJ33" s="283"/>
      <c r="AK33" s="283"/>
      <c r="AL33" s="283"/>
      <c r="AM33" s="283"/>
      <c r="AN33" s="283"/>
      <c r="AO33" s="283"/>
      <c r="AP33" s="283"/>
      <c r="AQ33" s="283"/>
      <c r="AR33" s="283"/>
      <c r="AS33" s="283"/>
      <c r="AT33" s="283"/>
      <c r="AU33" s="283"/>
      <c r="AV33" s="283"/>
      <c r="AW33" s="283"/>
      <c r="AX33" s="283"/>
      <c r="AY33" s="283"/>
      <c r="AZ33" s="283"/>
      <c r="BA33" s="283"/>
      <c r="BB33" s="283"/>
      <c r="BC33" s="283"/>
      <c r="BD33" s="283"/>
      <c r="BE33" s="283"/>
      <c r="BF33" s="283"/>
      <c r="BG33" s="283"/>
      <c r="BH33" s="283">
        <v>1.5842868600000001E7</v>
      </c>
      <c r="BI33" s="283"/>
      <c r="BJ33" s="283"/>
      <c r="BK33" s="283"/>
      <c r="BL33" s="283"/>
      <c r="BM33" s="283"/>
    </row>
    <row r="34" ht="22.5" customHeight="1">
      <c r="A34" s="153" t="s">
        <v>18</v>
      </c>
      <c r="B34" s="153">
        <v>2025.0</v>
      </c>
      <c r="C34" s="153"/>
      <c r="D34" s="153">
        <v>7844.0</v>
      </c>
      <c r="E34" s="153" t="s">
        <v>318</v>
      </c>
      <c r="F34" s="154">
        <v>1.0833477E7</v>
      </c>
      <c r="G34" s="154">
        <v>2540943.0</v>
      </c>
      <c r="H34" s="155">
        <f t="shared" si="2"/>
        <v>8292534</v>
      </c>
      <c r="I34" s="153"/>
      <c r="J34" s="153" t="s">
        <v>135</v>
      </c>
      <c r="K34" s="157">
        <f t="shared" si="3"/>
        <v>0</v>
      </c>
      <c r="L34" s="157"/>
      <c r="M34" s="157"/>
      <c r="N34" s="157"/>
      <c r="O34" s="157"/>
      <c r="P34" s="157"/>
      <c r="Q34" s="157"/>
      <c r="R34" s="157"/>
      <c r="S34" s="157"/>
      <c r="T34" s="157"/>
      <c r="U34" s="157"/>
      <c r="V34" s="157"/>
      <c r="W34" s="157"/>
      <c r="X34" s="157"/>
      <c r="Y34" s="283"/>
      <c r="Z34" s="283"/>
      <c r="AA34" s="283"/>
      <c r="AB34" s="283"/>
      <c r="AC34" s="283"/>
      <c r="AD34" s="283"/>
      <c r="AE34" s="283"/>
      <c r="AF34" s="283">
        <v>4146267.0</v>
      </c>
      <c r="AG34" s="283"/>
      <c r="AH34" s="283"/>
      <c r="AI34" s="283"/>
      <c r="AJ34" s="283"/>
      <c r="AK34" s="283"/>
      <c r="AL34" s="283"/>
      <c r="AM34" s="283"/>
      <c r="AN34" s="283"/>
      <c r="AO34" s="283">
        <v>4146267.0</v>
      </c>
      <c r="AP34" s="283"/>
      <c r="AQ34" s="283"/>
      <c r="AR34" s="283"/>
      <c r="AS34" s="283"/>
      <c r="AT34" s="283"/>
      <c r="AU34" s="283"/>
      <c r="AV34" s="283"/>
      <c r="AW34" s="283"/>
      <c r="AX34" s="283"/>
      <c r="AY34" s="283"/>
      <c r="AZ34" s="283"/>
      <c r="BA34" s="283"/>
      <c r="BB34" s="283"/>
      <c r="BC34" s="283"/>
      <c r="BD34" s="283"/>
      <c r="BE34" s="283"/>
      <c r="BF34" s="283"/>
      <c r="BG34" s="283"/>
      <c r="BH34" s="283"/>
      <c r="BI34" s="283"/>
      <c r="BJ34" s="283"/>
      <c r="BK34" s="283"/>
      <c r="BL34" s="283"/>
      <c r="BM34" s="283"/>
    </row>
    <row r="35" ht="22.5" customHeight="1">
      <c r="A35" s="153" t="s">
        <v>18</v>
      </c>
      <c r="B35" s="153">
        <v>2025.0</v>
      </c>
      <c r="C35" s="153"/>
      <c r="D35" s="153">
        <v>10964.0</v>
      </c>
      <c r="E35" s="153" t="s">
        <v>329</v>
      </c>
      <c r="F35" s="154">
        <v>6.7524777E7</v>
      </c>
      <c r="G35" s="154">
        <v>2.0257433E7</v>
      </c>
      <c r="H35" s="155">
        <f t="shared" si="2"/>
        <v>47267344</v>
      </c>
      <c r="I35" s="153"/>
      <c r="J35" s="153" t="s">
        <v>144</v>
      </c>
      <c r="K35" s="157">
        <f t="shared" si="3"/>
        <v>0.1000000015</v>
      </c>
      <c r="L35" s="157"/>
      <c r="M35" s="157"/>
      <c r="N35" s="157"/>
      <c r="O35" s="157"/>
      <c r="P35" s="157"/>
      <c r="Q35" s="157"/>
      <c r="R35" s="157"/>
      <c r="S35" s="157"/>
      <c r="T35" s="157"/>
      <c r="U35" s="157"/>
      <c r="V35" s="157"/>
      <c r="W35" s="157"/>
      <c r="X35" s="157"/>
      <c r="Y35" s="283"/>
      <c r="Z35" s="303">
        <v>4.72673439E7</v>
      </c>
      <c r="AA35" s="283"/>
      <c r="AB35" s="283"/>
      <c r="AC35" s="283"/>
      <c r="AD35" s="283"/>
      <c r="AE35" s="283"/>
      <c r="AF35" s="283"/>
      <c r="AG35" s="283"/>
      <c r="AH35" s="283"/>
      <c r="AI35" s="283"/>
      <c r="AJ35" s="283"/>
      <c r="AK35" s="283"/>
      <c r="AL35" s="283"/>
      <c r="AM35" s="283"/>
      <c r="AN35" s="283"/>
      <c r="AO35" s="283"/>
      <c r="AP35" s="283"/>
      <c r="AQ35" s="283"/>
      <c r="AR35" s="283"/>
      <c r="AS35" s="283"/>
      <c r="AT35" s="283"/>
      <c r="AU35" s="283"/>
      <c r="AV35" s="283"/>
      <c r="AW35" s="283"/>
      <c r="AX35" s="283"/>
      <c r="AY35" s="283"/>
      <c r="AZ35" s="283"/>
      <c r="BA35" s="283"/>
      <c r="BB35" s="283"/>
      <c r="BC35" s="283"/>
      <c r="BD35" s="283"/>
      <c r="BE35" s="283"/>
      <c r="BF35" s="283"/>
      <c r="BG35" s="283"/>
      <c r="BH35" s="283"/>
      <c r="BI35" s="283"/>
      <c r="BJ35" s="283"/>
      <c r="BK35" s="283"/>
      <c r="BL35" s="283"/>
      <c r="BM35" s="283"/>
    </row>
    <row r="36" ht="22.5" customHeight="1">
      <c r="A36" s="153" t="s">
        <v>18</v>
      </c>
      <c r="B36" s="153">
        <v>2025.0</v>
      </c>
      <c r="C36" s="153"/>
      <c r="D36" s="153">
        <v>11875.0</v>
      </c>
      <c r="E36" s="153" t="s">
        <v>336</v>
      </c>
      <c r="F36" s="154">
        <v>2.4367129E7</v>
      </c>
      <c r="G36" s="154">
        <f>7310138+7421966</f>
        <v>14732104</v>
      </c>
      <c r="H36" s="155">
        <f t="shared" si="2"/>
        <v>9635025</v>
      </c>
      <c r="I36" s="153" t="s">
        <v>338</v>
      </c>
      <c r="J36" s="153" t="s">
        <v>142</v>
      </c>
      <c r="K36" s="157">
        <f t="shared" si="3"/>
        <v>0</v>
      </c>
      <c r="L36" s="157"/>
      <c r="M36" s="157"/>
      <c r="N36" s="157"/>
      <c r="O36" s="323">
        <v>9635025.0</v>
      </c>
      <c r="P36" s="157"/>
      <c r="Q36" s="157"/>
      <c r="R36" s="157"/>
      <c r="S36" s="157"/>
      <c r="T36" s="157"/>
      <c r="U36" s="157"/>
      <c r="V36" s="157"/>
      <c r="W36" s="157"/>
      <c r="X36" s="157"/>
      <c r="Y36" s="283"/>
      <c r="Z36" s="283"/>
      <c r="AA36" s="283"/>
      <c r="AB36" s="283"/>
      <c r="AC36" s="283"/>
      <c r="AD36" s="283"/>
      <c r="AE36" s="283"/>
      <c r="AF36" s="283"/>
      <c r="AG36" s="283"/>
      <c r="AH36" s="283"/>
      <c r="AI36" s="283"/>
      <c r="AJ36" s="283"/>
      <c r="AK36" s="283"/>
      <c r="AL36" s="283"/>
      <c r="AM36" s="283"/>
      <c r="AN36" s="283"/>
      <c r="AO36" s="283"/>
      <c r="AP36" s="283"/>
      <c r="AQ36" s="283"/>
      <c r="AR36" s="283"/>
      <c r="AS36" s="283"/>
      <c r="AT36" s="283"/>
      <c r="AU36" s="283"/>
      <c r="AV36" s="283"/>
      <c r="AW36" s="283"/>
      <c r="AX36" s="283"/>
      <c r="AY36" s="283"/>
      <c r="AZ36" s="283"/>
      <c r="BA36" s="283"/>
      <c r="BB36" s="283"/>
      <c r="BC36" s="283"/>
      <c r="BD36" s="283"/>
      <c r="BE36" s="283"/>
      <c r="BF36" s="283"/>
      <c r="BG36" s="283"/>
      <c r="BH36" s="283"/>
      <c r="BI36" s="283"/>
      <c r="BJ36" s="283"/>
      <c r="BK36" s="283"/>
      <c r="BL36" s="283"/>
      <c r="BM36" s="283"/>
    </row>
    <row r="37" ht="22.5" customHeight="1">
      <c r="A37" s="153" t="s">
        <v>18</v>
      </c>
      <c r="B37" s="153">
        <v>2025.0</v>
      </c>
      <c r="C37" s="153"/>
      <c r="D37" s="153">
        <v>13310.0</v>
      </c>
      <c r="E37" s="153" t="s">
        <v>356</v>
      </c>
      <c r="F37" s="154">
        <v>4760000.0</v>
      </c>
      <c r="G37" s="154">
        <f>4760000*0.3</f>
        <v>1428000</v>
      </c>
      <c r="H37" s="155">
        <f t="shared" si="2"/>
        <v>3332000</v>
      </c>
      <c r="I37" s="153"/>
      <c r="J37" s="153" t="s">
        <v>117</v>
      </c>
      <c r="K37" s="157">
        <f t="shared" si="3"/>
        <v>0</v>
      </c>
      <c r="L37" s="157"/>
      <c r="M37" s="157"/>
      <c r="N37" s="157"/>
      <c r="O37" s="323">
        <v>3332000.0</v>
      </c>
      <c r="P37" s="157"/>
      <c r="Q37" s="157"/>
      <c r="R37" s="157"/>
      <c r="S37" s="157"/>
      <c r="T37" s="157"/>
      <c r="U37" s="157"/>
      <c r="V37" s="157"/>
      <c r="W37" s="157"/>
      <c r="X37" s="157"/>
      <c r="Y37" s="283"/>
      <c r="Z37" s="283"/>
      <c r="AA37" s="283"/>
      <c r="AB37" s="283"/>
      <c r="AC37" s="283"/>
      <c r="AD37" s="283"/>
      <c r="AE37" s="283"/>
      <c r="AF37" s="283"/>
      <c r="AG37" s="283"/>
      <c r="AH37" s="283"/>
      <c r="AI37" s="283"/>
      <c r="AJ37" s="283"/>
      <c r="AK37" s="283"/>
      <c r="AL37" s="283"/>
      <c r="AM37" s="283"/>
      <c r="AN37" s="283"/>
      <c r="AO37" s="283"/>
      <c r="AP37" s="283"/>
      <c r="AQ37" s="283"/>
      <c r="AR37" s="283"/>
      <c r="AS37" s="283"/>
      <c r="AT37" s="283"/>
      <c r="AU37" s="283"/>
      <c r="AV37" s="283"/>
      <c r="AW37" s="283"/>
      <c r="AX37" s="283"/>
      <c r="AY37" s="283"/>
      <c r="AZ37" s="283"/>
      <c r="BA37" s="283"/>
      <c r="BB37" s="283"/>
      <c r="BC37" s="283"/>
      <c r="BD37" s="283"/>
      <c r="BE37" s="283"/>
      <c r="BF37" s="283"/>
      <c r="BG37" s="283"/>
      <c r="BH37" s="283"/>
      <c r="BI37" s="283"/>
      <c r="BJ37" s="283"/>
      <c r="BK37" s="283"/>
      <c r="BL37" s="283"/>
      <c r="BM37" s="283"/>
    </row>
    <row r="38" ht="22.5" customHeight="1">
      <c r="A38" s="153" t="s">
        <v>18</v>
      </c>
      <c r="B38" s="153">
        <v>2025.0</v>
      </c>
      <c r="C38" s="153"/>
      <c r="D38" s="153">
        <v>10880.0</v>
      </c>
      <c r="E38" s="153" t="s">
        <v>361</v>
      </c>
      <c r="F38" s="154">
        <v>2808400.0</v>
      </c>
      <c r="G38" s="154"/>
      <c r="H38" s="155">
        <f t="shared" si="2"/>
        <v>2808400</v>
      </c>
      <c r="I38" s="153"/>
      <c r="J38" s="153" t="s">
        <v>142</v>
      </c>
      <c r="K38" s="157">
        <f t="shared" si="3"/>
        <v>0</v>
      </c>
      <c r="L38" s="157"/>
      <c r="M38" s="157"/>
      <c r="N38" s="157"/>
      <c r="O38" s="333"/>
      <c r="P38" s="157"/>
      <c r="Q38" s="157"/>
      <c r="R38" s="157"/>
      <c r="S38" s="157"/>
      <c r="T38" s="323"/>
      <c r="U38" s="323">
        <v>2808400.0</v>
      </c>
      <c r="V38" s="157"/>
      <c r="W38" s="157"/>
      <c r="X38" s="157"/>
      <c r="Y38" s="283"/>
      <c r="Z38" s="283"/>
      <c r="AA38" s="283"/>
      <c r="AB38" s="283"/>
      <c r="AC38" s="283"/>
      <c r="AD38" s="283"/>
      <c r="AE38" s="283"/>
      <c r="AF38" s="283"/>
      <c r="AG38" s="283"/>
      <c r="AH38" s="283"/>
      <c r="AI38" s="283"/>
      <c r="AJ38" s="283"/>
      <c r="AK38" s="283"/>
      <c r="AL38" s="283"/>
      <c r="AM38" s="283"/>
      <c r="AN38" s="283"/>
      <c r="AO38" s="283"/>
      <c r="AP38" s="283"/>
      <c r="AQ38" s="283"/>
      <c r="AR38" s="283"/>
      <c r="AS38" s="283"/>
      <c r="AT38" s="283"/>
      <c r="AU38" s="283"/>
      <c r="AV38" s="283"/>
      <c r="AW38" s="283"/>
      <c r="AX38" s="283"/>
      <c r="AY38" s="283"/>
      <c r="AZ38" s="283"/>
      <c r="BA38" s="283"/>
      <c r="BB38" s="283"/>
      <c r="BC38" s="283"/>
      <c r="BD38" s="283"/>
      <c r="BE38" s="283"/>
      <c r="BF38" s="283"/>
      <c r="BG38" s="283"/>
      <c r="BH38" s="283"/>
      <c r="BI38" s="283"/>
      <c r="BJ38" s="283"/>
      <c r="BK38" s="283"/>
      <c r="BL38" s="283"/>
      <c r="BM38" s="283"/>
    </row>
    <row r="39" ht="22.5" customHeight="1">
      <c r="A39" s="153" t="s">
        <v>18</v>
      </c>
      <c r="B39" s="153">
        <v>2025.0</v>
      </c>
      <c r="C39" s="153"/>
      <c r="D39" s="153">
        <v>10877.0</v>
      </c>
      <c r="E39" s="153" t="s">
        <v>368</v>
      </c>
      <c r="F39" s="154">
        <v>2380000.0</v>
      </c>
      <c r="G39" s="154"/>
      <c r="H39" s="155">
        <f t="shared" si="2"/>
        <v>2380000</v>
      </c>
      <c r="I39" s="153"/>
      <c r="J39" s="153" t="s">
        <v>142</v>
      </c>
      <c r="K39" s="157">
        <f t="shared" si="3"/>
        <v>0</v>
      </c>
      <c r="L39" s="157"/>
      <c r="M39" s="157"/>
      <c r="N39" s="157"/>
      <c r="O39" s="333"/>
      <c r="P39" s="157"/>
      <c r="Q39" s="157"/>
      <c r="R39" s="157"/>
      <c r="S39" s="157"/>
      <c r="T39" s="323"/>
      <c r="U39" s="323">
        <v>2380000.0</v>
      </c>
      <c r="V39" s="157"/>
      <c r="W39" s="157"/>
      <c r="X39" s="157"/>
      <c r="Y39" s="283"/>
      <c r="Z39" s="283"/>
      <c r="AA39" s="283"/>
      <c r="AB39" s="283"/>
      <c r="AC39" s="283"/>
      <c r="AD39" s="283"/>
      <c r="AE39" s="283"/>
      <c r="AF39" s="283"/>
      <c r="AG39" s="283"/>
      <c r="AH39" s="283"/>
      <c r="AI39" s="283"/>
      <c r="AJ39" s="283"/>
      <c r="AK39" s="283"/>
      <c r="AL39" s="283"/>
      <c r="AM39" s="283"/>
      <c r="AN39" s="283"/>
      <c r="AO39" s="283"/>
      <c r="AP39" s="283"/>
      <c r="AQ39" s="283"/>
      <c r="AR39" s="283"/>
      <c r="AS39" s="283"/>
      <c r="AT39" s="283"/>
      <c r="AU39" s="283"/>
      <c r="AV39" s="283"/>
      <c r="AW39" s="283"/>
      <c r="AX39" s="283"/>
      <c r="AY39" s="283"/>
      <c r="AZ39" s="283"/>
      <c r="BA39" s="283"/>
      <c r="BB39" s="283"/>
      <c r="BC39" s="283"/>
      <c r="BD39" s="283"/>
      <c r="BE39" s="283"/>
      <c r="BF39" s="283"/>
      <c r="BG39" s="283"/>
      <c r="BH39" s="283"/>
      <c r="BI39" s="283"/>
      <c r="BJ39" s="283"/>
      <c r="BK39" s="283"/>
      <c r="BL39" s="283"/>
      <c r="BM39" s="283"/>
    </row>
    <row r="40" ht="22.5" customHeight="1">
      <c r="A40" s="153" t="s">
        <v>18</v>
      </c>
      <c r="B40" s="153">
        <v>2025.0</v>
      </c>
      <c r="C40" s="153"/>
      <c r="D40" s="153">
        <v>12560.0</v>
      </c>
      <c r="E40" s="153" t="s">
        <v>373</v>
      </c>
      <c r="F40" s="154">
        <v>1880200.0</v>
      </c>
      <c r="G40" s="154"/>
      <c r="H40" s="155">
        <f t="shared" si="2"/>
        <v>1880200</v>
      </c>
      <c r="I40" s="153"/>
      <c r="J40" s="153" t="s">
        <v>135</v>
      </c>
      <c r="K40" s="157">
        <f t="shared" si="3"/>
        <v>0</v>
      </c>
      <c r="L40" s="155"/>
      <c r="M40" s="155"/>
      <c r="N40" s="155"/>
      <c r="O40" s="365"/>
      <c r="P40" s="155"/>
      <c r="Q40" s="155"/>
      <c r="R40" s="155"/>
      <c r="S40" s="155"/>
      <c r="T40" s="155"/>
      <c r="U40" s="155"/>
      <c r="V40" s="155"/>
      <c r="W40" s="155"/>
      <c r="X40" s="155"/>
      <c r="Y40" s="161"/>
      <c r="Z40" s="161"/>
      <c r="AA40" s="161"/>
      <c r="AB40" s="161">
        <v>1880200.0</v>
      </c>
      <c r="AC40" s="161"/>
      <c r="AD40" s="161"/>
      <c r="AE40" s="161"/>
      <c r="AF40" s="161"/>
      <c r="AG40" s="161"/>
      <c r="AH40" s="161"/>
      <c r="AI40" s="161"/>
      <c r="AJ40" s="161"/>
      <c r="AK40" s="161"/>
      <c r="AL40" s="161"/>
      <c r="AM40" s="161"/>
      <c r="AN40" s="161"/>
      <c r="AO40" s="161"/>
      <c r="AP40" s="161"/>
      <c r="AQ40" s="161"/>
      <c r="AR40" s="161"/>
      <c r="AS40" s="161"/>
      <c r="AT40" s="161"/>
      <c r="AU40" s="161"/>
      <c r="AV40" s="161"/>
      <c r="AW40" s="161"/>
      <c r="AX40" s="161"/>
      <c r="AY40" s="161"/>
      <c r="AZ40" s="161"/>
      <c r="BA40" s="161"/>
      <c r="BB40" s="377"/>
      <c r="BC40" s="377"/>
      <c r="BD40" s="377"/>
      <c r="BE40" s="377"/>
      <c r="BF40" s="377"/>
      <c r="BG40" s="377"/>
      <c r="BH40" s="382"/>
      <c r="BI40" s="382"/>
      <c r="BJ40" s="382"/>
      <c r="BK40" s="382"/>
      <c r="BL40" s="382"/>
      <c r="BM40" s="382"/>
    </row>
    <row r="41" ht="22.5" customHeight="1">
      <c r="A41" s="153" t="s">
        <v>18</v>
      </c>
      <c r="B41" s="153">
        <v>2025.0</v>
      </c>
      <c r="C41" s="153"/>
      <c r="D41" s="153">
        <v>5283.0</v>
      </c>
      <c r="E41" s="153" t="s">
        <v>381</v>
      </c>
      <c r="F41" s="154">
        <v>2519730.0</v>
      </c>
      <c r="G41" s="154"/>
      <c r="H41" s="155">
        <f t="shared" si="2"/>
        <v>2519730</v>
      </c>
      <c r="I41" s="153"/>
      <c r="J41" s="153" t="s">
        <v>101</v>
      </c>
      <c r="K41" s="157">
        <f t="shared" si="3"/>
        <v>2519730</v>
      </c>
      <c r="L41" s="155"/>
      <c r="M41" s="155"/>
      <c r="N41" s="155"/>
      <c r="O41" s="155"/>
      <c r="P41" s="155"/>
      <c r="Q41" s="155"/>
      <c r="R41" s="155"/>
      <c r="S41" s="155"/>
      <c r="T41" s="155"/>
      <c r="U41" s="155"/>
      <c r="V41" s="155"/>
      <c r="W41" s="155"/>
      <c r="X41" s="155"/>
      <c r="Y41" s="161"/>
      <c r="Z41" s="161"/>
      <c r="AA41" s="161"/>
      <c r="AB41" s="161"/>
      <c r="AC41" s="161"/>
      <c r="AD41" s="161"/>
      <c r="AE41" s="161"/>
      <c r="AF41" s="161"/>
      <c r="AG41" s="161"/>
      <c r="AH41" s="161"/>
      <c r="AI41" s="161"/>
      <c r="AJ41" s="161"/>
      <c r="AK41" s="161"/>
      <c r="AL41" s="161"/>
      <c r="AM41" s="161"/>
      <c r="AN41" s="161"/>
      <c r="AO41" s="161"/>
      <c r="AP41" s="161"/>
      <c r="AQ41" s="161"/>
      <c r="AR41" s="161"/>
      <c r="AS41" s="161"/>
      <c r="AT41" s="161"/>
      <c r="AU41" s="161"/>
      <c r="AV41" s="161"/>
      <c r="AW41" s="161"/>
      <c r="AX41" s="161"/>
      <c r="AY41" s="161"/>
      <c r="AZ41" s="161"/>
      <c r="BA41" s="161"/>
      <c r="BB41" s="382"/>
      <c r="BC41" s="382"/>
      <c r="BD41" s="382"/>
      <c r="BE41" s="382"/>
      <c r="BF41" s="382"/>
      <c r="BG41" s="382"/>
      <c r="BH41" s="382"/>
      <c r="BI41" s="382"/>
      <c r="BJ41" s="382"/>
      <c r="BK41" s="382"/>
      <c r="BL41" s="382"/>
      <c r="BM41" s="382"/>
    </row>
    <row r="42" ht="22.5" customHeight="1">
      <c r="A42" s="135" t="s">
        <v>98</v>
      </c>
      <c r="B42" s="135">
        <v>2026.0</v>
      </c>
      <c r="C42" s="135">
        <v>1434.0</v>
      </c>
      <c r="D42" s="135">
        <v>1426.0</v>
      </c>
      <c r="E42" s="135" t="s">
        <v>366</v>
      </c>
      <c r="F42" s="137">
        <v>8.55200912E8</v>
      </c>
      <c r="G42" s="137"/>
      <c r="H42" s="139">
        <f t="shared" si="2"/>
        <v>855200912</v>
      </c>
      <c r="I42" s="135" t="s">
        <v>205</v>
      </c>
      <c r="J42" s="135" t="s">
        <v>142</v>
      </c>
      <c r="K42" s="140">
        <f t="shared" si="3"/>
        <v>-1</v>
      </c>
      <c r="L42" s="400"/>
      <c r="M42" s="400"/>
      <c r="N42" s="400"/>
      <c r="O42" s="400"/>
      <c r="P42" s="400"/>
      <c r="Q42" s="400"/>
      <c r="R42" s="405"/>
      <c r="S42" s="400"/>
      <c r="T42" s="400"/>
      <c r="U42" s="400"/>
      <c r="V42" s="400"/>
      <c r="W42" s="400"/>
      <c r="X42" s="406">
        <v>1.44479558E8</v>
      </c>
      <c r="Y42" s="407"/>
      <c r="Z42" s="407"/>
      <c r="AA42" s="407"/>
      <c r="AB42" s="408">
        <v>6.9931126E7</v>
      </c>
      <c r="AC42" s="409"/>
      <c r="AD42" s="407"/>
      <c r="AE42" s="407"/>
      <c r="AF42" s="407"/>
      <c r="AG42" s="412">
        <v>1.67082324E8</v>
      </c>
      <c r="AH42" s="407"/>
      <c r="AI42" s="407"/>
      <c r="AJ42" s="407"/>
      <c r="AK42" s="412">
        <v>1.55127189E8</v>
      </c>
      <c r="AL42" s="407"/>
      <c r="AM42" s="407"/>
      <c r="AN42" s="407"/>
      <c r="AO42" s="412">
        <v>1.78457507E8</v>
      </c>
      <c r="AP42" s="416"/>
      <c r="AQ42" s="407"/>
      <c r="AR42" s="416"/>
      <c r="AS42" s="407"/>
      <c r="AT42" s="418">
        <v>9.7363163E7</v>
      </c>
      <c r="AU42" s="407"/>
      <c r="AV42" s="407"/>
      <c r="AW42" s="407"/>
      <c r="AX42" s="418">
        <v>4.2760046E7</v>
      </c>
      <c r="AY42" s="407"/>
      <c r="AZ42" s="407"/>
      <c r="BA42" s="407"/>
      <c r="BB42" s="407"/>
      <c r="BC42" s="407"/>
      <c r="BD42" s="407"/>
      <c r="BE42" s="407"/>
      <c r="BF42" s="407"/>
      <c r="BG42" s="407"/>
      <c r="BH42" s="421"/>
      <c r="BI42" s="422"/>
      <c r="BJ42" s="422"/>
      <c r="BK42" s="422"/>
      <c r="BL42" s="422"/>
      <c r="BM42" s="422"/>
    </row>
    <row r="43" ht="22.5" customHeight="1">
      <c r="A43" s="153" t="s">
        <v>98</v>
      </c>
      <c r="B43" s="153">
        <v>2026.0</v>
      </c>
      <c r="C43" s="153"/>
      <c r="D43" s="153"/>
      <c r="E43" s="153" t="s">
        <v>307</v>
      </c>
      <c r="F43" s="154">
        <v>1.4283E7</v>
      </c>
      <c r="G43" s="154"/>
      <c r="H43" s="155">
        <f t="shared" si="2"/>
        <v>14283000</v>
      </c>
      <c r="I43" s="153"/>
      <c r="J43" s="153"/>
      <c r="K43" s="157">
        <f t="shared" si="3"/>
        <v>14283000</v>
      </c>
      <c r="L43" s="198"/>
      <c r="M43" s="198"/>
      <c r="N43" s="198"/>
      <c r="O43" s="198"/>
      <c r="P43" s="198"/>
      <c r="Q43" s="198"/>
      <c r="R43" s="204"/>
      <c r="S43" s="198"/>
      <c r="T43" s="198"/>
      <c r="U43" s="198"/>
      <c r="V43" s="198"/>
      <c r="W43" s="198"/>
      <c r="X43" s="198"/>
      <c r="Y43" s="199"/>
      <c r="Z43" s="199"/>
      <c r="AA43" s="199"/>
      <c r="AB43" s="199"/>
      <c r="AC43" s="199"/>
      <c r="AD43" s="199"/>
      <c r="AE43" s="199"/>
      <c r="AF43" s="199"/>
      <c r="AG43" s="199"/>
      <c r="AH43" s="199"/>
      <c r="AI43" s="199"/>
      <c r="AJ43" s="199"/>
      <c r="AK43" s="199"/>
      <c r="AL43" s="199"/>
      <c r="AM43" s="199"/>
      <c r="AN43" s="199"/>
      <c r="AO43" s="199"/>
      <c r="AP43" s="199"/>
      <c r="AQ43" s="199"/>
      <c r="AR43" s="199"/>
      <c r="AS43" s="199"/>
      <c r="AT43" s="199"/>
      <c r="AU43" s="199"/>
      <c r="AV43" s="199"/>
      <c r="AW43" s="199"/>
      <c r="AX43" s="199"/>
      <c r="AY43" s="199"/>
      <c r="AZ43" s="199"/>
      <c r="BA43" s="199"/>
      <c r="BB43" s="199"/>
      <c r="BC43" s="199"/>
      <c r="BD43" s="199"/>
      <c r="BE43" s="199"/>
      <c r="BF43" s="199"/>
      <c r="BG43" s="199"/>
      <c r="BH43" s="199"/>
      <c r="BI43" s="382"/>
      <c r="BJ43" s="382"/>
      <c r="BK43" s="382"/>
      <c r="BL43" s="382"/>
      <c r="BM43" s="382"/>
    </row>
    <row r="44" ht="22.5" customHeight="1">
      <c r="A44" s="247" t="s">
        <v>98</v>
      </c>
      <c r="B44" s="248">
        <v>2026.0</v>
      </c>
      <c r="C44" s="247"/>
      <c r="D44" s="247"/>
      <c r="E44" s="248" t="s">
        <v>217</v>
      </c>
      <c r="F44" s="249">
        <v>1.0E8</v>
      </c>
      <c r="G44" s="250"/>
      <c r="H44" s="155">
        <f t="shared" si="2"/>
        <v>100000000</v>
      </c>
      <c r="I44" s="247"/>
      <c r="J44" s="247"/>
      <c r="K44" s="251">
        <f t="shared" si="3"/>
        <v>0</v>
      </c>
      <c r="L44" s="251"/>
      <c r="M44" s="251"/>
      <c r="N44" s="251"/>
      <c r="O44" s="251"/>
      <c r="P44" s="251"/>
      <c r="Q44" s="251"/>
      <c r="R44" s="251"/>
      <c r="S44" s="251"/>
      <c r="T44" s="251"/>
      <c r="U44" s="252"/>
      <c r="V44" s="252"/>
      <c r="W44" s="253"/>
      <c r="X44" s="252"/>
      <c r="Y44" s="252"/>
      <c r="Z44" s="252"/>
      <c r="AA44" s="252"/>
      <c r="AB44" s="252"/>
      <c r="AC44" s="249"/>
      <c r="AD44" s="252"/>
      <c r="AE44" s="252"/>
      <c r="AF44" s="252"/>
      <c r="AG44" s="252"/>
      <c r="AH44" s="252"/>
      <c r="AI44" s="252"/>
      <c r="AJ44" s="252"/>
      <c r="AK44" s="252"/>
      <c r="AL44" s="252"/>
      <c r="AM44" s="252"/>
      <c r="AN44" s="252"/>
      <c r="AO44" s="430">
        <v>4.0E7</v>
      </c>
      <c r="AP44" s="249"/>
      <c r="AQ44" s="252"/>
      <c r="AR44" s="252"/>
      <c r="AS44" s="252"/>
      <c r="AT44" s="430">
        <v>6.0E7</v>
      </c>
      <c r="AU44" s="252"/>
      <c r="AV44" s="252"/>
      <c r="AW44" s="252"/>
      <c r="AX44" s="252"/>
      <c r="AY44" s="252"/>
      <c r="AZ44" s="252"/>
      <c r="BA44" s="252"/>
      <c r="BB44" s="252"/>
      <c r="BC44" s="252"/>
      <c r="BD44" s="252"/>
      <c r="BE44" s="252"/>
      <c r="BF44" s="252"/>
      <c r="BG44" s="252"/>
      <c r="BH44" s="252"/>
      <c r="BI44" s="252"/>
      <c r="BJ44" s="252"/>
      <c r="BK44" s="252"/>
      <c r="BL44" s="252"/>
      <c r="BM44" s="252"/>
    </row>
    <row r="45" ht="22.5" customHeight="1">
      <c r="A45" s="153" t="s">
        <v>18</v>
      </c>
      <c r="B45" s="153">
        <v>2026.0</v>
      </c>
      <c r="C45" s="153">
        <v>276.0</v>
      </c>
      <c r="D45" s="153">
        <v>331.0</v>
      </c>
      <c r="E45" s="153" t="s">
        <v>247</v>
      </c>
      <c r="F45" s="154">
        <v>9440482.0</v>
      </c>
      <c r="G45" s="154"/>
      <c r="H45" s="155">
        <f t="shared" si="2"/>
        <v>9440482</v>
      </c>
      <c r="I45" s="153" t="s">
        <v>248</v>
      </c>
      <c r="J45" s="153" t="s">
        <v>135</v>
      </c>
      <c r="K45" s="157">
        <f t="shared" si="3"/>
        <v>0</v>
      </c>
      <c r="L45" s="198"/>
      <c r="M45" s="198"/>
      <c r="N45" s="198"/>
      <c r="O45" s="198"/>
      <c r="P45" s="198"/>
      <c r="Q45" s="198"/>
      <c r="R45" s="204"/>
      <c r="S45" s="198"/>
      <c r="T45" s="198"/>
      <c r="U45" s="198"/>
      <c r="V45" s="198"/>
      <c r="W45" s="198"/>
      <c r="X45" s="198"/>
      <c r="Y45" s="199"/>
      <c r="Z45" s="199"/>
      <c r="AA45" s="199"/>
      <c r="AB45" s="199"/>
      <c r="AC45" s="443">
        <v>9440482.0</v>
      </c>
      <c r="AD45" s="199"/>
      <c r="AE45" s="199"/>
      <c r="AF45" s="199"/>
      <c r="AG45" s="199"/>
      <c r="AH45" s="199"/>
      <c r="AI45" s="199"/>
      <c r="AJ45" s="199"/>
      <c r="AK45" s="199"/>
      <c r="AL45" s="199"/>
      <c r="AM45" s="199"/>
      <c r="AN45" s="199"/>
      <c r="AO45" s="199"/>
      <c r="AP45" s="199"/>
      <c r="AQ45" s="199"/>
      <c r="AR45" s="199"/>
      <c r="AS45" s="199"/>
      <c r="AT45" s="382"/>
      <c r="AU45" s="382"/>
      <c r="AV45" s="382"/>
      <c r="AW45" s="382"/>
      <c r="AX45" s="382"/>
      <c r="AY45" s="382"/>
      <c r="AZ45" s="382"/>
      <c r="BA45" s="382"/>
      <c r="BB45" s="382"/>
      <c r="BC45" s="382"/>
      <c r="BD45" s="382"/>
      <c r="BE45" s="382"/>
      <c r="BF45" s="382"/>
      <c r="BG45" s="382"/>
      <c r="BH45" s="382"/>
      <c r="BI45" s="382"/>
      <c r="BJ45" s="382"/>
      <c r="BK45" s="382"/>
      <c r="BL45" s="382"/>
      <c r="BM45" s="382"/>
    </row>
    <row r="46" ht="22.5" customHeight="1">
      <c r="A46" s="153" t="s">
        <v>18</v>
      </c>
      <c r="B46" s="153">
        <v>2026.0</v>
      </c>
      <c r="C46" s="153">
        <v>277.0</v>
      </c>
      <c r="D46" s="153">
        <v>361.0</v>
      </c>
      <c r="E46" s="153" t="s">
        <v>253</v>
      </c>
      <c r="F46" s="154">
        <v>5595975.0</v>
      </c>
      <c r="G46" s="154"/>
      <c r="H46" s="155">
        <f t="shared" si="2"/>
        <v>5595975</v>
      </c>
      <c r="I46" s="153" t="s">
        <v>233</v>
      </c>
      <c r="J46" s="153" t="s">
        <v>135</v>
      </c>
      <c r="K46" s="157">
        <f t="shared" si="3"/>
        <v>0</v>
      </c>
      <c r="L46" s="198"/>
      <c r="M46" s="205">
        <v>5595975.0</v>
      </c>
      <c r="N46" s="198"/>
      <c r="O46" s="198"/>
      <c r="P46" s="198"/>
      <c r="Q46" s="198"/>
      <c r="R46" s="204"/>
      <c r="S46" s="198"/>
      <c r="T46" s="198"/>
      <c r="U46" s="198"/>
      <c r="V46" s="198"/>
      <c r="W46" s="198"/>
      <c r="X46" s="198"/>
      <c r="Y46" s="199"/>
      <c r="Z46" s="199"/>
      <c r="AA46" s="199"/>
      <c r="AB46" s="199"/>
      <c r="AC46" s="199"/>
      <c r="AD46" s="199"/>
      <c r="AE46" s="199"/>
      <c r="AF46" s="199"/>
      <c r="AG46" s="199"/>
      <c r="AH46" s="199"/>
      <c r="AI46" s="199"/>
      <c r="AJ46" s="199"/>
      <c r="AK46" s="199"/>
      <c r="AL46" s="199"/>
      <c r="AM46" s="199"/>
      <c r="AN46" s="199"/>
      <c r="AO46" s="199"/>
      <c r="AP46" s="199"/>
      <c r="AQ46" s="199"/>
      <c r="AR46" s="199"/>
      <c r="AS46" s="199"/>
      <c r="AT46" s="382"/>
      <c r="AU46" s="382"/>
      <c r="AV46" s="382"/>
      <c r="AW46" s="382"/>
      <c r="AX46" s="382"/>
      <c r="AY46" s="382"/>
      <c r="AZ46" s="382"/>
      <c r="BA46" s="382"/>
      <c r="BB46" s="382"/>
      <c r="BC46" s="382"/>
      <c r="BD46" s="382"/>
      <c r="BE46" s="382"/>
      <c r="BF46" s="382"/>
      <c r="BG46" s="382"/>
      <c r="BH46" s="382"/>
      <c r="BI46" s="382"/>
      <c r="BJ46" s="382"/>
      <c r="BK46" s="382"/>
      <c r="BL46" s="382"/>
      <c r="BM46" s="382"/>
    </row>
    <row r="47" ht="22.5" customHeight="1">
      <c r="A47" s="153" t="s">
        <v>18</v>
      </c>
      <c r="B47" s="153">
        <v>2026.0</v>
      </c>
      <c r="C47" s="153">
        <v>278.0</v>
      </c>
      <c r="D47" s="153">
        <v>233.0</v>
      </c>
      <c r="E47" s="153" t="s">
        <v>292</v>
      </c>
      <c r="F47" s="154">
        <v>4.341135E7</v>
      </c>
      <c r="G47" s="154"/>
      <c r="H47" s="155">
        <f t="shared" si="2"/>
        <v>43411350</v>
      </c>
      <c r="I47" s="153" t="s">
        <v>293</v>
      </c>
      <c r="J47" s="153" t="s">
        <v>74</v>
      </c>
      <c r="K47" s="157">
        <f t="shared" si="3"/>
        <v>0</v>
      </c>
      <c r="L47" s="198"/>
      <c r="M47" s="198"/>
      <c r="N47" s="205">
        <v>4.341135E7</v>
      </c>
      <c r="O47" s="198"/>
      <c r="P47" s="198"/>
      <c r="Q47" s="198"/>
      <c r="R47" s="204"/>
      <c r="S47" s="198"/>
      <c r="T47" s="204"/>
      <c r="U47" s="198"/>
      <c r="V47" s="198"/>
      <c r="W47" s="198"/>
      <c r="X47" s="198"/>
      <c r="Y47" s="199"/>
      <c r="Z47" s="199"/>
      <c r="AA47" s="199"/>
      <c r="AB47" s="199"/>
      <c r="AC47" s="199"/>
      <c r="AD47" s="199"/>
      <c r="AE47" s="199"/>
      <c r="AF47" s="199"/>
      <c r="AG47" s="199"/>
      <c r="AH47" s="199"/>
      <c r="AI47" s="199"/>
      <c r="AJ47" s="199"/>
      <c r="AK47" s="199"/>
      <c r="AL47" s="199"/>
      <c r="AM47" s="199"/>
      <c r="AN47" s="199"/>
      <c r="AO47" s="199"/>
      <c r="AP47" s="199"/>
      <c r="AQ47" s="199"/>
      <c r="AR47" s="199"/>
      <c r="AS47" s="199"/>
      <c r="AT47" s="382"/>
      <c r="AU47" s="382"/>
      <c r="AV47" s="382"/>
      <c r="AW47" s="382"/>
      <c r="AX47" s="382"/>
      <c r="AY47" s="382"/>
      <c r="AZ47" s="382"/>
      <c r="BA47" s="382"/>
      <c r="BB47" s="382"/>
      <c r="BC47" s="382"/>
      <c r="BD47" s="382"/>
      <c r="BE47" s="382"/>
      <c r="BF47" s="382"/>
      <c r="BG47" s="382"/>
      <c r="BH47" s="382"/>
      <c r="BI47" s="382"/>
      <c r="BJ47" s="382"/>
      <c r="BK47" s="382"/>
      <c r="BL47" s="382"/>
      <c r="BM47" s="382"/>
    </row>
    <row r="48" ht="22.5" customHeight="1">
      <c r="A48" s="153" t="s">
        <v>18</v>
      </c>
      <c r="B48" s="153">
        <v>2026.0</v>
      </c>
      <c r="C48" s="153">
        <v>503.0</v>
      </c>
      <c r="D48" s="153">
        <v>449.0</v>
      </c>
      <c r="E48" s="153" t="s">
        <v>377</v>
      </c>
      <c r="F48" s="154">
        <v>1522909.0</v>
      </c>
      <c r="G48" s="154"/>
      <c r="H48" s="155">
        <f t="shared" si="2"/>
        <v>1522909</v>
      </c>
      <c r="I48" s="153" t="s">
        <v>338</v>
      </c>
      <c r="J48" s="153" t="s">
        <v>142</v>
      </c>
      <c r="K48" s="157">
        <f t="shared" si="3"/>
        <v>0</v>
      </c>
      <c r="L48" s="198"/>
      <c r="M48" s="198"/>
      <c r="N48" s="198"/>
      <c r="O48" s="198"/>
      <c r="P48" s="198"/>
      <c r="Q48" s="198"/>
      <c r="R48" s="204"/>
      <c r="S48" s="198"/>
      <c r="T48" s="205">
        <v>1522909.0</v>
      </c>
      <c r="U48" s="198"/>
      <c r="V48" s="198"/>
      <c r="W48" s="198"/>
      <c r="X48" s="198"/>
      <c r="Y48" s="199"/>
      <c r="Z48" s="199"/>
      <c r="AA48" s="199"/>
      <c r="AB48" s="199"/>
      <c r="AC48" s="199"/>
      <c r="AD48" s="199"/>
      <c r="AE48" s="199"/>
      <c r="AF48" s="199"/>
      <c r="AG48" s="199"/>
      <c r="AH48" s="199"/>
      <c r="AI48" s="199"/>
      <c r="AJ48" s="199"/>
      <c r="AK48" s="199"/>
      <c r="AL48" s="199"/>
      <c r="AM48" s="199"/>
      <c r="AN48" s="199"/>
      <c r="AO48" s="199"/>
      <c r="AP48" s="199"/>
      <c r="AQ48" s="199"/>
      <c r="AR48" s="199"/>
      <c r="AS48" s="199"/>
      <c r="AT48" s="382"/>
      <c r="AU48" s="382"/>
      <c r="AV48" s="382"/>
      <c r="AW48" s="382"/>
      <c r="AX48" s="382"/>
      <c r="AY48" s="382"/>
      <c r="AZ48" s="382"/>
      <c r="BA48" s="382"/>
      <c r="BB48" s="382"/>
      <c r="BC48" s="382"/>
      <c r="BD48" s="382"/>
      <c r="BE48" s="382"/>
      <c r="BF48" s="382"/>
      <c r="BG48" s="382"/>
      <c r="BH48" s="382"/>
      <c r="BI48" s="382"/>
      <c r="BJ48" s="382"/>
      <c r="BK48" s="382"/>
      <c r="BL48" s="382"/>
      <c r="BM48" s="382"/>
    </row>
    <row r="49" ht="22.5" customHeight="1">
      <c r="A49" s="153" t="s">
        <v>18</v>
      </c>
      <c r="B49" s="153">
        <v>2026.0</v>
      </c>
      <c r="C49" s="153">
        <v>651.0</v>
      </c>
      <c r="D49" s="153">
        <v>633.0</v>
      </c>
      <c r="E49" s="153" t="s">
        <v>517</v>
      </c>
      <c r="F49" s="154">
        <v>1997415.0</v>
      </c>
      <c r="G49" s="154"/>
      <c r="H49" s="155">
        <f t="shared" si="2"/>
        <v>1997415</v>
      </c>
      <c r="I49" s="153" t="s">
        <v>519</v>
      </c>
      <c r="J49" s="153" t="s">
        <v>144</v>
      </c>
      <c r="K49" s="157">
        <f t="shared" si="3"/>
        <v>0</v>
      </c>
      <c r="L49" s="198"/>
      <c r="M49" s="198"/>
      <c r="N49" s="198"/>
      <c r="O49" s="198"/>
      <c r="P49" s="198"/>
      <c r="Q49" s="198"/>
      <c r="R49" s="204"/>
      <c r="S49" s="198"/>
      <c r="T49" s="197">
        <v>1997415.0</v>
      </c>
      <c r="U49" s="198"/>
      <c r="V49" s="198"/>
      <c r="W49" s="198"/>
      <c r="X49" s="198"/>
      <c r="Y49" s="199"/>
      <c r="Z49" s="199"/>
      <c r="AA49" s="199"/>
      <c r="AB49" s="199"/>
      <c r="AC49" s="199"/>
      <c r="AD49" s="199"/>
      <c r="AE49" s="199"/>
      <c r="AF49" s="199"/>
      <c r="AG49" s="199"/>
      <c r="AH49" s="199"/>
      <c r="AI49" s="199"/>
      <c r="AJ49" s="199"/>
      <c r="AK49" s="199"/>
      <c r="AL49" s="199"/>
      <c r="AM49" s="199"/>
      <c r="AN49" s="199"/>
      <c r="AO49" s="199"/>
      <c r="AP49" s="199"/>
      <c r="AQ49" s="199"/>
      <c r="AR49" s="199"/>
      <c r="AS49" s="199"/>
      <c r="AT49" s="382"/>
      <c r="AU49" s="382"/>
      <c r="AV49" s="382"/>
      <c r="AW49" s="382"/>
      <c r="AX49" s="382"/>
      <c r="AY49" s="382"/>
      <c r="AZ49" s="382"/>
      <c r="BA49" s="382"/>
      <c r="BB49" s="382"/>
      <c r="BC49" s="382"/>
      <c r="BD49" s="382"/>
      <c r="BE49" s="382"/>
      <c r="BF49" s="382"/>
      <c r="BG49" s="382"/>
      <c r="BH49" s="382"/>
      <c r="BI49" s="382"/>
      <c r="BJ49" s="382"/>
      <c r="BK49" s="382"/>
      <c r="BL49" s="382"/>
      <c r="BM49" s="382"/>
    </row>
    <row r="50" ht="22.5" customHeight="1">
      <c r="A50" s="153" t="s">
        <v>18</v>
      </c>
      <c r="B50" s="153">
        <v>2026.0</v>
      </c>
      <c r="C50" s="153">
        <v>666.0</v>
      </c>
      <c r="D50" s="153">
        <v>663.0</v>
      </c>
      <c r="E50" s="153" t="s">
        <v>534</v>
      </c>
      <c r="F50" s="154">
        <v>4699310.0</v>
      </c>
      <c r="G50" s="154"/>
      <c r="H50" s="155">
        <f t="shared" si="2"/>
        <v>4699310</v>
      </c>
      <c r="I50" s="153" t="s">
        <v>145</v>
      </c>
      <c r="J50" s="153" t="s">
        <v>101</v>
      </c>
      <c r="K50" s="157">
        <f t="shared" si="3"/>
        <v>0</v>
      </c>
      <c r="L50" s="198"/>
      <c r="M50" s="198"/>
      <c r="N50" s="198"/>
      <c r="O50" s="198"/>
      <c r="P50" s="198"/>
      <c r="Q50" s="198"/>
      <c r="R50" s="204"/>
      <c r="S50" s="198"/>
      <c r="T50" s="204"/>
      <c r="U50" s="198"/>
      <c r="V50" s="198"/>
      <c r="W50" s="198"/>
      <c r="X50" s="198"/>
      <c r="Y50" s="199"/>
      <c r="Z50" s="199"/>
      <c r="AA50" s="199"/>
      <c r="AB50" s="213">
        <v>4699310.0</v>
      </c>
      <c r="AC50" s="199"/>
      <c r="AD50" s="199"/>
      <c r="AE50" s="199"/>
      <c r="AF50" s="199"/>
      <c r="AG50" s="199"/>
      <c r="AH50" s="199"/>
      <c r="AI50" s="199"/>
      <c r="AJ50" s="199"/>
      <c r="AK50" s="199"/>
      <c r="AL50" s="199"/>
      <c r="AM50" s="199"/>
      <c r="AN50" s="199"/>
      <c r="AO50" s="199"/>
      <c r="AP50" s="199"/>
      <c r="AQ50" s="199"/>
      <c r="AR50" s="199"/>
      <c r="AS50" s="199"/>
      <c r="AT50" s="382"/>
      <c r="AU50" s="382"/>
      <c r="AV50" s="382"/>
      <c r="AW50" s="382"/>
      <c r="AX50" s="382"/>
      <c r="AY50" s="382"/>
      <c r="AZ50" s="382"/>
      <c r="BA50" s="382"/>
      <c r="BB50" s="382"/>
      <c r="BC50" s="382"/>
      <c r="BD50" s="382"/>
      <c r="BE50" s="382"/>
      <c r="BF50" s="382"/>
      <c r="BG50" s="382"/>
      <c r="BH50" s="382"/>
      <c r="BI50" s="382"/>
      <c r="BJ50" s="382"/>
      <c r="BK50" s="382"/>
      <c r="BL50" s="382"/>
      <c r="BM50" s="382"/>
    </row>
    <row r="51" ht="22.5" customHeight="1">
      <c r="A51" s="153" t="s">
        <v>18</v>
      </c>
      <c r="B51" s="153">
        <v>2026.0</v>
      </c>
      <c r="C51" s="153">
        <v>674.0</v>
      </c>
      <c r="D51" s="153">
        <v>705.0</v>
      </c>
      <c r="E51" s="153" t="s">
        <v>301</v>
      </c>
      <c r="F51" s="154">
        <v>4921911.0</v>
      </c>
      <c r="G51" s="154"/>
      <c r="H51" s="155">
        <f t="shared" si="2"/>
        <v>4921911</v>
      </c>
      <c r="I51" s="153" t="s">
        <v>303</v>
      </c>
      <c r="J51" s="153" t="s">
        <v>74</v>
      </c>
      <c r="K51" s="157">
        <f t="shared" si="3"/>
        <v>0</v>
      </c>
      <c r="L51" s="198"/>
      <c r="M51" s="198"/>
      <c r="N51" s="198"/>
      <c r="O51" s="198"/>
      <c r="P51" s="198"/>
      <c r="Q51" s="198"/>
      <c r="R51" s="204"/>
      <c r="S51" s="198"/>
      <c r="T51" s="205">
        <v>4921911.0</v>
      </c>
      <c r="U51" s="198"/>
      <c r="V51" s="198"/>
      <c r="W51" s="198"/>
      <c r="X51" s="198"/>
      <c r="Y51" s="199"/>
      <c r="Z51" s="199"/>
      <c r="AA51" s="199"/>
      <c r="AB51" s="461"/>
      <c r="AC51" s="199"/>
      <c r="AD51" s="199"/>
      <c r="AE51" s="199"/>
      <c r="AF51" s="199"/>
      <c r="AG51" s="199"/>
      <c r="AH51" s="199"/>
      <c r="AI51" s="199"/>
      <c r="AJ51" s="199"/>
      <c r="AK51" s="199"/>
      <c r="AL51" s="199"/>
      <c r="AM51" s="199"/>
      <c r="AN51" s="199"/>
      <c r="AO51" s="199"/>
      <c r="AP51" s="199"/>
      <c r="AQ51" s="199"/>
      <c r="AR51" s="199"/>
      <c r="AS51" s="199"/>
      <c r="AT51" s="382"/>
      <c r="AU51" s="382"/>
      <c r="AV51" s="382"/>
      <c r="AW51" s="382"/>
      <c r="AX51" s="382"/>
      <c r="AY51" s="382"/>
      <c r="AZ51" s="382"/>
      <c r="BA51" s="382"/>
      <c r="BB51" s="382"/>
      <c r="BC51" s="382"/>
      <c r="BD51" s="382"/>
      <c r="BE51" s="382"/>
      <c r="BF51" s="382"/>
      <c r="BG51" s="382"/>
      <c r="BH51" s="382"/>
      <c r="BI51" s="382"/>
      <c r="BJ51" s="382"/>
      <c r="BK51" s="382"/>
      <c r="BL51" s="382"/>
      <c r="BM51" s="382"/>
    </row>
    <row r="52" ht="22.5" customHeight="1">
      <c r="A52" s="153" t="s">
        <v>18</v>
      </c>
      <c r="B52" s="153">
        <v>2026.0</v>
      </c>
      <c r="C52" s="153">
        <v>678.0</v>
      </c>
      <c r="D52" s="153">
        <v>738.0</v>
      </c>
      <c r="E52" s="153" t="s">
        <v>258</v>
      </c>
      <c r="F52" s="154">
        <v>4405800.0</v>
      </c>
      <c r="G52" s="154"/>
      <c r="H52" s="155">
        <f t="shared" si="2"/>
        <v>4405800</v>
      </c>
      <c r="I52" s="153" t="s">
        <v>259</v>
      </c>
      <c r="J52" s="153" t="s">
        <v>135</v>
      </c>
      <c r="K52" s="157">
        <f t="shared" si="3"/>
        <v>0</v>
      </c>
      <c r="L52" s="198"/>
      <c r="M52" s="198"/>
      <c r="N52" s="198"/>
      <c r="O52" s="198"/>
      <c r="P52" s="198"/>
      <c r="Q52" s="198"/>
      <c r="R52" s="204"/>
      <c r="S52" s="198"/>
      <c r="T52" s="205">
        <v>4405800.0</v>
      </c>
      <c r="U52" s="198"/>
      <c r="V52" s="198"/>
      <c r="W52" s="198"/>
      <c r="X52" s="198"/>
      <c r="Y52" s="199"/>
      <c r="Z52" s="199"/>
      <c r="AA52" s="199"/>
      <c r="AB52" s="199"/>
      <c r="AC52" s="199"/>
      <c r="AD52" s="199"/>
      <c r="AE52" s="199"/>
      <c r="AF52" s="199"/>
      <c r="AG52" s="199"/>
      <c r="AH52" s="199"/>
      <c r="AI52" s="199"/>
      <c r="AJ52" s="199"/>
      <c r="AK52" s="199"/>
      <c r="AL52" s="199"/>
      <c r="AM52" s="199"/>
      <c r="AN52" s="199"/>
      <c r="AO52" s="199"/>
      <c r="AP52" s="199"/>
      <c r="AQ52" s="199"/>
      <c r="AR52" s="199"/>
      <c r="AS52" s="199"/>
      <c r="AT52" s="382"/>
      <c r="AU52" s="382"/>
      <c r="AV52" s="382"/>
      <c r="AW52" s="382"/>
      <c r="AX52" s="382"/>
      <c r="AY52" s="382"/>
      <c r="AZ52" s="382"/>
      <c r="BA52" s="382"/>
      <c r="BB52" s="382"/>
      <c r="BC52" s="382"/>
      <c r="BD52" s="382"/>
      <c r="BE52" s="382"/>
      <c r="BF52" s="382"/>
      <c r="BG52" s="382"/>
      <c r="BH52" s="382"/>
      <c r="BI52" s="382"/>
      <c r="BJ52" s="382"/>
      <c r="BK52" s="382"/>
      <c r="BL52" s="382"/>
      <c r="BM52" s="382"/>
    </row>
    <row r="53" ht="22.5" customHeight="1">
      <c r="A53" s="153" t="s">
        <v>18</v>
      </c>
      <c r="B53" s="153">
        <v>2026.0</v>
      </c>
      <c r="C53" s="153">
        <v>800.0</v>
      </c>
      <c r="D53" s="153">
        <v>733.0</v>
      </c>
      <c r="E53" s="153" t="s">
        <v>382</v>
      </c>
      <c r="F53" s="154">
        <v>2.3807821E7</v>
      </c>
      <c r="G53" s="154"/>
      <c r="H53" s="155">
        <f t="shared" si="2"/>
        <v>23807821</v>
      </c>
      <c r="I53" s="153" t="s">
        <v>384</v>
      </c>
      <c r="J53" s="153" t="s">
        <v>142</v>
      </c>
      <c r="K53" s="157">
        <f t="shared" si="3"/>
        <v>0</v>
      </c>
      <c r="L53" s="198"/>
      <c r="M53" s="198"/>
      <c r="N53" s="198"/>
      <c r="O53" s="197">
        <v>7142346.3</v>
      </c>
      <c r="P53" s="198"/>
      <c r="Q53" s="198"/>
      <c r="R53" s="204"/>
      <c r="S53" s="198"/>
      <c r="T53" s="197">
        <v>1.0713519E7</v>
      </c>
      <c r="U53" s="198"/>
      <c r="V53" s="198"/>
      <c r="W53" s="198"/>
      <c r="X53" s="198"/>
      <c r="Y53" s="199"/>
      <c r="Z53" s="443">
        <v>5951955.699999999</v>
      </c>
      <c r="AA53" s="199"/>
      <c r="AB53" s="199"/>
      <c r="AC53" s="199"/>
      <c r="AD53" s="199"/>
      <c r="AE53" s="199"/>
      <c r="AF53" s="199"/>
      <c r="AG53" s="199"/>
      <c r="AH53" s="199"/>
      <c r="AI53" s="199"/>
      <c r="AJ53" s="199"/>
      <c r="AK53" s="199"/>
      <c r="AL53" s="199"/>
      <c r="AM53" s="199"/>
      <c r="AN53" s="199"/>
      <c r="AO53" s="199"/>
      <c r="AP53" s="199"/>
      <c r="AQ53" s="199"/>
      <c r="AR53" s="199"/>
      <c r="AS53" s="199"/>
      <c r="AT53" s="382"/>
      <c r="AU53" s="382"/>
      <c r="AV53" s="382"/>
      <c r="AW53" s="382"/>
      <c r="AX53" s="382"/>
      <c r="AY53" s="382"/>
      <c r="AZ53" s="382"/>
      <c r="BA53" s="382"/>
      <c r="BB53" s="382"/>
      <c r="BC53" s="382"/>
      <c r="BD53" s="382"/>
      <c r="BE53" s="382"/>
      <c r="BF53" s="382"/>
      <c r="BG53" s="382"/>
      <c r="BH53" s="382"/>
      <c r="BI53" s="382"/>
      <c r="BJ53" s="382"/>
      <c r="BK53" s="382"/>
      <c r="BL53" s="382"/>
      <c r="BM53" s="382"/>
    </row>
    <row r="54" ht="22.5" customHeight="1">
      <c r="A54" s="153" t="s">
        <v>18</v>
      </c>
      <c r="B54" s="153">
        <v>2026.0</v>
      </c>
      <c r="C54" s="153">
        <v>803.0</v>
      </c>
      <c r="D54" s="153">
        <v>869.0</v>
      </c>
      <c r="E54" s="153" t="s">
        <v>567</v>
      </c>
      <c r="F54" s="154">
        <v>3.0530278E7</v>
      </c>
      <c r="G54" s="154"/>
      <c r="H54" s="155">
        <f t="shared" si="2"/>
        <v>30530278</v>
      </c>
      <c r="I54" s="153" t="s">
        <v>568</v>
      </c>
      <c r="J54" s="153" t="s">
        <v>101</v>
      </c>
      <c r="K54" s="157">
        <f t="shared" si="3"/>
        <v>0</v>
      </c>
      <c r="L54" s="198"/>
      <c r="M54" s="198"/>
      <c r="N54" s="198"/>
      <c r="O54" s="198"/>
      <c r="P54" s="198"/>
      <c r="Q54" s="198"/>
      <c r="R54" s="204"/>
      <c r="S54" s="198"/>
      <c r="T54" s="197">
        <v>2.4424223E7</v>
      </c>
      <c r="U54" s="198"/>
      <c r="V54" s="198"/>
      <c r="W54" s="198"/>
      <c r="X54" s="198"/>
      <c r="Y54" s="199"/>
      <c r="Z54" s="199"/>
      <c r="AA54" s="199"/>
      <c r="AB54" s="199"/>
      <c r="AC54" s="213">
        <v>6106055.0</v>
      </c>
      <c r="AD54" s="199"/>
      <c r="AE54" s="199"/>
      <c r="AF54" s="199"/>
      <c r="AG54" s="199"/>
      <c r="AH54" s="199"/>
      <c r="AI54" s="199"/>
      <c r="AJ54" s="199"/>
      <c r="AK54" s="199"/>
      <c r="AL54" s="199"/>
      <c r="AM54" s="199"/>
      <c r="AN54" s="199"/>
      <c r="AO54" s="199"/>
      <c r="AP54" s="199"/>
      <c r="AQ54" s="199"/>
      <c r="AR54" s="199"/>
      <c r="AS54" s="199"/>
      <c r="AT54" s="382"/>
      <c r="AU54" s="382"/>
      <c r="AV54" s="382"/>
      <c r="AW54" s="382"/>
      <c r="AX54" s="382"/>
      <c r="AY54" s="382"/>
      <c r="AZ54" s="382"/>
      <c r="BA54" s="382"/>
      <c r="BB54" s="382"/>
      <c r="BC54" s="382"/>
      <c r="BD54" s="382"/>
      <c r="BE54" s="382"/>
      <c r="BF54" s="382"/>
      <c r="BG54" s="382"/>
      <c r="BH54" s="382"/>
      <c r="BI54" s="382"/>
      <c r="BJ54" s="382"/>
      <c r="BK54" s="382"/>
      <c r="BL54" s="382"/>
      <c r="BM54" s="382"/>
    </row>
    <row r="55" ht="22.5" customHeight="1">
      <c r="A55" s="470" t="s">
        <v>18</v>
      </c>
      <c r="B55" s="470">
        <v>2026.0</v>
      </c>
      <c r="C55" s="470"/>
      <c r="D55" s="470"/>
      <c r="E55" s="470" t="s">
        <v>1109</v>
      </c>
      <c r="F55" s="471">
        <v>8315145.0</v>
      </c>
      <c r="G55" s="471"/>
      <c r="H55" s="472">
        <f t="shared" si="2"/>
        <v>8315145</v>
      </c>
      <c r="I55" s="470" t="s">
        <v>568</v>
      </c>
      <c r="J55" s="470" t="s">
        <v>101</v>
      </c>
      <c r="K55" s="473">
        <f t="shared" si="3"/>
        <v>0</v>
      </c>
      <c r="L55" s="474"/>
      <c r="M55" s="474"/>
      <c r="N55" s="474"/>
      <c r="O55" s="474"/>
      <c r="P55" s="474"/>
      <c r="Q55" s="474"/>
      <c r="R55" s="475"/>
      <c r="S55" s="474"/>
      <c r="T55" s="476"/>
      <c r="U55" s="474"/>
      <c r="V55" s="474"/>
      <c r="W55" s="474"/>
      <c r="X55" s="474"/>
      <c r="Y55" s="474"/>
      <c r="Z55" s="474"/>
      <c r="AA55" s="471">
        <v>8315145.0</v>
      </c>
      <c r="AB55" s="474"/>
      <c r="AC55" s="477"/>
      <c r="AD55" s="474"/>
      <c r="AE55" s="474"/>
      <c r="AF55" s="474"/>
      <c r="AG55" s="474"/>
      <c r="AH55" s="474"/>
      <c r="AI55" s="474"/>
      <c r="AJ55" s="474"/>
      <c r="AK55" s="474"/>
      <c r="AL55" s="474"/>
      <c r="AM55" s="474"/>
      <c r="AN55" s="474"/>
      <c r="AO55" s="474"/>
      <c r="AP55" s="474"/>
      <c r="AQ55" s="474"/>
      <c r="AR55" s="474"/>
      <c r="AS55" s="474"/>
      <c r="AT55" s="478"/>
      <c r="AU55" s="478"/>
      <c r="AV55" s="478"/>
      <c r="AW55" s="478"/>
      <c r="AX55" s="478"/>
      <c r="AY55" s="478"/>
      <c r="AZ55" s="478"/>
      <c r="BA55" s="478"/>
      <c r="BB55" s="478"/>
      <c r="BC55" s="478"/>
      <c r="BD55" s="478"/>
      <c r="BE55" s="478"/>
      <c r="BF55" s="478"/>
      <c r="BG55" s="478"/>
      <c r="BH55" s="478"/>
      <c r="BI55" s="478"/>
      <c r="BJ55" s="478"/>
      <c r="BK55" s="478"/>
      <c r="BL55" s="478"/>
      <c r="BM55" s="478"/>
    </row>
    <row r="56" ht="22.5" customHeight="1">
      <c r="A56" s="153" t="s">
        <v>18</v>
      </c>
      <c r="B56" s="153">
        <v>2026.0</v>
      </c>
      <c r="C56" s="153">
        <v>796.0</v>
      </c>
      <c r="D56" s="153">
        <v>752.0</v>
      </c>
      <c r="E56" s="153" t="s">
        <v>392</v>
      </c>
      <c r="F56" s="154">
        <v>5.3297921E7</v>
      </c>
      <c r="G56" s="154"/>
      <c r="H56" s="155">
        <f t="shared" si="2"/>
        <v>53297921</v>
      </c>
      <c r="I56" s="153" t="s">
        <v>338</v>
      </c>
      <c r="J56" s="153" t="s">
        <v>142</v>
      </c>
      <c r="K56" s="157">
        <f t="shared" si="3"/>
        <v>0</v>
      </c>
      <c r="L56" s="198"/>
      <c r="M56" s="198"/>
      <c r="N56" s="198"/>
      <c r="O56" s="197">
        <v>1.5989376299999999E7</v>
      </c>
      <c r="P56" s="479"/>
      <c r="Q56" s="479"/>
      <c r="R56" s="479"/>
      <c r="S56" s="479"/>
      <c r="T56" s="197">
        <v>2.1319172E7</v>
      </c>
      <c r="U56" s="479"/>
      <c r="V56" s="479"/>
      <c r="W56" s="479"/>
      <c r="X56" s="204"/>
      <c r="Y56" s="199"/>
      <c r="Z56" s="199"/>
      <c r="AA56" s="213">
        <v>1.5989372700000003E7</v>
      </c>
      <c r="AB56" s="199"/>
      <c r="AC56" s="199"/>
      <c r="AD56" s="199"/>
      <c r="AE56" s="199"/>
      <c r="AF56" s="199"/>
      <c r="AG56" s="199"/>
      <c r="AH56" s="199"/>
      <c r="AI56" s="199"/>
      <c r="AJ56" s="199"/>
      <c r="AK56" s="199"/>
      <c r="AL56" s="199"/>
      <c r="AM56" s="199"/>
      <c r="AN56" s="199"/>
      <c r="AO56" s="199"/>
      <c r="AP56" s="199"/>
      <c r="AQ56" s="199"/>
      <c r="AR56" s="199"/>
      <c r="AS56" s="199"/>
      <c r="AT56" s="382"/>
      <c r="AU56" s="382"/>
      <c r="AV56" s="382"/>
      <c r="AW56" s="382"/>
      <c r="AX56" s="382"/>
      <c r="AY56" s="382"/>
      <c r="AZ56" s="382"/>
      <c r="BA56" s="382"/>
      <c r="BB56" s="382"/>
      <c r="BC56" s="382"/>
      <c r="BD56" s="382"/>
      <c r="BE56" s="382"/>
      <c r="BF56" s="382"/>
      <c r="BG56" s="382"/>
      <c r="BH56" s="382"/>
      <c r="BI56" s="382"/>
      <c r="BJ56" s="382"/>
      <c r="BK56" s="382"/>
      <c r="BL56" s="382"/>
      <c r="BM56" s="382"/>
    </row>
    <row r="57" ht="22.5" customHeight="1">
      <c r="A57" s="153" t="s">
        <v>18</v>
      </c>
      <c r="B57" s="153">
        <v>2026.0</v>
      </c>
      <c r="C57" s="153">
        <v>794.0</v>
      </c>
      <c r="D57" s="153">
        <v>861.0</v>
      </c>
      <c r="E57" s="153" t="s">
        <v>349</v>
      </c>
      <c r="F57" s="154">
        <v>1.6082457E7</v>
      </c>
      <c r="G57" s="154"/>
      <c r="H57" s="155">
        <f t="shared" si="2"/>
        <v>16082457</v>
      </c>
      <c r="I57" s="153" t="s">
        <v>350</v>
      </c>
      <c r="J57" s="153" t="s">
        <v>189</v>
      </c>
      <c r="K57" s="157">
        <f t="shared" si="3"/>
        <v>0</v>
      </c>
      <c r="L57" s="198"/>
      <c r="M57" s="198"/>
      <c r="N57" s="198"/>
      <c r="O57" s="198"/>
      <c r="P57" s="198"/>
      <c r="Q57" s="198"/>
      <c r="R57" s="204"/>
      <c r="S57" s="198"/>
      <c r="T57" s="205">
        <v>1.6082457E7</v>
      </c>
      <c r="U57" s="198"/>
      <c r="V57" s="198"/>
      <c r="W57" s="198"/>
      <c r="X57" s="198"/>
      <c r="Y57" s="199"/>
      <c r="Z57" s="199"/>
      <c r="AA57" s="199"/>
      <c r="AB57" s="199"/>
      <c r="AC57" s="199"/>
      <c r="AD57" s="199"/>
      <c r="AE57" s="199"/>
      <c r="AF57" s="199"/>
      <c r="AG57" s="199"/>
      <c r="AH57" s="199"/>
      <c r="AI57" s="199"/>
      <c r="AJ57" s="199"/>
      <c r="AK57" s="199"/>
      <c r="AL57" s="199"/>
      <c r="AM57" s="199"/>
      <c r="AN57" s="199"/>
      <c r="AO57" s="199"/>
      <c r="AP57" s="199"/>
      <c r="AQ57" s="199"/>
      <c r="AR57" s="199"/>
      <c r="AS57" s="199"/>
      <c r="AT57" s="382"/>
      <c r="AU57" s="382"/>
      <c r="AV57" s="382"/>
      <c r="AW57" s="382"/>
      <c r="AX57" s="382"/>
      <c r="AY57" s="382"/>
      <c r="AZ57" s="382"/>
      <c r="BA57" s="382"/>
      <c r="BB57" s="382"/>
      <c r="BC57" s="382"/>
      <c r="BD57" s="382"/>
      <c r="BE57" s="382"/>
      <c r="BF57" s="382"/>
      <c r="BG57" s="382"/>
      <c r="BH57" s="382"/>
      <c r="BI57" s="382"/>
      <c r="BJ57" s="382"/>
      <c r="BK57" s="382"/>
      <c r="BL57" s="382"/>
      <c r="BM57" s="382"/>
    </row>
    <row r="58" ht="22.5" customHeight="1">
      <c r="A58" s="153" t="s">
        <v>18</v>
      </c>
      <c r="B58" s="153">
        <v>2026.0</v>
      </c>
      <c r="C58" s="153">
        <v>791.0</v>
      </c>
      <c r="D58" s="153">
        <v>858.0</v>
      </c>
      <c r="E58" s="153" t="s">
        <v>313</v>
      </c>
      <c r="F58" s="154">
        <v>9.4737758E7</v>
      </c>
      <c r="G58" s="154"/>
      <c r="H58" s="155">
        <f t="shared" si="2"/>
        <v>94737758</v>
      </c>
      <c r="I58" s="153" t="s">
        <v>314</v>
      </c>
      <c r="J58" s="153" t="s">
        <v>74</v>
      </c>
      <c r="K58" s="157">
        <f t="shared" si="3"/>
        <v>0</v>
      </c>
      <c r="L58" s="198"/>
      <c r="M58" s="198"/>
      <c r="N58" s="198"/>
      <c r="O58" s="198"/>
      <c r="P58" s="198"/>
      <c r="Q58" s="198"/>
      <c r="R58" s="204"/>
      <c r="S58" s="198"/>
      <c r="T58" s="198"/>
      <c r="U58" s="197">
        <v>6.8426229E7</v>
      </c>
      <c r="V58" s="198"/>
      <c r="W58" s="198"/>
      <c r="X58" s="198"/>
      <c r="Y58" s="199"/>
      <c r="Z58" s="199"/>
      <c r="AA58" s="199"/>
      <c r="AB58" s="213">
        <v>2.6311529E7</v>
      </c>
      <c r="AC58" s="199"/>
      <c r="AD58" s="199"/>
      <c r="AE58" s="199"/>
      <c r="AF58" s="199"/>
      <c r="AG58" s="199"/>
      <c r="AH58" s="199"/>
      <c r="AI58" s="199"/>
      <c r="AJ58" s="199"/>
      <c r="AK58" s="199"/>
      <c r="AL58" s="199"/>
      <c r="AM58" s="199"/>
      <c r="AN58" s="199"/>
      <c r="AO58" s="199"/>
      <c r="AP58" s="199"/>
      <c r="AQ58" s="199"/>
      <c r="AR58" s="199"/>
      <c r="AS58" s="199"/>
      <c r="AT58" s="382"/>
      <c r="AU58" s="382"/>
      <c r="AV58" s="382"/>
      <c r="AW58" s="382"/>
      <c r="AX58" s="382"/>
      <c r="AY58" s="382"/>
      <c r="AZ58" s="382"/>
      <c r="BA58" s="382"/>
      <c r="BB58" s="382"/>
      <c r="BC58" s="382"/>
      <c r="BD58" s="382"/>
      <c r="BE58" s="382"/>
      <c r="BF58" s="382"/>
      <c r="BG58" s="382"/>
      <c r="BH58" s="382"/>
      <c r="BI58" s="382"/>
      <c r="BJ58" s="382"/>
      <c r="BK58" s="382"/>
      <c r="BL58" s="382"/>
      <c r="BM58" s="382"/>
    </row>
    <row r="59" ht="22.5" customHeight="1">
      <c r="A59" s="470" t="s">
        <v>18</v>
      </c>
      <c r="B59" s="470">
        <v>2026.0</v>
      </c>
      <c r="C59" s="470"/>
      <c r="D59" s="470"/>
      <c r="E59" s="470" t="s">
        <v>1212</v>
      </c>
      <c r="F59" s="471">
        <v>8504097.0</v>
      </c>
      <c r="G59" s="471"/>
      <c r="H59" s="472">
        <f t="shared" si="2"/>
        <v>8504097</v>
      </c>
      <c r="I59" s="470" t="s">
        <v>314</v>
      </c>
      <c r="J59" s="470" t="s">
        <v>74</v>
      </c>
      <c r="K59" s="473">
        <f t="shared" si="3"/>
        <v>0</v>
      </c>
      <c r="L59" s="474"/>
      <c r="M59" s="474"/>
      <c r="N59" s="474"/>
      <c r="O59" s="474"/>
      <c r="P59" s="474"/>
      <c r="Q59" s="474"/>
      <c r="R59" s="475"/>
      <c r="S59" s="474"/>
      <c r="T59" s="474"/>
      <c r="U59" s="476"/>
      <c r="V59" s="474"/>
      <c r="W59" s="474"/>
      <c r="X59" s="474"/>
      <c r="Y59" s="474"/>
      <c r="Z59" s="474"/>
      <c r="AA59" s="474"/>
      <c r="AB59" s="477"/>
      <c r="AC59" s="480">
        <v>8504097.0</v>
      </c>
      <c r="AD59" s="474"/>
      <c r="AE59" s="474"/>
      <c r="AF59" s="474"/>
      <c r="AG59" s="474"/>
      <c r="AH59" s="474"/>
      <c r="AI59" s="474"/>
      <c r="AJ59" s="474"/>
      <c r="AK59" s="474"/>
      <c r="AL59" s="474"/>
      <c r="AM59" s="474"/>
      <c r="AN59" s="474"/>
      <c r="AO59" s="474"/>
      <c r="AP59" s="474"/>
      <c r="AQ59" s="474"/>
      <c r="AR59" s="474"/>
      <c r="AS59" s="474"/>
      <c r="AT59" s="478"/>
      <c r="AU59" s="478"/>
      <c r="AV59" s="478"/>
      <c r="AW59" s="478"/>
      <c r="AX59" s="478"/>
      <c r="AY59" s="478"/>
      <c r="AZ59" s="478"/>
      <c r="BA59" s="478"/>
      <c r="BB59" s="478"/>
      <c r="BC59" s="478"/>
      <c r="BD59" s="478"/>
      <c r="BE59" s="478"/>
      <c r="BF59" s="478"/>
      <c r="BG59" s="478"/>
      <c r="BH59" s="478"/>
      <c r="BI59" s="478"/>
      <c r="BJ59" s="478"/>
      <c r="BK59" s="478"/>
      <c r="BL59" s="478"/>
      <c r="BM59" s="478"/>
    </row>
    <row r="60" ht="22.5" customHeight="1">
      <c r="A60" s="153" t="s">
        <v>18</v>
      </c>
      <c r="B60" s="153">
        <v>2026.0</v>
      </c>
      <c r="C60" s="153">
        <v>792.0</v>
      </c>
      <c r="D60" s="153">
        <v>859.0</v>
      </c>
      <c r="E60" s="153" t="s">
        <v>324</v>
      </c>
      <c r="F60" s="154">
        <v>4.4864047E7</v>
      </c>
      <c r="G60" s="154"/>
      <c r="H60" s="155">
        <f t="shared" si="2"/>
        <v>44864047</v>
      </c>
      <c r="I60" s="153" t="s">
        <v>280</v>
      </c>
      <c r="J60" s="153" t="s">
        <v>74</v>
      </c>
      <c r="K60" s="157">
        <f t="shared" si="3"/>
        <v>0</v>
      </c>
      <c r="L60" s="198"/>
      <c r="M60" s="198"/>
      <c r="N60" s="198"/>
      <c r="O60" s="198"/>
      <c r="P60" s="198"/>
      <c r="Q60" s="198"/>
      <c r="R60" s="204"/>
      <c r="S60" s="198"/>
      <c r="T60" s="198"/>
      <c r="U60" s="197">
        <v>4.0377642E7</v>
      </c>
      <c r="V60" s="198"/>
      <c r="W60" s="198"/>
      <c r="X60" s="198"/>
      <c r="Y60" s="199"/>
      <c r="Z60" s="199"/>
      <c r="AA60" s="199"/>
      <c r="AB60" s="443">
        <v>4486405.0</v>
      </c>
      <c r="AC60" s="199"/>
      <c r="AD60" s="199"/>
      <c r="AE60" s="199"/>
      <c r="AF60" s="199"/>
      <c r="AG60" s="199"/>
      <c r="AH60" s="199"/>
      <c r="AI60" s="199"/>
      <c r="AJ60" s="199"/>
      <c r="AK60" s="199"/>
      <c r="AL60" s="199"/>
      <c r="AM60" s="199"/>
      <c r="AN60" s="199"/>
      <c r="AO60" s="199"/>
      <c r="AP60" s="199"/>
      <c r="AQ60" s="199"/>
      <c r="AR60" s="199"/>
      <c r="AS60" s="199"/>
      <c r="AT60" s="382"/>
      <c r="AU60" s="382"/>
      <c r="AV60" s="382"/>
      <c r="AW60" s="382"/>
      <c r="AX60" s="382"/>
      <c r="AY60" s="382"/>
      <c r="AZ60" s="382"/>
      <c r="BA60" s="382"/>
      <c r="BB60" s="382"/>
      <c r="BC60" s="382"/>
      <c r="BD60" s="382"/>
      <c r="BE60" s="382"/>
      <c r="BF60" s="382"/>
      <c r="BG60" s="382"/>
      <c r="BH60" s="382"/>
      <c r="BI60" s="382"/>
      <c r="BJ60" s="382"/>
      <c r="BK60" s="382"/>
      <c r="BL60" s="382"/>
      <c r="BM60" s="382"/>
    </row>
    <row r="61" ht="22.5" customHeight="1">
      <c r="A61" s="153" t="s">
        <v>18</v>
      </c>
      <c r="B61" s="153">
        <v>2026.0</v>
      </c>
      <c r="C61" s="153">
        <v>793.0</v>
      </c>
      <c r="D61" s="153">
        <v>860.0</v>
      </c>
      <c r="E61" s="153" t="s">
        <v>201</v>
      </c>
      <c r="F61" s="154">
        <v>1.0154673E7</v>
      </c>
      <c r="G61" s="154"/>
      <c r="H61" s="155">
        <f t="shared" si="2"/>
        <v>10154673</v>
      </c>
      <c r="I61" s="153" t="s">
        <v>203</v>
      </c>
      <c r="J61" s="153" t="s">
        <v>147</v>
      </c>
      <c r="K61" s="157">
        <f t="shared" si="3"/>
        <v>0</v>
      </c>
      <c r="L61" s="198"/>
      <c r="M61" s="198"/>
      <c r="N61" s="198"/>
      <c r="O61" s="198"/>
      <c r="P61" s="198"/>
      <c r="Q61" s="198"/>
      <c r="R61" s="204"/>
      <c r="S61" s="198"/>
      <c r="T61" s="198"/>
      <c r="U61" s="198"/>
      <c r="V61" s="198"/>
      <c r="W61" s="198"/>
      <c r="X61" s="197">
        <v>1.0154673E7</v>
      </c>
      <c r="Y61" s="199"/>
      <c r="Z61" s="199"/>
      <c r="AA61" s="199"/>
      <c r="AB61" s="199"/>
      <c r="AC61" s="199"/>
      <c r="AD61" s="199"/>
      <c r="AE61" s="199"/>
      <c r="AF61" s="199"/>
      <c r="AG61" s="199"/>
      <c r="AH61" s="199"/>
      <c r="AI61" s="199"/>
      <c r="AJ61" s="199"/>
      <c r="AK61" s="199"/>
      <c r="AL61" s="199"/>
      <c r="AM61" s="199"/>
      <c r="AN61" s="199"/>
      <c r="AO61" s="199"/>
      <c r="AP61" s="199"/>
      <c r="AQ61" s="199"/>
      <c r="AR61" s="199"/>
      <c r="AS61" s="199"/>
      <c r="AT61" s="382"/>
      <c r="AU61" s="382"/>
      <c r="AV61" s="382"/>
      <c r="AW61" s="382"/>
      <c r="AX61" s="382"/>
      <c r="AY61" s="382"/>
      <c r="AZ61" s="382"/>
      <c r="BA61" s="382"/>
      <c r="BB61" s="382"/>
      <c r="BC61" s="382"/>
      <c r="BD61" s="382"/>
      <c r="BE61" s="382"/>
      <c r="BF61" s="382"/>
      <c r="BG61" s="382"/>
      <c r="BH61" s="382"/>
      <c r="BI61" s="382"/>
      <c r="BJ61" s="382"/>
      <c r="BK61" s="382"/>
      <c r="BL61" s="382"/>
      <c r="BM61" s="382"/>
    </row>
    <row r="62" ht="22.5" customHeight="1">
      <c r="A62" s="153" t="s">
        <v>18</v>
      </c>
      <c r="B62" s="153">
        <v>2026.0</v>
      </c>
      <c r="C62" s="153">
        <v>1138.0</v>
      </c>
      <c r="D62" s="153">
        <v>1819.0</v>
      </c>
      <c r="E62" s="153" t="s">
        <v>333</v>
      </c>
      <c r="F62" s="154">
        <v>1.9801637E7</v>
      </c>
      <c r="G62" s="154"/>
      <c r="H62" s="155">
        <f t="shared" si="2"/>
        <v>19801637</v>
      </c>
      <c r="I62" s="153" t="s">
        <v>248</v>
      </c>
      <c r="J62" s="153" t="s">
        <v>74</v>
      </c>
      <c r="K62" s="157">
        <f t="shared" si="3"/>
        <v>0</v>
      </c>
      <c r="L62" s="198"/>
      <c r="M62" s="198"/>
      <c r="N62" s="198"/>
      <c r="O62" s="198"/>
      <c r="P62" s="198"/>
      <c r="Q62" s="198"/>
      <c r="R62" s="204"/>
      <c r="S62" s="198"/>
      <c r="T62" s="198"/>
      <c r="U62" s="198"/>
      <c r="V62" s="198"/>
      <c r="W62" s="198"/>
      <c r="X62" s="205">
        <v>1.9801637E7</v>
      </c>
      <c r="Y62" s="199"/>
      <c r="Z62" s="199"/>
      <c r="AA62" s="199"/>
      <c r="AB62" s="199"/>
      <c r="AC62" s="199"/>
      <c r="AD62" s="199"/>
      <c r="AE62" s="199"/>
      <c r="AF62" s="199"/>
      <c r="AG62" s="199"/>
      <c r="AH62" s="199"/>
      <c r="AI62" s="199"/>
      <c r="AJ62" s="199"/>
      <c r="AK62" s="199"/>
      <c r="AL62" s="199"/>
      <c r="AM62" s="199"/>
      <c r="AN62" s="199"/>
      <c r="AO62" s="199"/>
      <c r="AP62" s="199"/>
      <c r="AQ62" s="199"/>
      <c r="AR62" s="199"/>
      <c r="AS62" s="199"/>
      <c r="AT62" s="382"/>
      <c r="AU62" s="382"/>
      <c r="AV62" s="382"/>
      <c r="AW62" s="382"/>
      <c r="AX62" s="382"/>
      <c r="AY62" s="382"/>
      <c r="AZ62" s="382"/>
      <c r="BA62" s="382"/>
      <c r="BB62" s="382"/>
      <c r="BC62" s="382"/>
      <c r="BD62" s="382"/>
      <c r="BE62" s="382"/>
      <c r="BF62" s="382"/>
      <c r="BG62" s="382"/>
      <c r="BH62" s="382"/>
      <c r="BI62" s="382"/>
      <c r="BJ62" s="382"/>
      <c r="BK62" s="382"/>
      <c r="BL62" s="382"/>
      <c r="BM62" s="382"/>
    </row>
    <row r="63" ht="22.5" customHeight="1">
      <c r="A63" s="153" t="s">
        <v>18</v>
      </c>
      <c r="B63" s="153">
        <v>2026.0</v>
      </c>
      <c r="C63" s="153">
        <v>1223.0</v>
      </c>
      <c r="D63" s="153">
        <v>1230.0</v>
      </c>
      <c r="E63" s="153" t="s">
        <v>353</v>
      </c>
      <c r="F63" s="154">
        <v>511700.0</v>
      </c>
      <c r="G63" s="154"/>
      <c r="H63" s="155">
        <f t="shared" si="2"/>
        <v>511700</v>
      </c>
      <c r="I63" s="153" t="s">
        <v>350</v>
      </c>
      <c r="J63" s="153" t="s">
        <v>189</v>
      </c>
      <c r="K63" s="157">
        <f t="shared" si="3"/>
        <v>0</v>
      </c>
      <c r="L63" s="198"/>
      <c r="M63" s="198"/>
      <c r="N63" s="198"/>
      <c r="O63" s="198"/>
      <c r="P63" s="198"/>
      <c r="Q63" s="198"/>
      <c r="R63" s="204"/>
      <c r="S63" s="198"/>
      <c r="T63" s="198"/>
      <c r="U63" s="205">
        <v>511700.0</v>
      </c>
      <c r="V63" s="198"/>
      <c r="W63" s="198"/>
      <c r="X63" s="198"/>
      <c r="Y63" s="199"/>
      <c r="Z63" s="199"/>
      <c r="AA63" s="199"/>
      <c r="AB63" s="199"/>
      <c r="AC63" s="199"/>
      <c r="AD63" s="199"/>
      <c r="AE63" s="199"/>
      <c r="AF63" s="199"/>
      <c r="AG63" s="199"/>
      <c r="AH63" s="199"/>
      <c r="AI63" s="199"/>
      <c r="AJ63" s="199"/>
      <c r="AK63" s="199"/>
      <c r="AL63" s="199"/>
      <c r="AM63" s="199"/>
      <c r="AN63" s="199"/>
      <c r="AO63" s="199"/>
      <c r="AP63" s="199"/>
      <c r="AQ63" s="199"/>
      <c r="AR63" s="199"/>
      <c r="AS63" s="199"/>
      <c r="AT63" s="382"/>
      <c r="AU63" s="382"/>
      <c r="AV63" s="382"/>
      <c r="AW63" s="382"/>
      <c r="AX63" s="382"/>
      <c r="AY63" s="382"/>
      <c r="AZ63" s="382"/>
      <c r="BA63" s="382"/>
      <c r="BB63" s="382"/>
      <c r="BC63" s="382"/>
      <c r="BD63" s="382"/>
      <c r="BE63" s="382"/>
      <c r="BF63" s="382"/>
      <c r="BG63" s="382"/>
      <c r="BH63" s="382"/>
      <c r="BI63" s="382"/>
      <c r="BJ63" s="382"/>
      <c r="BK63" s="382"/>
      <c r="BL63" s="382"/>
      <c r="BM63" s="382"/>
    </row>
    <row r="64" ht="22.5" customHeight="1">
      <c r="A64" s="153" t="s">
        <v>18</v>
      </c>
      <c r="B64" s="153">
        <v>2026.0</v>
      </c>
      <c r="C64" s="153">
        <v>1475.0</v>
      </c>
      <c r="D64" s="153">
        <v>1475.0</v>
      </c>
      <c r="E64" s="153" t="s">
        <v>270</v>
      </c>
      <c r="F64" s="154">
        <v>1.5015909E7</v>
      </c>
      <c r="G64" s="154"/>
      <c r="H64" s="155">
        <f t="shared" si="2"/>
        <v>15015909</v>
      </c>
      <c r="I64" s="153" t="s">
        <v>272</v>
      </c>
      <c r="J64" s="153" t="s">
        <v>135</v>
      </c>
      <c r="K64" s="157">
        <f t="shared" si="3"/>
        <v>0</v>
      </c>
      <c r="L64" s="198"/>
      <c r="M64" s="198"/>
      <c r="N64" s="198"/>
      <c r="O64" s="198"/>
      <c r="P64" s="198"/>
      <c r="Q64" s="198"/>
      <c r="R64" s="204"/>
      <c r="S64" s="198"/>
      <c r="T64" s="198"/>
      <c r="U64" s="198"/>
      <c r="V64" s="481">
        <v>1.2870779E7</v>
      </c>
      <c r="W64" s="198"/>
      <c r="X64" s="198"/>
      <c r="Y64" s="199"/>
      <c r="Z64" s="199"/>
      <c r="AA64" s="199"/>
      <c r="AB64" s="199"/>
      <c r="AC64" s="199"/>
      <c r="AD64" s="199"/>
      <c r="AE64" s="199"/>
      <c r="AF64" s="199"/>
      <c r="AG64" s="199"/>
      <c r="AH64" s="482">
        <v>2145130.0</v>
      </c>
      <c r="AI64" s="199"/>
      <c r="AJ64" s="199"/>
      <c r="AK64" s="199"/>
      <c r="AL64" s="199"/>
      <c r="AM64" s="199"/>
      <c r="AN64" s="199"/>
      <c r="AO64" s="199"/>
      <c r="AP64" s="199"/>
      <c r="AQ64" s="199"/>
      <c r="AR64" s="199"/>
      <c r="AS64" s="199"/>
      <c r="AT64" s="382"/>
      <c r="AU64" s="382"/>
      <c r="AV64" s="382"/>
      <c r="AW64" s="382"/>
      <c r="AX64" s="382"/>
      <c r="AY64" s="382"/>
      <c r="AZ64" s="382"/>
      <c r="BA64" s="382"/>
      <c r="BB64" s="382"/>
      <c r="BC64" s="382"/>
      <c r="BD64" s="382"/>
      <c r="BE64" s="382"/>
      <c r="BF64" s="382"/>
      <c r="BG64" s="382"/>
      <c r="BH64" s="382"/>
      <c r="BI64" s="382"/>
      <c r="BJ64" s="382"/>
      <c r="BK64" s="382"/>
      <c r="BL64" s="382"/>
      <c r="BM64" s="382"/>
    </row>
    <row r="65" ht="22.5" customHeight="1">
      <c r="A65" s="153" t="s">
        <v>18</v>
      </c>
      <c r="B65" s="153">
        <v>2026.0</v>
      </c>
      <c r="C65" s="153">
        <v>1806.0</v>
      </c>
      <c r="D65" s="153">
        <v>1845.0</v>
      </c>
      <c r="E65" s="153" t="s">
        <v>429</v>
      </c>
      <c r="F65" s="154">
        <v>1536340.0</v>
      </c>
      <c r="G65" s="154"/>
      <c r="H65" s="155">
        <f t="shared" si="2"/>
        <v>1536340</v>
      </c>
      <c r="I65" s="153" t="s">
        <v>384</v>
      </c>
      <c r="J65" s="153" t="s">
        <v>142</v>
      </c>
      <c r="K65" s="157">
        <f t="shared" si="3"/>
        <v>0</v>
      </c>
      <c r="L65" s="198"/>
      <c r="M65" s="198"/>
      <c r="N65" s="198"/>
      <c r="O65" s="198"/>
      <c r="P65" s="198"/>
      <c r="Q65" s="198"/>
      <c r="R65" s="204"/>
      <c r="S65" s="198"/>
      <c r="T65" s="198"/>
      <c r="U65" s="198"/>
      <c r="V65" s="198"/>
      <c r="W65" s="198"/>
      <c r="X65" s="198"/>
      <c r="Y65" s="461"/>
      <c r="Z65" s="213">
        <v>1536340.0</v>
      </c>
      <c r="AA65" s="199"/>
      <c r="AB65" s="199"/>
      <c r="AC65" s="199"/>
      <c r="AD65" s="199"/>
      <c r="AE65" s="199"/>
      <c r="AF65" s="199"/>
      <c r="AG65" s="199"/>
      <c r="AH65" s="199"/>
      <c r="AI65" s="199"/>
      <c r="AJ65" s="199"/>
      <c r="AK65" s="199"/>
      <c r="AL65" s="199"/>
      <c r="AM65" s="199"/>
      <c r="AN65" s="199"/>
      <c r="AO65" s="199"/>
      <c r="AP65" s="199"/>
      <c r="AQ65" s="199"/>
      <c r="AR65" s="199"/>
      <c r="AS65" s="199"/>
      <c r="AT65" s="382"/>
      <c r="AU65" s="382"/>
      <c r="AV65" s="382"/>
      <c r="AW65" s="382"/>
      <c r="AX65" s="382"/>
      <c r="AY65" s="382"/>
      <c r="AZ65" s="382"/>
      <c r="BA65" s="382"/>
      <c r="BB65" s="382"/>
      <c r="BC65" s="382"/>
      <c r="BD65" s="382"/>
      <c r="BE65" s="382"/>
      <c r="BF65" s="382"/>
      <c r="BG65" s="382"/>
      <c r="BH65" s="382"/>
      <c r="BI65" s="382"/>
      <c r="BJ65" s="382"/>
      <c r="BK65" s="382"/>
      <c r="BL65" s="382"/>
      <c r="BM65" s="382"/>
    </row>
    <row r="66" ht="22.5" customHeight="1">
      <c r="A66" s="153" t="s">
        <v>18</v>
      </c>
      <c r="B66" s="153">
        <v>2026.0</v>
      </c>
      <c r="C66" s="153"/>
      <c r="D66" s="153"/>
      <c r="E66" s="153" t="s">
        <v>307</v>
      </c>
      <c r="F66" s="154">
        <v>1.4447916E7</v>
      </c>
      <c r="G66" s="154"/>
      <c r="H66" s="155">
        <f t="shared" si="2"/>
        <v>14447916</v>
      </c>
      <c r="I66" s="153"/>
      <c r="J66" s="153"/>
      <c r="K66" s="157">
        <f t="shared" si="3"/>
        <v>14447916</v>
      </c>
      <c r="L66" s="198"/>
      <c r="M66" s="198"/>
      <c r="N66" s="198"/>
      <c r="O66" s="198"/>
      <c r="P66" s="198"/>
      <c r="Q66" s="198"/>
      <c r="R66" s="204"/>
      <c r="S66" s="198"/>
      <c r="T66" s="198"/>
      <c r="U66" s="198"/>
      <c r="V66" s="198"/>
      <c r="W66" s="198"/>
      <c r="X66" s="198"/>
      <c r="Y66" s="199"/>
      <c r="Z66" s="199"/>
      <c r="AA66" s="199"/>
      <c r="AB66" s="199"/>
      <c r="AC66" s="199"/>
      <c r="AD66" s="199"/>
      <c r="AE66" s="199"/>
      <c r="AF66" s="199"/>
      <c r="AG66" s="199"/>
      <c r="AH66" s="199"/>
      <c r="AI66" s="199"/>
      <c r="AJ66" s="199"/>
      <c r="AK66" s="199"/>
      <c r="AL66" s="199"/>
      <c r="AM66" s="199"/>
      <c r="AN66" s="199"/>
      <c r="AO66" s="199"/>
      <c r="AP66" s="199"/>
      <c r="AQ66" s="199"/>
      <c r="AR66" s="199"/>
      <c r="AS66" s="199"/>
      <c r="AT66" s="382"/>
      <c r="AU66" s="382"/>
      <c r="AV66" s="382"/>
      <c r="AW66" s="382"/>
      <c r="AX66" s="382"/>
      <c r="AY66" s="382"/>
      <c r="AZ66" s="382"/>
      <c r="BA66" s="382"/>
      <c r="BB66" s="382"/>
      <c r="BC66" s="382"/>
      <c r="BD66" s="382"/>
      <c r="BE66" s="382"/>
      <c r="BF66" s="382"/>
      <c r="BG66" s="382"/>
      <c r="BH66" s="382"/>
      <c r="BI66" s="382"/>
      <c r="BJ66" s="382"/>
      <c r="BK66" s="382"/>
      <c r="BL66" s="382"/>
      <c r="BM66" s="382"/>
    </row>
    <row r="67" ht="22.5" customHeight="1">
      <c r="A67" s="153" t="s">
        <v>18</v>
      </c>
      <c r="B67" s="153">
        <v>2026.0</v>
      </c>
      <c r="C67" s="153">
        <v>2637.0</v>
      </c>
      <c r="D67" s="153">
        <v>2500.0</v>
      </c>
      <c r="E67" s="153" t="s">
        <v>341</v>
      </c>
      <c r="F67" s="154">
        <v>1328150.0</v>
      </c>
      <c r="G67" s="154"/>
      <c r="H67" s="155">
        <f t="shared" si="2"/>
        <v>1328150</v>
      </c>
      <c r="I67" s="153" t="s">
        <v>259</v>
      </c>
      <c r="J67" s="153" t="s">
        <v>117</v>
      </c>
      <c r="K67" s="157">
        <f t="shared" si="3"/>
        <v>0</v>
      </c>
      <c r="L67" s="198"/>
      <c r="M67" s="198"/>
      <c r="N67" s="198"/>
      <c r="O67" s="198"/>
      <c r="P67" s="198"/>
      <c r="Q67" s="198"/>
      <c r="R67" s="204"/>
      <c r="S67" s="198"/>
      <c r="T67" s="198"/>
      <c r="U67" s="198"/>
      <c r="V67" s="198"/>
      <c r="W67" s="198"/>
      <c r="X67" s="198"/>
      <c r="Y67" s="199"/>
      <c r="Z67" s="199"/>
      <c r="AA67" s="213">
        <v>1328150.0</v>
      </c>
      <c r="AB67" s="199"/>
      <c r="AC67" s="199"/>
      <c r="AD67" s="199"/>
      <c r="AE67" s="199"/>
      <c r="AF67" s="199"/>
      <c r="AG67" s="199"/>
      <c r="AH67" s="199"/>
      <c r="AI67" s="199"/>
      <c r="AJ67" s="199"/>
      <c r="AK67" s="199"/>
      <c r="AL67" s="199"/>
      <c r="AM67" s="199"/>
      <c r="AN67" s="199"/>
      <c r="AO67" s="199"/>
      <c r="AP67" s="199"/>
      <c r="AQ67" s="199"/>
      <c r="AR67" s="199"/>
      <c r="AS67" s="199"/>
      <c r="AT67" s="382"/>
      <c r="AU67" s="382"/>
      <c r="AV67" s="382"/>
      <c r="AW67" s="382"/>
      <c r="AX67" s="382"/>
      <c r="AY67" s="382"/>
      <c r="AZ67" s="382"/>
      <c r="BA67" s="382"/>
      <c r="BB67" s="382"/>
      <c r="BC67" s="382"/>
      <c r="BD67" s="382"/>
      <c r="BE67" s="382"/>
      <c r="BF67" s="382"/>
      <c r="BG67" s="382"/>
      <c r="BH67" s="382"/>
      <c r="BI67" s="382"/>
      <c r="BJ67" s="382"/>
      <c r="BK67" s="382"/>
      <c r="BL67" s="382"/>
      <c r="BM67" s="382"/>
    </row>
    <row r="68" ht="22.5" customHeight="1">
      <c r="A68" s="153" t="s">
        <v>18</v>
      </c>
      <c r="B68" s="153">
        <v>2026.0</v>
      </c>
      <c r="C68" s="153">
        <v>2790.0</v>
      </c>
      <c r="D68" s="153">
        <v>2598.0</v>
      </c>
      <c r="E68" s="153" t="s">
        <v>523</v>
      </c>
      <c r="F68" s="154">
        <v>1074618.0</v>
      </c>
      <c r="G68" s="154"/>
      <c r="H68" s="155">
        <f t="shared" si="2"/>
        <v>1074618</v>
      </c>
      <c r="I68" s="153" t="s">
        <v>524</v>
      </c>
      <c r="J68" s="153" t="s">
        <v>144</v>
      </c>
      <c r="K68" s="157">
        <f t="shared" si="3"/>
        <v>0</v>
      </c>
      <c r="L68" s="198"/>
      <c r="M68" s="198"/>
      <c r="N68" s="198"/>
      <c r="O68" s="198"/>
      <c r="P68" s="198"/>
      <c r="Q68" s="198"/>
      <c r="R68" s="204"/>
      <c r="S68" s="198"/>
      <c r="T68" s="198"/>
      <c r="U68" s="198"/>
      <c r="V68" s="198"/>
      <c r="W68" s="198"/>
      <c r="X68" s="198"/>
      <c r="Y68" s="199"/>
      <c r="Z68" s="199"/>
      <c r="AA68" s="213">
        <v>1074618.0</v>
      </c>
      <c r="AB68" s="199"/>
      <c r="AC68" s="199"/>
      <c r="AD68" s="199"/>
      <c r="AE68" s="199"/>
      <c r="AF68" s="199"/>
      <c r="AG68" s="199"/>
      <c r="AH68" s="199"/>
      <c r="AI68" s="199"/>
      <c r="AJ68" s="199"/>
      <c r="AK68" s="199"/>
      <c r="AL68" s="199"/>
      <c r="AM68" s="199"/>
      <c r="AN68" s="199"/>
      <c r="AO68" s="199"/>
      <c r="AP68" s="199"/>
      <c r="AQ68" s="199"/>
      <c r="AR68" s="199"/>
      <c r="AS68" s="199"/>
      <c r="AT68" s="382"/>
      <c r="AU68" s="382"/>
      <c r="AV68" s="382"/>
      <c r="AW68" s="382"/>
      <c r="AX68" s="382"/>
      <c r="AY68" s="382"/>
      <c r="AZ68" s="382"/>
      <c r="BA68" s="382"/>
      <c r="BB68" s="382"/>
      <c r="BC68" s="382"/>
      <c r="BD68" s="382"/>
      <c r="BE68" s="382"/>
      <c r="BF68" s="382"/>
      <c r="BG68" s="382"/>
      <c r="BH68" s="382"/>
      <c r="BI68" s="382"/>
      <c r="BJ68" s="382"/>
      <c r="BK68" s="382"/>
      <c r="BL68" s="382"/>
      <c r="BM68" s="382"/>
    </row>
    <row r="69" ht="22.5" customHeight="1">
      <c r="A69" s="153" t="s">
        <v>18</v>
      </c>
      <c r="B69" s="153">
        <v>2026.0</v>
      </c>
      <c r="C69" s="153">
        <v>2814.0</v>
      </c>
      <c r="D69" s="153"/>
      <c r="E69" s="153" t="s">
        <v>530</v>
      </c>
      <c r="F69" s="154">
        <v>1.2630236E7</v>
      </c>
      <c r="G69" s="154"/>
      <c r="H69" s="155">
        <f t="shared" si="2"/>
        <v>12630236</v>
      </c>
      <c r="I69" s="153" t="s">
        <v>531</v>
      </c>
      <c r="J69" s="153" t="s">
        <v>144</v>
      </c>
      <c r="K69" s="157">
        <f t="shared" si="3"/>
        <v>0</v>
      </c>
      <c r="L69" s="198"/>
      <c r="M69" s="198"/>
      <c r="N69" s="198"/>
      <c r="O69" s="198"/>
      <c r="P69" s="198"/>
      <c r="Q69" s="198"/>
      <c r="R69" s="204"/>
      <c r="S69" s="198"/>
      <c r="T69" s="198"/>
      <c r="U69" s="198"/>
      <c r="V69" s="198"/>
      <c r="W69" s="198"/>
      <c r="X69" s="198"/>
      <c r="Y69" s="199"/>
      <c r="Z69" s="461"/>
      <c r="AA69" s="213">
        <v>1.2630236E7</v>
      </c>
      <c r="AB69" s="199"/>
      <c r="AC69" s="199"/>
      <c r="AD69" s="199"/>
      <c r="AE69" s="199"/>
      <c r="AF69" s="199"/>
      <c r="AG69" s="199"/>
      <c r="AH69" s="199"/>
      <c r="AI69" s="199"/>
      <c r="AJ69" s="199"/>
      <c r="AK69" s="199"/>
      <c r="AL69" s="199"/>
      <c r="AM69" s="199"/>
      <c r="AN69" s="199"/>
      <c r="AO69" s="199"/>
      <c r="AP69" s="199"/>
      <c r="AQ69" s="199"/>
      <c r="AR69" s="199"/>
      <c r="AS69" s="199"/>
      <c r="AT69" s="483"/>
      <c r="AU69" s="483"/>
      <c r="AV69" s="483"/>
      <c r="AW69" s="483"/>
      <c r="AX69" s="483"/>
      <c r="AY69" s="483"/>
      <c r="AZ69" s="483"/>
      <c r="BA69" s="483"/>
      <c r="BB69" s="483"/>
      <c r="BC69" s="483"/>
      <c r="BD69" s="483"/>
      <c r="BE69" s="483"/>
      <c r="BF69" s="483"/>
      <c r="BG69" s="483"/>
      <c r="BH69" s="483"/>
      <c r="BI69" s="483"/>
      <c r="BJ69" s="483"/>
      <c r="BK69" s="483"/>
      <c r="BL69" s="483"/>
      <c r="BM69" s="483"/>
    </row>
    <row r="70" ht="22.5" customHeight="1">
      <c r="A70" s="153" t="s">
        <v>18</v>
      </c>
      <c r="B70" s="153">
        <v>2026.0</v>
      </c>
      <c r="C70" s="153"/>
      <c r="D70" s="153"/>
      <c r="E70" s="153" t="s">
        <v>1228</v>
      </c>
      <c r="F70" s="154">
        <v>1.871474E7</v>
      </c>
      <c r="G70" s="154"/>
      <c r="H70" s="155">
        <f t="shared" si="2"/>
        <v>18714740</v>
      </c>
      <c r="I70" s="153"/>
      <c r="J70" s="153"/>
      <c r="K70" s="157">
        <f t="shared" si="3"/>
        <v>0</v>
      </c>
      <c r="L70" s="484">
        <v>1905200.0</v>
      </c>
      <c r="M70" s="485"/>
      <c r="N70" s="485"/>
      <c r="O70" s="485"/>
      <c r="P70" s="484">
        <v>2200000.0</v>
      </c>
      <c r="Q70" s="485"/>
      <c r="R70" s="486"/>
      <c r="S70" s="484">
        <v>4349400.0</v>
      </c>
      <c r="T70" s="485"/>
      <c r="U70" s="485"/>
      <c r="V70" s="485"/>
      <c r="W70" s="485"/>
      <c r="X70" s="484">
        <v>4598000.0</v>
      </c>
      <c r="Y70" s="199"/>
      <c r="Z70" s="461"/>
      <c r="AA70" s="213"/>
      <c r="AB70" s="482">
        <v>3293280.0</v>
      </c>
      <c r="AC70" s="199"/>
      <c r="AD70" s="199"/>
      <c r="AE70" s="199"/>
      <c r="AF70" s="199"/>
      <c r="AG70" s="461">
        <v>2368860.0</v>
      </c>
      <c r="AH70" s="199"/>
      <c r="AI70" s="199"/>
      <c r="AJ70" s="199"/>
      <c r="AK70" s="199"/>
      <c r="AL70" s="199"/>
      <c r="AM70" s="199"/>
      <c r="AN70" s="199"/>
      <c r="AO70" s="199"/>
      <c r="AP70" s="199"/>
      <c r="AQ70" s="199"/>
      <c r="AR70" s="199"/>
      <c r="AS70" s="199"/>
      <c r="AT70" s="483"/>
      <c r="AU70" s="483"/>
      <c r="AV70" s="483"/>
      <c r="AW70" s="483"/>
      <c r="AX70" s="483"/>
      <c r="AY70" s="483"/>
      <c r="AZ70" s="483"/>
      <c r="BA70" s="483"/>
      <c r="BB70" s="483"/>
      <c r="BC70" s="483"/>
      <c r="BD70" s="483"/>
      <c r="BE70" s="483"/>
      <c r="BF70" s="483"/>
      <c r="BG70" s="483"/>
      <c r="BH70" s="483"/>
      <c r="BI70" s="483"/>
      <c r="BJ70" s="483"/>
      <c r="BK70" s="483"/>
      <c r="BL70" s="483"/>
      <c r="BM70" s="483"/>
    </row>
    <row r="71" ht="22.5" customHeight="1">
      <c r="A71" s="470" t="s">
        <v>18</v>
      </c>
      <c r="B71" s="470">
        <v>2026.0</v>
      </c>
      <c r="C71" s="470"/>
      <c r="D71" s="470"/>
      <c r="E71" s="470" t="s">
        <v>1231</v>
      </c>
      <c r="F71" s="471">
        <v>4960920.0</v>
      </c>
      <c r="G71" s="471"/>
      <c r="H71" s="472">
        <f t="shared" si="2"/>
        <v>4960920</v>
      </c>
      <c r="I71" s="470" t="s">
        <v>531</v>
      </c>
      <c r="J71" s="470" t="s">
        <v>144</v>
      </c>
      <c r="K71" s="473">
        <f t="shared" si="3"/>
        <v>0</v>
      </c>
      <c r="L71" s="474"/>
      <c r="M71" s="474"/>
      <c r="N71" s="474"/>
      <c r="O71" s="474"/>
      <c r="P71" s="474"/>
      <c r="Q71" s="474"/>
      <c r="R71" s="475"/>
      <c r="S71" s="474"/>
      <c r="T71" s="474"/>
      <c r="U71" s="474"/>
      <c r="V71" s="474"/>
      <c r="W71" s="474"/>
      <c r="X71" s="474"/>
      <c r="Y71" s="474"/>
      <c r="Z71" s="475"/>
      <c r="AA71" s="477"/>
      <c r="AB71" s="477">
        <v>4960920.0</v>
      </c>
      <c r="AC71" s="474"/>
      <c r="AD71" s="474"/>
      <c r="AE71" s="474"/>
      <c r="AF71" s="474"/>
      <c r="AG71" s="474"/>
      <c r="AH71" s="474"/>
      <c r="AI71" s="474"/>
      <c r="AJ71" s="474"/>
      <c r="AK71" s="474"/>
      <c r="AL71" s="474"/>
      <c r="AM71" s="474"/>
      <c r="AN71" s="474"/>
      <c r="AO71" s="474"/>
      <c r="AP71" s="474"/>
      <c r="AQ71" s="474"/>
      <c r="AR71" s="474"/>
      <c r="AS71" s="474"/>
      <c r="AT71" s="487"/>
      <c r="AU71" s="487"/>
      <c r="AV71" s="487"/>
      <c r="AW71" s="487"/>
      <c r="AX71" s="487"/>
      <c r="AY71" s="487"/>
      <c r="AZ71" s="487"/>
      <c r="BA71" s="487"/>
      <c r="BB71" s="487"/>
      <c r="BC71" s="487"/>
      <c r="BD71" s="487"/>
      <c r="BE71" s="487"/>
      <c r="BF71" s="487"/>
      <c r="BG71" s="487"/>
      <c r="BH71" s="487"/>
      <c r="BI71" s="487"/>
      <c r="BJ71" s="487"/>
      <c r="BK71" s="487"/>
      <c r="BL71" s="487"/>
      <c r="BM71" s="487"/>
    </row>
    <row r="72" ht="22.5" customHeight="1">
      <c r="A72" s="153" t="s">
        <v>18</v>
      </c>
      <c r="B72" s="153">
        <v>2026.0</v>
      </c>
      <c r="C72" s="153">
        <v>2863.0</v>
      </c>
      <c r="D72" s="153"/>
      <c r="E72" s="153" t="s">
        <v>279</v>
      </c>
      <c r="F72" s="154">
        <v>1427829.0</v>
      </c>
      <c r="G72" s="154"/>
      <c r="H72" s="155">
        <f t="shared" si="2"/>
        <v>1427829</v>
      </c>
      <c r="I72" s="153" t="s">
        <v>280</v>
      </c>
      <c r="J72" s="153" t="s">
        <v>135</v>
      </c>
      <c r="K72" s="157">
        <f t="shared" si="3"/>
        <v>0</v>
      </c>
      <c r="L72" s="198"/>
      <c r="M72" s="198"/>
      <c r="N72" s="198"/>
      <c r="O72" s="198"/>
      <c r="P72" s="198"/>
      <c r="Q72" s="198"/>
      <c r="R72" s="204"/>
      <c r="S72" s="198"/>
      <c r="T72" s="198"/>
      <c r="U72" s="198"/>
      <c r="V72" s="198"/>
      <c r="W72" s="198"/>
      <c r="X72" s="198"/>
      <c r="Y72" s="199"/>
      <c r="Z72" s="461"/>
      <c r="AA72" s="199"/>
      <c r="AB72" s="213">
        <v>1427829.0</v>
      </c>
      <c r="AC72" s="199"/>
      <c r="AD72" s="199"/>
      <c r="AE72" s="199"/>
      <c r="AF72" s="199"/>
      <c r="AG72" s="199"/>
      <c r="AH72" s="199"/>
      <c r="AI72" s="199"/>
      <c r="AJ72" s="199"/>
      <c r="AK72" s="199"/>
      <c r="AL72" s="199"/>
      <c r="AM72" s="199"/>
      <c r="AN72" s="199"/>
      <c r="AO72" s="199"/>
      <c r="AP72" s="199"/>
      <c r="AQ72" s="199"/>
      <c r="AR72" s="199"/>
      <c r="AS72" s="199"/>
      <c r="AT72" s="483"/>
      <c r="AU72" s="483"/>
      <c r="AV72" s="483"/>
      <c r="AW72" s="483"/>
      <c r="AX72" s="483"/>
      <c r="AY72" s="483"/>
      <c r="AZ72" s="483"/>
      <c r="BA72" s="483"/>
      <c r="BB72" s="483"/>
      <c r="BC72" s="483"/>
      <c r="BD72" s="483"/>
      <c r="BE72" s="483"/>
      <c r="BF72" s="483"/>
      <c r="BG72" s="483"/>
      <c r="BH72" s="483"/>
      <c r="BI72" s="483"/>
      <c r="BJ72" s="483"/>
      <c r="BK72" s="483"/>
      <c r="BL72" s="483"/>
      <c r="BM72" s="483"/>
    </row>
    <row r="73" ht="22.5" customHeight="1">
      <c r="A73" s="470" t="s">
        <v>18</v>
      </c>
      <c r="B73" s="470">
        <v>2026.0</v>
      </c>
      <c r="C73" s="470"/>
      <c r="D73" s="470"/>
      <c r="E73" s="470" t="s">
        <v>1236</v>
      </c>
      <c r="F73" s="471">
        <v>1.0E7</v>
      </c>
      <c r="G73" s="471"/>
      <c r="H73" s="472">
        <f t="shared" si="2"/>
        <v>10000000</v>
      </c>
      <c r="I73" s="470"/>
      <c r="J73" s="470"/>
      <c r="K73" s="473">
        <f t="shared" si="3"/>
        <v>0</v>
      </c>
      <c r="L73" s="472"/>
      <c r="M73" s="472"/>
      <c r="N73" s="472"/>
      <c r="O73" s="472"/>
      <c r="P73" s="472"/>
      <c r="Q73" s="472"/>
      <c r="R73" s="472"/>
      <c r="S73" s="472"/>
      <c r="T73" s="488"/>
      <c r="U73" s="472"/>
      <c r="V73" s="472"/>
      <c r="W73" s="472"/>
      <c r="X73" s="472"/>
      <c r="Y73" s="472"/>
      <c r="Z73" s="472"/>
      <c r="AA73" s="472"/>
      <c r="AB73" s="472"/>
      <c r="AC73" s="472">
        <v>1.0E7</v>
      </c>
      <c r="AD73" s="472"/>
      <c r="AE73" s="472"/>
      <c r="AF73" s="472"/>
      <c r="AG73" s="472"/>
      <c r="AH73" s="472"/>
      <c r="AI73" s="472"/>
      <c r="AJ73" s="472"/>
      <c r="AK73" s="472"/>
      <c r="AL73" s="472"/>
      <c r="AM73" s="472"/>
      <c r="AN73" s="472"/>
      <c r="AO73" s="472"/>
      <c r="AP73" s="472"/>
      <c r="AQ73" s="472"/>
      <c r="AR73" s="472"/>
      <c r="AS73" s="472"/>
      <c r="AT73" s="472"/>
      <c r="AU73" s="472"/>
      <c r="AV73" s="472"/>
      <c r="AW73" s="472"/>
      <c r="AX73" s="472"/>
      <c r="AY73" s="472"/>
      <c r="AZ73" s="472"/>
      <c r="BA73" s="472"/>
      <c r="BB73" s="472"/>
      <c r="BC73" s="472"/>
      <c r="BD73" s="472"/>
      <c r="BE73" s="472"/>
      <c r="BF73" s="472"/>
      <c r="BG73" s="472"/>
      <c r="BH73" s="472"/>
      <c r="BI73" s="472"/>
      <c r="BJ73" s="472"/>
      <c r="BK73" s="472"/>
      <c r="BL73" s="472"/>
      <c r="BM73" s="472"/>
    </row>
    <row r="74" ht="22.5" customHeight="1">
      <c r="A74" s="470"/>
      <c r="B74" s="95">
        <v>2024.0</v>
      </c>
      <c r="D74" s="95">
        <v>7981.0</v>
      </c>
      <c r="E74" s="95" t="s">
        <v>388</v>
      </c>
      <c r="F74" s="98">
        <v>4219946.0</v>
      </c>
      <c r="G74" s="98">
        <v>2260686.0</v>
      </c>
      <c r="H74" s="99">
        <f t="shared" si="2"/>
        <v>1959260</v>
      </c>
      <c r="I74" s="95" t="s">
        <v>389</v>
      </c>
      <c r="J74" s="489" t="s">
        <v>135</v>
      </c>
      <c r="K74" s="283">
        <f t="shared" si="3"/>
        <v>0</v>
      </c>
      <c r="L74" s="472"/>
      <c r="M74" s="472"/>
      <c r="N74" s="472"/>
      <c r="O74" s="472"/>
      <c r="P74" s="472"/>
      <c r="Q74" s="472"/>
      <c r="R74" s="472"/>
      <c r="S74" s="472"/>
      <c r="T74" s="488"/>
      <c r="U74" s="472"/>
      <c r="V74" s="472"/>
      <c r="W74" s="472"/>
      <c r="X74" s="472"/>
      <c r="Y74" s="472"/>
      <c r="Z74" s="472"/>
      <c r="AA74" s="472"/>
      <c r="AB74" s="472"/>
      <c r="AC74" s="472"/>
      <c r="AD74" s="472"/>
      <c r="AE74" s="472"/>
      <c r="AF74" s="490">
        <v>1959260.0</v>
      </c>
      <c r="AG74" s="472"/>
      <c r="AH74" s="472"/>
      <c r="AI74" s="472"/>
      <c r="AJ74" s="472"/>
      <c r="AK74" s="472"/>
      <c r="AL74" s="472"/>
      <c r="AM74" s="472"/>
      <c r="AN74" s="472"/>
      <c r="AO74" s="472"/>
      <c r="AP74" s="472"/>
      <c r="AQ74" s="472"/>
      <c r="AR74" s="472"/>
      <c r="AS74" s="472"/>
      <c r="AT74" s="472"/>
      <c r="AU74" s="472"/>
      <c r="AV74" s="472"/>
      <c r="AW74" s="472"/>
      <c r="AX74" s="472"/>
      <c r="AY74" s="472"/>
      <c r="AZ74" s="472"/>
      <c r="BA74" s="472"/>
      <c r="BB74" s="472"/>
      <c r="BC74" s="472"/>
      <c r="BD74" s="472"/>
      <c r="BE74" s="472"/>
      <c r="BF74" s="472"/>
      <c r="BG74" s="472"/>
      <c r="BH74" s="472"/>
      <c r="BI74" s="472"/>
      <c r="BJ74" s="472"/>
      <c r="BK74" s="472"/>
      <c r="BL74" s="472"/>
      <c r="BM74" s="472"/>
    </row>
    <row r="75" ht="22.5" customHeight="1">
      <c r="A75" s="470" t="s">
        <v>18</v>
      </c>
      <c r="B75" s="470">
        <v>2026.0</v>
      </c>
      <c r="C75" s="470"/>
      <c r="D75" s="470"/>
      <c r="E75" s="470" t="s">
        <v>234</v>
      </c>
      <c r="F75" s="471">
        <v>4.0E7</v>
      </c>
      <c r="G75" s="471"/>
      <c r="H75" s="472">
        <f t="shared" si="2"/>
        <v>40000000</v>
      </c>
      <c r="I75" s="470"/>
      <c r="J75" s="470"/>
      <c r="K75" s="473">
        <f t="shared" si="3"/>
        <v>24000000</v>
      </c>
      <c r="L75" s="472"/>
      <c r="M75" s="472"/>
      <c r="N75" s="472"/>
      <c r="O75" s="472"/>
      <c r="P75" s="472"/>
      <c r="Q75" s="472"/>
      <c r="R75" s="472"/>
      <c r="S75" s="472"/>
      <c r="T75" s="488"/>
      <c r="U75" s="472"/>
      <c r="V75" s="472"/>
      <c r="W75" s="472"/>
      <c r="X75" s="472"/>
      <c r="Y75" s="472"/>
      <c r="Z75" s="472"/>
      <c r="AA75" s="472"/>
      <c r="AB75" s="490">
        <v>6000000.0</v>
      </c>
      <c r="AC75" s="472"/>
      <c r="AD75" s="472"/>
      <c r="AE75" s="472"/>
      <c r="AF75" s="472"/>
      <c r="AG75" s="472"/>
      <c r="AH75" s="472"/>
      <c r="AI75" s="472"/>
      <c r="AJ75" s="472"/>
      <c r="AK75" s="490">
        <v>1.0E7</v>
      </c>
      <c r="AL75" s="472"/>
      <c r="AM75" s="472"/>
      <c r="AN75" s="472"/>
      <c r="AO75" s="472"/>
      <c r="AP75" s="472"/>
      <c r="AQ75" s="472"/>
      <c r="AR75" s="472"/>
      <c r="AS75" s="472"/>
      <c r="AT75" s="472"/>
      <c r="AU75" s="472"/>
      <c r="AV75" s="472"/>
      <c r="AW75" s="472"/>
      <c r="AX75" s="472"/>
      <c r="AY75" s="472"/>
      <c r="AZ75" s="472"/>
      <c r="BA75" s="472"/>
      <c r="BB75" s="472"/>
      <c r="BC75" s="472"/>
      <c r="BD75" s="472"/>
      <c r="BE75" s="472"/>
      <c r="BF75" s="472"/>
      <c r="BG75" s="472"/>
      <c r="BH75" s="472"/>
      <c r="BI75" s="472"/>
      <c r="BJ75" s="472"/>
      <c r="BK75" s="472"/>
      <c r="BL75" s="472"/>
      <c r="BM75" s="472"/>
    </row>
    <row r="76" ht="22.5" customHeight="1">
      <c r="A76" s="470" t="s">
        <v>18</v>
      </c>
      <c r="B76" s="470">
        <v>2026.0</v>
      </c>
      <c r="C76" s="470"/>
      <c r="D76" s="470"/>
      <c r="E76" s="470" t="s">
        <v>243</v>
      </c>
      <c r="F76" s="471">
        <v>1.5E7</v>
      </c>
      <c r="G76" s="471"/>
      <c r="H76" s="472">
        <f t="shared" si="2"/>
        <v>15000000</v>
      </c>
      <c r="I76" s="470"/>
      <c r="J76" s="470"/>
      <c r="K76" s="473">
        <f t="shared" si="3"/>
        <v>0</v>
      </c>
      <c r="L76" s="472"/>
      <c r="M76" s="472"/>
      <c r="N76" s="472"/>
      <c r="O76" s="472"/>
      <c r="P76" s="472"/>
      <c r="Q76" s="472"/>
      <c r="R76" s="472"/>
      <c r="S76" s="472"/>
      <c r="T76" s="488"/>
      <c r="U76" s="472"/>
      <c r="V76" s="472"/>
      <c r="W76" s="472"/>
      <c r="X76" s="472"/>
      <c r="Y76" s="472"/>
      <c r="Z76" s="472"/>
      <c r="AA76" s="472"/>
      <c r="AB76" s="472"/>
      <c r="AC76" s="490">
        <v>1.5E7</v>
      </c>
      <c r="AD76" s="472"/>
      <c r="AE76" s="472"/>
      <c r="AF76" s="472"/>
      <c r="AG76" s="472"/>
      <c r="AH76" s="472"/>
      <c r="AI76" s="472"/>
      <c r="AJ76" s="472"/>
      <c r="AK76" s="472"/>
      <c r="AL76" s="472"/>
      <c r="AM76" s="472"/>
      <c r="AN76" s="472"/>
      <c r="AO76" s="472"/>
      <c r="AP76" s="472"/>
      <c r="AQ76" s="472"/>
      <c r="AR76" s="472"/>
      <c r="AS76" s="472"/>
      <c r="AT76" s="472"/>
      <c r="AU76" s="472"/>
      <c r="AV76" s="472"/>
      <c r="AW76" s="472"/>
      <c r="AX76" s="472"/>
      <c r="AY76" s="472"/>
      <c r="AZ76" s="472"/>
      <c r="BA76" s="472"/>
      <c r="BB76" s="472"/>
      <c r="BC76" s="472"/>
      <c r="BD76" s="472"/>
      <c r="BE76" s="472"/>
      <c r="BF76" s="472"/>
      <c r="BG76" s="472"/>
      <c r="BH76" s="472"/>
      <c r="BI76" s="472"/>
      <c r="BJ76" s="472"/>
      <c r="BK76" s="472"/>
      <c r="BL76" s="472"/>
      <c r="BM76" s="472"/>
    </row>
    <row r="77" ht="22.5" customHeight="1">
      <c r="A77" s="470" t="s">
        <v>18</v>
      </c>
      <c r="B77" s="470">
        <v>2026.0</v>
      </c>
      <c r="C77" s="470"/>
      <c r="D77" s="470"/>
      <c r="E77" s="470" t="s">
        <v>250</v>
      </c>
      <c r="F77" s="471">
        <v>2.5E7</v>
      </c>
      <c r="G77" s="471"/>
      <c r="H77" s="472">
        <f t="shared" si="2"/>
        <v>25000000</v>
      </c>
      <c r="I77" s="470"/>
      <c r="J77" s="470"/>
      <c r="K77" s="473">
        <f t="shared" si="3"/>
        <v>0</v>
      </c>
      <c r="L77" s="472"/>
      <c r="M77" s="472"/>
      <c r="N77" s="472"/>
      <c r="O77" s="472"/>
      <c r="P77" s="472"/>
      <c r="Q77" s="472"/>
      <c r="R77" s="472"/>
      <c r="S77" s="472"/>
      <c r="T77" s="488"/>
      <c r="U77" s="472"/>
      <c r="V77" s="472"/>
      <c r="W77" s="472"/>
      <c r="X77" s="472"/>
      <c r="Y77" s="472"/>
      <c r="Z77" s="472"/>
      <c r="AA77" s="472"/>
      <c r="AB77" s="472"/>
      <c r="AC77" s="472"/>
      <c r="AD77" s="472"/>
      <c r="AE77" s="472"/>
      <c r="AF77" s="472"/>
      <c r="AG77" s="472"/>
      <c r="AH77" s="472"/>
      <c r="AI77" s="472"/>
      <c r="AJ77" s="472"/>
      <c r="AK77" s="472"/>
      <c r="AL77" s="472"/>
      <c r="AM77" s="472"/>
      <c r="AN77" s="472"/>
      <c r="AO77" s="472"/>
      <c r="AP77" s="471">
        <f>25000000*0.3</f>
        <v>7500000</v>
      </c>
      <c r="AQ77" s="472"/>
      <c r="AR77" s="472"/>
      <c r="AS77" s="472"/>
      <c r="AT77" s="471">
        <f>25000000*0.7</f>
        <v>17500000</v>
      </c>
      <c r="AU77" s="472"/>
      <c r="AV77" s="472"/>
      <c r="AW77" s="472"/>
      <c r="AX77" s="472"/>
      <c r="AY77" s="472"/>
      <c r="AZ77" s="472"/>
      <c r="BA77" s="472"/>
      <c r="BB77" s="472"/>
      <c r="BC77" s="472"/>
      <c r="BD77" s="472"/>
      <c r="BE77" s="472"/>
      <c r="BF77" s="472"/>
      <c r="BG77" s="472"/>
      <c r="BH77" s="472"/>
      <c r="BI77" s="472"/>
      <c r="BJ77" s="472"/>
      <c r="BK77" s="472"/>
      <c r="BL77" s="472"/>
      <c r="BM77" s="472"/>
    </row>
    <row r="78" ht="22.5" customHeight="1">
      <c r="A78" s="470" t="s">
        <v>18</v>
      </c>
      <c r="B78" s="470">
        <v>2026.0</v>
      </c>
      <c r="C78" s="470"/>
      <c r="D78" s="470"/>
      <c r="E78" s="491" t="s">
        <v>288</v>
      </c>
      <c r="F78" s="472">
        <v>1.2E7</v>
      </c>
      <c r="G78" s="471"/>
      <c r="H78" s="472">
        <f t="shared" si="2"/>
        <v>12000000</v>
      </c>
      <c r="I78" s="470"/>
      <c r="J78" s="470"/>
      <c r="K78" s="473">
        <f t="shared" si="3"/>
        <v>12000000</v>
      </c>
      <c r="L78" s="472"/>
      <c r="M78" s="472"/>
      <c r="N78" s="472"/>
      <c r="O78" s="472"/>
      <c r="P78" s="472"/>
      <c r="Q78" s="472"/>
      <c r="R78" s="472"/>
      <c r="S78" s="472"/>
      <c r="T78" s="488"/>
      <c r="U78" s="472"/>
      <c r="V78" s="472"/>
      <c r="W78" s="472"/>
      <c r="X78" s="472"/>
      <c r="Y78" s="472"/>
      <c r="Z78" s="472"/>
      <c r="AA78" s="472"/>
      <c r="AB78" s="472"/>
      <c r="AC78" s="472"/>
      <c r="AD78" s="472"/>
      <c r="AE78" s="472"/>
      <c r="AF78" s="472"/>
      <c r="AG78" s="472"/>
      <c r="AH78" s="472"/>
      <c r="AI78" s="472"/>
      <c r="AJ78" s="472"/>
      <c r="AK78" s="472"/>
      <c r="AL78" s="472"/>
      <c r="AM78" s="472"/>
      <c r="AN78" s="472"/>
      <c r="AO78" s="472"/>
      <c r="AP78" s="472"/>
      <c r="AQ78" s="472"/>
      <c r="AR78" s="472"/>
      <c r="AS78" s="472"/>
      <c r="AT78" s="472"/>
      <c r="AU78" s="472"/>
      <c r="AV78" s="472"/>
      <c r="AW78" s="472"/>
      <c r="AX78" s="472"/>
      <c r="AY78" s="472"/>
      <c r="AZ78" s="472"/>
      <c r="BA78" s="472"/>
      <c r="BB78" s="472"/>
      <c r="BC78" s="472"/>
      <c r="BD78" s="472"/>
      <c r="BE78" s="472"/>
      <c r="BF78" s="472"/>
      <c r="BG78" s="472"/>
      <c r="BH78" s="472"/>
      <c r="BI78" s="472"/>
      <c r="BJ78" s="472"/>
      <c r="BK78" s="472"/>
      <c r="BL78" s="472"/>
      <c r="BM78" s="472"/>
    </row>
    <row r="79" ht="22.5" customHeight="1">
      <c r="A79" s="470" t="s">
        <v>18</v>
      </c>
      <c r="B79" s="470">
        <v>2026.0</v>
      </c>
      <c r="C79" s="470"/>
      <c r="D79" s="470"/>
      <c r="E79" s="491" t="s">
        <v>297</v>
      </c>
      <c r="F79" s="472">
        <v>2.0E7</v>
      </c>
      <c r="G79" s="471"/>
      <c r="H79" s="472">
        <f t="shared" si="2"/>
        <v>20000000</v>
      </c>
      <c r="I79" s="470"/>
      <c r="J79" s="470"/>
      <c r="K79" s="473">
        <f t="shared" si="3"/>
        <v>20000000</v>
      </c>
      <c r="L79" s="472"/>
      <c r="M79" s="472"/>
      <c r="N79" s="472"/>
      <c r="O79" s="472"/>
      <c r="P79" s="472"/>
      <c r="Q79" s="472"/>
      <c r="R79" s="472"/>
      <c r="S79" s="472"/>
      <c r="T79" s="488"/>
      <c r="U79" s="472"/>
      <c r="V79" s="472"/>
      <c r="W79" s="472"/>
      <c r="X79" s="472"/>
      <c r="Y79" s="472"/>
      <c r="Z79" s="472"/>
      <c r="AA79" s="472"/>
      <c r="AB79" s="472"/>
      <c r="AC79" s="472"/>
      <c r="AD79" s="472"/>
      <c r="AE79" s="472"/>
      <c r="AF79" s="472"/>
      <c r="AG79" s="472"/>
      <c r="AH79" s="472"/>
      <c r="AI79" s="472"/>
      <c r="AJ79" s="472"/>
      <c r="AK79" s="472"/>
      <c r="AL79" s="472"/>
      <c r="AM79" s="472"/>
      <c r="AN79" s="472"/>
      <c r="AO79" s="472"/>
      <c r="AP79" s="472"/>
      <c r="AQ79" s="472"/>
      <c r="AR79" s="472"/>
      <c r="AS79" s="472"/>
      <c r="AT79" s="472"/>
      <c r="AU79" s="472"/>
      <c r="AV79" s="472"/>
      <c r="AW79" s="472"/>
      <c r="AX79" s="472"/>
      <c r="AY79" s="472"/>
      <c r="AZ79" s="472"/>
      <c r="BA79" s="472"/>
      <c r="BB79" s="472"/>
      <c r="BC79" s="472"/>
      <c r="BD79" s="472"/>
      <c r="BE79" s="472"/>
      <c r="BF79" s="472"/>
      <c r="BG79" s="472"/>
      <c r="BH79" s="472"/>
      <c r="BI79" s="472"/>
      <c r="BJ79" s="472"/>
      <c r="BK79" s="472"/>
      <c r="BL79" s="472"/>
      <c r="BM79" s="472"/>
    </row>
    <row r="80" ht="22.5" customHeight="1">
      <c r="A80" s="470" t="s">
        <v>18</v>
      </c>
      <c r="B80" s="470">
        <v>2026.0</v>
      </c>
      <c r="C80" s="492"/>
      <c r="D80" s="492"/>
      <c r="E80" s="491" t="s">
        <v>302</v>
      </c>
      <c r="F80" s="472">
        <v>3.5E7</v>
      </c>
      <c r="G80" s="490"/>
      <c r="H80" s="472">
        <f t="shared" si="2"/>
        <v>35000000</v>
      </c>
      <c r="I80" s="492"/>
      <c r="J80" s="492"/>
      <c r="K80" s="472">
        <f t="shared" si="3"/>
        <v>35000000</v>
      </c>
      <c r="L80" s="472"/>
      <c r="M80" s="472"/>
      <c r="N80" s="472"/>
      <c r="O80" s="472"/>
      <c r="P80" s="472"/>
      <c r="Q80" s="472"/>
      <c r="R80" s="472"/>
      <c r="S80" s="472"/>
      <c r="T80" s="488"/>
      <c r="U80" s="472"/>
      <c r="V80" s="472"/>
      <c r="W80" s="472"/>
      <c r="X80" s="472"/>
      <c r="Y80" s="472"/>
      <c r="Z80" s="472"/>
      <c r="AA80" s="472"/>
      <c r="AB80" s="472"/>
      <c r="AC80" s="472"/>
      <c r="AD80" s="472"/>
      <c r="AE80" s="472"/>
      <c r="AF80" s="472"/>
      <c r="AG80" s="472"/>
      <c r="AH80" s="472"/>
      <c r="AI80" s="472"/>
      <c r="AJ80" s="472"/>
      <c r="AK80" s="472"/>
      <c r="AL80" s="472"/>
      <c r="AM80" s="472"/>
      <c r="AN80" s="472"/>
      <c r="AO80" s="472"/>
      <c r="AP80" s="472"/>
      <c r="AQ80" s="472"/>
      <c r="AR80" s="472"/>
      <c r="AS80" s="472"/>
      <c r="AT80" s="472"/>
      <c r="AU80" s="472"/>
      <c r="AV80" s="472"/>
      <c r="AW80" s="472"/>
      <c r="AX80" s="472"/>
      <c r="AY80" s="472"/>
      <c r="AZ80" s="472"/>
      <c r="BA80" s="472"/>
      <c r="BB80" s="472"/>
      <c r="BC80" s="472"/>
      <c r="BD80" s="472"/>
      <c r="BE80" s="472"/>
      <c r="BF80" s="472"/>
      <c r="BG80" s="472"/>
      <c r="BH80" s="472"/>
      <c r="BI80" s="472"/>
      <c r="BJ80" s="472"/>
      <c r="BK80" s="472"/>
      <c r="BL80" s="472"/>
      <c r="BM80" s="472"/>
    </row>
    <row r="81" ht="22.5" customHeight="1">
      <c r="A81" s="470" t="s">
        <v>18</v>
      </c>
      <c r="B81" s="470">
        <v>2026.0</v>
      </c>
      <c r="C81" s="492"/>
      <c r="D81" s="492"/>
      <c r="E81" s="491" t="s">
        <v>311</v>
      </c>
      <c r="F81" s="472">
        <v>2.2E7</v>
      </c>
      <c r="G81" s="490"/>
      <c r="H81" s="472">
        <f t="shared" si="2"/>
        <v>22000000</v>
      </c>
      <c r="I81" s="492"/>
      <c r="J81" s="492"/>
      <c r="K81" s="472">
        <f t="shared" si="3"/>
        <v>22000000</v>
      </c>
      <c r="L81" s="472"/>
      <c r="M81" s="472"/>
      <c r="N81" s="472"/>
      <c r="O81" s="472"/>
      <c r="P81" s="472"/>
      <c r="Q81" s="472"/>
      <c r="R81" s="472"/>
      <c r="S81" s="472"/>
      <c r="T81" s="488"/>
      <c r="U81" s="472"/>
      <c r="V81" s="472"/>
      <c r="W81" s="472"/>
      <c r="X81" s="472"/>
      <c r="Y81" s="472"/>
      <c r="Z81" s="472"/>
      <c r="AA81" s="472"/>
      <c r="AB81" s="472"/>
      <c r="AC81" s="472"/>
      <c r="AD81" s="472"/>
      <c r="AE81" s="472"/>
      <c r="AF81" s="472"/>
      <c r="AG81" s="472"/>
      <c r="AH81" s="472"/>
      <c r="AI81" s="472"/>
      <c r="AJ81" s="472"/>
      <c r="AK81" s="472"/>
      <c r="AL81" s="472"/>
      <c r="AM81" s="472"/>
      <c r="AN81" s="472"/>
      <c r="AO81" s="472"/>
      <c r="AP81" s="472"/>
      <c r="AQ81" s="472"/>
      <c r="AR81" s="472"/>
      <c r="AS81" s="472"/>
      <c r="AT81" s="472"/>
      <c r="AU81" s="472"/>
      <c r="AV81" s="472"/>
      <c r="AW81" s="472"/>
      <c r="AX81" s="472"/>
      <c r="AY81" s="472"/>
      <c r="AZ81" s="472"/>
      <c r="BA81" s="472"/>
      <c r="BB81" s="472"/>
      <c r="BC81" s="472"/>
      <c r="BD81" s="472"/>
      <c r="BE81" s="472"/>
      <c r="BF81" s="472"/>
      <c r="BG81" s="472"/>
      <c r="BH81" s="472"/>
      <c r="BI81" s="472"/>
      <c r="BJ81" s="472"/>
      <c r="BK81" s="472"/>
      <c r="BL81" s="472"/>
      <c r="BM81" s="472"/>
    </row>
    <row r="82" ht="22.5" customHeight="1">
      <c r="A82" s="470" t="s">
        <v>18</v>
      </c>
      <c r="B82" s="470">
        <v>2026.0</v>
      </c>
      <c r="C82" s="492"/>
      <c r="D82" s="492"/>
      <c r="E82" s="491" t="s">
        <v>316</v>
      </c>
      <c r="F82" s="472">
        <v>9000000.0</v>
      </c>
      <c r="G82" s="490"/>
      <c r="H82" s="472">
        <f t="shared" si="2"/>
        <v>9000000</v>
      </c>
      <c r="I82" s="492"/>
      <c r="J82" s="492"/>
      <c r="K82" s="472">
        <f t="shared" si="3"/>
        <v>9000000</v>
      </c>
      <c r="L82" s="472"/>
      <c r="M82" s="472"/>
      <c r="N82" s="472"/>
      <c r="O82" s="472"/>
      <c r="P82" s="472"/>
      <c r="Q82" s="472"/>
      <c r="R82" s="472"/>
      <c r="S82" s="472"/>
      <c r="T82" s="488"/>
      <c r="U82" s="472"/>
      <c r="V82" s="472"/>
      <c r="W82" s="472"/>
      <c r="X82" s="472"/>
      <c r="Y82" s="472"/>
      <c r="Z82" s="472"/>
      <c r="AA82" s="472"/>
      <c r="AB82" s="472"/>
      <c r="AC82" s="472"/>
      <c r="AD82" s="472"/>
      <c r="AE82" s="472"/>
      <c r="AF82" s="472"/>
      <c r="AG82" s="472"/>
      <c r="AH82" s="472"/>
      <c r="AI82" s="472"/>
      <c r="AJ82" s="472"/>
      <c r="AK82" s="472"/>
      <c r="AL82" s="472"/>
      <c r="AM82" s="472"/>
      <c r="AN82" s="472"/>
      <c r="AO82" s="472"/>
      <c r="AP82" s="472"/>
      <c r="AQ82" s="472"/>
      <c r="AR82" s="472"/>
      <c r="AS82" s="472"/>
      <c r="AT82" s="472"/>
      <c r="AU82" s="472"/>
      <c r="AV82" s="472"/>
      <c r="AW82" s="472"/>
      <c r="AX82" s="472"/>
      <c r="AY82" s="472"/>
      <c r="AZ82" s="472"/>
      <c r="BA82" s="472"/>
      <c r="BB82" s="472"/>
      <c r="BC82" s="472"/>
      <c r="BD82" s="472"/>
      <c r="BE82" s="472"/>
      <c r="BF82" s="472"/>
      <c r="BG82" s="472"/>
      <c r="BH82" s="472"/>
      <c r="BI82" s="472"/>
      <c r="BJ82" s="472"/>
      <c r="BK82" s="472"/>
      <c r="BL82" s="472"/>
      <c r="BM82" s="472"/>
    </row>
    <row r="83" ht="22.5" customHeight="1">
      <c r="A83" s="470" t="s">
        <v>18</v>
      </c>
      <c r="B83" s="470">
        <v>2026.0</v>
      </c>
      <c r="C83" s="492"/>
      <c r="D83" s="492"/>
      <c r="E83" s="492" t="s">
        <v>374</v>
      </c>
      <c r="F83" s="490">
        <v>6000000.0</v>
      </c>
      <c r="G83" s="490"/>
      <c r="H83" s="472">
        <f t="shared" si="2"/>
        <v>6000000</v>
      </c>
      <c r="I83" s="492"/>
      <c r="J83" s="492"/>
      <c r="K83" s="472">
        <f t="shared" si="3"/>
        <v>6000000</v>
      </c>
      <c r="L83" s="472"/>
      <c r="M83" s="472"/>
      <c r="N83" s="472"/>
      <c r="O83" s="472"/>
      <c r="P83" s="472"/>
      <c r="Q83" s="472"/>
      <c r="R83" s="472"/>
      <c r="S83" s="472"/>
      <c r="T83" s="488"/>
      <c r="U83" s="472"/>
      <c r="V83" s="472"/>
      <c r="W83" s="472"/>
      <c r="X83" s="472"/>
      <c r="Y83" s="472"/>
      <c r="Z83" s="472"/>
      <c r="AA83" s="472"/>
      <c r="AB83" s="472"/>
      <c r="AC83" s="472"/>
      <c r="AD83" s="472"/>
      <c r="AE83" s="472"/>
      <c r="AF83" s="472"/>
      <c r="AG83" s="472"/>
      <c r="AH83" s="472"/>
      <c r="AI83" s="472"/>
      <c r="AJ83" s="472"/>
      <c r="AK83" s="472"/>
      <c r="AL83" s="472"/>
      <c r="AM83" s="472"/>
      <c r="AN83" s="472"/>
      <c r="AO83" s="472"/>
      <c r="AP83" s="472"/>
      <c r="AQ83" s="472"/>
      <c r="AR83" s="472"/>
      <c r="AS83" s="472"/>
      <c r="AT83" s="472"/>
      <c r="AU83" s="472"/>
      <c r="AV83" s="472"/>
      <c r="AW83" s="472"/>
      <c r="AX83" s="472"/>
      <c r="AY83" s="472"/>
      <c r="AZ83" s="472"/>
      <c r="BA83" s="472"/>
      <c r="BB83" s="472"/>
      <c r="BC83" s="472"/>
      <c r="BD83" s="472"/>
      <c r="BE83" s="472"/>
      <c r="BF83" s="472"/>
      <c r="BG83" s="472"/>
      <c r="BH83" s="472"/>
      <c r="BI83" s="472"/>
      <c r="BJ83" s="472"/>
      <c r="BK83" s="472"/>
      <c r="BL83" s="472"/>
      <c r="BM83" s="472"/>
    </row>
    <row r="84" ht="22.5" customHeight="1">
      <c r="A84" s="470" t="s">
        <v>18</v>
      </c>
      <c r="B84" s="470">
        <v>2026.0</v>
      </c>
      <c r="C84" s="492"/>
      <c r="D84" s="492"/>
      <c r="E84" s="492" t="s">
        <v>1254</v>
      </c>
      <c r="F84" s="490">
        <v>6.4987199999999985E7</v>
      </c>
      <c r="G84" s="490"/>
      <c r="H84" s="472">
        <f t="shared" si="2"/>
        <v>64987200</v>
      </c>
      <c r="I84" s="492"/>
      <c r="J84" s="492"/>
      <c r="K84" s="472">
        <f t="shared" si="3"/>
        <v>64987200</v>
      </c>
      <c r="L84" s="472"/>
      <c r="M84" s="472"/>
      <c r="N84" s="472"/>
      <c r="O84" s="472"/>
      <c r="P84" s="472"/>
      <c r="Q84" s="472"/>
      <c r="R84" s="472"/>
      <c r="S84" s="472"/>
      <c r="T84" s="488"/>
      <c r="U84" s="472"/>
      <c r="V84" s="472"/>
      <c r="W84" s="472"/>
      <c r="X84" s="472"/>
      <c r="Y84" s="472"/>
      <c r="Z84" s="472"/>
      <c r="AA84" s="472"/>
      <c r="AB84" s="472"/>
      <c r="AC84" s="472"/>
      <c r="AD84" s="472"/>
      <c r="AE84" s="472"/>
      <c r="AF84" s="472"/>
      <c r="AG84" s="472"/>
      <c r="AH84" s="472"/>
      <c r="AI84" s="472"/>
      <c r="AJ84" s="472"/>
      <c r="AK84" s="472"/>
      <c r="AL84" s="472"/>
      <c r="AM84" s="472"/>
      <c r="AN84" s="472"/>
      <c r="AO84" s="472"/>
      <c r="AP84" s="472"/>
      <c r="AQ84" s="472"/>
      <c r="AR84" s="472"/>
      <c r="AS84" s="472"/>
      <c r="AT84" s="472"/>
      <c r="AU84" s="472"/>
      <c r="AV84" s="472"/>
      <c r="AW84" s="472"/>
      <c r="AX84" s="472"/>
      <c r="AY84" s="472"/>
      <c r="AZ84" s="472"/>
      <c r="BA84" s="472"/>
      <c r="BB84" s="472"/>
      <c r="BC84" s="472"/>
      <c r="BD84" s="472"/>
      <c r="BE84" s="472"/>
      <c r="BF84" s="472"/>
      <c r="BG84" s="472"/>
      <c r="BH84" s="472"/>
      <c r="BI84" s="472"/>
      <c r="BJ84" s="472"/>
      <c r="BK84" s="472"/>
      <c r="BL84" s="472"/>
      <c r="BM84" s="472"/>
    </row>
    <row r="85" ht="22.5" customHeight="1">
      <c r="A85" s="470" t="s">
        <v>18</v>
      </c>
      <c r="B85" s="470">
        <v>2026.0</v>
      </c>
      <c r="C85" s="492"/>
      <c r="D85" s="492"/>
      <c r="E85" s="491" t="s">
        <v>412</v>
      </c>
      <c r="F85" s="472">
        <v>2.3890042E7</v>
      </c>
      <c r="G85" s="490"/>
      <c r="H85" s="472">
        <f t="shared" si="2"/>
        <v>23890042</v>
      </c>
      <c r="I85" s="492"/>
      <c r="J85" s="492"/>
      <c r="K85" s="472">
        <f t="shared" si="3"/>
        <v>23890042</v>
      </c>
      <c r="L85" s="472"/>
      <c r="M85" s="472"/>
      <c r="N85" s="472"/>
      <c r="O85" s="472"/>
      <c r="P85" s="472"/>
      <c r="Q85" s="472"/>
      <c r="R85" s="472"/>
      <c r="S85" s="472"/>
      <c r="T85" s="488"/>
      <c r="U85" s="472"/>
      <c r="V85" s="472"/>
      <c r="W85" s="472"/>
      <c r="X85" s="472"/>
      <c r="Y85" s="472"/>
      <c r="Z85" s="472"/>
      <c r="AA85" s="472"/>
      <c r="AB85" s="472"/>
      <c r="AC85" s="472"/>
      <c r="AD85" s="472"/>
      <c r="AE85" s="472"/>
      <c r="AF85" s="472"/>
      <c r="AG85" s="472"/>
      <c r="AH85" s="472"/>
      <c r="AI85" s="472"/>
      <c r="AJ85" s="472"/>
      <c r="AK85" s="472"/>
      <c r="AL85" s="472"/>
      <c r="AM85" s="472"/>
      <c r="AN85" s="472"/>
      <c r="AO85" s="472"/>
      <c r="AP85" s="472"/>
      <c r="AQ85" s="472"/>
      <c r="AR85" s="472"/>
      <c r="AS85" s="472"/>
      <c r="AT85" s="472"/>
      <c r="AU85" s="472"/>
      <c r="AV85" s="472"/>
      <c r="AW85" s="472"/>
      <c r="AX85" s="472"/>
      <c r="AY85" s="472"/>
      <c r="AZ85" s="472"/>
      <c r="BA85" s="472"/>
      <c r="BB85" s="472"/>
      <c r="BC85" s="472"/>
      <c r="BD85" s="472"/>
      <c r="BE85" s="472"/>
      <c r="BF85" s="472"/>
      <c r="BG85" s="472"/>
      <c r="BH85" s="472"/>
      <c r="BI85" s="472"/>
      <c r="BJ85" s="472"/>
      <c r="BK85" s="472"/>
      <c r="BL85" s="472"/>
      <c r="BM85" s="472"/>
    </row>
    <row r="86" ht="22.5" customHeight="1">
      <c r="A86" s="470" t="s">
        <v>18</v>
      </c>
      <c r="B86" s="470">
        <v>2026.0</v>
      </c>
      <c r="C86" s="492"/>
      <c r="D86" s="492"/>
      <c r="E86" s="491" t="s">
        <v>500</v>
      </c>
      <c r="F86" s="472">
        <v>2.5E7</v>
      </c>
      <c r="G86" s="490"/>
      <c r="H86" s="472">
        <f t="shared" si="2"/>
        <v>25000000</v>
      </c>
      <c r="I86" s="492"/>
      <c r="J86" s="492"/>
      <c r="K86" s="472">
        <f t="shared" si="3"/>
        <v>25000000</v>
      </c>
      <c r="L86" s="472"/>
      <c r="M86" s="472"/>
      <c r="N86" s="472"/>
      <c r="O86" s="472"/>
      <c r="P86" s="472"/>
      <c r="Q86" s="472"/>
      <c r="R86" s="472"/>
      <c r="S86" s="472"/>
      <c r="T86" s="488"/>
      <c r="U86" s="472"/>
      <c r="V86" s="472"/>
      <c r="W86" s="472"/>
      <c r="X86" s="472"/>
      <c r="Y86" s="472"/>
      <c r="Z86" s="472"/>
      <c r="AA86" s="472"/>
      <c r="AB86" s="472"/>
      <c r="AC86" s="472"/>
      <c r="AD86" s="472"/>
      <c r="AE86" s="472"/>
      <c r="AF86" s="472"/>
      <c r="AG86" s="472"/>
      <c r="AH86" s="472"/>
      <c r="AI86" s="472"/>
      <c r="AJ86" s="472"/>
      <c r="AK86" s="472"/>
      <c r="AL86" s="472"/>
      <c r="AM86" s="472"/>
      <c r="AN86" s="472"/>
      <c r="AO86" s="472"/>
      <c r="AP86" s="472"/>
      <c r="AQ86" s="472"/>
      <c r="AR86" s="472"/>
      <c r="AS86" s="472"/>
      <c r="AT86" s="472"/>
      <c r="AU86" s="472"/>
      <c r="AV86" s="472"/>
      <c r="AW86" s="472"/>
      <c r="AX86" s="472"/>
      <c r="AY86" s="472"/>
      <c r="AZ86" s="472"/>
      <c r="BA86" s="472"/>
      <c r="BB86" s="472"/>
      <c r="BC86" s="472"/>
      <c r="BD86" s="472"/>
      <c r="BE86" s="472"/>
      <c r="BF86" s="472"/>
      <c r="BG86" s="472"/>
      <c r="BH86" s="472"/>
      <c r="BI86" s="472"/>
      <c r="BJ86" s="472"/>
      <c r="BK86" s="472"/>
      <c r="BL86" s="472"/>
      <c r="BM86" s="472"/>
    </row>
    <row r="87" ht="22.5" customHeight="1">
      <c r="A87" s="470" t="s">
        <v>18</v>
      </c>
      <c r="B87" s="470">
        <v>2026.0</v>
      </c>
      <c r="C87" s="492"/>
      <c r="D87" s="492"/>
      <c r="E87" s="491" t="s">
        <v>513</v>
      </c>
      <c r="F87" s="472">
        <v>4.5E7</v>
      </c>
      <c r="G87" s="490"/>
      <c r="H87" s="472">
        <f t="shared" si="2"/>
        <v>45000000</v>
      </c>
      <c r="I87" s="492"/>
      <c r="J87" s="492"/>
      <c r="K87" s="472">
        <f t="shared" si="3"/>
        <v>45000000</v>
      </c>
      <c r="L87" s="472"/>
      <c r="M87" s="472"/>
      <c r="N87" s="472"/>
      <c r="O87" s="472"/>
      <c r="P87" s="472"/>
      <c r="Q87" s="472"/>
      <c r="R87" s="472"/>
      <c r="S87" s="472"/>
      <c r="T87" s="488"/>
      <c r="U87" s="472"/>
      <c r="V87" s="472"/>
      <c r="W87" s="472"/>
      <c r="X87" s="472"/>
      <c r="Y87" s="472"/>
      <c r="Z87" s="472"/>
      <c r="AA87" s="472"/>
      <c r="AB87" s="472"/>
      <c r="AC87" s="472"/>
      <c r="AD87" s="472"/>
      <c r="AE87" s="472"/>
      <c r="AF87" s="472"/>
      <c r="AG87" s="472"/>
      <c r="AH87" s="472"/>
      <c r="AI87" s="472"/>
      <c r="AJ87" s="472"/>
      <c r="AK87" s="472"/>
      <c r="AL87" s="472"/>
      <c r="AM87" s="472"/>
      <c r="AN87" s="472"/>
      <c r="AO87" s="472"/>
      <c r="AP87" s="472"/>
      <c r="AQ87" s="472"/>
      <c r="AR87" s="472"/>
      <c r="AS87" s="472"/>
      <c r="AT87" s="472"/>
      <c r="AU87" s="472"/>
      <c r="AV87" s="472"/>
      <c r="AW87" s="472"/>
      <c r="AX87" s="472"/>
      <c r="AY87" s="472"/>
      <c r="AZ87" s="472"/>
      <c r="BA87" s="472"/>
      <c r="BB87" s="472"/>
      <c r="BC87" s="472"/>
      <c r="BD87" s="472"/>
      <c r="BE87" s="472"/>
      <c r="BF87" s="472"/>
      <c r="BG87" s="472"/>
      <c r="BH87" s="472"/>
      <c r="BI87" s="472"/>
      <c r="BJ87" s="472"/>
      <c r="BK87" s="472"/>
      <c r="BL87" s="472"/>
      <c r="BM87" s="472"/>
    </row>
    <row r="88" ht="22.5" customHeight="1">
      <c r="A88" s="470" t="s">
        <v>18</v>
      </c>
      <c r="B88" s="470">
        <v>2026.0</v>
      </c>
      <c r="C88" s="492"/>
      <c r="D88" s="492"/>
      <c r="E88" s="492" t="s">
        <v>520</v>
      </c>
      <c r="F88" s="490">
        <v>1.5E7</v>
      </c>
      <c r="G88" s="490"/>
      <c r="H88" s="472">
        <f t="shared" si="2"/>
        <v>15000000</v>
      </c>
      <c r="I88" s="492"/>
      <c r="J88" s="492"/>
      <c r="K88" s="472">
        <f t="shared" si="3"/>
        <v>15000000</v>
      </c>
      <c r="L88" s="472"/>
      <c r="M88" s="472"/>
      <c r="N88" s="472"/>
      <c r="O88" s="472"/>
      <c r="P88" s="472"/>
      <c r="Q88" s="472"/>
      <c r="R88" s="472"/>
      <c r="S88" s="472"/>
      <c r="T88" s="488"/>
      <c r="U88" s="472"/>
      <c r="V88" s="472"/>
      <c r="W88" s="472"/>
      <c r="X88" s="472"/>
      <c r="Y88" s="472"/>
      <c r="Z88" s="472"/>
      <c r="AA88" s="472"/>
      <c r="AB88" s="472"/>
      <c r="AC88" s="472"/>
      <c r="AD88" s="472"/>
      <c r="AE88" s="472"/>
      <c r="AF88" s="472"/>
      <c r="AG88" s="472"/>
      <c r="AH88" s="472"/>
      <c r="AI88" s="472"/>
      <c r="AJ88" s="472"/>
      <c r="AK88" s="472"/>
      <c r="AL88" s="472"/>
      <c r="AM88" s="472"/>
      <c r="AN88" s="472"/>
      <c r="AO88" s="472"/>
      <c r="AP88" s="472"/>
      <c r="AQ88" s="472"/>
      <c r="AR88" s="472"/>
      <c r="AS88" s="472"/>
      <c r="AT88" s="472"/>
      <c r="AU88" s="472"/>
      <c r="AV88" s="472"/>
      <c r="AW88" s="472"/>
      <c r="AX88" s="472"/>
      <c r="AY88" s="472"/>
      <c r="AZ88" s="472"/>
      <c r="BA88" s="472"/>
      <c r="BB88" s="472"/>
      <c r="BC88" s="472"/>
      <c r="BD88" s="472"/>
      <c r="BE88" s="472"/>
      <c r="BF88" s="472"/>
      <c r="BG88" s="472"/>
      <c r="BH88" s="472"/>
      <c r="BI88" s="472"/>
      <c r="BJ88" s="472"/>
      <c r="BK88" s="472"/>
      <c r="BL88" s="472"/>
      <c r="BM88" s="472"/>
    </row>
    <row r="89" ht="22.5" customHeight="1">
      <c r="A89" s="470" t="s">
        <v>18</v>
      </c>
      <c r="B89" s="470">
        <v>2026.0</v>
      </c>
      <c r="C89" s="492"/>
      <c r="D89" s="492"/>
      <c r="E89" s="492" t="s">
        <v>194</v>
      </c>
      <c r="F89" s="490">
        <f>'Ppto 2026'!Q83</f>
        <v>-72396103</v>
      </c>
      <c r="G89" s="490"/>
      <c r="H89" s="472">
        <f t="shared" si="2"/>
        <v>-72396103</v>
      </c>
      <c r="I89" s="492"/>
      <c r="J89" s="492"/>
      <c r="K89" s="472">
        <f t="shared" si="3"/>
        <v>-72396103</v>
      </c>
      <c r="L89" s="472"/>
      <c r="M89" s="472"/>
      <c r="N89" s="472"/>
      <c r="O89" s="472"/>
      <c r="P89" s="472"/>
      <c r="Q89" s="472"/>
      <c r="R89" s="472"/>
      <c r="S89" s="472"/>
      <c r="T89" s="488"/>
      <c r="U89" s="472"/>
      <c r="V89" s="472"/>
      <c r="W89" s="472"/>
      <c r="X89" s="472"/>
      <c r="Y89" s="472"/>
      <c r="Z89" s="472"/>
      <c r="AA89" s="472"/>
      <c r="AB89" s="472"/>
      <c r="AC89" s="472"/>
      <c r="AD89" s="472"/>
      <c r="AE89" s="472"/>
      <c r="AF89" s="472"/>
      <c r="AG89" s="472"/>
      <c r="AH89" s="472"/>
      <c r="AI89" s="472"/>
      <c r="AJ89" s="472"/>
      <c r="AK89" s="472"/>
      <c r="AL89" s="472"/>
      <c r="AM89" s="472"/>
      <c r="AN89" s="472"/>
      <c r="AO89" s="472"/>
      <c r="AP89" s="472"/>
      <c r="AQ89" s="472"/>
      <c r="AR89" s="472"/>
      <c r="AS89" s="472"/>
      <c r="AT89" s="472"/>
      <c r="AU89" s="472"/>
      <c r="AV89" s="472"/>
      <c r="AW89" s="472"/>
      <c r="AX89" s="472"/>
      <c r="AY89" s="472"/>
      <c r="AZ89" s="472"/>
      <c r="BA89" s="472"/>
      <c r="BB89" s="472"/>
      <c r="BC89" s="472"/>
      <c r="BD89" s="472"/>
      <c r="BE89" s="472"/>
      <c r="BF89" s="472"/>
      <c r="BG89" s="472"/>
      <c r="BH89" s="472"/>
      <c r="BI89" s="472"/>
      <c r="BJ89" s="472"/>
      <c r="BK89" s="472"/>
      <c r="BL89" s="472"/>
      <c r="BM89" s="472"/>
    </row>
    <row r="90">
      <c r="A90" s="493"/>
      <c r="B90" s="493"/>
      <c r="C90" s="493"/>
      <c r="D90" s="493"/>
      <c r="E90" s="493"/>
      <c r="F90" s="493"/>
      <c r="G90" s="493"/>
      <c r="H90" s="493"/>
      <c r="I90" s="493"/>
      <c r="J90" s="493"/>
      <c r="K90" s="493"/>
      <c r="L90" s="493"/>
      <c r="M90" s="493"/>
      <c r="N90" s="493"/>
      <c r="O90" s="493"/>
      <c r="P90" s="493"/>
      <c r="Q90" s="493"/>
      <c r="R90" s="493"/>
      <c r="S90" s="493"/>
      <c r="T90" s="493"/>
      <c r="U90" s="493"/>
      <c r="V90" s="493"/>
      <c r="W90" s="493"/>
      <c r="X90" s="493"/>
      <c r="Y90" s="493"/>
      <c r="Z90" s="493"/>
      <c r="AA90" s="493"/>
      <c r="AB90" s="493"/>
      <c r="AC90" s="493"/>
      <c r="AD90" s="493"/>
      <c r="AE90" s="493"/>
      <c r="AF90" s="493"/>
      <c r="AG90" s="493"/>
      <c r="AH90" s="493"/>
      <c r="AI90" s="493"/>
      <c r="AJ90" s="493"/>
      <c r="AK90" s="493"/>
      <c r="AL90" s="493"/>
      <c r="AM90" s="493"/>
      <c r="AN90" s="493"/>
      <c r="AO90" s="493"/>
      <c r="AP90" s="493"/>
      <c r="AQ90" s="493"/>
      <c r="AR90" s="493"/>
      <c r="AS90" s="493"/>
      <c r="AT90" s="493"/>
      <c r="AU90" s="493"/>
      <c r="AV90" s="493"/>
      <c r="AW90" s="493"/>
      <c r="AX90" s="493"/>
      <c r="AY90" s="493"/>
      <c r="AZ90" s="493"/>
      <c r="BA90" s="493"/>
      <c r="BB90" s="493"/>
      <c r="BC90" s="493"/>
      <c r="BD90" s="493"/>
      <c r="BE90" s="493"/>
      <c r="BF90" s="493"/>
      <c r="BG90" s="493"/>
      <c r="BH90" s="493"/>
      <c r="BI90" s="493"/>
      <c r="BJ90" s="493"/>
      <c r="BK90" s="493"/>
      <c r="BL90" s="493"/>
      <c r="BM90" s="493"/>
    </row>
  </sheetData>
  <dataValidations>
    <dataValidation type="list" allowBlank="1" sqref="I5:I9 I33:I41 I73:I89">
      <formula1>Datos!$Q$3:$Q$157</formula1>
    </dataValidation>
    <dataValidation type="list" allowBlank="1" sqref="J5:J9 J33:J41 J73:J89">
      <formula1>Datos!$I$3:$I$14</formula1>
    </dataValidation>
  </dataValidations>
  <drawing r:id="rId4"/>
  <legacyDrawing r:id="rId5"/>
  <tableParts count="1">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2.0" topLeftCell="A13" activePane="bottomLeft" state="frozen"/>
      <selection activeCell="B14" sqref="B14" pane="bottomLeft"/>
    </sheetView>
  </sheetViews>
  <sheetFormatPr customHeight="1" defaultColWidth="14.43" defaultRowHeight="15.0"/>
  <cols>
    <col customWidth="1" min="1" max="1" width="5.86"/>
    <col customWidth="1" min="2" max="2" width="17.29"/>
    <col customWidth="1" hidden="1" min="3" max="3" width="16.57"/>
    <col customWidth="1" min="4" max="4" width="38.0"/>
    <col customWidth="1" min="5" max="5" width="8.29"/>
    <col customWidth="1" min="6" max="6" width="97.86"/>
    <col customWidth="1" min="7" max="7" width="23.57"/>
    <col customWidth="1" min="8" max="8" width="11.43"/>
    <col customWidth="1" min="9" max="9" width="13.86"/>
    <col customWidth="1" min="10" max="10" width="13.71"/>
    <col customWidth="1" hidden="1" min="11" max="13" width="14.14"/>
    <col customWidth="1" hidden="1" min="14" max="14" width="18.71"/>
    <col customWidth="1" min="15" max="15" width="19.57"/>
    <col customWidth="1" min="16" max="16" width="18.71"/>
    <col customWidth="1" min="17" max="17" width="17.57"/>
    <col customWidth="1" min="18" max="18" width="16.43"/>
    <col customWidth="1" min="19" max="19" width="8.0"/>
    <col customWidth="1" min="20" max="20" width="16.29"/>
    <col customWidth="1" min="21" max="21" width="100.0"/>
    <col customWidth="1" min="22" max="22" width="14.86"/>
    <col customWidth="1" min="24" max="24" width="16.14"/>
    <col customWidth="1" min="28" max="28" width="16.14"/>
    <col customWidth="1" min="29" max="29" width="4.0"/>
    <col customWidth="1" min="30" max="30" width="14.86"/>
    <col customWidth="1" min="31" max="31" width="3.43"/>
  </cols>
  <sheetData>
    <row r="1" ht="18.75" customHeight="1">
      <c r="A1" s="8"/>
      <c r="B1" s="9"/>
      <c r="C1" s="10" t="s">
        <v>0</v>
      </c>
      <c r="D1" s="11"/>
      <c r="E1" s="11"/>
      <c r="F1" s="12"/>
      <c r="G1" s="13" t="s">
        <v>1</v>
      </c>
      <c r="H1" s="14"/>
      <c r="I1" s="14"/>
      <c r="J1" s="14"/>
      <c r="K1" s="14"/>
      <c r="L1" s="14"/>
      <c r="M1" s="14"/>
      <c r="N1" s="14"/>
      <c r="O1" s="14"/>
      <c r="P1" s="17">
        <f>P3-P2</f>
        <v>-27596683</v>
      </c>
      <c r="Q1" s="14"/>
      <c r="R1" s="18"/>
      <c r="S1" s="18"/>
      <c r="T1" s="17">
        <f>T2-T3</f>
        <v>296639056</v>
      </c>
      <c r="U1" s="20"/>
      <c r="V1" s="14"/>
      <c r="W1" s="14"/>
      <c r="X1" s="14"/>
      <c r="Y1" s="14"/>
      <c r="AB1" s="14"/>
      <c r="AC1" s="14"/>
      <c r="AD1" s="14"/>
      <c r="AE1" s="14">
        <f>AE2+AE3+AE4+AE5+AE6+AE7+AE8+AE9+AE11+AE13+AE14</f>
        <v>23</v>
      </c>
      <c r="AF1" s="14"/>
      <c r="AG1" s="14"/>
      <c r="AH1" s="14"/>
      <c r="AI1" s="14"/>
      <c r="AJ1" s="14"/>
      <c r="AK1" s="14"/>
      <c r="AL1" s="14"/>
    </row>
    <row r="2" ht="18.75" customHeight="1">
      <c r="A2" s="26"/>
      <c r="B2" s="27"/>
      <c r="C2" s="29" t="s">
        <v>37</v>
      </c>
      <c r="D2" s="31"/>
      <c r="E2" s="31"/>
      <c r="F2" s="9"/>
      <c r="G2" s="32"/>
      <c r="H2" s="14"/>
      <c r="I2" s="14"/>
      <c r="J2" s="14"/>
      <c r="K2" s="14"/>
      <c r="L2" s="14"/>
      <c r="M2" s="14"/>
      <c r="N2" s="14"/>
      <c r="O2" s="33" t="s">
        <v>57</v>
      </c>
      <c r="P2" s="36">
        <f>Resumen!C5+Resumen!C3+Resumen!C2</f>
        <v>3459335530</v>
      </c>
      <c r="Q2" s="37"/>
      <c r="R2" s="39"/>
      <c r="S2" s="41"/>
      <c r="T2" s="42">
        <v>3.728377903E9</v>
      </c>
      <c r="V2" s="33"/>
      <c r="W2" s="44" t="s">
        <v>69</v>
      </c>
      <c r="X2" s="14"/>
      <c r="Y2" s="44" t="s">
        <v>71</v>
      </c>
      <c r="Z2" s="14"/>
      <c r="AA2" s="44" t="s">
        <v>72</v>
      </c>
      <c r="AB2" s="46"/>
      <c r="AC2" s="33"/>
      <c r="AD2" s="47" t="s">
        <v>74</v>
      </c>
      <c r="AE2" s="14">
        <f t="shared" ref="AE2:AE14" si="1">COUNTIFS(B:B,AD2,J:J,$W$3)</f>
        <v>4</v>
      </c>
      <c r="AG2" s="14"/>
      <c r="AH2" s="14"/>
      <c r="AI2" s="14"/>
      <c r="AJ2" s="14"/>
      <c r="AK2" s="14"/>
      <c r="AL2" s="14"/>
    </row>
    <row r="3" ht="18.75" customHeight="1">
      <c r="A3" s="48"/>
      <c r="B3" s="49"/>
      <c r="C3" s="48"/>
      <c r="D3" s="50"/>
      <c r="E3" s="50"/>
      <c r="F3" s="49"/>
      <c r="G3" s="51"/>
      <c r="H3" s="14"/>
      <c r="I3" s="14"/>
      <c r="J3" s="52"/>
      <c r="K3" s="14"/>
      <c r="L3" s="52"/>
      <c r="M3" s="14"/>
      <c r="N3" s="14"/>
      <c r="O3" s="54">
        <v>1.0</v>
      </c>
      <c r="P3" s="56">
        <f t="shared" ref="P3:P5" si="2">X3+Z3+AB3</f>
        <v>3431738847</v>
      </c>
      <c r="Q3" s="56"/>
      <c r="R3" s="39">
        <f>SUM(R10:R84)</f>
        <v>67596683</v>
      </c>
      <c r="S3" s="59"/>
      <c r="T3" s="61">
        <f t="shared" ref="T3:T5" si="3">X3+Z3+AB3</f>
        <v>3431738847</v>
      </c>
      <c r="W3" s="62">
        <v>1.0</v>
      </c>
      <c r="X3" s="17">
        <f>SUMIFS(Continuidad_de_obras_2026[Ppto 2026],Continuidad_de_obras_2026[Prioridad],W3)</f>
        <v>2636383670</v>
      </c>
      <c r="Y3" s="62">
        <v>1.0</v>
      </c>
      <c r="Z3" s="17">
        <f>SUMIFS(_Obras_2026[Ppto 2026],_Obras_2026[Prioridad],Y3)</f>
        <v>80000000</v>
      </c>
      <c r="AA3" s="62">
        <v>1.0</v>
      </c>
      <c r="AB3" s="17">
        <f>SUMIFS(Remodelaciones_2026[Ppto 2026],Remodelaciones_2026[Prioridad],AA3)</f>
        <v>715355177</v>
      </c>
      <c r="AD3" s="47" t="s">
        <v>101</v>
      </c>
      <c r="AE3" s="14">
        <f t="shared" si="1"/>
        <v>1</v>
      </c>
      <c r="AG3" s="14"/>
      <c r="AH3" s="14"/>
      <c r="AI3" s="14"/>
      <c r="AJ3" s="14"/>
      <c r="AK3" s="14"/>
      <c r="AL3" s="14"/>
    </row>
    <row r="4">
      <c r="A4" s="52"/>
      <c r="B4" s="14"/>
      <c r="C4" s="14"/>
      <c r="D4" s="14"/>
      <c r="E4" s="14"/>
      <c r="F4" s="14"/>
      <c r="G4" s="14"/>
      <c r="H4" s="14"/>
      <c r="I4" s="14"/>
      <c r="J4" s="14"/>
      <c r="K4" s="14"/>
      <c r="L4" s="14"/>
      <c r="M4" s="14"/>
      <c r="N4" s="14"/>
      <c r="O4" s="66">
        <v>2.0</v>
      </c>
      <c r="P4" s="17">
        <f t="shared" si="2"/>
        <v>3467510200</v>
      </c>
      <c r="Q4" s="14"/>
      <c r="R4" s="68"/>
      <c r="S4" s="68"/>
      <c r="T4" s="55">
        <f t="shared" si="3"/>
        <v>3467510200</v>
      </c>
      <c r="W4" s="66">
        <v>2.0</v>
      </c>
      <c r="X4" s="17">
        <f>SUMIFS(Continuidad_de_obras_2026[Ppto 2026],Continuidad_de_obras_2026[Prioridad],W4)</f>
        <v>360000000</v>
      </c>
      <c r="Y4" s="66">
        <v>2.0</v>
      </c>
      <c r="Z4" s="17">
        <f>SUMIFS(_Obras_2026[Ppto 2026],_Obras_2026[Prioridad],Y4)</f>
        <v>751500000</v>
      </c>
      <c r="AA4" s="66">
        <v>2.0</v>
      </c>
      <c r="AB4" s="17">
        <f>SUMIFS(Remodelaciones_2026[Ppto 2026],Remodelaciones_2026[Prioridad],AA4)</f>
        <v>2356010200</v>
      </c>
      <c r="AD4" s="47" t="s">
        <v>117</v>
      </c>
      <c r="AE4" s="14">
        <f t="shared" si="1"/>
        <v>5</v>
      </c>
      <c r="AG4" s="14"/>
      <c r="AH4" s="14"/>
      <c r="AI4" s="14"/>
      <c r="AJ4" s="14"/>
      <c r="AK4" s="14"/>
      <c r="AL4" s="14"/>
    </row>
    <row r="5">
      <c r="A5" s="73"/>
      <c r="B5" s="52"/>
      <c r="C5" s="75"/>
      <c r="D5" s="75"/>
      <c r="E5" s="75"/>
      <c r="F5" s="75"/>
      <c r="G5" s="75"/>
      <c r="H5" s="52"/>
      <c r="I5" s="52"/>
      <c r="J5" s="14"/>
      <c r="K5" s="14"/>
      <c r="L5" s="14"/>
      <c r="M5" s="14"/>
      <c r="N5" s="14"/>
      <c r="O5" s="76">
        <v>3.0</v>
      </c>
      <c r="P5" s="17">
        <f t="shared" si="2"/>
        <v>110000000</v>
      </c>
      <c r="Q5" s="14"/>
      <c r="R5" s="68"/>
      <c r="S5" s="68"/>
      <c r="T5" s="55">
        <f t="shared" si="3"/>
        <v>110000000</v>
      </c>
      <c r="W5" s="76">
        <v>3.0</v>
      </c>
      <c r="X5" s="17">
        <f>SUMIFS(Continuidad_de_obras_2026[Ppto 2026],Continuidad_de_obras_2026[Prioridad],W5)</f>
        <v>0</v>
      </c>
      <c r="Y5" s="76">
        <v>3.0</v>
      </c>
      <c r="Z5" s="17">
        <f>SUMIFS(_Obras_2026[Ppto 2026],_Obras_2026[Prioridad],Y5)</f>
        <v>0</v>
      </c>
      <c r="AA5" s="76">
        <v>3.0</v>
      </c>
      <c r="AB5" s="17">
        <f>SUMIFS(Remodelaciones_2026[Ppto 2026],Remodelaciones_2026[Prioridad],AA5)</f>
        <v>110000000</v>
      </c>
      <c r="AD5" s="47" t="s">
        <v>135</v>
      </c>
      <c r="AE5" s="14">
        <f t="shared" si="1"/>
        <v>4</v>
      </c>
      <c r="AG5" s="14"/>
      <c r="AH5" s="14"/>
      <c r="AI5" s="14"/>
      <c r="AJ5" s="14"/>
      <c r="AK5" s="14"/>
      <c r="AL5" s="14"/>
    </row>
    <row r="6">
      <c r="A6" s="14"/>
      <c r="B6" s="14"/>
      <c r="C6" s="14"/>
      <c r="D6" s="14"/>
      <c r="E6" s="14"/>
      <c r="F6" s="14"/>
      <c r="G6" s="14"/>
      <c r="H6" s="14"/>
      <c r="I6" s="14"/>
      <c r="J6" s="14"/>
      <c r="K6" s="14"/>
      <c r="L6" s="14"/>
      <c r="M6" s="14"/>
      <c r="N6" s="14"/>
      <c r="O6" s="14"/>
      <c r="P6" s="14"/>
      <c r="Q6" s="14"/>
      <c r="R6" s="88"/>
      <c r="S6" s="88"/>
      <c r="T6" s="89">
        <f>O8+O20+O34</f>
        <v>7009249047</v>
      </c>
      <c r="U6" s="20"/>
      <c r="V6" s="14"/>
      <c r="W6" s="14"/>
      <c r="X6" s="14"/>
      <c r="Y6" s="14"/>
      <c r="AD6" s="47" t="s">
        <v>139</v>
      </c>
      <c r="AE6" s="14">
        <f t="shared" si="1"/>
        <v>0</v>
      </c>
      <c r="AG6" s="14"/>
      <c r="AH6" s="14"/>
      <c r="AI6" s="14"/>
      <c r="AJ6" s="14"/>
      <c r="AK6" s="14"/>
      <c r="AL6" s="14"/>
    </row>
    <row r="7">
      <c r="A7" s="14"/>
      <c r="B7" s="14"/>
      <c r="C7" s="14"/>
      <c r="D7" s="14"/>
      <c r="E7" s="14"/>
      <c r="F7" s="14"/>
      <c r="G7" s="14"/>
      <c r="H7" s="52"/>
      <c r="I7" s="52"/>
      <c r="J7" s="17"/>
      <c r="K7" s="14"/>
      <c r="L7" s="14"/>
      <c r="M7" s="14"/>
      <c r="N7" s="14"/>
      <c r="O7" s="91">
        <f>O8+O20+O34</f>
        <v>7009249047</v>
      </c>
      <c r="P7" s="14"/>
      <c r="Q7" s="14"/>
      <c r="R7" s="18"/>
      <c r="S7" s="18"/>
      <c r="T7" s="93"/>
      <c r="U7" s="94"/>
      <c r="V7" s="96"/>
      <c r="W7" s="14"/>
      <c r="X7" s="14"/>
      <c r="Y7" s="14"/>
      <c r="AD7" s="47" t="s">
        <v>142</v>
      </c>
      <c r="AE7" s="14">
        <f t="shared" si="1"/>
        <v>4</v>
      </c>
      <c r="AG7" s="14"/>
      <c r="AH7" s="14"/>
      <c r="AI7" s="14"/>
      <c r="AJ7" s="14"/>
      <c r="AK7" s="14"/>
      <c r="AL7" s="14"/>
    </row>
    <row r="8">
      <c r="A8" s="97"/>
      <c r="B8" s="97"/>
      <c r="C8" s="97"/>
      <c r="D8" s="97"/>
      <c r="E8" s="94"/>
      <c r="F8" s="97"/>
      <c r="G8" s="94"/>
      <c r="H8" s="97"/>
      <c r="I8" s="97"/>
      <c r="J8" s="97"/>
      <c r="K8" s="97"/>
      <c r="L8" s="97"/>
      <c r="M8" s="97"/>
      <c r="N8" s="97"/>
      <c r="O8" s="100">
        <f>SUM(Continuidad_de_obras_2026[Ppto 2026])</f>
        <v>2996383670</v>
      </c>
      <c r="P8" s="94"/>
      <c r="Q8" s="97"/>
      <c r="R8" s="101"/>
      <c r="S8" s="101"/>
      <c r="V8" s="14"/>
      <c r="Y8" s="14"/>
      <c r="AD8" s="47" t="s">
        <v>144</v>
      </c>
      <c r="AE8" s="14">
        <f t="shared" si="1"/>
        <v>3</v>
      </c>
      <c r="AG8" s="14"/>
      <c r="AH8" s="14"/>
      <c r="AI8" s="14"/>
      <c r="AJ8" s="14"/>
      <c r="AK8" s="14"/>
      <c r="AL8" s="14"/>
    </row>
    <row r="9" ht="22.5" customHeight="1">
      <c r="A9" s="103" t="s">
        <v>146</v>
      </c>
      <c r="B9" s="103" t="s">
        <v>148</v>
      </c>
      <c r="C9" s="103" t="s">
        <v>150</v>
      </c>
      <c r="D9" s="103" t="s">
        <v>2</v>
      </c>
      <c r="E9" s="106" t="s">
        <v>152</v>
      </c>
      <c r="F9" s="103" t="s">
        <v>153</v>
      </c>
      <c r="G9" s="108" t="s">
        <v>154</v>
      </c>
      <c r="H9" s="103" t="s">
        <v>155</v>
      </c>
      <c r="I9" s="103" t="s">
        <v>156</v>
      </c>
      <c r="J9" s="103" t="s">
        <v>157</v>
      </c>
      <c r="K9" s="103" t="s">
        <v>158</v>
      </c>
      <c r="L9" s="103" t="s">
        <v>160</v>
      </c>
      <c r="M9" s="103" t="s">
        <v>162</v>
      </c>
      <c r="N9" s="103" t="s">
        <v>163</v>
      </c>
      <c r="O9" s="103" t="s">
        <v>164</v>
      </c>
      <c r="P9" s="108" t="s">
        <v>165</v>
      </c>
      <c r="Q9" s="103" t="s">
        <v>82</v>
      </c>
      <c r="R9" s="111" t="s">
        <v>166</v>
      </c>
      <c r="S9" s="111" t="s">
        <v>167</v>
      </c>
      <c r="T9" s="108" t="s">
        <v>168</v>
      </c>
      <c r="U9" s="112" t="s">
        <v>169</v>
      </c>
      <c r="V9" s="14"/>
      <c r="Y9" s="14"/>
      <c r="AD9" s="47" t="s">
        <v>170</v>
      </c>
      <c r="AE9" s="14">
        <f t="shared" si="1"/>
        <v>0</v>
      </c>
      <c r="AG9" s="14"/>
      <c r="AH9" s="14"/>
      <c r="AI9" s="14"/>
      <c r="AJ9" s="14"/>
      <c r="AK9" s="14"/>
      <c r="AL9" s="14"/>
    </row>
    <row r="10" ht="22.5" customHeight="1">
      <c r="A10" s="114"/>
      <c r="B10" s="115" t="s">
        <v>135</v>
      </c>
      <c r="C10" s="116"/>
      <c r="D10" s="117"/>
      <c r="E10" s="115" t="s">
        <v>174</v>
      </c>
      <c r="F10" s="118" t="s">
        <v>175</v>
      </c>
      <c r="G10" s="119"/>
      <c r="H10" s="120"/>
      <c r="I10" s="121"/>
      <c r="J10" s="122">
        <v>2.0</v>
      </c>
      <c r="K10" s="123"/>
      <c r="L10" s="124"/>
      <c r="M10" s="124"/>
      <c r="N10" s="124"/>
      <c r="O10" s="124">
        <f>25000000+5000000</f>
        <v>30000000</v>
      </c>
      <c r="P10" s="124"/>
      <c r="Q10" s="124"/>
      <c r="R10" s="125"/>
      <c r="S10" s="126"/>
      <c r="T10" s="127"/>
      <c r="U10" s="128" t="s">
        <v>179</v>
      </c>
      <c r="V10" s="14"/>
      <c r="Y10" s="14"/>
      <c r="AD10" s="129" t="s">
        <v>117</v>
      </c>
      <c r="AE10" s="14">
        <f t="shared" si="1"/>
        <v>5</v>
      </c>
      <c r="AG10" s="14"/>
      <c r="AH10" s="14"/>
      <c r="AI10" s="14"/>
      <c r="AJ10" s="14"/>
      <c r="AK10" s="14"/>
      <c r="AL10" s="14"/>
    </row>
    <row r="11" ht="22.5" customHeight="1">
      <c r="A11" s="114"/>
      <c r="B11" s="115" t="s">
        <v>142</v>
      </c>
      <c r="C11" s="115" t="s">
        <v>189</v>
      </c>
      <c r="D11" s="130" t="s">
        <v>75</v>
      </c>
      <c r="E11" s="115" t="s">
        <v>192</v>
      </c>
      <c r="F11" s="131" t="s">
        <v>141</v>
      </c>
      <c r="G11" s="133" t="s">
        <v>195</v>
      </c>
      <c r="H11" s="134"/>
      <c r="I11" s="136">
        <v>46054.0</v>
      </c>
      <c r="J11" s="122">
        <v>1.0</v>
      </c>
      <c r="K11" s="123"/>
      <c r="L11" s="123"/>
      <c r="M11" s="123"/>
      <c r="N11" s="123"/>
      <c r="O11" s="138">
        <f>1568182758+73000000</f>
        <v>1641182758</v>
      </c>
      <c r="P11" s="124">
        <f>SUMIFS('Base datos 2026'!J:J,'Base datos 2026'!A:A,D11,'Base datos 2026'!B:B,F11)+'Ingeniería'!N23+'Ingeniería'!N24+'Ingeniería'!N25</f>
        <v>1577697306</v>
      </c>
      <c r="Q11" s="124">
        <f>O11-P11</f>
        <v>63485452</v>
      </c>
      <c r="R11" s="125"/>
      <c r="S11" s="126">
        <f>P11/O11</f>
        <v>0.9613172563</v>
      </c>
      <c r="T11" s="127"/>
      <c r="U11" s="128" t="s">
        <v>206</v>
      </c>
      <c r="V11" s="14"/>
      <c r="Y11" s="14"/>
      <c r="AD11" s="47" t="s">
        <v>207</v>
      </c>
      <c r="AE11" s="14">
        <f t="shared" si="1"/>
        <v>1</v>
      </c>
      <c r="AG11" s="14"/>
      <c r="AH11" s="14"/>
      <c r="AI11" s="14"/>
      <c r="AJ11" s="14"/>
      <c r="AK11" s="14"/>
      <c r="AL11" s="14"/>
    </row>
    <row r="12" ht="22.5" customHeight="1">
      <c r="A12" s="114"/>
      <c r="B12" s="115" t="s">
        <v>74</v>
      </c>
      <c r="C12" s="116"/>
      <c r="D12" s="144"/>
      <c r="E12" s="115" t="s">
        <v>208</v>
      </c>
      <c r="F12" s="145" t="s">
        <v>209</v>
      </c>
      <c r="G12" s="119"/>
      <c r="H12" s="120"/>
      <c r="I12" s="146"/>
      <c r="J12" s="147">
        <v>3.0</v>
      </c>
      <c r="K12" s="124"/>
      <c r="L12" s="124"/>
      <c r="M12" s="124"/>
      <c r="N12" s="124"/>
      <c r="O12" s="123"/>
      <c r="P12" s="124"/>
      <c r="Q12" s="124"/>
      <c r="R12" s="125"/>
      <c r="S12" s="126"/>
      <c r="T12" s="127"/>
      <c r="U12" s="128"/>
      <c r="V12" s="14"/>
      <c r="W12" s="14"/>
      <c r="X12" s="14"/>
      <c r="Y12" s="14"/>
      <c r="AD12" s="148" t="s">
        <v>147</v>
      </c>
      <c r="AE12" s="14">
        <f t="shared" si="1"/>
        <v>0</v>
      </c>
      <c r="AG12" s="14"/>
      <c r="AH12" s="14"/>
      <c r="AI12" s="14"/>
      <c r="AJ12" s="14"/>
      <c r="AK12" s="14"/>
      <c r="AL12" s="14"/>
    </row>
    <row r="13" ht="22.5" customHeight="1">
      <c r="A13" s="114"/>
      <c r="B13" s="115" t="s">
        <v>142</v>
      </c>
      <c r="C13" s="115" t="s">
        <v>189</v>
      </c>
      <c r="D13" s="90" t="s">
        <v>98</v>
      </c>
      <c r="E13" s="115" t="s">
        <v>192</v>
      </c>
      <c r="F13" s="149" t="s">
        <v>210</v>
      </c>
      <c r="G13" s="150" t="s">
        <v>195</v>
      </c>
      <c r="H13" s="151">
        <v>46023.0</v>
      </c>
      <c r="I13" s="136">
        <v>46266.0</v>
      </c>
      <c r="J13" s="150">
        <v>1.0</v>
      </c>
      <c r="K13" s="152"/>
      <c r="L13" s="152"/>
      <c r="M13" s="152"/>
      <c r="N13" s="152"/>
      <c r="O13" s="152">
        <f>855200912+40000000</f>
        <v>895200912</v>
      </c>
      <c r="P13" s="124">
        <f>SUMIFS('Base datos 2026'!J:J,'Base datos 2026'!A:A,D13,'Base datos 2026'!B:B,F13)</f>
        <v>859639867</v>
      </c>
      <c r="Q13" s="124">
        <f t="shared" ref="Q13:Q14" si="4">O13-P13</f>
        <v>35561045</v>
      </c>
      <c r="R13" s="125"/>
      <c r="S13" s="126">
        <f t="shared" ref="S13:S16" si="5">P13/O13</f>
        <v>0.9602759062</v>
      </c>
      <c r="T13" s="134">
        <v>470.0</v>
      </c>
      <c r="U13" s="159" t="s">
        <v>215</v>
      </c>
      <c r="V13" s="14"/>
      <c r="W13" s="160">
        <f>(855200912)/T13/X13</f>
        <v>45.77878939</v>
      </c>
      <c r="X13" s="33">
        <v>39747.15</v>
      </c>
      <c r="Y13" s="33" t="s">
        <v>216</v>
      </c>
      <c r="AD13" s="148" t="s">
        <v>189</v>
      </c>
      <c r="AE13" s="14">
        <f t="shared" si="1"/>
        <v>1</v>
      </c>
      <c r="AG13" s="14"/>
      <c r="AH13" s="14"/>
      <c r="AI13" s="14"/>
      <c r="AJ13" s="14"/>
      <c r="AK13" s="14"/>
      <c r="AL13" s="14"/>
    </row>
    <row r="14" ht="22.5" customHeight="1">
      <c r="A14" s="114"/>
      <c r="B14" s="115" t="s">
        <v>142</v>
      </c>
      <c r="C14" s="116"/>
      <c r="D14" s="162" t="s">
        <v>98</v>
      </c>
      <c r="E14" s="115" t="s">
        <v>192</v>
      </c>
      <c r="F14" s="149" t="s">
        <v>217</v>
      </c>
      <c r="G14" s="163"/>
      <c r="H14" s="151">
        <v>46235.0</v>
      </c>
      <c r="I14" s="136">
        <v>46296.0</v>
      </c>
      <c r="J14" s="150">
        <v>1.0</v>
      </c>
      <c r="K14" s="152"/>
      <c r="L14" s="152"/>
      <c r="M14" s="152"/>
      <c r="N14" s="152"/>
      <c r="O14" s="164">
        <v>1.0E8</v>
      </c>
      <c r="P14" s="124">
        <f>SUMIFS('Base datos 2026'!J:J,'Base datos 2026'!A:A,D14,'Base datos 2026'!B:B,F14)</f>
        <v>98069090</v>
      </c>
      <c r="Q14" s="124">
        <f t="shared" si="4"/>
        <v>1930910</v>
      </c>
      <c r="R14" s="125"/>
      <c r="S14" s="126">
        <f t="shared" si="5"/>
        <v>0.9806909</v>
      </c>
      <c r="T14" s="134"/>
      <c r="U14" s="159" t="s">
        <v>218</v>
      </c>
      <c r="V14" s="14"/>
      <c r="Y14" s="14"/>
      <c r="Z14" s="14"/>
      <c r="AA14" s="14"/>
      <c r="AD14" s="148" t="s">
        <v>147</v>
      </c>
      <c r="AE14" s="14">
        <f t="shared" si="1"/>
        <v>0</v>
      </c>
      <c r="AG14" s="14"/>
      <c r="AH14" s="14"/>
      <c r="AI14" s="14"/>
      <c r="AJ14" s="14"/>
      <c r="AK14" s="14"/>
      <c r="AL14" s="14"/>
    </row>
    <row r="15" ht="21.75" customHeight="1">
      <c r="A15" s="114"/>
      <c r="B15" s="115" t="s">
        <v>135</v>
      </c>
      <c r="C15" s="116"/>
      <c r="D15" s="165"/>
      <c r="E15" s="115" t="s">
        <v>221</v>
      </c>
      <c r="F15" s="149" t="s">
        <v>223</v>
      </c>
      <c r="G15" s="163"/>
      <c r="H15" s="120"/>
      <c r="I15" s="166"/>
      <c r="J15" s="150">
        <v>2.0</v>
      </c>
      <c r="K15" s="152"/>
      <c r="L15" s="152"/>
      <c r="M15" s="152"/>
      <c r="N15" s="152"/>
      <c r="O15" s="164">
        <f>20000000+40000000</f>
        <v>60000000</v>
      </c>
      <c r="P15" s="124"/>
      <c r="Q15" s="124"/>
      <c r="R15" s="125"/>
      <c r="S15" s="126">
        <f t="shared" si="5"/>
        <v>0</v>
      </c>
      <c r="T15" s="127"/>
      <c r="U15" s="159" t="s">
        <v>226</v>
      </c>
      <c r="V15" s="46"/>
      <c r="Y15" s="46"/>
      <c r="Z15" s="46"/>
      <c r="AA15" s="46"/>
      <c r="AE15" s="14"/>
      <c r="AF15" s="14"/>
      <c r="AG15" s="46"/>
      <c r="AH15" s="46"/>
      <c r="AI15" s="46"/>
      <c r="AJ15" s="46"/>
      <c r="AK15" s="46"/>
      <c r="AL15" s="46"/>
      <c r="AM15" s="46"/>
      <c r="AN15" s="46"/>
    </row>
    <row r="16" ht="22.5" customHeight="1">
      <c r="A16" s="167"/>
      <c r="B16" s="115" t="s">
        <v>74</v>
      </c>
      <c r="C16" s="168"/>
      <c r="D16" s="169"/>
      <c r="E16" s="115" t="s">
        <v>227</v>
      </c>
      <c r="F16" s="149" t="s">
        <v>228</v>
      </c>
      <c r="G16" s="168"/>
      <c r="H16" s="170"/>
      <c r="I16" s="171"/>
      <c r="J16" s="172">
        <v>2.0</v>
      </c>
      <c r="K16" s="173"/>
      <c r="L16" s="173"/>
      <c r="M16" s="173"/>
      <c r="N16" s="174"/>
      <c r="O16" s="164">
        <v>2.7E8</v>
      </c>
      <c r="P16" s="175"/>
      <c r="Q16" s="175"/>
      <c r="R16" s="125"/>
      <c r="S16" s="126">
        <f t="shared" si="5"/>
        <v>0</v>
      </c>
      <c r="T16" s="176"/>
      <c r="U16" s="128" t="s">
        <v>229</v>
      </c>
      <c r="V16" s="14"/>
      <c r="Y16" s="14"/>
      <c r="Z16" s="14"/>
      <c r="AA16" s="14"/>
      <c r="AB16" s="14"/>
      <c r="AE16" s="14"/>
      <c r="AF16" s="14"/>
      <c r="AG16" s="14"/>
      <c r="AH16" s="14"/>
      <c r="AI16" s="14"/>
      <c r="AJ16" s="14"/>
      <c r="AK16" s="14"/>
      <c r="AL16" s="14"/>
      <c r="AM16" s="14"/>
      <c r="AN16" s="14"/>
    </row>
    <row r="17">
      <c r="A17" s="14"/>
      <c r="B17" s="14"/>
      <c r="C17" s="14"/>
      <c r="D17" s="14"/>
      <c r="E17" s="14"/>
      <c r="F17" s="14"/>
      <c r="G17" s="14"/>
      <c r="H17" s="14"/>
      <c r="I17" s="14"/>
      <c r="J17" s="14"/>
      <c r="K17" s="14"/>
      <c r="L17" s="14"/>
      <c r="M17" s="14"/>
      <c r="N17" s="14"/>
      <c r="O17" s="14"/>
      <c r="P17" s="14"/>
      <c r="Q17" s="14"/>
      <c r="R17" s="18"/>
      <c r="S17" s="18"/>
      <c r="T17" s="93"/>
      <c r="U17" s="20"/>
      <c r="V17" s="14"/>
      <c r="Y17" s="14"/>
      <c r="Z17" s="14"/>
      <c r="AA17" s="14"/>
      <c r="AB17" s="14"/>
      <c r="AC17" s="14"/>
      <c r="AD17" s="14"/>
      <c r="AE17" s="14"/>
      <c r="AF17" s="14"/>
      <c r="AG17" s="14"/>
      <c r="AH17" s="14"/>
      <c r="AI17" s="14"/>
      <c r="AJ17" s="14"/>
      <c r="AK17" s="14"/>
      <c r="AL17" s="14"/>
      <c r="AM17" s="14"/>
      <c r="AN17" s="14"/>
    </row>
    <row r="18">
      <c r="A18" s="14"/>
      <c r="B18" s="14"/>
      <c r="C18" s="14"/>
      <c r="D18" s="14"/>
      <c r="E18" s="14"/>
      <c r="F18" s="14"/>
      <c r="G18" s="14"/>
      <c r="H18" s="14"/>
      <c r="I18" s="14"/>
      <c r="J18" s="14"/>
      <c r="K18" s="14"/>
      <c r="L18" s="14"/>
      <c r="M18" s="14"/>
      <c r="N18" s="14"/>
      <c r="O18" s="14"/>
      <c r="P18" s="14"/>
      <c r="Q18" s="14"/>
      <c r="R18" s="18"/>
      <c r="S18" s="18"/>
      <c r="T18" s="93"/>
      <c r="U18" s="20"/>
      <c r="V18" s="14"/>
      <c r="Y18" s="14"/>
      <c r="Z18" s="14"/>
      <c r="AA18" s="14"/>
      <c r="AB18" s="14"/>
      <c r="AC18" s="14"/>
      <c r="AD18" s="14"/>
      <c r="AE18" s="14"/>
      <c r="AF18" s="14"/>
      <c r="AG18" s="14"/>
      <c r="AH18" s="14"/>
      <c r="AI18" s="14"/>
      <c r="AJ18" s="14"/>
      <c r="AK18" s="14"/>
      <c r="AL18" s="14"/>
      <c r="AM18" s="14"/>
      <c r="AN18" s="14"/>
    </row>
    <row r="19">
      <c r="A19" s="33"/>
      <c r="B19" s="14"/>
      <c r="C19" s="14"/>
      <c r="D19" s="14"/>
      <c r="E19" s="14"/>
      <c r="F19" s="14"/>
      <c r="G19" s="14"/>
      <c r="H19" s="14"/>
      <c r="I19" s="14"/>
      <c r="J19" s="14"/>
      <c r="K19" s="14"/>
      <c r="L19" s="14"/>
      <c r="M19" s="14"/>
      <c r="N19" s="14"/>
      <c r="P19" s="14"/>
      <c r="Q19" s="14"/>
      <c r="R19" s="18"/>
      <c r="S19" s="18"/>
      <c r="T19" s="93"/>
      <c r="U19" s="20"/>
      <c r="V19" s="14"/>
      <c r="W19" s="14"/>
      <c r="X19" s="14"/>
      <c r="Y19" s="14"/>
      <c r="AB19" s="14"/>
      <c r="AC19" s="14"/>
      <c r="AD19" s="14"/>
      <c r="AE19" s="14"/>
      <c r="AF19" s="14"/>
      <c r="AG19" s="14"/>
      <c r="AH19" s="14"/>
      <c r="AI19" s="14"/>
      <c r="AJ19" s="14"/>
      <c r="AK19" s="14"/>
      <c r="AL19" s="14"/>
      <c r="AM19" s="14"/>
      <c r="AN19" s="14"/>
    </row>
    <row r="20">
      <c r="A20" s="97"/>
      <c r="B20" s="97"/>
      <c r="C20" s="97"/>
      <c r="D20" s="97"/>
      <c r="E20" s="97"/>
      <c r="F20" s="97"/>
      <c r="G20" s="94"/>
      <c r="H20" s="97"/>
      <c r="I20" s="97"/>
      <c r="J20" s="97"/>
      <c r="K20" s="97"/>
      <c r="L20" s="97"/>
      <c r="M20" s="97"/>
      <c r="N20" s="97"/>
      <c r="O20" s="100">
        <f>SUM(_Obras_2026[Ppto 2026])</f>
        <v>831500000</v>
      </c>
      <c r="P20" s="94"/>
      <c r="Q20" s="97"/>
      <c r="R20" s="101"/>
      <c r="S20" s="101"/>
      <c r="T20" s="94"/>
      <c r="U20" s="96"/>
      <c r="V20" s="14"/>
      <c r="W20" s="14"/>
      <c r="X20" s="14"/>
      <c r="Y20" s="14"/>
      <c r="AB20" s="14"/>
      <c r="AC20" s="14"/>
      <c r="AD20" s="14"/>
      <c r="AE20" s="14"/>
      <c r="AF20" s="14"/>
      <c r="AG20" s="14"/>
      <c r="AH20" s="14"/>
      <c r="AI20" s="14"/>
      <c r="AJ20" s="14"/>
      <c r="AK20" s="14"/>
      <c r="AL20" s="14"/>
      <c r="AM20" s="14"/>
      <c r="AN20" s="14"/>
    </row>
    <row r="21" ht="22.5" customHeight="1">
      <c r="A21" s="103" t="s">
        <v>146</v>
      </c>
      <c r="B21" s="103" t="s">
        <v>148</v>
      </c>
      <c r="C21" s="103" t="s">
        <v>150</v>
      </c>
      <c r="D21" s="103" t="s">
        <v>2</v>
      </c>
      <c r="E21" s="106" t="s">
        <v>152</v>
      </c>
      <c r="F21" s="103" t="s">
        <v>153</v>
      </c>
      <c r="G21" s="108" t="s">
        <v>154</v>
      </c>
      <c r="H21" s="103" t="s">
        <v>155</v>
      </c>
      <c r="I21" s="103" t="s">
        <v>156</v>
      </c>
      <c r="J21" s="103" t="s">
        <v>157</v>
      </c>
      <c r="K21" s="103" t="s">
        <v>158</v>
      </c>
      <c r="L21" s="103" t="s">
        <v>160</v>
      </c>
      <c r="M21" s="103" t="s">
        <v>162</v>
      </c>
      <c r="N21" s="103" t="s">
        <v>163</v>
      </c>
      <c r="O21" s="103" t="s">
        <v>164</v>
      </c>
      <c r="P21" s="108" t="s">
        <v>165</v>
      </c>
      <c r="Q21" s="103" t="s">
        <v>82</v>
      </c>
      <c r="R21" s="111" t="s">
        <v>166</v>
      </c>
      <c r="S21" s="111" t="s">
        <v>7</v>
      </c>
      <c r="T21" s="108" t="s">
        <v>168</v>
      </c>
      <c r="U21" s="112" t="s">
        <v>169</v>
      </c>
      <c r="V21" s="14"/>
      <c r="W21" s="33"/>
      <c r="X21" s="14"/>
      <c r="Y21" s="14"/>
      <c r="AB21" s="14"/>
      <c r="AC21" s="14"/>
      <c r="AD21" s="14"/>
      <c r="AE21" s="14"/>
      <c r="AF21" s="14"/>
      <c r="AG21" s="14"/>
      <c r="AH21" s="14"/>
      <c r="AI21" s="14"/>
      <c r="AJ21" s="14"/>
      <c r="AK21" s="14"/>
      <c r="AL21" s="14"/>
      <c r="AM21" s="14"/>
      <c r="AN21" s="14"/>
    </row>
    <row r="22" ht="24.75" customHeight="1">
      <c r="A22" s="179"/>
      <c r="B22" s="115" t="s">
        <v>74</v>
      </c>
      <c r="C22" s="115" t="s">
        <v>74</v>
      </c>
      <c r="D22" s="115" t="s">
        <v>107</v>
      </c>
      <c r="E22" s="115" t="s">
        <v>227</v>
      </c>
      <c r="F22" s="180" t="s">
        <v>234</v>
      </c>
      <c r="G22" s="134" t="s">
        <v>195</v>
      </c>
      <c r="H22" s="181">
        <v>46023.0</v>
      </c>
      <c r="I22" s="181">
        <v>46143.0</v>
      </c>
      <c r="J22" s="182">
        <v>1.0</v>
      </c>
      <c r="K22" s="183"/>
      <c r="L22" s="183"/>
      <c r="M22" s="184"/>
      <c r="N22" s="185"/>
      <c r="O22" s="125">
        <v>4.0E7</v>
      </c>
      <c r="P22" s="124">
        <f>SUMIFS('Base datos 2026'!J:J,'Base datos 2026'!A:A,D22,'Base datos 2026'!B:B,F22)</f>
        <v>2196742</v>
      </c>
      <c r="Q22" s="124">
        <f>O22-P22</f>
        <v>37803258</v>
      </c>
      <c r="R22" s="125"/>
      <c r="S22" s="126">
        <f>P22/O22</f>
        <v>0.05491855</v>
      </c>
      <c r="T22" s="186"/>
      <c r="U22" s="187" t="s">
        <v>239</v>
      </c>
      <c r="V22" s="14"/>
      <c r="W22" s="14"/>
      <c r="X22" s="14"/>
      <c r="Y22" s="14"/>
      <c r="AB22" s="14"/>
      <c r="AC22" s="14"/>
      <c r="AD22" s="14"/>
      <c r="AE22" s="14"/>
      <c r="AF22" s="14"/>
      <c r="AG22" s="14"/>
      <c r="AH22" s="14"/>
      <c r="AI22" s="14"/>
      <c r="AJ22" s="14"/>
      <c r="AK22" s="14"/>
      <c r="AL22" s="14"/>
      <c r="AM22" s="14"/>
      <c r="AN22" s="14"/>
    </row>
    <row r="23" ht="22.5" customHeight="1">
      <c r="A23" s="188"/>
      <c r="B23" s="115" t="s">
        <v>142</v>
      </c>
      <c r="C23" s="116"/>
      <c r="D23" s="189"/>
      <c r="E23" s="115" t="s">
        <v>192</v>
      </c>
      <c r="F23" s="180" t="s">
        <v>240</v>
      </c>
      <c r="G23" s="190"/>
      <c r="H23" s="191"/>
      <c r="I23" s="192"/>
      <c r="J23" s="182">
        <v>2.0</v>
      </c>
      <c r="K23" s="183"/>
      <c r="L23" s="183"/>
      <c r="M23" s="193"/>
      <c r="N23" s="184"/>
      <c r="O23" s="125">
        <v>1.2E8</v>
      </c>
      <c r="P23" s="124"/>
      <c r="Q23" s="124"/>
      <c r="R23" s="125"/>
      <c r="S23" s="194"/>
      <c r="T23" s="195">
        <v>450.0</v>
      </c>
      <c r="U23" s="187" t="s">
        <v>242</v>
      </c>
      <c r="V23" s="14"/>
      <c r="W23" s="14"/>
      <c r="X23" s="14"/>
      <c r="Y23" s="14"/>
      <c r="AB23" s="14"/>
      <c r="AC23" s="14"/>
      <c r="AD23" s="14"/>
      <c r="AE23" s="14"/>
      <c r="AF23" s="14"/>
      <c r="AG23" s="14"/>
      <c r="AH23" s="14"/>
      <c r="AI23" s="14"/>
      <c r="AJ23" s="14"/>
      <c r="AK23" s="14"/>
      <c r="AL23" s="14"/>
      <c r="AM23" s="14"/>
      <c r="AN23" s="14"/>
    </row>
    <row r="24" ht="22.5" customHeight="1">
      <c r="A24" s="196"/>
      <c r="B24" s="115" t="s">
        <v>135</v>
      </c>
      <c r="C24" s="116"/>
      <c r="D24" s="115" t="s">
        <v>18</v>
      </c>
      <c r="E24" s="115" t="s">
        <v>192</v>
      </c>
      <c r="F24" s="180" t="s">
        <v>243</v>
      </c>
      <c r="G24" s="134"/>
      <c r="H24" s="181">
        <v>46023.0</v>
      </c>
      <c r="I24" s="181">
        <v>46174.0</v>
      </c>
      <c r="J24" s="182">
        <v>1.0</v>
      </c>
      <c r="K24" s="185"/>
      <c r="L24" s="185"/>
      <c r="M24" s="185"/>
      <c r="N24" s="185"/>
      <c r="O24" s="125">
        <f>5000000+10000000</f>
        <v>15000000</v>
      </c>
      <c r="P24" s="124">
        <f>SUMIFS('Base datos 2026'!J:J,'Base datos 2026'!A:A,D24,'Base datos 2026'!B:B,F24)</f>
        <v>14669999</v>
      </c>
      <c r="Q24" s="124">
        <f t="shared" ref="Q24:Q25" si="6">O24-P24</f>
        <v>330001</v>
      </c>
      <c r="R24" s="125"/>
      <c r="S24" s="126">
        <f t="shared" ref="S24:S30" si="7">P24/O24</f>
        <v>0.9779999333</v>
      </c>
      <c r="T24" s="186"/>
      <c r="U24" s="187" t="s">
        <v>249</v>
      </c>
      <c r="V24" s="14"/>
      <c r="W24" s="14"/>
      <c r="X24" s="14"/>
      <c r="Y24" s="14"/>
      <c r="Z24" s="14"/>
      <c r="AA24" s="14"/>
      <c r="AB24" s="14"/>
      <c r="AC24" s="14"/>
      <c r="AD24" s="14"/>
      <c r="AE24" s="14"/>
      <c r="AF24" s="14"/>
      <c r="AG24" s="14"/>
      <c r="AH24" s="14"/>
      <c r="AI24" s="14"/>
      <c r="AJ24" s="14"/>
      <c r="AK24" s="14"/>
      <c r="AL24" s="14"/>
      <c r="AM24" s="14"/>
      <c r="AN24" s="14"/>
    </row>
    <row r="25" ht="22.5" customHeight="1">
      <c r="A25" s="188"/>
      <c r="B25" s="115" t="s">
        <v>117</v>
      </c>
      <c r="C25" s="116"/>
      <c r="D25" s="115" t="s">
        <v>107</v>
      </c>
      <c r="E25" s="115" t="s">
        <v>192</v>
      </c>
      <c r="F25" s="180" t="s">
        <v>250</v>
      </c>
      <c r="G25" s="134"/>
      <c r="H25" s="181">
        <v>46023.0</v>
      </c>
      <c r="I25" s="181">
        <v>46143.0</v>
      </c>
      <c r="J25" s="182">
        <v>1.0</v>
      </c>
      <c r="K25" s="202"/>
      <c r="L25" s="202"/>
      <c r="M25" s="203"/>
      <c r="N25" s="185"/>
      <c r="O25" s="125">
        <v>2.5E7</v>
      </c>
      <c r="P25" s="124">
        <f>SUMIFS('Base datos 2026'!J:J,'Base datos 2026'!A:A,D25,'Base datos 2026'!B:B,F25)</f>
        <v>0</v>
      </c>
      <c r="Q25" s="124">
        <f t="shared" si="6"/>
        <v>25000000</v>
      </c>
      <c r="R25" s="125"/>
      <c r="S25" s="126">
        <f t="shared" si="7"/>
        <v>0</v>
      </c>
      <c r="T25" s="186"/>
      <c r="U25" s="187" t="s">
        <v>252</v>
      </c>
      <c r="V25" s="14"/>
      <c r="W25" s="14"/>
      <c r="X25" s="14"/>
      <c r="Y25" s="14"/>
      <c r="Z25" s="14"/>
      <c r="AA25" s="14"/>
      <c r="AB25" s="14"/>
      <c r="AC25" s="14"/>
      <c r="AD25" s="14"/>
      <c r="AE25" s="14"/>
      <c r="AF25" s="14"/>
      <c r="AG25" s="14"/>
      <c r="AH25" s="14"/>
      <c r="AI25" s="14"/>
      <c r="AJ25" s="14"/>
      <c r="AK25" s="14"/>
      <c r="AL25" s="14"/>
      <c r="AM25" s="14"/>
      <c r="AN25" s="14"/>
    </row>
    <row r="26" ht="22.5" customHeight="1">
      <c r="A26" s="206"/>
      <c r="B26" s="207" t="s">
        <v>142</v>
      </c>
      <c r="C26" s="116"/>
      <c r="D26" s="208"/>
      <c r="E26" s="115" t="s">
        <v>174</v>
      </c>
      <c r="F26" s="180" t="s">
        <v>254</v>
      </c>
      <c r="G26" s="190"/>
      <c r="H26" s="209"/>
      <c r="I26" s="210"/>
      <c r="J26" s="182">
        <v>2.0</v>
      </c>
      <c r="K26" s="124"/>
      <c r="L26" s="124"/>
      <c r="M26" s="203"/>
      <c r="N26" s="185"/>
      <c r="O26" s="125">
        <v>2.5E8</v>
      </c>
      <c r="P26" s="124"/>
      <c r="Q26" s="124"/>
      <c r="R26" s="125"/>
      <c r="S26" s="126">
        <f t="shared" si="7"/>
        <v>0</v>
      </c>
      <c r="T26" s="186"/>
      <c r="U26" s="187" t="s">
        <v>255</v>
      </c>
      <c r="V26" s="14"/>
      <c r="W26" s="14"/>
      <c r="X26" s="14"/>
      <c r="Y26" s="14"/>
      <c r="Z26" s="14"/>
      <c r="AA26" s="14"/>
      <c r="AB26" s="14"/>
      <c r="AC26" s="14"/>
      <c r="AD26" s="14"/>
      <c r="AE26" s="14"/>
      <c r="AF26" s="14"/>
      <c r="AG26" s="14"/>
      <c r="AH26" s="14"/>
      <c r="AI26" s="14"/>
      <c r="AJ26" s="14"/>
      <c r="AK26" s="14"/>
      <c r="AL26" s="14"/>
      <c r="AM26" s="14"/>
      <c r="AN26" s="14"/>
    </row>
    <row r="27" ht="15.75" customHeight="1">
      <c r="A27" s="188"/>
      <c r="B27" s="115" t="s">
        <v>135</v>
      </c>
      <c r="C27" s="116"/>
      <c r="D27" s="189"/>
      <c r="E27" s="115" t="s">
        <v>174</v>
      </c>
      <c r="F27" s="180" t="s">
        <v>256</v>
      </c>
      <c r="G27" s="190"/>
      <c r="H27" s="212"/>
      <c r="I27" s="214"/>
      <c r="J27" s="182">
        <v>2.0</v>
      </c>
      <c r="K27" s="215"/>
      <c r="L27" s="215"/>
      <c r="M27" s="216"/>
      <c r="N27" s="185"/>
      <c r="O27" s="125">
        <f>(850*290000)+30000000</f>
        <v>276500000</v>
      </c>
      <c r="P27" s="124"/>
      <c r="Q27" s="124"/>
      <c r="R27" s="125"/>
      <c r="S27" s="126">
        <f t="shared" si="7"/>
        <v>0</v>
      </c>
      <c r="T27" s="186"/>
      <c r="U27" s="187"/>
      <c r="V27" s="14"/>
      <c r="W27" s="14"/>
      <c r="X27" s="14"/>
      <c r="Y27" s="14"/>
      <c r="Z27" s="14"/>
      <c r="AA27" s="14"/>
      <c r="AB27" s="14"/>
      <c r="AC27" s="14"/>
      <c r="AD27" s="14"/>
      <c r="AE27" s="14"/>
      <c r="AF27" s="14"/>
      <c r="AG27" s="14"/>
      <c r="AH27" s="14"/>
      <c r="AI27" s="14"/>
      <c r="AJ27" s="14"/>
      <c r="AK27" s="14"/>
      <c r="AL27" s="14"/>
      <c r="AM27" s="14"/>
      <c r="AN27" s="14"/>
    </row>
    <row r="28" ht="15.75" customHeight="1">
      <c r="A28" s="217"/>
      <c r="B28" s="207" t="s">
        <v>117</v>
      </c>
      <c r="C28" s="116"/>
      <c r="D28" s="189"/>
      <c r="E28" s="115" t="s">
        <v>208</v>
      </c>
      <c r="F28" s="180" t="s">
        <v>260</v>
      </c>
      <c r="G28" s="190"/>
      <c r="H28" s="212"/>
      <c r="I28" s="210"/>
      <c r="J28" s="182">
        <v>2.0</v>
      </c>
      <c r="K28" s="203"/>
      <c r="L28" s="203"/>
      <c r="M28" s="203"/>
      <c r="N28" s="185"/>
      <c r="O28" s="125">
        <v>4.5E7</v>
      </c>
      <c r="P28" s="124"/>
      <c r="Q28" s="124"/>
      <c r="R28" s="125"/>
      <c r="S28" s="126">
        <f t="shared" si="7"/>
        <v>0</v>
      </c>
      <c r="T28" s="186"/>
      <c r="U28" s="187" t="s">
        <v>263</v>
      </c>
      <c r="V28" s="14"/>
      <c r="W28" s="14"/>
      <c r="X28" s="14"/>
      <c r="Y28" s="14"/>
      <c r="Z28" s="14"/>
      <c r="AA28" s="14"/>
      <c r="AB28" s="14"/>
      <c r="AC28" s="14"/>
      <c r="AD28" s="14"/>
      <c r="AE28" s="14"/>
      <c r="AF28" s="14"/>
      <c r="AG28" s="14"/>
      <c r="AH28" s="14"/>
      <c r="AI28" s="14"/>
      <c r="AJ28" s="14"/>
      <c r="AK28" s="14"/>
      <c r="AL28" s="14"/>
      <c r="AM28" s="14"/>
      <c r="AN28" s="14"/>
    </row>
    <row r="29" ht="22.5" customHeight="1">
      <c r="A29" s="218"/>
      <c r="B29" s="207" t="s">
        <v>144</v>
      </c>
      <c r="C29" s="116"/>
      <c r="D29" s="189"/>
      <c r="E29" s="115" t="s">
        <v>174</v>
      </c>
      <c r="F29" s="180" t="s">
        <v>264</v>
      </c>
      <c r="G29" s="190"/>
      <c r="H29" s="212"/>
      <c r="I29" s="210"/>
      <c r="J29" s="182">
        <v>2.0</v>
      </c>
      <c r="K29" s="203"/>
      <c r="L29" s="203"/>
      <c r="M29" s="203"/>
      <c r="N29" s="185"/>
      <c r="O29" s="125">
        <v>3.0E7</v>
      </c>
      <c r="P29" s="124"/>
      <c r="Q29" s="124"/>
      <c r="R29" s="125"/>
      <c r="S29" s="126">
        <f t="shared" si="7"/>
        <v>0</v>
      </c>
      <c r="T29" s="186">
        <f>40*2</f>
        <v>80</v>
      </c>
      <c r="U29" s="187" t="s">
        <v>265</v>
      </c>
      <c r="V29" s="14"/>
      <c r="W29" s="14"/>
      <c r="X29" s="14"/>
      <c r="Y29" s="14"/>
      <c r="Z29" s="14"/>
      <c r="AA29" s="14"/>
      <c r="AB29" s="14"/>
      <c r="AC29" s="14"/>
      <c r="AD29" s="14"/>
      <c r="AE29" s="14"/>
      <c r="AF29" s="14"/>
      <c r="AG29" s="14"/>
      <c r="AH29" s="14"/>
      <c r="AI29" s="14"/>
      <c r="AJ29" s="14"/>
      <c r="AK29" s="14"/>
      <c r="AL29" s="14"/>
      <c r="AM29" s="14"/>
      <c r="AN29" s="14"/>
    </row>
    <row r="30" ht="15.75" customHeight="1">
      <c r="A30" s="218"/>
      <c r="B30" s="207"/>
      <c r="C30" s="116"/>
      <c r="D30" s="189"/>
      <c r="E30" s="115" t="s">
        <v>174</v>
      </c>
      <c r="F30" s="180" t="s">
        <v>267</v>
      </c>
      <c r="G30" s="190"/>
      <c r="H30" s="212"/>
      <c r="I30" s="210"/>
      <c r="J30" s="182">
        <v>2.0</v>
      </c>
      <c r="K30" s="203"/>
      <c r="L30" s="203"/>
      <c r="M30" s="203"/>
      <c r="N30" s="185"/>
      <c r="O30" s="125">
        <v>3.0E7</v>
      </c>
      <c r="P30" s="124"/>
      <c r="Q30" s="124"/>
      <c r="R30" s="125"/>
      <c r="S30" s="126">
        <f t="shared" si="7"/>
        <v>0</v>
      </c>
      <c r="T30" s="186"/>
      <c r="U30" s="187"/>
      <c r="V30" s="14"/>
      <c r="W30" s="14"/>
      <c r="X30" s="14"/>
      <c r="Y30" s="14"/>
      <c r="Z30" s="14"/>
      <c r="AA30" s="14"/>
      <c r="AB30" s="14"/>
      <c r="AC30" s="14"/>
      <c r="AD30" s="14"/>
      <c r="AE30" s="14"/>
      <c r="AF30" s="14"/>
      <c r="AG30" s="14"/>
      <c r="AH30" s="14"/>
      <c r="AI30" s="14"/>
      <c r="AJ30" s="14"/>
      <c r="AK30" s="14"/>
      <c r="AL30" s="14"/>
      <c r="AM30" s="14"/>
      <c r="AN30" s="14"/>
    </row>
    <row r="31" ht="15.75" customHeight="1">
      <c r="A31" s="14"/>
      <c r="B31" s="14"/>
      <c r="C31" s="14"/>
      <c r="D31" s="14"/>
      <c r="E31" s="14"/>
      <c r="F31" s="14"/>
      <c r="G31" s="14"/>
      <c r="H31" s="14"/>
      <c r="I31" s="14"/>
      <c r="J31" s="14"/>
      <c r="K31" s="14"/>
      <c r="L31" s="14"/>
      <c r="M31" s="14"/>
      <c r="N31" s="14"/>
      <c r="O31" s="14"/>
      <c r="P31" s="14"/>
      <c r="Q31" s="14"/>
      <c r="R31" s="18"/>
      <c r="S31" s="18"/>
      <c r="T31" s="93"/>
      <c r="U31" s="20"/>
      <c r="V31" s="14"/>
      <c r="W31" s="14"/>
      <c r="X31" s="14"/>
      <c r="Y31" s="14"/>
      <c r="AA31" s="14"/>
      <c r="AB31" s="14"/>
      <c r="AC31" s="14"/>
      <c r="AD31" s="14"/>
      <c r="AE31" s="14"/>
      <c r="AF31" s="14"/>
      <c r="AG31" s="14"/>
      <c r="AH31" s="14"/>
      <c r="AI31" s="14"/>
      <c r="AJ31" s="14"/>
      <c r="AK31" s="14"/>
      <c r="AL31" s="14"/>
      <c r="AM31" s="14"/>
      <c r="AN31" s="14"/>
    </row>
    <row r="32" ht="15.75" customHeight="1">
      <c r="A32" s="14"/>
      <c r="B32" s="14"/>
      <c r="C32" s="14"/>
      <c r="D32" s="14"/>
      <c r="E32" s="14"/>
      <c r="F32" s="14"/>
      <c r="G32" s="14"/>
      <c r="H32" s="14"/>
      <c r="I32" s="14"/>
      <c r="J32" s="14"/>
      <c r="K32" s="14"/>
      <c r="L32" s="14"/>
      <c r="M32" s="14"/>
      <c r="N32" s="14"/>
      <c r="O32" s="14"/>
      <c r="P32" s="14"/>
      <c r="Q32" s="14"/>
      <c r="R32" s="18"/>
      <c r="S32" s="18"/>
      <c r="T32" s="93"/>
      <c r="U32" s="20"/>
      <c r="V32" s="14"/>
      <c r="W32" s="14"/>
      <c r="X32" s="14"/>
      <c r="Y32" s="14"/>
      <c r="Z32" s="14"/>
      <c r="AA32" s="14"/>
      <c r="AB32" s="14"/>
      <c r="AC32" s="14"/>
      <c r="AD32" s="14"/>
      <c r="AE32" s="14"/>
      <c r="AF32" s="14"/>
      <c r="AG32" s="14"/>
      <c r="AH32" s="14"/>
      <c r="AI32" s="14"/>
      <c r="AJ32" s="14"/>
      <c r="AK32" s="14"/>
      <c r="AL32" s="14"/>
      <c r="AM32" s="14"/>
      <c r="AN32" s="14"/>
    </row>
    <row r="33" ht="15.75" customHeight="1">
      <c r="A33" s="33"/>
      <c r="B33" s="14"/>
      <c r="C33" s="14"/>
      <c r="D33" s="14"/>
      <c r="E33" s="14"/>
      <c r="F33" s="14"/>
      <c r="G33" s="14"/>
      <c r="H33" s="14"/>
      <c r="I33" s="14"/>
      <c r="J33" s="14"/>
      <c r="K33" s="14"/>
      <c r="L33" s="14"/>
      <c r="M33" s="14"/>
      <c r="N33" s="14"/>
      <c r="P33" s="14"/>
      <c r="Q33" s="14"/>
      <c r="R33" s="18"/>
      <c r="S33" s="18"/>
      <c r="T33" s="93"/>
      <c r="U33" s="20"/>
      <c r="V33" s="14"/>
      <c r="W33" s="14"/>
      <c r="X33" s="14"/>
      <c r="Y33" s="14"/>
      <c r="Z33" s="14"/>
      <c r="AA33" s="14"/>
      <c r="AB33" s="14"/>
      <c r="AC33" s="14"/>
      <c r="AD33" s="14"/>
      <c r="AE33" s="14"/>
      <c r="AF33" s="14"/>
      <c r="AG33" s="14"/>
      <c r="AH33" s="14"/>
      <c r="AI33" s="14"/>
      <c r="AJ33" s="14"/>
      <c r="AK33" s="14"/>
      <c r="AL33" s="14"/>
      <c r="AM33" s="14"/>
      <c r="AN33" s="14"/>
    </row>
    <row r="34" ht="15.75" customHeight="1">
      <c r="A34" s="97"/>
      <c r="B34" s="97"/>
      <c r="C34" s="97"/>
      <c r="D34" s="97"/>
      <c r="E34" s="97"/>
      <c r="F34" s="97"/>
      <c r="G34" s="94"/>
      <c r="H34" s="97"/>
      <c r="I34" s="97"/>
      <c r="J34" s="97"/>
      <c r="K34" s="97"/>
      <c r="L34" s="97"/>
      <c r="M34" s="97"/>
      <c r="N34" s="97"/>
      <c r="O34" s="17">
        <f>SUM(Remodelaciones_2026[Ppto 2026])</f>
        <v>3181365377</v>
      </c>
      <c r="P34" s="94"/>
      <c r="Q34" s="97"/>
      <c r="R34" s="101"/>
      <c r="S34" s="101"/>
      <c r="T34" s="94"/>
      <c r="U34" s="96"/>
      <c r="V34" s="14"/>
      <c r="W34" s="14"/>
      <c r="X34" s="14"/>
      <c r="Y34" s="14"/>
      <c r="Z34" s="14"/>
      <c r="AA34" s="14"/>
      <c r="AB34" s="14"/>
      <c r="AC34" s="14"/>
      <c r="AD34" s="14"/>
      <c r="AE34" s="14"/>
      <c r="AF34" s="14"/>
      <c r="AG34" s="14"/>
      <c r="AH34" s="14"/>
      <c r="AI34" s="14"/>
      <c r="AJ34" s="14"/>
      <c r="AK34" s="14"/>
      <c r="AL34" s="14"/>
      <c r="AM34" s="14"/>
      <c r="AN34" s="14"/>
    </row>
    <row r="35" ht="15.75" customHeight="1">
      <c r="A35" s="103" t="s">
        <v>146</v>
      </c>
      <c r="B35" s="103" t="s">
        <v>148</v>
      </c>
      <c r="C35" s="103" t="s">
        <v>150</v>
      </c>
      <c r="D35" s="103" t="s">
        <v>2</v>
      </c>
      <c r="E35" s="106" t="s">
        <v>152</v>
      </c>
      <c r="F35" s="103" t="s">
        <v>153</v>
      </c>
      <c r="G35" s="108" t="s">
        <v>154</v>
      </c>
      <c r="H35" s="103" t="s">
        <v>155</v>
      </c>
      <c r="I35" s="103" t="s">
        <v>156</v>
      </c>
      <c r="J35" s="103" t="s">
        <v>157</v>
      </c>
      <c r="K35" s="103" t="s">
        <v>158</v>
      </c>
      <c r="L35" s="103" t="s">
        <v>160</v>
      </c>
      <c r="M35" s="103" t="s">
        <v>162</v>
      </c>
      <c r="N35" s="103" t="s">
        <v>163</v>
      </c>
      <c r="O35" s="103" t="s">
        <v>164</v>
      </c>
      <c r="P35" s="108" t="s">
        <v>165</v>
      </c>
      <c r="Q35" s="103" t="s">
        <v>82</v>
      </c>
      <c r="R35" s="111" t="s">
        <v>166</v>
      </c>
      <c r="S35" s="111" t="s">
        <v>7</v>
      </c>
      <c r="T35" s="108" t="s">
        <v>168</v>
      </c>
      <c r="U35" s="112" t="s">
        <v>169</v>
      </c>
      <c r="V35" s="14"/>
      <c r="W35" s="14"/>
      <c r="X35" s="14"/>
      <c r="Y35" s="14"/>
      <c r="Z35" s="14"/>
      <c r="AA35" s="14"/>
      <c r="AB35" s="14"/>
      <c r="AC35" s="14"/>
      <c r="AD35" s="14"/>
      <c r="AE35" s="14"/>
      <c r="AF35" s="14"/>
      <c r="AG35" s="14"/>
      <c r="AH35" s="14"/>
      <c r="AI35" s="14"/>
      <c r="AJ35" s="14"/>
      <c r="AK35" s="14"/>
      <c r="AL35" s="14"/>
      <c r="AM35" s="14"/>
      <c r="AN35" s="14"/>
    </row>
    <row r="36" ht="22.5" hidden="1" customHeight="1">
      <c r="A36" s="228"/>
      <c r="B36" s="134" t="s">
        <v>144</v>
      </c>
      <c r="C36" s="190"/>
      <c r="D36" s="189"/>
      <c r="E36" s="134" t="s">
        <v>275</v>
      </c>
      <c r="F36" s="149" t="s">
        <v>276</v>
      </c>
      <c r="G36" s="229"/>
      <c r="H36" s="230"/>
      <c r="I36" s="230"/>
      <c r="J36" s="182">
        <v>2.0</v>
      </c>
      <c r="K36" s="231"/>
      <c r="L36" s="231"/>
      <c r="M36" s="231"/>
      <c r="N36" s="185"/>
      <c r="O36" s="125">
        <f>T36*40000*10</f>
        <v>64000000</v>
      </c>
      <c r="P36" s="232"/>
      <c r="Q36" s="124"/>
      <c r="R36" s="126"/>
      <c r="S36" s="126">
        <f t="shared" ref="S36:S83" si="8">P36/O36</f>
        <v>0</v>
      </c>
      <c r="T36" s="134">
        <v>160.0</v>
      </c>
      <c r="U36" s="187" t="s">
        <v>282</v>
      </c>
      <c r="V36" s="14"/>
      <c r="W36" s="14"/>
      <c r="X36" s="14"/>
      <c r="Y36" s="14"/>
      <c r="Z36" s="14"/>
      <c r="AA36" s="14"/>
      <c r="AB36" s="14"/>
      <c r="AC36" s="14"/>
      <c r="AD36" s="14"/>
      <c r="AE36" s="14"/>
      <c r="AF36" s="14"/>
      <c r="AG36" s="14"/>
      <c r="AH36" s="14"/>
      <c r="AI36" s="14"/>
      <c r="AJ36" s="14"/>
      <c r="AK36" s="14"/>
      <c r="AL36" s="14"/>
      <c r="AM36" s="14"/>
      <c r="AN36" s="14"/>
    </row>
    <row r="37" ht="15.75" hidden="1" customHeight="1">
      <c r="A37" s="228"/>
      <c r="B37" s="134" t="s">
        <v>101</v>
      </c>
      <c r="C37" s="190"/>
      <c r="D37" s="189"/>
      <c r="E37" s="134" t="s">
        <v>283</v>
      </c>
      <c r="F37" s="149" t="s">
        <v>284</v>
      </c>
      <c r="G37" s="233"/>
      <c r="H37" s="230"/>
      <c r="I37" s="230"/>
      <c r="J37" s="182">
        <v>2.0</v>
      </c>
      <c r="K37" s="231"/>
      <c r="L37" s="231"/>
      <c r="M37" s="231"/>
      <c r="N37" s="185"/>
      <c r="O37" s="125">
        <v>2.5E7</v>
      </c>
      <c r="P37" s="232"/>
      <c r="Q37" s="124"/>
      <c r="R37" s="126"/>
      <c r="S37" s="126">
        <f t="shared" si="8"/>
        <v>0</v>
      </c>
      <c r="T37" s="134"/>
      <c r="U37" s="187"/>
      <c r="V37" s="14"/>
      <c r="W37" s="14"/>
      <c r="X37" s="14"/>
      <c r="Y37" s="14"/>
      <c r="Z37" s="14"/>
      <c r="AA37" s="14"/>
      <c r="AB37" s="14"/>
      <c r="AC37" s="14"/>
      <c r="AD37" s="14"/>
      <c r="AE37" s="14"/>
      <c r="AF37" s="14"/>
      <c r="AG37" s="14"/>
      <c r="AH37" s="14"/>
      <c r="AI37" s="14"/>
      <c r="AJ37" s="14"/>
      <c r="AK37" s="14"/>
      <c r="AL37" s="14"/>
      <c r="AM37" s="14"/>
      <c r="AN37" s="14"/>
    </row>
    <row r="38" ht="22.5" hidden="1" customHeight="1">
      <c r="A38" s="228"/>
      <c r="B38" s="134" t="s">
        <v>142</v>
      </c>
      <c r="C38" s="190"/>
      <c r="D38" s="189"/>
      <c r="E38" s="134" t="s">
        <v>208</v>
      </c>
      <c r="F38" s="149" t="s">
        <v>285</v>
      </c>
      <c r="G38" s="229"/>
      <c r="H38" s="230"/>
      <c r="I38" s="230"/>
      <c r="J38" s="182">
        <v>2.0</v>
      </c>
      <c r="K38" s="231"/>
      <c r="L38" s="231"/>
      <c r="M38" s="231"/>
      <c r="N38" s="185"/>
      <c r="O38" s="125">
        <v>2.5E8</v>
      </c>
      <c r="P38" s="232"/>
      <c r="Q38" s="124"/>
      <c r="R38" s="126"/>
      <c r="S38" s="126">
        <f t="shared" si="8"/>
        <v>0</v>
      </c>
      <c r="T38" s="134">
        <v>919.0</v>
      </c>
      <c r="U38" s="187" t="s">
        <v>287</v>
      </c>
      <c r="V38" s="14"/>
      <c r="W38" s="14"/>
      <c r="X38" s="14"/>
      <c r="Y38" s="14"/>
      <c r="Z38" s="14"/>
      <c r="AA38" s="14"/>
      <c r="AB38" s="14"/>
      <c r="AC38" s="14"/>
      <c r="AD38" s="14"/>
      <c r="AE38" s="14"/>
      <c r="AF38" s="14"/>
      <c r="AG38" s="14"/>
      <c r="AH38" s="14"/>
      <c r="AI38" s="14"/>
      <c r="AJ38" s="14"/>
      <c r="AK38" s="14"/>
      <c r="AL38" s="14"/>
      <c r="AM38" s="14"/>
      <c r="AN38" s="14"/>
    </row>
    <row r="39" ht="15.75" customHeight="1">
      <c r="A39" s="228"/>
      <c r="B39" s="134" t="s">
        <v>74</v>
      </c>
      <c r="C39" s="190"/>
      <c r="D39" s="115" t="s">
        <v>18</v>
      </c>
      <c r="E39" s="134" t="s">
        <v>208</v>
      </c>
      <c r="F39" s="234" t="s">
        <v>288</v>
      </c>
      <c r="G39" s="190"/>
      <c r="H39" s="181">
        <v>46082.0</v>
      </c>
      <c r="I39" s="181">
        <v>46174.0</v>
      </c>
      <c r="J39" s="182">
        <v>1.0</v>
      </c>
      <c r="K39" s="231"/>
      <c r="L39" s="231"/>
      <c r="M39" s="231"/>
      <c r="N39" s="185"/>
      <c r="O39" s="125">
        <v>1.2E7</v>
      </c>
      <c r="P39" s="124">
        <f>SUMIFS('Base datos 2026'!J:J,'Base datos 2026'!A:A,D39,'Base datos 2026'!B:B,F39)</f>
        <v>0</v>
      </c>
      <c r="Q39" s="124">
        <f>O39-P39</f>
        <v>12000000</v>
      </c>
      <c r="R39" s="125"/>
      <c r="S39" s="126">
        <f t="shared" si="8"/>
        <v>0</v>
      </c>
      <c r="T39" s="134"/>
      <c r="U39" s="187"/>
      <c r="V39" s="14"/>
      <c r="W39" s="14"/>
      <c r="X39" s="14"/>
      <c r="Y39" s="14"/>
      <c r="Z39" s="14"/>
      <c r="AA39" s="14"/>
      <c r="AB39" s="14"/>
      <c r="AC39" s="14"/>
      <c r="AD39" s="14"/>
      <c r="AE39" s="14"/>
      <c r="AF39" s="14"/>
      <c r="AG39" s="14"/>
      <c r="AH39" s="14"/>
      <c r="AI39" s="14"/>
      <c r="AJ39" s="14"/>
      <c r="AK39" s="14"/>
      <c r="AL39" s="14"/>
      <c r="AM39" s="14"/>
      <c r="AN39" s="14"/>
    </row>
    <row r="40" ht="22.5" hidden="1" customHeight="1">
      <c r="A40" s="228"/>
      <c r="B40" s="134" t="s">
        <v>142</v>
      </c>
      <c r="C40" s="190"/>
      <c r="D40" s="189"/>
      <c r="E40" s="134" t="s">
        <v>208</v>
      </c>
      <c r="F40" s="234" t="s">
        <v>294</v>
      </c>
      <c r="G40" s="229"/>
      <c r="H40" s="230"/>
      <c r="I40" s="230"/>
      <c r="J40" s="182">
        <v>2.0</v>
      </c>
      <c r="K40" s="231"/>
      <c r="L40" s="231"/>
      <c r="M40" s="231"/>
      <c r="N40" s="185"/>
      <c r="O40" s="125">
        <v>1.5E8</v>
      </c>
      <c r="P40" s="232"/>
      <c r="Q40" s="124"/>
      <c r="R40" s="126"/>
      <c r="S40" s="126">
        <f t="shared" si="8"/>
        <v>0</v>
      </c>
      <c r="T40" s="134">
        <v>600.0</v>
      </c>
      <c r="U40" s="187" t="s">
        <v>296</v>
      </c>
      <c r="V40" s="14"/>
      <c r="W40" s="14"/>
      <c r="X40" s="14"/>
      <c r="Y40" s="14"/>
      <c r="Z40" s="14"/>
      <c r="AA40" s="14"/>
      <c r="AB40" s="14"/>
      <c r="AC40" s="14"/>
      <c r="AD40" s="14"/>
      <c r="AE40" s="14"/>
      <c r="AF40" s="14"/>
      <c r="AG40" s="14"/>
      <c r="AH40" s="14"/>
      <c r="AI40" s="14"/>
      <c r="AJ40" s="14"/>
      <c r="AK40" s="14"/>
      <c r="AL40" s="14"/>
      <c r="AM40" s="14"/>
      <c r="AN40" s="14"/>
    </row>
    <row r="41" ht="15.75" customHeight="1">
      <c r="A41" s="228"/>
      <c r="B41" s="134" t="s">
        <v>135</v>
      </c>
      <c r="C41" s="190"/>
      <c r="D41" s="115" t="s">
        <v>18</v>
      </c>
      <c r="E41" s="134" t="s">
        <v>208</v>
      </c>
      <c r="F41" s="234" t="s">
        <v>297</v>
      </c>
      <c r="G41" s="134"/>
      <c r="H41" s="181">
        <v>46023.0</v>
      </c>
      <c r="I41" s="181">
        <v>46327.0</v>
      </c>
      <c r="J41" s="182">
        <v>1.0</v>
      </c>
      <c r="K41" s="231"/>
      <c r="L41" s="231"/>
      <c r="M41" s="231"/>
      <c r="N41" s="185"/>
      <c r="O41" s="125">
        <v>2.0E7</v>
      </c>
      <c r="P41" s="124">
        <f>SUMIFS('Base datos 2026'!J:J,'Base datos 2026'!A:A,D41,'Base datos 2026'!B:B,F41)</f>
        <v>0</v>
      </c>
      <c r="Q41" s="124">
        <f t="shared" ref="Q41:Q42" si="9">O41-P41</f>
        <v>20000000</v>
      </c>
      <c r="R41" s="125"/>
      <c r="S41" s="126">
        <f t="shared" si="8"/>
        <v>0</v>
      </c>
      <c r="T41" s="134"/>
      <c r="U41" s="187"/>
      <c r="V41" s="14"/>
      <c r="W41" s="14"/>
      <c r="X41" s="14"/>
      <c r="Y41" s="14"/>
      <c r="Z41" s="14"/>
      <c r="AA41" s="14"/>
      <c r="AB41" s="14"/>
      <c r="AC41" s="14"/>
      <c r="AD41" s="14"/>
      <c r="AE41" s="14"/>
      <c r="AF41" s="14"/>
      <c r="AG41" s="14"/>
      <c r="AH41" s="14"/>
      <c r="AI41" s="14"/>
      <c r="AJ41" s="14"/>
      <c r="AK41" s="14"/>
      <c r="AL41" s="14"/>
      <c r="AM41" s="14"/>
      <c r="AN41" s="14"/>
    </row>
    <row r="42" ht="22.5" customHeight="1">
      <c r="A42" s="228"/>
      <c r="B42" s="134" t="s">
        <v>135</v>
      </c>
      <c r="C42" s="190"/>
      <c r="D42" s="115" t="s">
        <v>18</v>
      </c>
      <c r="E42" s="134" t="s">
        <v>208</v>
      </c>
      <c r="F42" s="234" t="s">
        <v>302</v>
      </c>
      <c r="G42" s="134"/>
      <c r="H42" s="181">
        <v>46023.0</v>
      </c>
      <c r="I42" s="181">
        <v>46327.0</v>
      </c>
      <c r="J42" s="182">
        <v>1.0</v>
      </c>
      <c r="K42" s="231"/>
      <c r="L42" s="231"/>
      <c r="M42" s="231"/>
      <c r="N42" s="185"/>
      <c r="O42" s="125">
        <v>3.5E7</v>
      </c>
      <c r="P42" s="124">
        <f>SUMIFS('Base datos 2026'!J:J,'Base datos 2026'!A:A,D42,'Base datos 2026'!B:B,F42)</f>
        <v>0</v>
      </c>
      <c r="Q42" s="124">
        <f t="shared" si="9"/>
        <v>35000000</v>
      </c>
      <c r="R42" s="125"/>
      <c r="S42" s="126">
        <f t="shared" si="8"/>
        <v>0</v>
      </c>
      <c r="T42" s="134"/>
      <c r="U42" s="187" t="s">
        <v>305</v>
      </c>
      <c r="V42" s="14"/>
      <c r="W42" s="14"/>
      <c r="X42" s="14"/>
      <c r="Y42" s="14"/>
      <c r="Z42" s="14"/>
      <c r="AA42" s="14"/>
      <c r="AB42" s="14"/>
      <c r="AC42" s="14"/>
      <c r="AD42" s="14"/>
      <c r="AE42" s="14"/>
      <c r="AF42" s="14"/>
      <c r="AG42" s="14"/>
      <c r="AH42" s="14"/>
      <c r="AI42" s="14"/>
      <c r="AJ42" s="14"/>
      <c r="AK42" s="14"/>
      <c r="AL42" s="14"/>
      <c r="AM42" s="14"/>
      <c r="AN42" s="14"/>
    </row>
    <row r="43" ht="15.75" hidden="1" customHeight="1">
      <c r="A43" s="228"/>
      <c r="B43" s="134" t="s">
        <v>142</v>
      </c>
      <c r="C43" s="190"/>
      <c r="D43" s="189"/>
      <c r="E43" s="134" t="s">
        <v>208</v>
      </c>
      <c r="F43" s="234" t="s">
        <v>306</v>
      </c>
      <c r="G43" s="229"/>
      <c r="H43" s="230"/>
      <c r="I43" s="230"/>
      <c r="J43" s="182">
        <v>2.0</v>
      </c>
      <c r="K43" s="231"/>
      <c r="L43" s="231"/>
      <c r="M43" s="231"/>
      <c r="N43" s="185"/>
      <c r="O43" s="125">
        <v>7.5E7</v>
      </c>
      <c r="P43" s="232"/>
      <c r="Q43" s="124"/>
      <c r="R43" s="126"/>
      <c r="S43" s="126">
        <f t="shared" si="8"/>
        <v>0</v>
      </c>
      <c r="T43" s="134" t="s">
        <v>309</v>
      </c>
      <c r="U43" s="238" t="s">
        <v>310</v>
      </c>
      <c r="V43" s="14"/>
      <c r="W43" s="14"/>
      <c r="X43" s="14"/>
      <c r="Y43" s="14"/>
      <c r="Z43" s="14"/>
      <c r="AA43" s="14"/>
      <c r="AB43" s="14"/>
      <c r="AC43" s="14"/>
      <c r="AD43" s="14"/>
      <c r="AE43" s="14"/>
      <c r="AF43" s="14"/>
      <c r="AG43" s="14"/>
      <c r="AH43" s="14"/>
      <c r="AI43" s="14"/>
      <c r="AJ43" s="14"/>
      <c r="AK43" s="14"/>
      <c r="AL43" s="14"/>
      <c r="AM43" s="14"/>
      <c r="AN43" s="14"/>
    </row>
    <row r="44" ht="15.75" customHeight="1">
      <c r="A44" s="228"/>
      <c r="B44" s="134" t="s">
        <v>117</v>
      </c>
      <c r="C44" s="228"/>
      <c r="D44" s="115" t="s">
        <v>18</v>
      </c>
      <c r="E44" s="134" t="s">
        <v>208</v>
      </c>
      <c r="F44" s="234" t="s">
        <v>311</v>
      </c>
      <c r="G44" s="134"/>
      <c r="H44" s="181">
        <v>46023.0</v>
      </c>
      <c r="I44" s="181">
        <v>46054.0</v>
      </c>
      <c r="J44" s="182">
        <v>1.0</v>
      </c>
      <c r="K44" s="231"/>
      <c r="L44" s="231"/>
      <c r="M44" s="231"/>
      <c r="N44" s="185"/>
      <c r="O44" s="125">
        <v>2.2E7</v>
      </c>
      <c r="P44" s="124">
        <f>SUMIFS('Base datos 2026'!J:J,'Base datos 2026'!A:A,D44,'Base datos 2026'!B:B,F44)</f>
        <v>0</v>
      </c>
      <c r="Q44" s="124">
        <f t="shared" ref="Q44:Q45" si="10">O44-P44</f>
        <v>22000000</v>
      </c>
      <c r="R44" s="125"/>
      <c r="S44" s="126">
        <f t="shared" si="8"/>
        <v>0</v>
      </c>
      <c r="T44" s="134"/>
      <c r="U44" s="187"/>
      <c r="V44" s="14"/>
      <c r="W44" s="14"/>
      <c r="X44" s="14"/>
      <c r="Y44" s="14"/>
      <c r="Z44" s="14"/>
      <c r="AA44" s="14"/>
      <c r="AB44" s="14"/>
      <c r="AC44" s="14"/>
      <c r="AD44" s="14"/>
      <c r="AE44" s="14"/>
      <c r="AF44" s="14"/>
      <c r="AG44" s="14"/>
      <c r="AH44" s="14"/>
      <c r="AI44" s="14"/>
      <c r="AJ44" s="14"/>
      <c r="AK44" s="14"/>
      <c r="AL44" s="14"/>
      <c r="AM44" s="14"/>
      <c r="AN44" s="14"/>
    </row>
    <row r="45" ht="15.75" customHeight="1">
      <c r="A45" s="228"/>
      <c r="B45" s="134" t="s">
        <v>117</v>
      </c>
      <c r="C45" s="190"/>
      <c r="D45" s="115" t="s">
        <v>18</v>
      </c>
      <c r="E45" s="134" t="s">
        <v>208</v>
      </c>
      <c r="F45" s="234" t="s">
        <v>316</v>
      </c>
      <c r="G45" s="134"/>
      <c r="H45" s="181">
        <v>46023.0</v>
      </c>
      <c r="I45" s="181">
        <v>46082.0</v>
      </c>
      <c r="J45" s="182">
        <v>1.0</v>
      </c>
      <c r="K45" s="231"/>
      <c r="L45" s="231"/>
      <c r="M45" s="231"/>
      <c r="N45" s="185"/>
      <c r="O45" s="125">
        <v>9000000.0</v>
      </c>
      <c r="P45" s="124">
        <f>SUMIFS('Base datos 2026'!J:J,'Base datos 2026'!A:A,D45,'Base datos 2026'!B:B,F45)</f>
        <v>0</v>
      </c>
      <c r="Q45" s="124">
        <f t="shared" si="10"/>
        <v>9000000</v>
      </c>
      <c r="R45" s="125"/>
      <c r="S45" s="126">
        <f t="shared" si="8"/>
        <v>0</v>
      </c>
      <c r="T45" s="134"/>
      <c r="U45" s="187"/>
      <c r="V45" s="14"/>
      <c r="W45" s="14"/>
      <c r="X45" s="14"/>
      <c r="Y45" s="14"/>
      <c r="Z45" s="14"/>
      <c r="AA45" s="14"/>
      <c r="AB45" s="14"/>
      <c r="AC45" s="14"/>
      <c r="AD45" s="14"/>
      <c r="AE45" s="14"/>
      <c r="AF45" s="14"/>
      <c r="AG45" s="14"/>
      <c r="AH45" s="14"/>
      <c r="AI45" s="14"/>
      <c r="AJ45" s="14"/>
      <c r="AK45" s="14"/>
      <c r="AL45" s="14"/>
      <c r="AM45" s="14"/>
      <c r="AN45" s="14"/>
    </row>
    <row r="46" ht="15.75" hidden="1" customHeight="1">
      <c r="A46" s="228"/>
      <c r="B46" s="134" t="s">
        <v>117</v>
      </c>
      <c r="C46" s="190"/>
      <c r="D46" s="189"/>
      <c r="E46" s="134" t="s">
        <v>208</v>
      </c>
      <c r="F46" s="234" t="s">
        <v>319</v>
      </c>
      <c r="G46" s="229"/>
      <c r="H46" s="230"/>
      <c r="I46" s="230"/>
      <c r="J46" s="182">
        <v>2.0</v>
      </c>
      <c r="K46" s="231"/>
      <c r="L46" s="231"/>
      <c r="M46" s="231"/>
      <c r="N46" s="185"/>
      <c r="O46" s="125">
        <f>T46*190000</f>
        <v>58140000</v>
      </c>
      <c r="P46" s="232"/>
      <c r="Q46" s="124"/>
      <c r="R46" s="126"/>
      <c r="S46" s="126">
        <f t="shared" si="8"/>
        <v>0</v>
      </c>
      <c r="T46" s="134">
        <f>100+206</f>
        <v>306</v>
      </c>
      <c r="U46" s="187" t="s">
        <v>325</v>
      </c>
      <c r="V46" s="14"/>
      <c r="W46" s="14"/>
      <c r="X46" s="14"/>
      <c r="Y46" s="14"/>
      <c r="Z46" s="14"/>
      <c r="AA46" s="14"/>
      <c r="AB46" s="14"/>
      <c r="AC46" s="14"/>
      <c r="AD46" s="14"/>
      <c r="AE46" s="14"/>
      <c r="AF46" s="14"/>
      <c r="AG46" s="14"/>
      <c r="AH46" s="14"/>
      <c r="AI46" s="14"/>
      <c r="AJ46" s="14"/>
      <c r="AK46" s="14"/>
      <c r="AL46" s="14"/>
      <c r="AM46" s="14"/>
      <c r="AN46" s="14"/>
    </row>
    <row r="47" ht="22.5" hidden="1" customHeight="1">
      <c r="A47" s="228"/>
      <c r="B47" s="134" t="s">
        <v>142</v>
      </c>
      <c r="C47" s="190"/>
      <c r="D47" s="189"/>
      <c r="E47" s="134" t="s">
        <v>327</v>
      </c>
      <c r="F47" s="234" t="s">
        <v>328</v>
      </c>
      <c r="G47" s="229"/>
      <c r="H47" s="230"/>
      <c r="I47" s="230"/>
      <c r="J47" s="182">
        <v>2.0</v>
      </c>
      <c r="K47" s="231"/>
      <c r="L47" s="231"/>
      <c r="M47" s="231"/>
      <c r="N47" s="185"/>
      <c r="O47" s="125">
        <v>1.0E8</v>
      </c>
      <c r="P47" s="232"/>
      <c r="Q47" s="124"/>
      <c r="R47" s="126"/>
      <c r="S47" s="126">
        <f t="shared" si="8"/>
        <v>0</v>
      </c>
      <c r="T47" s="134">
        <v>243.33</v>
      </c>
      <c r="U47" s="187" t="s">
        <v>330</v>
      </c>
      <c r="V47" s="14"/>
      <c r="W47" s="14"/>
      <c r="X47" s="14"/>
      <c r="Y47" s="14"/>
      <c r="Z47" s="14"/>
      <c r="AA47" s="14"/>
      <c r="AB47" s="14"/>
      <c r="AC47" s="14"/>
      <c r="AD47" s="14"/>
      <c r="AE47" s="14"/>
      <c r="AF47" s="14"/>
      <c r="AG47" s="14"/>
      <c r="AH47" s="14"/>
      <c r="AI47" s="14"/>
      <c r="AJ47" s="14"/>
      <c r="AK47" s="14"/>
      <c r="AL47" s="14"/>
      <c r="AM47" s="14"/>
      <c r="AN47" s="14"/>
    </row>
    <row r="48" ht="15.75" hidden="1" customHeight="1">
      <c r="A48" s="228"/>
      <c r="B48" s="134" t="s">
        <v>142</v>
      </c>
      <c r="C48" s="190"/>
      <c r="D48" s="189"/>
      <c r="E48" s="134" t="s">
        <v>327</v>
      </c>
      <c r="F48" s="234" t="s">
        <v>331</v>
      </c>
      <c r="G48" s="229"/>
      <c r="H48" s="230"/>
      <c r="I48" s="230"/>
      <c r="J48" s="182">
        <v>2.0</v>
      </c>
      <c r="K48" s="231"/>
      <c r="L48" s="231"/>
      <c r="M48" s="231"/>
      <c r="N48" s="185"/>
      <c r="O48" s="125">
        <v>5.0E7</v>
      </c>
      <c r="P48" s="232"/>
      <c r="Q48" s="124"/>
      <c r="R48" s="126"/>
      <c r="S48" s="126">
        <f t="shared" si="8"/>
        <v>0</v>
      </c>
      <c r="T48" s="134">
        <v>500.0</v>
      </c>
      <c r="U48" s="187" t="s">
        <v>335</v>
      </c>
      <c r="V48" s="14"/>
      <c r="W48" s="14"/>
      <c r="X48" s="14"/>
      <c r="Y48" s="14"/>
      <c r="Z48" s="14"/>
      <c r="AA48" s="14"/>
      <c r="AB48" s="14"/>
      <c r="AC48" s="14"/>
      <c r="AD48" s="14"/>
      <c r="AE48" s="14"/>
      <c r="AF48" s="14"/>
      <c r="AG48" s="14"/>
      <c r="AH48" s="14"/>
      <c r="AI48" s="14"/>
      <c r="AJ48" s="14"/>
      <c r="AK48" s="14"/>
      <c r="AL48" s="14"/>
      <c r="AM48" s="14"/>
      <c r="AN48" s="14"/>
    </row>
    <row r="49" ht="15.75" hidden="1" customHeight="1">
      <c r="A49" s="228"/>
      <c r="B49" s="134" t="s">
        <v>142</v>
      </c>
      <c r="C49" s="190"/>
      <c r="D49" s="189"/>
      <c r="E49" s="134" t="s">
        <v>327</v>
      </c>
      <c r="F49" s="234" t="s">
        <v>337</v>
      </c>
      <c r="G49" s="229"/>
      <c r="H49" s="230"/>
      <c r="I49" s="230"/>
      <c r="J49" s="182">
        <v>2.0</v>
      </c>
      <c r="K49" s="231"/>
      <c r="L49" s="231"/>
      <c r="M49" s="231"/>
      <c r="N49" s="185"/>
      <c r="O49" s="125">
        <v>8.0E7</v>
      </c>
      <c r="P49" s="232"/>
      <c r="Q49" s="124"/>
      <c r="R49" s="126"/>
      <c r="S49" s="126">
        <f t="shared" si="8"/>
        <v>0</v>
      </c>
      <c r="T49" s="134"/>
      <c r="U49" s="187"/>
      <c r="V49" s="14"/>
      <c r="W49" s="14"/>
      <c r="X49" s="14"/>
      <c r="Y49" s="14"/>
      <c r="Z49" s="14"/>
      <c r="AA49" s="14"/>
      <c r="AB49" s="14"/>
      <c r="AC49" s="14"/>
      <c r="AD49" s="14"/>
      <c r="AE49" s="14"/>
      <c r="AF49" s="14"/>
      <c r="AG49" s="14"/>
      <c r="AH49" s="14"/>
      <c r="AI49" s="14"/>
      <c r="AJ49" s="14"/>
      <c r="AK49" s="14"/>
      <c r="AL49" s="14"/>
      <c r="AM49" s="14"/>
      <c r="AN49" s="14"/>
    </row>
    <row r="50" ht="15.75" customHeight="1">
      <c r="A50" s="228"/>
      <c r="B50" s="134" t="s">
        <v>142</v>
      </c>
      <c r="C50" s="190"/>
      <c r="D50" s="115" t="s">
        <v>18</v>
      </c>
      <c r="E50" s="134" t="s">
        <v>343</v>
      </c>
      <c r="F50" s="234" t="s">
        <v>344</v>
      </c>
      <c r="G50" s="134" t="s">
        <v>195</v>
      </c>
      <c r="H50" s="181">
        <v>46023.0</v>
      </c>
      <c r="I50" s="181">
        <v>46143.0</v>
      </c>
      <c r="J50" s="182">
        <v>1.0</v>
      </c>
      <c r="K50" s="231"/>
      <c r="L50" s="231"/>
      <c r="M50" s="231"/>
      <c r="N50" s="185"/>
      <c r="O50" s="125">
        <v>3.4E7</v>
      </c>
      <c r="P50" s="124">
        <f>SUMIFS('Base datos 2026'!J:J,'Base datos 2026'!A:A,D50,'Base datos 2026'!B:B,F50)</f>
        <v>53297921</v>
      </c>
      <c r="Q50" s="124">
        <f>O50-P50</f>
        <v>-19297921</v>
      </c>
      <c r="R50" s="125"/>
      <c r="S50" s="126">
        <f t="shared" si="8"/>
        <v>1.567585912</v>
      </c>
      <c r="T50" s="134">
        <v>100.0</v>
      </c>
      <c r="U50" s="187" t="s">
        <v>345</v>
      </c>
      <c r="V50" s="14"/>
      <c r="W50" s="14"/>
      <c r="X50" s="14"/>
      <c r="Y50" s="14"/>
      <c r="Z50" s="14"/>
      <c r="AA50" s="14"/>
      <c r="AB50" s="14"/>
      <c r="AC50" s="14"/>
      <c r="AD50" s="14"/>
      <c r="AE50" s="14"/>
      <c r="AF50" s="14"/>
      <c r="AG50" s="14"/>
      <c r="AH50" s="14"/>
      <c r="AI50" s="14"/>
      <c r="AJ50" s="14"/>
      <c r="AK50" s="14"/>
      <c r="AL50" s="14"/>
      <c r="AM50" s="14"/>
      <c r="AN50" s="14"/>
    </row>
    <row r="51" ht="15.75" hidden="1" customHeight="1">
      <c r="A51" s="228"/>
      <c r="B51" s="134" t="s">
        <v>135</v>
      </c>
      <c r="C51" s="190"/>
      <c r="D51" s="189"/>
      <c r="E51" s="134" t="s">
        <v>192</v>
      </c>
      <c r="F51" s="234" t="s">
        <v>346</v>
      </c>
      <c r="G51" s="229"/>
      <c r="H51" s="230"/>
      <c r="I51" s="230"/>
      <c r="J51" s="182">
        <v>2.0</v>
      </c>
      <c r="K51" s="231"/>
      <c r="L51" s="231"/>
      <c r="M51" s="231"/>
      <c r="N51" s="185"/>
      <c r="O51" s="125">
        <v>5.0E7</v>
      </c>
      <c r="P51" s="232"/>
      <c r="Q51" s="124"/>
      <c r="R51" s="126"/>
      <c r="S51" s="126">
        <f t="shared" si="8"/>
        <v>0</v>
      </c>
      <c r="T51" s="134">
        <f>(52*4.6)+(38*6)</f>
        <v>467.2</v>
      </c>
      <c r="U51" s="187"/>
      <c r="V51" s="14"/>
      <c r="W51" s="14"/>
      <c r="X51" s="14"/>
      <c r="Y51" s="14"/>
      <c r="Z51" s="14"/>
      <c r="AA51" s="14"/>
      <c r="AB51" s="14"/>
      <c r="AC51" s="14"/>
      <c r="AD51" s="14"/>
      <c r="AE51" s="14"/>
      <c r="AF51" s="14"/>
      <c r="AG51" s="14"/>
      <c r="AH51" s="14"/>
      <c r="AI51" s="14"/>
      <c r="AJ51" s="14"/>
      <c r="AK51" s="14"/>
      <c r="AL51" s="14"/>
      <c r="AM51" s="14"/>
      <c r="AN51" s="14"/>
    </row>
    <row r="52" ht="15.75" customHeight="1">
      <c r="A52" s="228"/>
      <c r="B52" s="134" t="s">
        <v>189</v>
      </c>
      <c r="C52" s="134" t="s">
        <v>189</v>
      </c>
      <c r="D52" s="115" t="s">
        <v>18</v>
      </c>
      <c r="E52" s="134" t="s">
        <v>192</v>
      </c>
      <c r="F52" s="234" t="s">
        <v>348</v>
      </c>
      <c r="G52" s="134" t="s">
        <v>195</v>
      </c>
      <c r="H52" s="181">
        <v>46054.0</v>
      </c>
      <c r="I52" s="181">
        <v>46113.0</v>
      </c>
      <c r="J52" s="182">
        <v>1.0</v>
      </c>
      <c r="K52" s="231"/>
      <c r="L52" s="231"/>
      <c r="M52" s="231"/>
      <c r="N52" s="185"/>
      <c r="O52" s="125">
        <f>20000000-R52</f>
        <v>17300000</v>
      </c>
      <c r="P52" s="124">
        <f>SUMIFS('Base datos 2026'!J:J,'Base datos 2026'!A:A,D52,'Base datos 2026'!B:B,F52)</f>
        <v>16594157</v>
      </c>
      <c r="Q52" s="124">
        <f>O52-P52</f>
        <v>705843</v>
      </c>
      <c r="R52" s="125">
        <v>2700000.0</v>
      </c>
      <c r="S52" s="126">
        <f t="shared" si="8"/>
        <v>0.9591998266</v>
      </c>
      <c r="T52" s="134">
        <v>50.0</v>
      </c>
      <c r="U52" s="187"/>
      <c r="V52" s="14"/>
      <c r="W52" s="14"/>
      <c r="X52" s="14"/>
      <c r="Y52" s="14"/>
      <c r="Z52" s="14"/>
      <c r="AA52" s="14"/>
      <c r="AB52" s="14"/>
      <c r="AC52" s="14"/>
      <c r="AD52" s="14"/>
      <c r="AE52" s="14"/>
      <c r="AF52" s="14"/>
      <c r="AG52" s="14"/>
      <c r="AH52" s="14"/>
      <c r="AI52" s="14"/>
      <c r="AJ52" s="14"/>
      <c r="AK52" s="14"/>
      <c r="AL52" s="14"/>
      <c r="AM52" s="14"/>
      <c r="AN52" s="14"/>
    </row>
    <row r="53" ht="15.75" hidden="1" customHeight="1">
      <c r="A53" s="228"/>
      <c r="B53" s="134" t="s">
        <v>142</v>
      </c>
      <c r="C53" s="190"/>
      <c r="D53" s="189"/>
      <c r="E53" s="134" t="s">
        <v>192</v>
      </c>
      <c r="F53" s="234" t="s">
        <v>355</v>
      </c>
      <c r="G53" s="229"/>
      <c r="H53" s="254"/>
      <c r="I53" s="230"/>
      <c r="J53" s="182">
        <v>2.0</v>
      </c>
      <c r="K53" s="231"/>
      <c r="L53" s="231"/>
      <c r="M53" s="231"/>
      <c r="N53" s="185"/>
      <c r="O53" s="125">
        <v>5.0E7</v>
      </c>
      <c r="P53" s="232"/>
      <c r="Q53" s="124"/>
      <c r="R53" s="126"/>
      <c r="S53" s="126">
        <f t="shared" si="8"/>
        <v>0</v>
      </c>
      <c r="T53" s="134">
        <v>1200.0</v>
      </c>
      <c r="U53" s="187"/>
      <c r="V53" s="14"/>
      <c r="W53" s="14"/>
      <c r="X53" s="14"/>
      <c r="Y53" s="14"/>
      <c r="Z53" s="14"/>
      <c r="AA53" s="14"/>
      <c r="AB53" s="14"/>
      <c r="AC53" s="14"/>
      <c r="AD53" s="14"/>
      <c r="AE53" s="14"/>
      <c r="AF53" s="14"/>
      <c r="AG53" s="14"/>
      <c r="AH53" s="14"/>
      <c r="AI53" s="14"/>
      <c r="AJ53" s="14"/>
      <c r="AK53" s="14"/>
      <c r="AL53" s="14"/>
      <c r="AM53" s="14"/>
      <c r="AN53" s="14"/>
    </row>
    <row r="54" ht="15.75" hidden="1" customHeight="1">
      <c r="A54" s="228"/>
      <c r="B54" s="134" t="s">
        <v>74</v>
      </c>
      <c r="C54" s="190"/>
      <c r="D54" s="189"/>
      <c r="E54" s="134" t="s">
        <v>192</v>
      </c>
      <c r="F54" s="234" t="s">
        <v>358</v>
      </c>
      <c r="G54" s="229"/>
      <c r="H54" s="255"/>
      <c r="I54" s="230"/>
      <c r="J54" s="182">
        <v>2.0</v>
      </c>
      <c r="K54" s="231"/>
      <c r="L54" s="231"/>
      <c r="M54" s="231"/>
      <c r="N54" s="185"/>
      <c r="O54" s="125">
        <v>2.5E7</v>
      </c>
      <c r="P54" s="232"/>
      <c r="Q54" s="124"/>
      <c r="R54" s="126"/>
      <c r="S54" s="126">
        <f t="shared" si="8"/>
        <v>0</v>
      </c>
      <c r="T54" s="134">
        <v>800.0</v>
      </c>
      <c r="U54" s="187"/>
      <c r="V54" s="14"/>
      <c r="W54" s="14"/>
      <c r="X54" s="14"/>
      <c r="Y54" s="14"/>
      <c r="Z54" s="14"/>
      <c r="AA54" s="14"/>
      <c r="AB54" s="14"/>
      <c r="AC54" s="14"/>
      <c r="AD54" s="14"/>
      <c r="AE54" s="14"/>
      <c r="AF54" s="14"/>
      <c r="AG54" s="14"/>
      <c r="AH54" s="14"/>
      <c r="AI54" s="14"/>
      <c r="AJ54" s="14"/>
      <c r="AK54" s="14"/>
      <c r="AL54" s="14"/>
      <c r="AM54" s="14"/>
      <c r="AN54" s="14"/>
    </row>
    <row r="55" ht="15.75" hidden="1" customHeight="1">
      <c r="A55" s="228"/>
      <c r="B55" s="134" t="s">
        <v>142</v>
      </c>
      <c r="C55" s="190"/>
      <c r="D55" s="189"/>
      <c r="E55" s="134" t="s">
        <v>192</v>
      </c>
      <c r="F55" s="234" t="s">
        <v>360</v>
      </c>
      <c r="G55" s="190"/>
      <c r="H55" s="181"/>
      <c r="I55" s="181"/>
      <c r="J55" s="182">
        <v>2.0</v>
      </c>
      <c r="K55" s="231"/>
      <c r="L55" s="231"/>
      <c r="M55" s="231"/>
      <c r="N55" s="185"/>
      <c r="O55" s="125">
        <v>5000000.0</v>
      </c>
      <c r="P55" s="232"/>
      <c r="Q55" s="124"/>
      <c r="R55" s="126"/>
      <c r="S55" s="126">
        <f t="shared" si="8"/>
        <v>0</v>
      </c>
      <c r="T55" s="134"/>
      <c r="U55" s="187" t="s">
        <v>362</v>
      </c>
      <c r="V55" s="14"/>
      <c r="W55" s="14"/>
      <c r="X55" s="14"/>
      <c r="Y55" s="14"/>
      <c r="Z55" s="14"/>
      <c r="AA55" s="14"/>
      <c r="AB55" s="14"/>
      <c r="AC55" s="14"/>
      <c r="AD55" s="14"/>
      <c r="AE55" s="14"/>
      <c r="AF55" s="14"/>
      <c r="AG55" s="14"/>
      <c r="AH55" s="14"/>
      <c r="AI55" s="14"/>
      <c r="AJ55" s="14"/>
      <c r="AK55" s="14"/>
      <c r="AL55" s="14"/>
      <c r="AM55" s="14"/>
      <c r="AN55" s="14"/>
    </row>
    <row r="56" ht="15.75" customHeight="1">
      <c r="A56" s="228"/>
      <c r="B56" s="134" t="s">
        <v>74</v>
      </c>
      <c r="C56" s="134" t="s">
        <v>189</v>
      </c>
      <c r="D56" s="115" t="s">
        <v>18</v>
      </c>
      <c r="E56" s="134" t="s">
        <v>192</v>
      </c>
      <c r="F56" s="257" t="s">
        <v>320</v>
      </c>
      <c r="G56" s="134" t="s">
        <v>195</v>
      </c>
      <c r="H56" s="181">
        <v>46054.0</v>
      </c>
      <c r="I56" s="181">
        <v>46082.0</v>
      </c>
      <c r="J56" s="258">
        <v>1.0</v>
      </c>
      <c r="K56" s="259"/>
      <c r="L56" s="259"/>
      <c r="M56" s="259"/>
      <c r="N56" s="260"/>
      <c r="O56" s="261">
        <f>50000000-R56</f>
        <v>44864047</v>
      </c>
      <c r="P56" s="124">
        <f>SUMIFS('Base datos 2026'!J:J,'Base datos 2026'!A:A,D56,'Base datos 2026'!B:B,F56)</f>
        <v>44864047</v>
      </c>
      <c r="Q56" s="124">
        <f>O56-P56</f>
        <v>0</v>
      </c>
      <c r="R56" s="125">
        <v>5135953.0</v>
      </c>
      <c r="S56" s="126">
        <f t="shared" si="8"/>
        <v>1</v>
      </c>
      <c r="T56" s="134">
        <v>521.64</v>
      </c>
      <c r="U56" s="187" t="s">
        <v>369</v>
      </c>
      <c r="V56" s="14"/>
      <c r="W56" s="14"/>
      <c r="X56" s="14"/>
      <c r="Y56" s="14"/>
      <c r="Z56" s="14"/>
      <c r="AA56" s="14"/>
      <c r="AB56" s="14"/>
      <c r="AC56" s="14"/>
      <c r="AD56" s="14"/>
      <c r="AE56" s="14"/>
      <c r="AF56" s="14"/>
      <c r="AG56" s="14"/>
      <c r="AH56" s="14"/>
      <c r="AI56" s="14"/>
      <c r="AJ56" s="14"/>
      <c r="AK56" s="14"/>
      <c r="AL56" s="14"/>
      <c r="AM56" s="14"/>
      <c r="AN56" s="14"/>
    </row>
    <row r="57" ht="15.75" hidden="1" customHeight="1">
      <c r="A57" s="228"/>
      <c r="B57" s="134" t="s">
        <v>117</v>
      </c>
      <c r="C57" s="228"/>
      <c r="D57" s="189"/>
      <c r="E57" s="134" t="s">
        <v>192</v>
      </c>
      <c r="F57" s="269" t="s">
        <v>370</v>
      </c>
      <c r="G57" s="270"/>
      <c r="H57" s="271"/>
      <c r="I57" s="271"/>
      <c r="J57" s="272">
        <v>2.0</v>
      </c>
      <c r="K57" s="231"/>
      <c r="L57" s="231"/>
      <c r="M57" s="231"/>
      <c r="N57" s="231"/>
      <c r="O57" s="274">
        <f>T57*120000</f>
        <v>48120000</v>
      </c>
      <c r="P57" s="232"/>
      <c r="Q57" s="124"/>
      <c r="R57" s="126"/>
      <c r="S57" s="126">
        <f t="shared" si="8"/>
        <v>0</v>
      </c>
      <c r="T57" s="134">
        <f>180+221</f>
        <v>401</v>
      </c>
      <c r="U57" s="187" t="s">
        <v>372</v>
      </c>
      <c r="V57" s="14"/>
      <c r="W57" s="14"/>
      <c r="X57" s="14"/>
      <c r="Y57" s="14"/>
      <c r="Z57" s="14"/>
      <c r="AA57" s="14"/>
      <c r="AB57" s="14"/>
      <c r="AC57" s="14"/>
      <c r="AD57" s="14"/>
      <c r="AE57" s="14"/>
      <c r="AF57" s="14"/>
      <c r="AG57" s="14"/>
      <c r="AH57" s="14"/>
      <c r="AI57" s="14"/>
      <c r="AJ57" s="14"/>
      <c r="AK57" s="14"/>
      <c r="AL57" s="14"/>
      <c r="AM57" s="14"/>
      <c r="AN57" s="14"/>
    </row>
    <row r="58" ht="15.75" customHeight="1">
      <c r="A58" s="228"/>
      <c r="B58" s="134" t="s">
        <v>207</v>
      </c>
      <c r="C58" s="190"/>
      <c r="D58" s="115" t="s">
        <v>18</v>
      </c>
      <c r="E58" s="134" t="s">
        <v>192</v>
      </c>
      <c r="F58" s="276" t="s">
        <v>374</v>
      </c>
      <c r="G58" s="190"/>
      <c r="H58" s="181">
        <v>46082.0</v>
      </c>
      <c r="I58" s="181">
        <v>46327.0</v>
      </c>
      <c r="J58" s="182">
        <v>1.0</v>
      </c>
      <c r="K58" s="231"/>
      <c r="L58" s="231"/>
      <c r="M58" s="231"/>
      <c r="N58" s="185"/>
      <c r="O58" s="125">
        <v>6000000.0</v>
      </c>
      <c r="P58" s="124">
        <f>SUMIFS('Base datos 2026'!J:J,'Base datos 2026'!A:A,D58,'Base datos 2026'!B:B,F58)</f>
        <v>0</v>
      </c>
      <c r="Q58" s="124">
        <f t="shared" ref="Q58:Q60" si="11">O58-P58</f>
        <v>6000000</v>
      </c>
      <c r="R58" s="125"/>
      <c r="S58" s="126">
        <f t="shared" si="8"/>
        <v>0</v>
      </c>
      <c r="T58" s="134"/>
      <c r="U58" s="187" t="s">
        <v>380</v>
      </c>
      <c r="V58" s="14"/>
      <c r="W58" s="14"/>
      <c r="X58" s="14"/>
      <c r="Y58" s="14"/>
      <c r="Z58" s="14"/>
      <c r="AA58" s="14"/>
      <c r="AB58" s="14"/>
      <c r="AC58" s="14"/>
      <c r="AD58" s="14"/>
      <c r="AE58" s="14"/>
      <c r="AF58" s="14"/>
      <c r="AG58" s="14"/>
      <c r="AH58" s="14"/>
      <c r="AI58" s="14"/>
      <c r="AJ58" s="14"/>
      <c r="AK58" s="14"/>
      <c r="AL58" s="14"/>
      <c r="AM58" s="14"/>
      <c r="AN58" s="14"/>
    </row>
    <row r="59" ht="22.5" customHeight="1">
      <c r="A59" s="228"/>
      <c r="B59" s="134" t="s">
        <v>74</v>
      </c>
      <c r="C59" s="134" t="s">
        <v>189</v>
      </c>
      <c r="D59" s="115" t="s">
        <v>18</v>
      </c>
      <c r="E59" s="134" t="s">
        <v>174</v>
      </c>
      <c r="F59" s="149" t="s">
        <v>312</v>
      </c>
      <c r="G59" s="134" t="s">
        <v>195</v>
      </c>
      <c r="H59" s="181">
        <v>46054.0</v>
      </c>
      <c r="I59" s="181">
        <v>46113.0</v>
      </c>
      <c r="J59" s="182">
        <v>1.0</v>
      </c>
      <c r="K59" s="231"/>
      <c r="L59" s="231"/>
      <c r="M59" s="231"/>
      <c r="N59" s="185"/>
      <c r="O59" s="125">
        <f>150000000-R59</f>
        <v>103241855</v>
      </c>
      <c r="P59" s="124">
        <f>SUMIFS('Base datos 2026'!J:J,'Base datos 2026'!A:A,D59,'Base datos 2026'!B:B,F59)</f>
        <v>103241855</v>
      </c>
      <c r="Q59" s="124">
        <f t="shared" si="11"/>
        <v>0</v>
      </c>
      <c r="R59" s="125">
        <v>4.6758145E7</v>
      </c>
      <c r="S59" s="126">
        <f t="shared" si="8"/>
        <v>1</v>
      </c>
      <c r="T59" s="134"/>
      <c r="U59" s="187" t="s">
        <v>383</v>
      </c>
      <c r="V59" s="14"/>
      <c r="W59" s="14"/>
      <c r="X59" s="14"/>
      <c r="Y59" s="14"/>
      <c r="Z59" s="14"/>
      <c r="AA59" s="14"/>
      <c r="AB59" s="14"/>
      <c r="AC59" s="14"/>
      <c r="AD59" s="14"/>
      <c r="AE59" s="14"/>
      <c r="AF59" s="14"/>
      <c r="AG59" s="14"/>
      <c r="AH59" s="14"/>
      <c r="AI59" s="14"/>
      <c r="AJ59" s="14"/>
      <c r="AK59" s="14"/>
      <c r="AL59" s="14"/>
      <c r="AM59" s="14"/>
      <c r="AN59" s="14"/>
    </row>
    <row r="60" ht="15.75" customHeight="1">
      <c r="A60" s="228"/>
      <c r="B60" s="134" t="s">
        <v>144</v>
      </c>
      <c r="C60" s="190"/>
      <c r="D60" s="115" t="s">
        <v>18</v>
      </c>
      <c r="E60" s="134" t="s">
        <v>174</v>
      </c>
      <c r="F60" s="149" t="s">
        <v>387</v>
      </c>
      <c r="G60" s="134"/>
      <c r="H60" s="181">
        <v>46054.0</v>
      </c>
      <c r="I60" s="181">
        <v>46235.0</v>
      </c>
      <c r="J60" s="182">
        <v>1.0</v>
      </c>
      <c r="K60" s="231"/>
      <c r="L60" s="231"/>
      <c r="M60" s="231"/>
      <c r="N60" s="185"/>
      <c r="O60" s="125">
        <f>T60*40000*3</f>
        <v>64987200</v>
      </c>
      <c r="P60" s="124">
        <f>SUMIFS('Base datos 2026'!J:J,'Base datos 2026'!A:A,D60,'Base datos 2026'!B:B,F60)</f>
        <v>0</v>
      </c>
      <c r="Q60" s="124">
        <f t="shared" si="11"/>
        <v>64987200</v>
      </c>
      <c r="R60" s="125"/>
      <c r="S60" s="126">
        <f t="shared" si="8"/>
        <v>0</v>
      </c>
      <c r="T60" s="134">
        <f>328.27+213.29</f>
        <v>541.56</v>
      </c>
      <c r="U60" s="187" t="s">
        <v>390</v>
      </c>
      <c r="V60" s="14"/>
      <c r="W60" s="14"/>
      <c r="X60" s="14"/>
      <c r="Y60" s="14"/>
      <c r="Z60" s="14"/>
      <c r="AA60" s="14"/>
      <c r="AB60" s="14"/>
      <c r="AC60" s="14"/>
      <c r="AD60" s="14"/>
      <c r="AE60" s="14"/>
      <c r="AF60" s="14"/>
      <c r="AG60" s="14"/>
      <c r="AH60" s="14"/>
      <c r="AI60" s="14"/>
      <c r="AJ60" s="14"/>
      <c r="AK60" s="14"/>
      <c r="AL60" s="14"/>
      <c r="AM60" s="14"/>
      <c r="AN60" s="14"/>
    </row>
    <row r="61" ht="22.5" hidden="1" customHeight="1">
      <c r="A61" s="228"/>
      <c r="B61" s="134" t="s">
        <v>117</v>
      </c>
      <c r="C61" s="190"/>
      <c r="D61" s="189"/>
      <c r="E61" s="134" t="s">
        <v>174</v>
      </c>
      <c r="F61" s="149" t="s">
        <v>391</v>
      </c>
      <c r="G61" s="190"/>
      <c r="H61" s="277"/>
      <c r="I61" s="278"/>
      <c r="J61" s="182">
        <v>2.0</v>
      </c>
      <c r="K61" s="123"/>
      <c r="L61" s="123"/>
      <c r="M61" s="185"/>
      <c r="N61" s="279"/>
      <c r="O61" s="125">
        <v>6.5E7</v>
      </c>
      <c r="P61" s="232"/>
      <c r="Q61" s="124"/>
      <c r="R61" s="126"/>
      <c r="S61" s="126">
        <f t="shared" si="8"/>
        <v>0</v>
      </c>
      <c r="T61" s="134">
        <v>187.2</v>
      </c>
      <c r="U61" s="187" t="s">
        <v>393</v>
      </c>
      <c r="V61" s="14"/>
      <c r="W61" s="14"/>
      <c r="X61" s="14"/>
      <c r="Y61" s="14"/>
      <c r="Z61" s="14"/>
      <c r="AA61" s="14"/>
      <c r="AB61" s="14"/>
      <c r="AC61" s="14"/>
      <c r="AD61" s="14"/>
      <c r="AE61" s="14"/>
      <c r="AF61" s="14"/>
      <c r="AG61" s="14"/>
      <c r="AH61" s="14"/>
      <c r="AI61" s="14"/>
      <c r="AJ61" s="14"/>
      <c r="AK61" s="14"/>
      <c r="AL61" s="14"/>
      <c r="AM61" s="14"/>
      <c r="AN61" s="14"/>
    </row>
    <row r="62" ht="22.5" hidden="1" customHeight="1">
      <c r="A62" s="228"/>
      <c r="B62" s="134" t="s">
        <v>117</v>
      </c>
      <c r="C62" s="190"/>
      <c r="D62" s="189"/>
      <c r="E62" s="134" t="s">
        <v>174</v>
      </c>
      <c r="F62" s="149" t="s">
        <v>395</v>
      </c>
      <c r="G62" s="229"/>
      <c r="H62" s="230"/>
      <c r="I62" s="230"/>
      <c r="J62" s="182">
        <v>2.0</v>
      </c>
      <c r="K62" s="231"/>
      <c r="L62" s="231"/>
      <c r="M62" s="231"/>
      <c r="N62" s="185"/>
      <c r="O62" s="125">
        <f>T62*199000</f>
        <v>53391700</v>
      </c>
      <c r="P62" s="232"/>
      <c r="Q62" s="152"/>
      <c r="R62" s="126"/>
      <c r="S62" s="126">
        <f t="shared" si="8"/>
        <v>0</v>
      </c>
      <c r="T62" s="134">
        <f>(26.7*4)+(33.7*4)+26.7</f>
        <v>268.3</v>
      </c>
      <c r="U62" s="187" t="s">
        <v>396</v>
      </c>
      <c r="V62" s="14"/>
      <c r="W62" s="14"/>
      <c r="X62" s="14"/>
      <c r="Y62" s="14"/>
      <c r="Z62" s="14"/>
      <c r="AA62" s="14"/>
      <c r="AB62" s="14"/>
      <c r="AC62" s="14"/>
      <c r="AD62" s="14"/>
      <c r="AE62" s="14"/>
      <c r="AF62" s="14"/>
      <c r="AG62" s="14"/>
      <c r="AH62" s="14"/>
      <c r="AI62" s="14"/>
      <c r="AJ62" s="14"/>
      <c r="AK62" s="14"/>
      <c r="AL62" s="14"/>
      <c r="AM62" s="14"/>
      <c r="AN62" s="14"/>
    </row>
    <row r="63" ht="22.5" customHeight="1">
      <c r="A63" s="228"/>
      <c r="B63" s="134" t="s">
        <v>101</v>
      </c>
      <c r="C63" s="134" t="s">
        <v>147</v>
      </c>
      <c r="D63" s="115" t="s">
        <v>18</v>
      </c>
      <c r="E63" s="134" t="s">
        <v>174</v>
      </c>
      <c r="F63" s="149" t="s">
        <v>397</v>
      </c>
      <c r="G63" s="134" t="s">
        <v>195</v>
      </c>
      <c r="H63" s="181">
        <v>46023.0</v>
      </c>
      <c r="I63" s="181">
        <v>46082.0</v>
      </c>
      <c r="J63" s="182">
        <v>1.0</v>
      </c>
      <c r="K63" s="231"/>
      <c r="L63" s="231"/>
      <c r="M63" s="231"/>
      <c r="N63" s="185"/>
      <c r="O63" s="125">
        <f>30000000+15000000</f>
        <v>45000000</v>
      </c>
      <c r="P63" s="124">
        <f>SUMIFS('Base datos 2026'!J:J,'Base datos 2026'!A:A,D63,'Base datos 2026'!B:B,F63)</f>
        <v>57436579</v>
      </c>
      <c r="Q63" s="124">
        <f>O63-P63</f>
        <v>-12436579</v>
      </c>
      <c r="R63" s="125"/>
      <c r="S63" s="126">
        <f t="shared" si="8"/>
        <v>1.276368422</v>
      </c>
      <c r="T63" s="134"/>
      <c r="U63" s="187" t="s">
        <v>398</v>
      </c>
      <c r="V63" s="14"/>
      <c r="W63" s="14"/>
      <c r="X63" s="14"/>
      <c r="Y63" s="14"/>
      <c r="Z63" s="14"/>
      <c r="AA63" s="14"/>
      <c r="AB63" s="14"/>
      <c r="AC63" s="14"/>
      <c r="AD63" s="14"/>
      <c r="AE63" s="14"/>
      <c r="AF63" s="14"/>
      <c r="AG63" s="14"/>
      <c r="AH63" s="14"/>
      <c r="AI63" s="14"/>
      <c r="AJ63" s="14"/>
      <c r="AK63" s="14"/>
      <c r="AL63" s="14"/>
      <c r="AM63" s="14"/>
      <c r="AN63" s="14"/>
    </row>
    <row r="64" ht="15.75" hidden="1" customHeight="1">
      <c r="A64" s="228"/>
      <c r="B64" s="134" t="s">
        <v>144</v>
      </c>
      <c r="C64" s="190"/>
      <c r="D64" s="189"/>
      <c r="E64" s="134" t="s">
        <v>174</v>
      </c>
      <c r="F64" s="149" t="s">
        <v>400</v>
      </c>
      <c r="G64" s="229"/>
      <c r="H64" s="230"/>
      <c r="I64" s="230"/>
      <c r="J64" s="182">
        <v>2.0</v>
      </c>
      <c r="K64" s="231"/>
      <c r="L64" s="231"/>
      <c r="M64" s="231"/>
      <c r="N64" s="185"/>
      <c r="O64" s="125">
        <f>((103329+20612)*1000)*1.3</f>
        <v>161123300</v>
      </c>
      <c r="P64" s="232"/>
      <c r="Q64" s="123"/>
      <c r="R64" s="126"/>
      <c r="S64" s="126">
        <f t="shared" si="8"/>
        <v>0</v>
      </c>
      <c r="T64" s="134"/>
      <c r="U64" s="187" t="s">
        <v>402</v>
      </c>
      <c r="V64" s="14"/>
      <c r="W64" s="14"/>
      <c r="X64" s="14"/>
      <c r="Y64" s="14"/>
      <c r="Z64" s="14"/>
      <c r="AA64" s="14"/>
      <c r="AB64" s="14"/>
      <c r="AC64" s="14"/>
      <c r="AD64" s="14"/>
      <c r="AE64" s="14"/>
      <c r="AF64" s="14"/>
      <c r="AG64" s="14"/>
      <c r="AH64" s="14"/>
      <c r="AI64" s="14"/>
      <c r="AJ64" s="14"/>
      <c r="AK64" s="14"/>
      <c r="AL64" s="14"/>
      <c r="AM64" s="14"/>
      <c r="AN64" s="14"/>
    </row>
    <row r="65" ht="15.75" hidden="1" customHeight="1">
      <c r="A65" s="228"/>
      <c r="B65" s="134" t="s">
        <v>144</v>
      </c>
      <c r="C65" s="190"/>
      <c r="D65" s="189"/>
      <c r="E65" s="134" t="s">
        <v>174</v>
      </c>
      <c r="F65" s="149" t="s">
        <v>403</v>
      </c>
      <c r="G65" s="229"/>
      <c r="H65" s="230"/>
      <c r="I65" s="230"/>
      <c r="J65" s="182">
        <v>2.0</v>
      </c>
      <c r="K65" s="231"/>
      <c r="L65" s="231"/>
      <c r="M65" s="231"/>
      <c r="N65" s="185"/>
      <c r="O65" s="125">
        <f>T65*14*40000</f>
        <v>56235200</v>
      </c>
      <c r="P65" s="232"/>
      <c r="Q65" s="123"/>
      <c r="R65" s="126"/>
      <c r="S65" s="126">
        <f t="shared" si="8"/>
        <v>0</v>
      </c>
      <c r="T65" s="134">
        <f>55.69+44.73</f>
        <v>100.42</v>
      </c>
      <c r="U65" s="187" t="s">
        <v>404</v>
      </c>
      <c r="V65" s="14"/>
      <c r="W65" s="14"/>
      <c r="X65" s="14"/>
      <c r="Y65" s="14"/>
      <c r="Z65" s="14"/>
      <c r="AA65" s="14"/>
      <c r="AB65" s="14"/>
      <c r="AC65" s="14"/>
      <c r="AD65" s="14"/>
      <c r="AE65" s="14"/>
      <c r="AF65" s="14"/>
      <c r="AG65" s="14"/>
      <c r="AH65" s="14"/>
      <c r="AI65" s="14"/>
      <c r="AJ65" s="14"/>
      <c r="AK65" s="14"/>
      <c r="AL65" s="14"/>
      <c r="AM65" s="14"/>
      <c r="AN65" s="14"/>
    </row>
    <row r="66" ht="15.75" hidden="1" customHeight="1">
      <c r="A66" s="228"/>
      <c r="B66" s="134" t="s">
        <v>117</v>
      </c>
      <c r="C66" s="190"/>
      <c r="D66" s="189"/>
      <c r="E66" s="134" t="s">
        <v>174</v>
      </c>
      <c r="F66" s="149" t="s">
        <v>405</v>
      </c>
      <c r="G66" s="229"/>
      <c r="H66" s="230"/>
      <c r="I66" s="230"/>
      <c r="J66" s="182">
        <v>2.0</v>
      </c>
      <c r="K66" s="231"/>
      <c r="L66" s="231"/>
      <c r="M66" s="231"/>
      <c r="N66" s="185"/>
      <c r="O66" s="125">
        <v>5.0E7</v>
      </c>
      <c r="P66" s="232"/>
      <c r="Q66" s="123"/>
      <c r="R66" s="126"/>
      <c r="S66" s="126">
        <f t="shared" si="8"/>
        <v>0</v>
      </c>
      <c r="T66" s="134"/>
      <c r="U66" s="187"/>
      <c r="V66" s="14"/>
      <c r="W66" s="14"/>
      <c r="X66" s="14"/>
      <c r="Y66" s="14"/>
      <c r="Z66" s="14"/>
      <c r="AA66" s="14"/>
      <c r="AB66" s="14"/>
      <c r="AC66" s="14"/>
      <c r="AD66" s="14"/>
      <c r="AE66" s="14"/>
      <c r="AF66" s="14"/>
      <c r="AG66" s="14"/>
      <c r="AH66" s="14"/>
      <c r="AI66" s="14"/>
      <c r="AJ66" s="14"/>
      <c r="AK66" s="14"/>
      <c r="AL66" s="14"/>
      <c r="AM66" s="14"/>
      <c r="AN66" s="14"/>
    </row>
    <row r="67" ht="15.75" hidden="1" customHeight="1">
      <c r="A67" s="228"/>
      <c r="B67" s="134" t="s">
        <v>101</v>
      </c>
      <c r="C67" s="190"/>
      <c r="D67" s="189"/>
      <c r="E67" s="134" t="s">
        <v>174</v>
      </c>
      <c r="F67" s="149" t="s">
        <v>407</v>
      </c>
      <c r="G67" s="233"/>
      <c r="H67" s="230"/>
      <c r="I67" s="230"/>
      <c r="J67" s="182">
        <v>2.0</v>
      </c>
      <c r="K67" s="231"/>
      <c r="L67" s="231"/>
      <c r="M67" s="231"/>
      <c r="N67" s="185"/>
      <c r="O67" s="125">
        <f>155000000</f>
        <v>155000000</v>
      </c>
      <c r="P67" s="232"/>
      <c r="Q67" s="123"/>
      <c r="R67" s="126"/>
      <c r="S67" s="126">
        <f t="shared" si="8"/>
        <v>0</v>
      </c>
      <c r="T67" s="134"/>
      <c r="U67" s="187"/>
      <c r="V67" s="14"/>
      <c r="W67" s="14"/>
      <c r="X67" s="14"/>
      <c r="Y67" s="14"/>
      <c r="Z67" s="14"/>
      <c r="AA67" s="14"/>
      <c r="AB67" s="14"/>
      <c r="AC67" s="14"/>
      <c r="AD67" s="14"/>
      <c r="AE67" s="14"/>
      <c r="AF67" s="14"/>
      <c r="AG67" s="14"/>
      <c r="AH67" s="14"/>
      <c r="AI67" s="14"/>
      <c r="AJ67" s="14"/>
      <c r="AK67" s="14"/>
      <c r="AL67" s="14"/>
      <c r="AM67" s="14"/>
      <c r="AN67" s="14"/>
    </row>
    <row r="68" ht="15.75" hidden="1" customHeight="1">
      <c r="A68" s="228"/>
      <c r="B68" s="134" t="s">
        <v>101</v>
      </c>
      <c r="C68" s="190"/>
      <c r="D68" s="189"/>
      <c r="E68" s="134" t="s">
        <v>174</v>
      </c>
      <c r="F68" s="149" t="s">
        <v>408</v>
      </c>
      <c r="G68" s="233"/>
      <c r="H68" s="230"/>
      <c r="I68" s="230"/>
      <c r="J68" s="182">
        <v>2.0</v>
      </c>
      <c r="K68" s="231"/>
      <c r="L68" s="231"/>
      <c r="M68" s="231"/>
      <c r="N68" s="185"/>
      <c r="O68" s="125">
        <f>165000000</f>
        <v>165000000</v>
      </c>
      <c r="P68" s="232"/>
      <c r="Q68" s="123"/>
      <c r="R68" s="126"/>
      <c r="S68" s="126">
        <f t="shared" si="8"/>
        <v>0</v>
      </c>
      <c r="T68" s="134"/>
      <c r="U68" s="187"/>
      <c r="V68" s="14"/>
      <c r="W68" s="14"/>
      <c r="X68" s="14"/>
      <c r="Y68" s="14"/>
      <c r="Z68" s="14"/>
      <c r="AA68" s="14"/>
      <c r="AB68" s="14"/>
      <c r="AC68" s="14"/>
      <c r="AD68" s="14"/>
      <c r="AE68" s="14"/>
      <c r="AF68" s="14"/>
      <c r="AG68" s="14"/>
      <c r="AH68" s="14"/>
      <c r="AI68" s="14"/>
      <c r="AJ68" s="14"/>
      <c r="AK68" s="14"/>
      <c r="AL68" s="14"/>
      <c r="AM68" s="14"/>
      <c r="AN68" s="14"/>
    </row>
    <row r="69" ht="15.75" hidden="1" customHeight="1">
      <c r="A69" s="228"/>
      <c r="B69" s="134" t="s">
        <v>101</v>
      </c>
      <c r="C69" s="190"/>
      <c r="D69" s="189"/>
      <c r="E69" s="134" t="s">
        <v>174</v>
      </c>
      <c r="F69" s="149" t="s">
        <v>410</v>
      </c>
      <c r="G69" s="233"/>
      <c r="H69" s="230"/>
      <c r="I69" s="230"/>
      <c r="J69" s="182">
        <v>2.0</v>
      </c>
      <c r="K69" s="231"/>
      <c r="L69" s="231"/>
      <c r="M69" s="231"/>
      <c r="N69" s="185"/>
      <c r="O69" s="125">
        <f>210000000</f>
        <v>210000000</v>
      </c>
      <c r="P69" s="232"/>
      <c r="Q69" s="123"/>
      <c r="R69" s="126"/>
      <c r="S69" s="126">
        <f t="shared" si="8"/>
        <v>0</v>
      </c>
      <c r="T69" s="134"/>
      <c r="U69" s="187"/>
      <c r="V69" s="14"/>
      <c r="W69" s="14"/>
      <c r="X69" s="14"/>
      <c r="Y69" s="14"/>
      <c r="Z69" s="14"/>
      <c r="AA69" s="14"/>
      <c r="AB69" s="14"/>
      <c r="AC69" s="14"/>
      <c r="AD69" s="14"/>
      <c r="AE69" s="14"/>
      <c r="AF69" s="14"/>
      <c r="AG69" s="14"/>
      <c r="AH69" s="14"/>
      <c r="AI69" s="14"/>
      <c r="AJ69" s="14"/>
      <c r="AK69" s="14"/>
      <c r="AL69" s="14"/>
      <c r="AM69" s="14"/>
      <c r="AN69" s="14"/>
    </row>
    <row r="70" ht="15.75" customHeight="1">
      <c r="A70" s="228"/>
      <c r="B70" s="134" t="s">
        <v>144</v>
      </c>
      <c r="C70" s="190"/>
      <c r="D70" s="115" t="s">
        <v>18</v>
      </c>
      <c r="E70" s="134" t="s">
        <v>411</v>
      </c>
      <c r="F70" s="149" t="s">
        <v>412</v>
      </c>
      <c r="G70" s="134"/>
      <c r="H70" s="181">
        <v>46082.0</v>
      </c>
      <c r="I70" s="181">
        <v>46327.0</v>
      </c>
      <c r="J70" s="182">
        <v>1.0</v>
      </c>
      <c r="K70" s="231"/>
      <c r="L70" s="231"/>
      <c r="M70" s="231"/>
      <c r="N70" s="185"/>
      <c r="O70" s="125">
        <f>178319*140</f>
        <v>24964660</v>
      </c>
      <c r="P70" s="124">
        <f>SUMIFS('Base datos 2026'!J:J,'Base datos 2026'!A:A,D70,'Base datos 2026'!B:B,F70)</f>
        <v>10274694</v>
      </c>
      <c r="Q70" s="124">
        <f>O70-P70</f>
        <v>14689966</v>
      </c>
      <c r="R70" s="125"/>
      <c r="S70" s="126">
        <f t="shared" si="8"/>
        <v>0.4115695547</v>
      </c>
      <c r="T70" s="134"/>
      <c r="U70" s="187" t="s">
        <v>417</v>
      </c>
      <c r="V70" s="14"/>
      <c r="W70" s="14"/>
      <c r="X70" s="14"/>
      <c r="Y70" s="14"/>
      <c r="Z70" s="14"/>
      <c r="AA70" s="14"/>
      <c r="AB70" s="14"/>
      <c r="AC70" s="14"/>
      <c r="AD70" s="14"/>
      <c r="AE70" s="14"/>
      <c r="AF70" s="14"/>
      <c r="AG70" s="14"/>
      <c r="AH70" s="14"/>
      <c r="AI70" s="14"/>
      <c r="AJ70" s="14"/>
      <c r="AK70" s="14"/>
      <c r="AL70" s="14"/>
      <c r="AM70" s="14"/>
      <c r="AN70" s="14"/>
    </row>
    <row r="71" ht="15.75" hidden="1" customHeight="1">
      <c r="A71" s="228"/>
      <c r="B71" s="134" t="s">
        <v>101</v>
      </c>
      <c r="C71" s="190"/>
      <c r="D71" s="189"/>
      <c r="E71" s="134" t="s">
        <v>411</v>
      </c>
      <c r="F71" s="149" t="s">
        <v>428</v>
      </c>
      <c r="G71" s="233"/>
      <c r="H71" s="230"/>
      <c r="I71" s="230"/>
      <c r="J71" s="182">
        <v>2.0</v>
      </c>
      <c r="K71" s="231"/>
      <c r="L71" s="231"/>
      <c r="M71" s="231"/>
      <c r="N71" s="185"/>
      <c r="O71" s="125">
        <v>7.0E7</v>
      </c>
      <c r="P71" s="232"/>
      <c r="Q71" s="123"/>
      <c r="R71" s="126"/>
      <c r="S71" s="126">
        <f t="shared" si="8"/>
        <v>0</v>
      </c>
      <c r="T71" s="134"/>
      <c r="U71" s="187"/>
      <c r="V71" s="14"/>
      <c r="W71" s="14"/>
      <c r="X71" s="14"/>
      <c r="Y71" s="14"/>
      <c r="Z71" s="14"/>
      <c r="AA71" s="14"/>
      <c r="AB71" s="14"/>
      <c r="AC71" s="14"/>
      <c r="AD71" s="14"/>
      <c r="AE71" s="14"/>
      <c r="AF71" s="14"/>
      <c r="AG71" s="14"/>
      <c r="AH71" s="14"/>
      <c r="AI71" s="14"/>
      <c r="AJ71" s="14"/>
      <c r="AK71" s="14"/>
      <c r="AL71" s="14"/>
      <c r="AM71" s="14"/>
      <c r="AN71" s="14"/>
    </row>
    <row r="72" ht="15.75" customHeight="1">
      <c r="A72" s="228"/>
      <c r="B72" s="134" t="s">
        <v>101</v>
      </c>
      <c r="C72" s="190"/>
      <c r="D72" s="189"/>
      <c r="E72" s="134" t="s">
        <v>411</v>
      </c>
      <c r="F72" s="149" t="s">
        <v>440</v>
      </c>
      <c r="G72" s="233"/>
      <c r="H72" s="230"/>
      <c r="I72" s="230"/>
      <c r="J72" s="182">
        <v>3.0</v>
      </c>
      <c r="K72" s="231"/>
      <c r="L72" s="231"/>
      <c r="M72" s="231"/>
      <c r="N72" s="185"/>
      <c r="O72" s="125">
        <v>2.5E7</v>
      </c>
      <c r="P72" s="232"/>
      <c r="Q72" s="123"/>
      <c r="R72" s="125"/>
      <c r="S72" s="126">
        <f t="shared" si="8"/>
        <v>0</v>
      </c>
      <c r="T72" s="134"/>
      <c r="U72" s="187"/>
      <c r="V72" s="14"/>
      <c r="W72" s="14"/>
      <c r="X72" s="14"/>
      <c r="Y72" s="14"/>
      <c r="Z72" s="14"/>
      <c r="AA72" s="14"/>
      <c r="AB72" s="14"/>
      <c r="AC72" s="14"/>
      <c r="AD72" s="14"/>
      <c r="AE72" s="14"/>
      <c r="AF72" s="14"/>
      <c r="AG72" s="14"/>
      <c r="AH72" s="14"/>
      <c r="AI72" s="14"/>
      <c r="AJ72" s="14"/>
      <c r="AK72" s="14"/>
      <c r="AL72" s="14"/>
      <c r="AM72" s="14"/>
      <c r="AN72" s="14"/>
    </row>
    <row r="73" ht="15.75" customHeight="1">
      <c r="A73" s="228"/>
      <c r="B73" s="134" t="s">
        <v>101</v>
      </c>
      <c r="C73" s="190"/>
      <c r="D73" s="189"/>
      <c r="E73" s="134" t="s">
        <v>411</v>
      </c>
      <c r="F73" s="149" t="s">
        <v>452</v>
      </c>
      <c r="G73" s="233"/>
      <c r="H73" s="230"/>
      <c r="I73" s="230"/>
      <c r="J73" s="182">
        <v>3.0</v>
      </c>
      <c r="K73" s="231"/>
      <c r="L73" s="231"/>
      <c r="M73" s="231"/>
      <c r="N73" s="185"/>
      <c r="O73" s="125">
        <v>2.5E7</v>
      </c>
      <c r="P73" s="232"/>
      <c r="Q73" s="123"/>
      <c r="R73" s="125"/>
      <c r="S73" s="126">
        <f t="shared" si="8"/>
        <v>0</v>
      </c>
      <c r="T73" s="134"/>
      <c r="U73" s="187"/>
      <c r="V73" s="14"/>
      <c r="W73" s="14"/>
      <c r="X73" s="14"/>
      <c r="Y73" s="14"/>
      <c r="Z73" s="14"/>
      <c r="AA73" s="14"/>
      <c r="AB73" s="14"/>
      <c r="AC73" s="14"/>
      <c r="AD73" s="14"/>
      <c r="AE73" s="14"/>
      <c r="AF73" s="14"/>
      <c r="AG73" s="14"/>
      <c r="AH73" s="14"/>
      <c r="AI73" s="14"/>
      <c r="AJ73" s="14"/>
      <c r="AK73" s="14"/>
      <c r="AL73" s="14"/>
      <c r="AM73" s="14"/>
      <c r="AN73" s="14"/>
    </row>
    <row r="74" ht="15.75" customHeight="1">
      <c r="A74" s="228"/>
      <c r="B74" s="134" t="s">
        <v>101</v>
      </c>
      <c r="C74" s="190"/>
      <c r="D74" s="189"/>
      <c r="E74" s="134" t="s">
        <v>411</v>
      </c>
      <c r="F74" s="149" t="s">
        <v>469</v>
      </c>
      <c r="G74" s="327"/>
      <c r="H74" s="328"/>
      <c r="I74" s="328"/>
      <c r="J74" s="182">
        <v>3.0</v>
      </c>
      <c r="K74" s="329"/>
      <c r="L74" s="329"/>
      <c r="M74" s="329"/>
      <c r="N74" s="329"/>
      <c r="O74" s="125">
        <v>3.0E7</v>
      </c>
      <c r="P74" s="232"/>
      <c r="Q74" s="123"/>
      <c r="R74" s="125"/>
      <c r="S74" s="126">
        <f t="shared" si="8"/>
        <v>0</v>
      </c>
      <c r="T74" s="134"/>
      <c r="U74" s="187"/>
      <c r="V74" s="14"/>
      <c r="W74" s="14"/>
      <c r="X74" s="14"/>
      <c r="Y74" s="14"/>
      <c r="Z74" s="14"/>
      <c r="AA74" s="14"/>
      <c r="AB74" s="14"/>
      <c r="AC74" s="14"/>
      <c r="AD74" s="14"/>
      <c r="AE74" s="14"/>
      <c r="AF74" s="14"/>
      <c r="AG74" s="14"/>
      <c r="AH74" s="14"/>
      <c r="AI74" s="14"/>
      <c r="AJ74" s="14"/>
      <c r="AK74" s="14"/>
      <c r="AL74" s="14"/>
      <c r="AM74" s="14"/>
      <c r="AN74" s="14"/>
    </row>
    <row r="75" ht="15.75" customHeight="1">
      <c r="A75" s="228"/>
      <c r="B75" s="134" t="s">
        <v>101</v>
      </c>
      <c r="C75" s="190"/>
      <c r="D75" s="189"/>
      <c r="E75" s="134" t="s">
        <v>411</v>
      </c>
      <c r="F75" s="149" t="s">
        <v>488</v>
      </c>
      <c r="G75" s="233"/>
      <c r="H75" s="230"/>
      <c r="I75" s="230"/>
      <c r="J75" s="182">
        <v>3.0</v>
      </c>
      <c r="K75" s="231"/>
      <c r="L75" s="231"/>
      <c r="M75" s="231"/>
      <c r="N75" s="185"/>
      <c r="O75" s="125">
        <v>3.0E7</v>
      </c>
      <c r="P75" s="232"/>
      <c r="Q75" s="123"/>
      <c r="R75" s="125"/>
      <c r="S75" s="126">
        <f t="shared" si="8"/>
        <v>0</v>
      </c>
      <c r="T75" s="134"/>
      <c r="U75" s="187"/>
      <c r="V75" s="14"/>
      <c r="W75" s="14"/>
      <c r="X75" s="14"/>
      <c r="Y75" s="14"/>
      <c r="Z75" s="14"/>
      <c r="AA75" s="14"/>
      <c r="AB75" s="14"/>
      <c r="AC75" s="14"/>
      <c r="AD75" s="14"/>
      <c r="AE75" s="14"/>
      <c r="AF75" s="14"/>
      <c r="AG75" s="14"/>
      <c r="AH75" s="14"/>
      <c r="AI75" s="14"/>
      <c r="AJ75" s="14"/>
      <c r="AK75" s="14"/>
      <c r="AL75" s="14"/>
      <c r="AM75" s="14"/>
      <c r="AN75" s="14"/>
    </row>
    <row r="76" ht="15.75" hidden="1" customHeight="1">
      <c r="A76" s="228"/>
      <c r="B76" s="134" t="s">
        <v>101</v>
      </c>
      <c r="C76" s="190"/>
      <c r="D76" s="189"/>
      <c r="E76" s="134" t="s">
        <v>411</v>
      </c>
      <c r="F76" s="149" t="s">
        <v>496</v>
      </c>
      <c r="G76" s="233"/>
      <c r="H76" s="230"/>
      <c r="I76" s="230"/>
      <c r="J76" s="182">
        <v>2.0</v>
      </c>
      <c r="K76" s="231"/>
      <c r="L76" s="231"/>
      <c r="M76" s="231"/>
      <c r="N76" s="185"/>
      <c r="O76" s="125">
        <v>2.0E7</v>
      </c>
      <c r="P76" s="232"/>
      <c r="Q76" s="123"/>
      <c r="R76" s="126"/>
      <c r="S76" s="126">
        <f t="shared" si="8"/>
        <v>0</v>
      </c>
      <c r="T76" s="134"/>
      <c r="U76" s="331"/>
      <c r="V76" s="14"/>
      <c r="W76" s="14"/>
      <c r="X76" s="14"/>
      <c r="Y76" s="14"/>
      <c r="Z76" s="14"/>
      <c r="AA76" s="14"/>
      <c r="AB76" s="14"/>
      <c r="AC76" s="14"/>
      <c r="AD76" s="14"/>
      <c r="AE76" s="14"/>
      <c r="AF76" s="14"/>
      <c r="AG76" s="14"/>
      <c r="AH76" s="14"/>
      <c r="AI76" s="14"/>
      <c r="AJ76" s="14"/>
      <c r="AK76" s="14"/>
      <c r="AL76" s="14"/>
      <c r="AM76" s="14"/>
      <c r="AN76" s="14"/>
    </row>
    <row r="77" ht="15.75" hidden="1" customHeight="1">
      <c r="A77" s="228"/>
      <c r="B77" s="134" t="s">
        <v>101</v>
      </c>
      <c r="C77" s="190"/>
      <c r="D77" s="189"/>
      <c r="E77" s="134" t="s">
        <v>411</v>
      </c>
      <c r="F77" s="149" t="s">
        <v>498</v>
      </c>
      <c r="G77" s="233"/>
      <c r="H77" s="230"/>
      <c r="I77" s="230"/>
      <c r="J77" s="182">
        <v>2.0</v>
      </c>
      <c r="K77" s="231"/>
      <c r="L77" s="231"/>
      <c r="M77" s="231"/>
      <c r="N77" s="185"/>
      <c r="O77" s="125">
        <v>3.0E8</v>
      </c>
      <c r="P77" s="232"/>
      <c r="Q77" s="123"/>
      <c r="R77" s="126"/>
      <c r="S77" s="126">
        <f t="shared" si="8"/>
        <v>0</v>
      </c>
      <c r="T77" s="134"/>
      <c r="U77" s="331"/>
      <c r="V77" s="14"/>
      <c r="W77" s="14"/>
      <c r="X77" s="14"/>
      <c r="Y77" s="14"/>
      <c r="Z77" s="14"/>
      <c r="AA77" s="14"/>
      <c r="AB77" s="14"/>
      <c r="AC77" s="14"/>
      <c r="AD77" s="14"/>
      <c r="AE77" s="14"/>
      <c r="AF77" s="14"/>
      <c r="AG77" s="14"/>
      <c r="AH77" s="14"/>
      <c r="AI77" s="14"/>
      <c r="AJ77" s="14"/>
      <c r="AK77" s="14"/>
      <c r="AL77" s="14"/>
      <c r="AM77" s="14"/>
      <c r="AN77" s="14"/>
    </row>
    <row r="78" ht="15.75" hidden="1" customHeight="1">
      <c r="A78" s="228"/>
      <c r="B78" s="134" t="s">
        <v>101</v>
      </c>
      <c r="C78" s="190"/>
      <c r="D78" s="189"/>
      <c r="E78" s="134" t="s">
        <v>411</v>
      </c>
      <c r="F78" s="149" t="s">
        <v>499</v>
      </c>
      <c r="G78" s="233"/>
      <c r="H78" s="230"/>
      <c r="I78" s="230"/>
      <c r="J78" s="182">
        <v>2.0</v>
      </c>
      <c r="K78" s="231"/>
      <c r="L78" s="231"/>
      <c r="M78" s="231"/>
      <c r="N78" s="185"/>
      <c r="O78" s="125">
        <v>2.0E7</v>
      </c>
      <c r="P78" s="232"/>
      <c r="Q78" s="123"/>
      <c r="R78" s="126"/>
      <c r="S78" s="126">
        <f t="shared" si="8"/>
        <v>0</v>
      </c>
      <c r="T78" s="134"/>
      <c r="U78" s="331"/>
      <c r="V78" s="14"/>
      <c r="W78" s="14"/>
      <c r="X78" s="14"/>
      <c r="Y78" s="14"/>
      <c r="Z78" s="14"/>
      <c r="AA78" s="14"/>
      <c r="AB78" s="14"/>
      <c r="AC78" s="14"/>
      <c r="AD78" s="14"/>
      <c r="AE78" s="14"/>
      <c r="AF78" s="14"/>
      <c r="AG78" s="14"/>
      <c r="AH78" s="14"/>
      <c r="AI78" s="14"/>
      <c r="AJ78" s="14"/>
      <c r="AK78" s="14"/>
      <c r="AL78" s="14"/>
      <c r="AM78" s="14"/>
      <c r="AN78" s="14"/>
    </row>
    <row r="79" ht="15.75" customHeight="1">
      <c r="A79" s="228"/>
      <c r="B79" s="134" t="s">
        <v>117</v>
      </c>
      <c r="C79" s="190"/>
      <c r="D79" s="115" t="s">
        <v>18</v>
      </c>
      <c r="E79" s="134" t="s">
        <v>411</v>
      </c>
      <c r="F79" s="149" t="s">
        <v>500</v>
      </c>
      <c r="G79" s="134"/>
      <c r="H79" s="181">
        <v>46023.0</v>
      </c>
      <c r="I79" s="181">
        <v>46082.0</v>
      </c>
      <c r="J79" s="182">
        <v>1.0</v>
      </c>
      <c r="K79" s="231"/>
      <c r="L79" s="231"/>
      <c r="M79" s="231"/>
      <c r="N79" s="185"/>
      <c r="O79" s="125">
        <f>25000000-R79</f>
        <v>15000000</v>
      </c>
      <c r="P79" s="124">
        <f>SUMIFS('Base datos 2026'!J:J,'Base datos 2026'!A:A,D79,'Base datos 2026'!B:B,F79)</f>
        <v>1333871</v>
      </c>
      <c r="Q79" s="124">
        <f t="shared" ref="Q79:Q83" si="12">O79-P79</f>
        <v>13666129</v>
      </c>
      <c r="R79" s="125">
        <v>1.0E7</v>
      </c>
      <c r="S79" s="126">
        <f t="shared" si="8"/>
        <v>0.08892473333</v>
      </c>
      <c r="T79" s="134"/>
      <c r="U79" s="187" t="s">
        <v>512</v>
      </c>
      <c r="V79" s="14"/>
      <c r="W79" s="14"/>
      <c r="X79" s="14"/>
      <c r="Y79" s="14"/>
      <c r="Z79" s="14"/>
      <c r="AA79" s="14"/>
      <c r="AB79" s="14"/>
      <c r="AC79" s="14"/>
      <c r="AD79" s="14"/>
      <c r="AE79" s="14"/>
      <c r="AF79" s="14"/>
      <c r="AG79" s="14"/>
      <c r="AH79" s="14"/>
      <c r="AI79" s="14"/>
      <c r="AJ79" s="14"/>
      <c r="AK79" s="14"/>
      <c r="AL79" s="14"/>
      <c r="AM79" s="14"/>
      <c r="AN79" s="14"/>
    </row>
    <row r="80" ht="15.75" customHeight="1">
      <c r="A80" s="343"/>
      <c r="B80" s="134" t="s">
        <v>135</v>
      </c>
      <c r="C80" s="190"/>
      <c r="D80" s="115" t="s">
        <v>18</v>
      </c>
      <c r="E80" s="134" t="s">
        <v>411</v>
      </c>
      <c r="F80" s="149" t="s">
        <v>513</v>
      </c>
      <c r="G80" s="190"/>
      <c r="H80" s="181">
        <v>46082.0</v>
      </c>
      <c r="I80" s="181">
        <v>46327.0</v>
      </c>
      <c r="J80" s="182">
        <v>1.0</v>
      </c>
      <c r="K80" s="231"/>
      <c r="L80" s="231"/>
      <c r="M80" s="231"/>
      <c r="N80" s="185"/>
      <c r="O80" s="125">
        <v>4.5E7</v>
      </c>
      <c r="P80" s="124">
        <f>SUMIFS('Base datos 2026'!J:J,'Base datos 2026'!A:A,D80,'Base datos 2026'!B:B,F80)</f>
        <v>484030</v>
      </c>
      <c r="Q80" s="124">
        <f t="shared" si="12"/>
        <v>44515970</v>
      </c>
      <c r="R80" s="125"/>
      <c r="S80" s="126">
        <f t="shared" si="8"/>
        <v>0.01075622222</v>
      </c>
      <c r="T80" s="134"/>
      <c r="U80" s="187" t="s">
        <v>518</v>
      </c>
      <c r="V80" s="14"/>
      <c r="W80" s="14"/>
      <c r="X80" s="14"/>
      <c r="Y80" s="14"/>
      <c r="Z80" s="14"/>
      <c r="AA80" s="14"/>
      <c r="AB80" s="14"/>
      <c r="AC80" s="14"/>
      <c r="AD80" s="14"/>
      <c r="AE80" s="14"/>
      <c r="AF80" s="14"/>
      <c r="AG80" s="14"/>
      <c r="AH80" s="14"/>
      <c r="AI80" s="14"/>
      <c r="AJ80" s="14"/>
      <c r="AK80" s="14"/>
      <c r="AL80" s="14"/>
      <c r="AM80" s="14"/>
      <c r="AN80" s="14"/>
    </row>
    <row r="81" ht="15.75" customHeight="1">
      <c r="A81" s="228"/>
      <c r="B81" s="134" t="s">
        <v>117</v>
      </c>
      <c r="C81" s="190"/>
      <c r="D81" s="115" t="s">
        <v>18</v>
      </c>
      <c r="E81" s="134" t="s">
        <v>411</v>
      </c>
      <c r="F81" s="149" t="s">
        <v>520</v>
      </c>
      <c r="G81" s="190"/>
      <c r="H81" s="181">
        <v>46082.0</v>
      </c>
      <c r="I81" s="181">
        <v>46327.0</v>
      </c>
      <c r="J81" s="182">
        <v>1.0</v>
      </c>
      <c r="K81" s="231"/>
      <c r="L81" s="231"/>
      <c r="M81" s="231"/>
      <c r="N81" s="185"/>
      <c r="O81" s="125">
        <v>1.5E7</v>
      </c>
      <c r="P81" s="124">
        <f>SUMIFS('Base datos 2026'!J:J,'Base datos 2026'!A:A,D81,'Base datos 2026'!B:B,F81)</f>
        <v>0</v>
      </c>
      <c r="Q81" s="124">
        <f t="shared" si="12"/>
        <v>15000000</v>
      </c>
      <c r="R81" s="125"/>
      <c r="S81" s="126">
        <f t="shared" si="8"/>
        <v>0</v>
      </c>
      <c r="T81" s="134"/>
      <c r="U81" s="187" t="s">
        <v>521</v>
      </c>
      <c r="V81" s="14"/>
      <c r="W81" s="14"/>
      <c r="X81" s="14"/>
      <c r="Y81" s="14"/>
      <c r="Z81" s="14"/>
      <c r="AA81" s="14"/>
      <c r="AB81" s="14"/>
      <c r="AC81" s="14"/>
      <c r="AD81" s="14"/>
      <c r="AE81" s="14"/>
      <c r="AF81" s="14"/>
      <c r="AG81" s="14"/>
      <c r="AH81" s="14"/>
      <c r="AI81" s="14"/>
      <c r="AJ81" s="14"/>
      <c r="AK81" s="14"/>
      <c r="AL81" s="14"/>
      <c r="AM81" s="14"/>
      <c r="AN81" s="14"/>
    </row>
    <row r="82" ht="15.75" customHeight="1">
      <c r="A82" s="228"/>
      <c r="B82" s="354" t="s">
        <v>144</v>
      </c>
      <c r="C82" s="134" t="s">
        <v>144</v>
      </c>
      <c r="D82" s="115" t="s">
        <v>18</v>
      </c>
      <c r="E82" s="134" t="s">
        <v>174</v>
      </c>
      <c r="F82" s="180" t="s">
        <v>515</v>
      </c>
      <c r="G82" s="134" t="s">
        <v>195</v>
      </c>
      <c r="H82" s="181">
        <v>46054.0</v>
      </c>
      <c r="I82" s="181">
        <v>46082.0</v>
      </c>
      <c r="J82" s="182">
        <v>1.0</v>
      </c>
      <c r="K82" s="203"/>
      <c r="L82" s="203"/>
      <c r="M82" s="203"/>
      <c r="N82" s="185"/>
      <c r="O82" s="125">
        <f>5000000-R82</f>
        <v>1997415</v>
      </c>
      <c r="P82" s="124">
        <f>SUMIFS('Base datos 2026'!J:J,'Base datos 2026'!A:A,D82,'Base datos 2026'!B:B,F82)</f>
        <v>1997415</v>
      </c>
      <c r="Q82" s="124">
        <f t="shared" si="12"/>
        <v>0</v>
      </c>
      <c r="R82" s="125">
        <v>3002585.0</v>
      </c>
      <c r="S82" s="126">
        <f t="shared" si="8"/>
        <v>1</v>
      </c>
      <c r="T82" s="186"/>
      <c r="U82" s="187"/>
      <c r="V82" s="14"/>
      <c r="W82" s="14"/>
      <c r="X82" s="14"/>
      <c r="Y82" s="14"/>
      <c r="Z82" s="14"/>
      <c r="AA82" s="14"/>
      <c r="AB82" s="14"/>
      <c r="AC82" s="14"/>
      <c r="AD82" s="14"/>
      <c r="AE82" s="14"/>
      <c r="AF82" s="14"/>
      <c r="AG82" s="14"/>
      <c r="AH82" s="14"/>
      <c r="AI82" s="14"/>
      <c r="AJ82" s="14"/>
      <c r="AK82" s="14"/>
      <c r="AL82" s="14"/>
      <c r="AM82" s="14"/>
      <c r="AN82" s="14"/>
    </row>
    <row r="83" ht="15.75" customHeight="1">
      <c r="A83" s="228"/>
      <c r="B83" s="134"/>
      <c r="C83" s="190"/>
      <c r="D83" s="115" t="s">
        <v>18</v>
      </c>
      <c r="E83" s="134" t="s">
        <v>411</v>
      </c>
      <c r="F83" s="149" t="s">
        <v>194</v>
      </c>
      <c r="G83" s="190"/>
      <c r="H83" s="181">
        <v>46023.0</v>
      </c>
      <c r="I83" s="181">
        <v>46327.0</v>
      </c>
      <c r="J83" s="182">
        <v>1.0</v>
      </c>
      <c r="K83" s="231"/>
      <c r="L83" s="231"/>
      <c r="M83" s="231"/>
      <c r="N83" s="185"/>
      <c r="O83" s="125">
        <v>2.0E8</v>
      </c>
      <c r="P83" s="124">
        <f>SUMIFS('Base datos 2026'!J:J,'Base datos 2026'!A:A,D83,'Base datos 2026'!B:B,F83)</f>
        <v>272396103</v>
      </c>
      <c r="Q83" s="124">
        <f t="shared" si="12"/>
        <v>-72396103</v>
      </c>
      <c r="R83" s="125"/>
      <c r="S83" s="126">
        <f t="shared" si="8"/>
        <v>1.361980515</v>
      </c>
      <c r="T83" s="134"/>
      <c r="U83" s="187"/>
      <c r="V83" s="14"/>
      <c r="W83" s="14"/>
      <c r="X83" s="14"/>
      <c r="Y83" s="14"/>
      <c r="Z83" s="14"/>
      <c r="AA83" s="14"/>
      <c r="AB83" s="14"/>
      <c r="AC83" s="14"/>
      <c r="AD83" s="14"/>
      <c r="AE83" s="14"/>
      <c r="AF83" s="14"/>
      <c r="AG83" s="14"/>
      <c r="AH83" s="14"/>
      <c r="AI83" s="14"/>
      <c r="AJ83" s="14"/>
      <c r="AK83" s="14"/>
      <c r="AL83" s="14"/>
      <c r="AM83" s="14"/>
      <c r="AN83" s="14"/>
    </row>
    <row r="84" ht="15.75" customHeight="1">
      <c r="A84" s="33"/>
      <c r="B84" s="14"/>
      <c r="C84" s="14"/>
      <c r="D84" s="14"/>
      <c r="E84" s="14"/>
      <c r="F84" s="14"/>
      <c r="G84" s="14"/>
      <c r="H84" s="14"/>
      <c r="I84" s="14"/>
      <c r="J84" s="14"/>
      <c r="K84" s="14"/>
      <c r="L84" s="14"/>
      <c r="M84" s="14"/>
      <c r="N84" s="14"/>
      <c r="O84" s="14"/>
      <c r="P84" s="14"/>
      <c r="Q84" s="14"/>
      <c r="R84" s="18"/>
      <c r="S84" s="18"/>
      <c r="T84" s="93"/>
      <c r="U84" s="20"/>
      <c r="V84" s="14"/>
      <c r="W84" s="14"/>
      <c r="X84" s="14"/>
      <c r="Y84" s="14"/>
      <c r="Z84" s="14"/>
      <c r="AA84" s="14"/>
      <c r="AB84" s="14"/>
      <c r="AC84" s="14"/>
      <c r="AD84" s="14"/>
      <c r="AE84" s="14"/>
      <c r="AF84" s="14"/>
      <c r="AG84" s="14"/>
      <c r="AH84" s="14"/>
      <c r="AI84" s="14"/>
      <c r="AJ84" s="14"/>
      <c r="AK84" s="14"/>
      <c r="AL84" s="14"/>
      <c r="AM84" s="14"/>
      <c r="AN84" s="14"/>
    </row>
    <row r="85" ht="15.75" customHeight="1">
      <c r="A85" s="33"/>
      <c r="B85" s="14"/>
      <c r="C85" s="14"/>
      <c r="D85" s="14"/>
      <c r="E85" s="14"/>
      <c r="F85" s="14"/>
      <c r="G85" s="14"/>
      <c r="H85" s="14"/>
      <c r="I85" s="14"/>
      <c r="J85" s="14"/>
      <c r="K85" s="14"/>
      <c r="L85" s="14"/>
      <c r="M85" s="14"/>
      <c r="N85" s="14"/>
      <c r="O85" s="14"/>
      <c r="P85" s="14"/>
      <c r="Q85" s="14"/>
      <c r="R85" s="18"/>
      <c r="S85" s="18"/>
      <c r="T85" s="93"/>
      <c r="U85" s="20"/>
      <c r="V85" s="14"/>
      <c r="W85" s="14"/>
      <c r="X85" s="14"/>
      <c r="Y85" s="14"/>
      <c r="Z85" s="14"/>
      <c r="AA85" s="14"/>
      <c r="AB85" s="14"/>
      <c r="AC85" s="14"/>
      <c r="AD85" s="14"/>
      <c r="AE85" s="14"/>
      <c r="AF85" s="14"/>
      <c r="AG85" s="14"/>
      <c r="AH85" s="14"/>
      <c r="AI85" s="14"/>
      <c r="AJ85" s="14"/>
      <c r="AK85" s="14"/>
      <c r="AL85" s="14"/>
      <c r="AM85" s="14"/>
      <c r="AN85" s="14"/>
    </row>
    <row r="86" ht="15.75" customHeight="1">
      <c r="A86" s="33"/>
      <c r="B86" s="14"/>
      <c r="C86" s="14"/>
      <c r="D86" s="14"/>
      <c r="E86" s="14"/>
      <c r="F86" s="14"/>
      <c r="G86" s="14"/>
      <c r="H86" s="14"/>
      <c r="I86" s="14"/>
      <c r="J86" s="14"/>
      <c r="K86" s="14"/>
      <c r="L86" s="14"/>
      <c r="M86" s="14"/>
      <c r="N86" s="14"/>
      <c r="O86" s="14"/>
      <c r="P86" s="14"/>
      <c r="Q86" s="14"/>
      <c r="R86" s="18"/>
      <c r="S86" s="18"/>
      <c r="T86" s="93"/>
      <c r="U86" s="20"/>
      <c r="V86" s="14"/>
      <c r="W86" s="14"/>
      <c r="X86" s="14"/>
      <c r="Y86" s="14"/>
      <c r="Z86" s="14"/>
      <c r="AA86" s="14"/>
      <c r="AB86" s="14"/>
      <c r="AC86" s="14"/>
      <c r="AD86" s="14"/>
      <c r="AE86" s="14"/>
      <c r="AF86" s="14"/>
      <c r="AG86" s="14"/>
      <c r="AH86" s="14"/>
      <c r="AI86" s="14"/>
      <c r="AJ86" s="14"/>
      <c r="AK86" s="14"/>
      <c r="AL86" s="14"/>
      <c r="AM86" s="14"/>
      <c r="AN86" s="14"/>
    </row>
    <row r="87" ht="15.75" customHeight="1">
      <c r="A87" s="14"/>
      <c r="B87" s="14"/>
      <c r="C87" s="14"/>
      <c r="D87" s="14"/>
      <c r="E87" s="14"/>
      <c r="F87" s="14"/>
      <c r="G87" s="14"/>
      <c r="H87" s="14"/>
      <c r="I87" s="14"/>
      <c r="J87" s="14"/>
      <c r="K87" s="14"/>
      <c r="L87" s="14"/>
      <c r="M87" s="14"/>
      <c r="N87" s="14"/>
      <c r="O87" s="14"/>
      <c r="P87" s="14"/>
      <c r="Q87" s="14"/>
      <c r="R87" s="18"/>
      <c r="S87" s="18"/>
      <c r="T87" s="93"/>
      <c r="U87" s="20"/>
      <c r="V87" s="14"/>
      <c r="W87" s="14"/>
      <c r="X87" s="14"/>
      <c r="Y87" s="14"/>
      <c r="Z87" s="14"/>
      <c r="AA87" s="14"/>
      <c r="AB87" s="14"/>
      <c r="AC87" s="14"/>
      <c r="AD87" s="14"/>
      <c r="AE87" s="14"/>
      <c r="AF87" s="14"/>
      <c r="AG87" s="14"/>
      <c r="AH87" s="14"/>
      <c r="AI87" s="14"/>
      <c r="AJ87" s="14"/>
      <c r="AK87" s="14"/>
      <c r="AL87" s="14"/>
      <c r="AM87" s="14"/>
      <c r="AN87" s="14"/>
    </row>
    <row r="88" ht="15.75" customHeight="1">
      <c r="A88" s="14"/>
      <c r="B88" s="14"/>
      <c r="C88" s="14"/>
      <c r="D88" s="14"/>
      <c r="E88" s="14"/>
      <c r="F88" s="14"/>
      <c r="G88" s="14"/>
      <c r="H88" s="14"/>
      <c r="I88" s="14"/>
      <c r="J88" s="14"/>
      <c r="K88" s="14"/>
      <c r="L88" s="14"/>
      <c r="M88" s="14"/>
      <c r="N88" s="14"/>
      <c r="O88" s="14"/>
      <c r="P88" s="14"/>
      <c r="Q88" s="14"/>
      <c r="R88" s="18"/>
      <c r="S88" s="18"/>
      <c r="T88" s="93"/>
      <c r="U88" s="20"/>
      <c r="V88" s="14"/>
      <c r="W88" s="14"/>
      <c r="X88" s="14"/>
      <c r="Y88" s="14"/>
      <c r="Z88" s="14"/>
      <c r="AA88" s="14"/>
      <c r="AB88" s="14"/>
      <c r="AC88" s="14"/>
      <c r="AD88" s="14"/>
      <c r="AE88" s="14"/>
      <c r="AF88" s="14"/>
      <c r="AG88" s="14"/>
      <c r="AH88" s="14"/>
      <c r="AI88" s="14"/>
      <c r="AJ88" s="14"/>
      <c r="AK88" s="14"/>
      <c r="AL88" s="14"/>
      <c r="AM88" s="14"/>
      <c r="AN88" s="14"/>
    </row>
    <row r="89" ht="15.75" customHeight="1">
      <c r="A89" s="14"/>
      <c r="B89" s="14"/>
      <c r="C89" s="14"/>
      <c r="D89" s="14"/>
      <c r="E89" s="14"/>
      <c r="F89" s="14"/>
      <c r="G89" s="14"/>
      <c r="H89" s="14"/>
      <c r="I89" s="14"/>
      <c r="J89" s="14"/>
      <c r="K89" s="14"/>
      <c r="L89" s="14"/>
      <c r="M89" s="14"/>
      <c r="N89" s="14"/>
      <c r="O89" s="14"/>
      <c r="P89" s="14"/>
      <c r="Q89" s="14"/>
      <c r="R89" s="18"/>
      <c r="S89" s="18"/>
      <c r="T89" s="93"/>
      <c r="U89" s="20"/>
      <c r="V89" s="14"/>
      <c r="W89" s="14"/>
      <c r="X89" s="14"/>
      <c r="Y89" s="14"/>
      <c r="Z89" s="14"/>
      <c r="AA89" s="14"/>
      <c r="AB89" s="14"/>
      <c r="AC89" s="14"/>
      <c r="AD89" s="14"/>
      <c r="AE89" s="14"/>
      <c r="AF89" s="14"/>
      <c r="AG89" s="14"/>
      <c r="AH89" s="14"/>
      <c r="AI89" s="14"/>
      <c r="AJ89" s="14"/>
      <c r="AK89" s="14"/>
      <c r="AL89" s="14"/>
      <c r="AM89" s="14"/>
      <c r="AN89" s="14"/>
    </row>
    <row r="90" ht="15.75" customHeight="1">
      <c r="A90" s="14"/>
      <c r="B90" s="14"/>
      <c r="C90" s="14"/>
      <c r="D90" s="14"/>
      <c r="E90" s="14"/>
      <c r="F90" s="14"/>
      <c r="G90" s="14"/>
      <c r="H90" s="14"/>
      <c r="I90" s="14"/>
      <c r="J90" s="14"/>
      <c r="K90" s="14"/>
      <c r="L90" s="14"/>
      <c r="M90" s="14"/>
      <c r="N90" s="14"/>
      <c r="O90" s="14"/>
      <c r="P90" s="14"/>
      <c r="Q90" s="14"/>
      <c r="R90" s="18"/>
      <c r="S90" s="18"/>
      <c r="T90" s="93"/>
      <c r="U90" s="20"/>
      <c r="V90" s="14"/>
      <c r="W90" s="14"/>
      <c r="X90" s="14"/>
      <c r="Y90" s="14"/>
      <c r="Z90" s="14"/>
      <c r="AA90" s="14"/>
      <c r="AB90" s="14"/>
      <c r="AC90" s="14"/>
      <c r="AD90" s="14"/>
      <c r="AE90" s="14"/>
      <c r="AF90" s="14"/>
      <c r="AG90" s="14"/>
      <c r="AH90" s="14"/>
      <c r="AI90" s="14"/>
      <c r="AJ90" s="14"/>
      <c r="AK90" s="14"/>
      <c r="AL90" s="14"/>
      <c r="AM90" s="14"/>
      <c r="AN90" s="14"/>
    </row>
    <row r="91" ht="15.75" customHeight="1">
      <c r="A91" s="14"/>
      <c r="B91" s="14"/>
      <c r="C91" s="14"/>
      <c r="D91" s="14"/>
      <c r="E91" s="14"/>
      <c r="F91" s="14"/>
      <c r="G91" s="14"/>
      <c r="H91" s="14"/>
      <c r="I91" s="14"/>
      <c r="J91" s="14"/>
      <c r="K91" s="14"/>
      <c r="L91" s="14"/>
      <c r="M91" s="14"/>
      <c r="N91" s="14"/>
      <c r="O91" s="14"/>
      <c r="P91" s="14"/>
      <c r="Q91" s="14"/>
      <c r="R91" s="18"/>
      <c r="S91" s="18"/>
      <c r="T91" s="93"/>
      <c r="U91" s="20"/>
      <c r="V91" s="14"/>
      <c r="W91" s="14"/>
      <c r="X91" s="14"/>
      <c r="Y91" s="14"/>
      <c r="Z91" s="14"/>
      <c r="AA91" s="14"/>
      <c r="AB91" s="14"/>
      <c r="AC91" s="14"/>
      <c r="AD91" s="14"/>
      <c r="AE91" s="14"/>
      <c r="AF91" s="14"/>
      <c r="AG91" s="14"/>
      <c r="AH91" s="14"/>
      <c r="AI91" s="14"/>
      <c r="AJ91" s="14"/>
      <c r="AK91" s="14"/>
      <c r="AL91" s="14"/>
      <c r="AM91" s="14"/>
      <c r="AN91" s="14"/>
    </row>
    <row r="92" ht="15.75" customHeight="1">
      <c r="A92" s="14"/>
      <c r="B92" s="14"/>
      <c r="C92" s="14"/>
      <c r="D92" s="14"/>
      <c r="E92" s="14"/>
      <c r="F92" s="14"/>
      <c r="G92" s="14"/>
      <c r="H92" s="14"/>
      <c r="I92" s="14"/>
      <c r="J92" s="14"/>
      <c r="K92" s="14"/>
      <c r="L92" s="14"/>
      <c r="M92" s="14"/>
      <c r="N92" s="14"/>
      <c r="O92" s="14"/>
      <c r="P92" s="14"/>
      <c r="Q92" s="14"/>
      <c r="R92" s="18"/>
      <c r="S92" s="18"/>
      <c r="T92" s="93"/>
      <c r="U92" s="20"/>
      <c r="V92" s="14"/>
      <c r="W92" s="14"/>
      <c r="X92" s="14"/>
      <c r="Y92" s="14"/>
      <c r="Z92" s="14"/>
      <c r="AA92" s="14"/>
      <c r="AB92" s="14"/>
      <c r="AC92" s="14"/>
      <c r="AD92" s="14"/>
      <c r="AE92" s="14"/>
      <c r="AF92" s="14"/>
      <c r="AG92" s="14"/>
      <c r="AH92" s="14"/>
      <c r="AI92" s="14"/>
      <c r="AJ92" s="14"/>
      <c r="AK92" s="14"/>
      <c r="AL92" s="14"/>
      <c r="AM92" s="14"/>
      <c r="AN92" s="14"/>
    </row>
    <row r="93" ht="15.75" customHeight="1">
      <c r="A93" s="14"/>
      <c r="B93" s="14"/>
      <c r="C93" s="14"/>
      <c r="D93" s="14"/>
      <c r="E93" s="14"/>
      <c r="F93" s="14"/>
      <c r="G93" s="14"/>
      <c r="H93" s="14"/>
      <c r="I93" s="14"/>
      <c r="J93" s="14"/>
      <c r="K93" s="14"/>
      <c r="L93" s="14"/>
      <c r="M93" s="14"/>
      <c r="N93" s="14"/>
      <c r="O93" s="14"/>
      <c r="P93" s="14"/>
      <c r="Q93" s="14"/>
      <c r="R93" s="18"/>
      <c r="S93" s="18"/>
      <c r="T93" s="93"/>
      <c r="U93" s="20"/>
      <c r="V93" s="14"/>
      <c r="W93" s="14"/>
      <c r="X93" s="14"/>
      <c r="Y93" s="14"/>
      <c r="Z93" s="14"/>
      <c r="AA93" s="14"/>
      <c r="AB93" s="14"/>
      <c r="AC93" s="14"/>
      <c r="AD93" s="14"/>
      <c r="AE93" s="14"/>
      <c r="AF93" s="14"/>
      <c r="AG93" s="14"/>
      <c r="AH93" s="14"/>
      <c r="AI93" s="14"/>
      <c r="AJ93" s="14"/>
      <c r="AK93" s="14"/>
      <c r="AL93" s="14"/>
      <c r="AM93" s="14"/>
      <c r="AN93" s="14"/>
    </row>
    <row r="94" ht="15.75" customHeight="1">
      <c r="A94" s="14"/>
      <c r="B94" s="14"/>
      <c r="C94" s="14"/>
      <c r="D94" s="14"/>
      <c r="E94" s="14"/>
      <c r="F94" s="14"/>
      <c r="G94" s="14"/>
      <c r="H94" s="14"/>
      <c r="I94" s="14"/>
      <c r="J94" s="14"/>
      <c r="K94" s="14"/>
      <c r="L94" s="14"/>
      <c r="M94" s="14"/>
      <c r="N94" s="14"/>
      <c r="O94" s="14"/>
      <c r="P94" s="14"/>
      <c r="Q94" s="14"/>
      <c r="R94" s="18"/>
      <c r="S94" s="18"/>
      <c r="T94" s="93"/>
      <c r="U94" s="20"/>
      <c r="V94" s="14"/>
      <c r="W94" s="14"/>
      <c r="X94" s="14"/>
      <c r="Y94" s="14"/>
      <c r="Z94" s="14"/>
      <c r="AA94" s="14"/>
      <c r="AB94" s="14"/>
      <c r="AC94" s="14"/>
      <c r="AD94" s="14"/>
      <c r="AE94" s="14"/>
      <c r="AF94" s="14"/>
      <c r="AG94" s="14"/>
      <c r="AH94" s="14"/>
      <c r="AI94" s="14"/>
      <c r="AJ94" s="14"/>
      <c r="AK94" s="14"/>
      <c r="AL94" s="14"/>
      <c r="AM94" s="14"/>
      <c r="AN94" s="14"/>
    </row>
    <row r="95" ht="15.75" customHeight="1">
      <c r="A95" s="14"/>
      <c r="B95" s="14"/>
      <c r="C95" s="14"/>
      <c r="D95" s="14"/>
      <c r="E95" s="14"/>
      <c r="F95" s="14"/>
      <c r="G95" s="14"/>
      <c r="H95" s="14"/>
      <c r="I95" s="14"/>
      <c r="J95" s="14"/>
      <c r="K95" s="14"/>
      <c r="L95" s="14"/>
      <c r="M95" s="14"/>
      <c r="N95" s="14"/>
      <c r="O95" s="14"/>
      <c r="P95" s="14"/>
      <c r="Q95" s="14"/>
      <c r="R95" s="18"/>
      <c r="S95" s="18"/>
      <c r="T95" s="93"/>
      <c r="U95" s="20"/>
      <c r="V95" s="14"/>
      <c r="W95" s="14"/>
      <c r="X95" s="14"/>
      <c r="Y95" s="14"/>
      <c r="Z95" s="14"/>
      <c r="AA95" s="14"/>
      <c r="AB95" s="14"/>
      <c r="AC95" s="14"/>
      <c r="AD95" s="14"/>
      <c r="AE95" s="14"/>
      <c r="AF95" s="14"/>
      <c r="AG95" s="14"/>
      <c r="AH95" s="14"/>
      <c r="AI95" s="14"/>
      <c r="AJ95" s="14"/>
      <c r="AK95" s="14"/>
      <c r="AL95" s="14"/>
      <c r="AM95" s="14"/>
      <c r="AN95" s="14"/>
    </row>
    <row r="96" ht="15.75" customHeight="1">
      <c r="A96" s="14"/>
      <c r="B96" s="14"/>
      <c r="C96" s="14"/>
      <c r="D96" s="14"/>
      <c r="E96" s="14"/>
      <c r="F96" s="14"/>
      <c r="G96" s="14"/>
      <c r="H96" s="14"/>
      <c r="I96" s="14"/>
      <c r="J96" s="14"/>
      <c r="K96" s="14"/>
      <c r="L96" s="14"/>
      <c r="M96" s="14"/>
      <c r="N96" s="14"/>
      <c r="O96" s="14"/>
      <c r="P96" s="14"/>
      <c r="Q96" s="14"/>
      <c r="R96" s="18"/>
      <c r="S96" s="18"/>
      <c r="T96" s="93"/>
      <c r="U96" s="20"/>
      <c r="V96" s="14"/>
      <c r="W96" s="14"/>
      <c r="X96" s="14"/>
      <c r="Y96" s="14"/>
      <c r="Z96" s="14"/>
      <c r="AA96" s="14"/>
      <c r="AB96" s="14"/>
      <c r="AC96" s="14"/>
      <c r="AD96" s="14"/>
      <c r="AE96" s="14"/>
      <c r="AF96" s="14"/>
      <c r="AG96" s="14"/>
      <c r="AH96" s="14"/>
      <c r="AI96" s="14"/>
      <c r="AJ96" s="14"/>
      <c r="AK96" s="14"/>
      <c r="AL96" s="14"/>
      <c r="AM96" s="14"/>
      <c r="AN96" s="14"/>
    </row>
    <row r="97" ht="15.75" customHeight="1">
      <c r="A97" s="14"/>
      <c r="B97" s="14"/>
      <c r="C97" s="14"/>
      <c r="D97" s="14"/>
      <c r="E97" s="14"/>
      <c r="F97" s="14"/>
      <c r="G97" s="14"/>
      <c r="H97" s="14"/>
      <c r="I97" s="14"/>
      <c r="J97" s="14"/>
      <c r="K97" s="14"/>
      <c r="L97" s="14"/>
      <c r="M97" s="14"/>
      <c r="N97" s="14"/>
      <c r="O97" s="14"/>
      <c r="P97" s="14"/>
      <c r="Q97" s="14"/>
      <c r="R97" s="18"/>
      <c r="S97" s="18"/>
      <c r="T97" s="93"/>
      <c r="U97" s="20"/>
      <c r="V97" s="14"/>
      <c r="W97" s="14"/>
      <c r="X97" s="14"/>
      <c r="Y97" s="14"/>
      <c r="Z97" s="14"/>
      <c r="AA97" s="14"/>
      <c r="AB97" s="14"/>
      <c r="AC97" s="14"/>
      <c r="AD97" s="14"/>
      <c r="AE97" s="14"/>
      <c r="AF97" s="14"/>
      <c r="AG97" s="14"/>
      <c r="AH97" s="14"/>
      <c r="AI97" s="14"/>
      <c r="AJ97" s="14"/>
      <c r="AK97" s="14"/>
      <c r="AL97" s="14"/>
      <c r="AM97" s="14"/>
      <c r="AN97" s="14"/>
    </row>
    <row r="98" ht="15.75" customHeight="1">
      <c r="A98" s="14"/>
      <c r="B98" s="14"/>
      <c r="C98" s="14"/>
      <c r="D98" s="14"/>
      <c r="E98" s="14"/>
      <c r="F98" s="14"/>
      <c r="G98" s="14"/>
      <c r="H98" s="14"/>
      <c r="I98" s="14"/>
      <c r="J98" s="14"/>
      <c r="K98" s="14"/>
      <c r="L98" s="14"/>
      <c r="M98" s="14"/>
      <c r="N98" s="14"/>
      <c r="O98" s="14"/>
      <c r="P98" s="14"/>
      <c r="Q98" s="14"/>
      <c r="R98" s="18"/>
      <c r="S98" s="18"/>
      <c r="T98" s="93"/>
      <c r="U98" s="20"/>
      <c r="V98" s="14"/>
      <c r="W98" s="14"/>
      <c r="X98" s="14"/>
      <c r="Y98" s="14"/>
      <c r="Z98" s="14"/>
      <c r="AA98" s="14"/>
      <c r="AB98" s="14"/>
      <c r="AC98" s="14"/>
      <c r="AD98" s="14"/>
      <c r="AE98" s="14"/>
      <c r="AF98" s="14"/>
      <c r="AG98" s="14"/>
      <c r="AH98" s="14"/>
      <c r="AI98" s="14"/>
      <c r="AJ98" s="14"/>
      <c r="AK98" s="14"/>
      <c r="AL98" s="14"/>
      <c r="AM98" s="14"/>
      <c r="AN98" s="14"/>
    </row>
    <row r="99" ht="15.75" customHeight="1">
      <c r="A99" s="14"/>
      <c r="B99" s="14"/>
      <c r="C99" s="14"/>
      <c r="D99" s="14"/>
      <c r="E99" s="14"/>
      <c r="F99" s="14"/>
      <c r="G99" s="14"/>
      <c r="H99" s="14"/>
      <c r="I99" s="14"/>
      <c r="J99" s="14"/>
      <c r="K99" s="14"/>
      <c r="L99" s="14"/>
      <c r="M99" s="14"/>
      <c r="N99" s="14"/>
      <c r="O99" s="14"/>
      <c r="P99" s="14"/>
      <c r="Q99" s="14"/>
      <c r="R99" s="18"/>
      <c r="S99" s="18"/>
      <c r="T99" s="93"/>
      <c r="U99" s="20"/>
      <c r="V99" s="14"/>
      <c r="W99" s="14"/>
      <c r="X99" s="14"/>
      <c r="Y99" s="14"/>
      <c r="Z99" s="14"/>
      <c r="AA99" s="14"/>
      <c r="AB99" s="14"/>
      <c r="AC99" s="14"/>
      <c r="AD99" s="14"/>
      <c r="AE99" s="14"/>
      <c r="AF99" s="14"/>
      <c r="AG99" s="14"/>
      <c r="AH99" s="14"/>
      <c r="AI99" s="14"/>
      <c r="AJ99" s="14"/>
      <c r="AK99" s="14"/>
      <c r="AL99" s="14"/>
      <c r="AM99" s="14"/>
      <c r="AN99" s="14"/>
    </row>
    <row r="100" ht="15.75" customHeight="1">
      <c r="A100" s="14"/>
      <c r="B100" s="14"/>
      <c r="C100" s="14"/>
      <c r="D100" s="14"/>
      <c r="E100" s="14"/>
      <c r="F100" s="14"/>
      <c r="G100" s="14"/>
      <c r="H100" s="14"/>
      <c r="I100" s="14"/>
      <c r="J100" s="14"/>
      <c r="K100" s="14"/>
      <c r="L100" s="14"/>
      <c r="M100" s="14"/>
      <c r="N100" s="14"/>
      <c r="O100" s="14"/>
      <c r="P100" s="14"/>
      <c r="Q100" s="14"/>
      <c r="R100" s="18"/>
      <c r="S100" s="18"/>
      <c r="T100" s="93"/>
      <c r="U100" s="20"/>
      <c r="V100" s="14"/>
      <c r="W100" s="14"/>
      <c r="X100" s="14"/>
      <c r="Y100" s="14"/>
      <c r="Z100" s="14"/>
      <c r="AA100" s="14"/>
      <c r="AB100" s="14"/>
      <c r="AC100" s="14"/>
      <c r="AD100" s="14"/>
      <c r="AE100" s="14"/>
      <c r="AF100" s="14"/>
      <c r="AG100" s="14"/>
      <c r="AH100" s="14"/>
      <c r="AI100" s="14"/>
      <c r="AJ100" s="14"/>
      <c r="AK100" s="14"/>
      <c r="AL100" s="14"/>
      <c r="AM100" s="14"/>
      <c r="AN100" s="14"/>
    </row>
    <row r="101" ht="15.75" customHeight="1">
      <c r="A101" s="14"/>
      <c r="B101" s="14"/>
      <c r="C101" s="14"/>
      <c r="D101" s="14"/>
      <c r="E101" s="14"/>
      <c r="F101" s="14"/>
      <c r="G101" s="14"/>
      <c r="H101" s="14"/>
      <c r="I101" s="14"/>
      <c r="J101" s="14"/>
      <c r="K101" s="14"/>
      <c r="L101" s="14"/>
      <c r="M101" s="14"/>
      <c r="N101" s="14"/>
      <c r="O101" s="14"/>
      <c r="P101" s="14"/>
      <c r="Q101" s="14"/>
      <c r="R101" s="18"/>
      <c r="S101" s="18"/>
      <c r="T101" s="93"/>
      <c r="U101" s="20"/>
      <c r="V101" s="14"/>
      <c r="W101" s="14"/>
      <c r="X101" s="14"/>
      <c r="Y101" s="14"/>
      <c r="Z101" s="14"/>
      <c r="AA101" s="14"/>
      <c r="AB101" s="14"/>
      <c r="AC101" s="14"/>
      <c r="AD101" s="14"/>
      <c r="AE101" s="14"/>
      <c r="AF101" s="14"/>
      <c r="AG101" s="14"/>
      <c r="AH101" s="14"/>
      <c r="AI101" s="14"/>
      <c r="AJ101" s="14"/>
      <c r="AK101" s="14"/>
      <c r="AL101" s="14"/>
      <c r="AM101" s="14"/>
      <c r="AN101" s="14"/>
    </row>
    <row r="102" ht="15.75" customHeight="1">
      <c r="A102" s="14"/>
      <c r="B102" s="14"/>
      <c r="C102" s="14"/>
      <c r="D102" s="14"/>
      <c r="E102" s="14"/>
      <c r="F102" s="14"/>
      <c r="G102" s="14"/>
      <c r="H102" s="14"/>
      <c r="I102" s="14"/>
      <c r="J102" s="14"/>
      <c r="K102" s="14"/>
      <c r="L102" s="14"/>
      <c r="M102" s="14"/>
      <c r="N102" s="14"/>
      <c r="O102" s="14"/>
      <c r="P102" s="14"/>
      <c r="Q102" s="14"/>
      <c r="R102" s="18"/>
      <c r="S102" s="18"/>
      <c r="T102" s="93"/>
      <c r="U102" s="20"/>
      <c r="V102" s="14"/>
      <c r="W102" s="14"/>
      <c r="X102" s="14"/>
      <c r="Y102" s="14"/>
      <c r="Z102" s="14"/>
      <c r="AA102" s="14"/>
      <c r="AB102" s="14"/>
      <c r="AC102" s="14"/>
      <c r="AD102" s="14"/>
      <c r="AE102" s="14"/>
      <c r="AF102" s="14"/>
      <c r="AG102" s="14"/>
      <c r="AH102" s="14"/>
      <c r="AI102" s="14"/>
      <c r="AJ102" s="14"/>
      <c r="AK102" s="14"/>
      <c r="AL102" s="14"/>
      <c r="AM102" s="14"/>
      <c r="AN102" s="14"/>
    </row>
    <row r="103" ht="15.75" customHeight="1">
      <c r="A103" s="14"/>
      <c r="B103" s="14"/>
      <c r="C103" s="14"/>
      <c r="D103" s="14"/>
      <c r="E103" s="14"/>
      <c r="F103" s="14"/>
      <c r="G103" s="14"/>
      <c r="H103" s="14"/>
      <c r="I103" s="14"/>
      <c r="J103" s="14"/>
      <c r="K103" s="14"/>
      <c r="L103" s="14"/>
      <c r="M103" s="14"/>
      <c r="N103" s="14"/>
      <c r="O103" s="14"/>
      <c r="P103" s="14"/>
      <c r="Q103" s="14"/>
      <c r="R103" s="18"/>
      <c r="S103" s="18"/>
      <c r="T103" s="93"/>
      <c r="U103" s="20"/>
      <c r="V103" s="14"/>
      <c r="W103" s="14"/>
      <c r="X103" s="14"/>
      <c r="Y103" s="14"/>
      <c r="Z103" s="14"/>
      <c r="AA103" s="14"/>
      <c r="AB103" s="14"/>
      <c r="AC103" s="14"/>
      <c r="AD103" s="14"/>
      <c r="AE103" s="14"/>
      <c r="AF103" s="14"/>
      <c r="AG103" s="14"/>
      <c r="AH103" s="14"/>
      <c r="AI103" s="14"/>
      <c r="AJ103" s="14"/>
      <c r="AK103" s="14"/>
      <c r="AL103" s="14"/>
      <c r="AM103" s="14"/>
      <c r="AN103" s="14"/>
    </row>
    <row r="104" ht="15.75" customHeight="1">
      <c r="A104" s="14"/>
      <c r="B104" s="14"/>
      <c r="C104" s="14"/>
      <c r="D104" s="14"/>
      <c r="E104" s="14"/>
      <c r="F104" s="14"/>
      <c r="G104" s="14"/>
      <c r="H104" s="14"/>
      <c r="I104" s="14"/>
      <c r="J104" s="14"/>
      <c r="K104" s="14"/>
      <c r="L104" s="14"/>
      <c r="M104" s="14"/>
      <c r="N104" s="14"/>
      <c r="O104" s="14"/>
      <c r="P104" s="14"/>
      <c r="Q104" s="14"/>
      <c r="R104" s="18"/>
      <c r="S104" s="18"/>
      <c r="T104" s="93"/>
      <c r="U104" s="20"/>
      <c r="V104" s="14"/>
      <c r="W104" s="14"/>
      <c r="X104" s="14"/>
      <c r="Y104" s="14"/>
      <c r="Z104" s="14"/>
      <c r="AA104" s="14"/>
      <c r="AB104" s="14"/>
      <c r="AC104" s="14"/>
      <c r="AD104" s="14"/>
      <c r="AE104" s="14"/>
      <c r="AF104" s="14"/>
      <c r="AG104" s="14"/>
      <c r="AH104" s="14"/>
      <c r="AI104" s="14"/>
      <c r="AJ104" s="14"/>
      <c r="AK104" s="14"/>
      <c r="AL104" s="14"/>
      <c r="AM104" s="14"/>
      <c r="AN104" s="14"/>
    </row>
    <row r="105" ht="15.75" customHeight="1">
      <c r="A105" s="14"/>
      <c r="B105" s="14"/>
      <c r="C105" s="14"/>
      <c r="D105" s="14"/>
      <c r="E105" s="14"/>
      <c r="F105" s="14"/>
      <c r="G105" s="14"/>
      <c r="H105" s="14"/>
      <c r="I105" s="14"/>
      <c r="J105" s="14"/>
      <c r="K105" s="14"/>
      <c r="L105" s="14"/>
      <c r="M105" s="14"/>
      <c r="N105" s="14"/>
      <c r="O105" s="14"/>
      <c r="P105" s="14"/>
      <c r="Q105" s="14"/>
      <c r="R105" s="18"/>
      <c r="S105" s="18"/>
      <c r="T105" s="93"/>
      <c r="U105" s="20"/>
      <c r="V105" s="14"/>
      <c r="W105" s="14"/>
      <c r="X105" s="14"/>
      <c r="Y105" s="14"/>
      <c r="Z105" s="14"/>
      <c r="AA105" s="14"/>
      <c r="AB105" s="14"/>
      <c r="AC105" s="14"/>
      <c r="AD105" s="14"/>
      <c r="AE105" s="14"/>
      <c r="AF105" s="14"/>
      <c r="AG105" s="14"/>
      <c r="AH105" s="14"/>
      <c r="AI105" s="14"/>
      <c r="AJ105" s="14"/>
      <c r="AK105" s="14"/>
      <c r="AL105" s="14"/>
      <c r="AM105" s="14"/>
      <c r="AN105" s="14"/>
    </row>
    <row r="106" ht="15.75" customHeight="1">
      <c r="A106" s="14"/>
      <c r="B106" s="14"/>
      <c r="C106" s="14"/>
      <c r="D106" s="14"/>
      <c r="E106" s="14"/>
      <c r="F106" s="14"/>
      <c r="G106" s="14"/>
      <c r="H106" s="14"/>
      <c r="I106" s="14"/>
      <c r="J106" s="14"/>
      <c r="K106" s="14"/>
      <c r="L106" s="14"/>
      <c r="M106" s="14"/>
      <c r="N106" s="14"/>
      <c r="O106" s="14"/>
      <c r="P106" s="14"/>
      <c r="Q106" s="14"/>
      <c r="R106" s="18"/>
      <c r="S106" s="18"/>
      <c r="T106" s="93"/>
      <c r="U106" s="20"/>
      <c r="V106" s="14"/>
      <c r="W106" s="14"/>
      <c r="X106" s="14"/>
      <c r="Y106" s="14"/>
      <c r="Z106" s="14"/>
      <c r="AA106" s="14"/>
      <c r="AB106" s="14"/>
      <c r="AC106" s="14"/>
      <c r="AD106" s="14"/>
      <c r="AE106" s="14"/>
      <c r="AF106" s="14"/>
      <c r="AG106" s="14"/>
      <c r="AH106" s="14"/>
      <c r="AI106" s="14"/>
      <c r="AJ106" s="14"/>
      <c r="AK106" s="14"/>
      <c r="AL106" s="14"/>
      <c r="AM106" s="14"/>
      <c r="AN106" s="14"/>
    </row>
    <row r="107" ht="15.75" customHeight="1">
      <c r="A107" s="14"/>
      <c r="B107" s="14"/>
      <c r="C107" s="14"/>
      <c r="D107" s="14"/>
      <c r="E107" s="14"/>
      <c r="F107" s="14"/>
      <c r="G107" s="14"/>
      <c r="H107" s="14"/>
      <c r="I107" s="14"/>
      <c r="J107" s="14"/>
      <c r="K107" s="14"/>
      <c r="L107" s="14"/>
      <c r="M107" s="14"/>
      <c r="N107" s="14"/>
      <c r="O107" s="14"/>
      <c r="P107" s="14"/>
      <c r="Q107" s="14"/>
      <c r="R107" s="18"/>
      <c r="S107" s="18"/>
      <c r="T107" s="93"/>
      <c r="U107" s="20"/>
      <c r="V107" s="14"/>
      <c r="W107" s="14"/>
      <c r="X107" s="14"/>
      <c r="Y107" s="14"/>
      <c r="Z107" s="14"/>
      <c r="AA107" s="14"/>
      <c r="AB107" s="14"/>
      <c r="AC107" s="14"/>
      <c r="AD107" s="14"/>
      <c r="AE107" s="14"/>
      <c r="AF107" s="14"/>
      <c r="AG107" s="14"/>
      <c r="AH107" s="14"/>
      <c r="AI107" s="14"/>
      <c r="AJ107" s="14"/>
      <c r="AK107" s="14"/>
      <c r="AL107" s="14"/>
      <c r="AM107" s="14"/>
      <c r="AN107" s="14"/>
    </row>
    <row r="108" ht="15.75" customHeight="1">
      <c r="A108" s="14"/>
      <c r="B108" s="14"/>
      <c r="C108" s="14"/>
      <c r="D108" s="14"/>
      <c r="E108" s="14"/>
      <c r="F108" s="14"/>
      <c r="G108" s="14"/>
      <c r="H108" s="14"/>
      <c r="I108" s="14"/>
      <c r="J108" s="14"/>
      <c r="K108" s="14"/>
      <c r="L108" s="14"/>
      <c r="M108" s="14"/>
      <c r="N108" s="14"/>
      <c r="O108" s="14"/>
      <c r="P108" s="14"/>
      <c r="Q108" s="14"/>
      <c r="R108" s="18"/>
      <c r="S108" s="18"/>
      <c r="T108" s="93"/>
      <c r="U108" s="20"/>
      <c r="V108" s="14"/>
      <c r="W108" s="14"/>
      <c r="X108" s="14"/>
      <c r="Y108" s="14"/>
      <c r="Z108" s="14"/>
      <c r="AA108" s="14"/>
      <c r="AB108" s="14"/>
      <c r="AC108" s="14"/>
      <c r="AD108" s="14"/>
      <c r="AE108" s="14"/>
      <c r="AF108" s="14"/>
      <c r="AG108" s="14"/>
      <c r="AH108" s="14"/>
      <c r="AI108" s="14"/>
      <c r="AJ108" s="14"/>
      <c r="AK108" s="14"/>
      <c r="AL108" s="14"/>
      <c r="AM108" s="14"/>
      <c r="AN108" s="14"/>
    </row>
    <row r="109" ht="15.75" customHeight="1">
      <c r="A109" s="14"/>
      <c r="B109" s="14"/>
      <c r="C109" s="14"/>
      <c r="D109" s="14"/>
      <c r="E109" s="14"/>
      <c r="F109" s="14"/>
      <c r="G109" s="14"/>
      <c r="H109" s="14"/>
      <c r="I109" s="14"/>
      <c r="J109" s="14"/>
      <c r="K109" s="14"/>
      <c r="L109" s="14"/>
      <c r="M109" s="14"/>
      <c r="N109" s="14"/>
      <c r="O109" s="14"/>
      <c r="P109" s="14"/>
      <c r="Q109" s="14"/>
      <c r="R109" s="18"/>
      <c r="S109" s="18"/>
      <c r="T109" s="93"/>
      <c r="U109" s="20"/>
      <c r="V109" s="14"/>
      <c r="W109" s="14"/>
      <c r="X109" s="14"/>
      <c r="Y109" s="14"/>
      <c r="Z109" s="14"/>
      <c r="AA109" s="14"/>
      <c r="AB109" s="14"/>
      <c r="AC109" s="14"/>
      <c r="AD109" s="14"/>
      <c r="AE109" s="14"/>
      <c r="AF109" s="14"/>
      <c r="AG109" s="14"/>
      <c r="AH109" s="14"/>
      <c r="AI109" s="14"/>
      <c r="AJ109" s="14"/>
      <c r="AK109" s="14"/>
      <c r="AL109" s="14"/>
      <c r="AM109" s="14"/>
      <c r="AN109" s="14"/>
    </row>
    <row r="110" ht="15.75" customHeight="1">
      <c r="A110" s="14"/>
      <c r="B110" s="14"/>
      <c r="C110" s="14"/>
      <c r="D110" s="14"/>
      <c r="E110" s="14"/>
      <c r="F110" s="14"/>
      <c r="G110" s="14"/>
      <c r="H110" s="14"/>
      <c r="I110" s="14"/>
      <c r="J110" s="14"/>
      <c r="K110" s="14"/>
      <c r="L110" s="14"/>
      <c r="M110" s="14"/>
      <c r="N110" s="14"/>
      <c r="O110" s="14"/>
      <c r="P110" s="14"/>
      <c r="Q110" s="14"/>
      <c r="R110" s="18"/>
      <c r="S110" s="18"/>
      <c r="T110" s="93"/>
      <c r="U110" s="20"/>
      <c r="V110" s="14"/>
      <c r="W110" s="14"/>
      <c r="X110" s="14"/>
      <c r="Y110" s="14"/>
      <c r="Z110" s="14"/>
      <c r="AA110" s="14"/>
      <c r="AB110" s="14"/>
      <c r="AC110" s="14"/>
      <c r="AD110" s="14"/>
      <c r="AE110" s="14"/>
      <c r="AF110" s="14"/>
      <c r="AG110" s="14"/>
      <c r="AH110" s="14"/>
      <c r="AI110" s="14"/>
      <c r="AJ110" s="14"/>
      <c r="AK110" s="14"/>
      <c r="AL110" s="14"/>
      <c r="AM110" s="14"/>
      <c r="AN110" s="14"/>
    </row>
    <row r="111" ht="15.75" customHeight="1">
      <c r="A111" s="14"/>
      <c r="B111" s="14"/>
      <c r="C111" s="14"/>
      <c r="D111" s="14"/>
      <c r="E111" s="14"/>
      <c r="F111" s="14"/>
      <c r="G111" s="14"/>
      <c r="H111" s="14"/>
      <c r="I111" s="14"/>
      <c r="J111" s="14"/>
      <c r="K111" s="14"/>
      <c r="L111" s="14"/>
      <c r="M111" s="14"/>
      <c r="N111" s="14"/>
      <c r="O111" s="14"/>
      <c r="P111" s="14"/>
      <c r="Q111" s="14"/>
      <c r="R111" s="18"/>
      <c r="S111" s="18"/>
      <c r="T111" s="93"/>
      <c r="U111" s="20"/>
      <c r="V111" s="14"/>
      <c r="W111" s="14"/>
      <c r="X111" s="14"/>
      <c r="Y111" s="14"/>
      <c r="Z111" s="14"/>
      <c r="AA111" s="14"/>
      <c r="AB111" s="14"/>
      <c r="AC111" s="14"/>
      <c r="AD111" s="14"/>
      <c r="AE111" s="14"/>
      <c r="AF111" s="14"/>
      <c r="AG111" s="14"/>
      <c r="AH111" s="14"/>
      <c r="AI111" s="14"/>
      <c r="AJ111" s="14"/>
      <c r="AK111" s="14"/>
      <c r="AL111" s="14"/>
      <c r="AM111" s="14"/>
      <c r="AN111" s="14"/>
    </row>
    <row r="112" ht="15.75" customHeight="1">
      <c r="A112" s="14"/>
      <c r="B112" s="14"/>
      <c r="C112" s="14"/>
      <c r="D112" s="14"/>
      <c r="E112" s="14"/>
      <c r="F112" s="14"/>
      <c r="G112" s="14"/>
      <c r="H112" s="14"/>
      <c r="I112" s="14"/>
      <c r="J112" s="14"/>
      <c r="K112" s="14"/>
      <c r="L112" s="14"/>
      <c r="M112" s="14"/>
      <c r="N112" s="14"/>
      <c r="O112" s="14"/>
      <c r="P112" s="14"/>
      <c r="Q112" s="14"/>
      <c r="R112" s="18"/>
      <c r="S112" s="18"/>
      <c r="T112" s="93"/>
      <c r="U112" s="20"/>
      <c r="V112" s="14"/>
      <c r="W112" s="14"/>
      <c r="X112" s="14"/>
      <c r="Y112" s="14"/>
      <c r="Z112" s="14"/>
      <c r="AA112" s="14"/>
      <c r="AB112" s="14"/>
      <c r="AC112" s="14"/>
      <c r="AD112" s="14"/>
      <c r="AE112" s="14"/>
      <c r="AF112" s="14"/>
      <c r="AG112" s="14"/>
      <c r="AH112" s="14"/>
      <c r="AI112" s="14"/>
      <c r="AJ112" s="14"/>
      <c r="AK112" s="14"/>
      <c r="AL112" s="14"/>
      <c r="AM112" s="14"/>
      <c r="AN112" s="14"/>
    </row>
    <row r="113" ht="15.75" customHeight="1">
      <c r="A113" s="14"/>
      <c r="B113" s="14"/>
      <c r="C113" s="14"/>
      <c r="D113" s="14"/>
      <c r="E113" s="14"/>
      <c r="F113" s="14"/>
      <c r="G113" s="14"/>
      <c r="H113" s="14"/>
      <c r="I113" s="14"/>
      <c r="J113" s="14"/>
      <c r="K113" s="14"/>
      <c r="L113" s="14"/>
      <c r="M113" s="14"/>
      <c r="N113" s="14"/>
      <c r="O113" s="14"/>
      <c r="P113" s="14"/>
      <c r="Q113" s="14"/>
      <c r="R113" s="18"/>
      <c r="S113" s="18"/>
      <c r="T113" s="93"/>
      <c r="U113" s="20"/>
      <c r="V113" s="14"/>
      <c r="W113" s="14"/>
      <c r="X113" s="14"/>
      <c r="Y113" s="14"/>
      <c r="Z113" s="14"/>
      <c r="AA113" s="14"/>
      <c r="AB113" s="14"/>
      <c r="AC113" s="14"/>
      <c r="AD113" s="14"/>
      <c r="AE113" s="14"/>
      <c r="AF113" s="14"/>
      <c r="AG113" s="14"/>
      <c r="AH113" s="14"/>
      <c r="AI113" s="14"/>
      <c r="AJ113" s="14"/>
      <c r="AK113" s="14"/>
      <c r="AL113" s="14"/>
      <c r="AM113" s="14"/>
      <c r="AN113" s="14"/>
    </row>
    <row r="114" ht="15.75" customHeight="1">
      <c r="A114" s="14"/>
      <c r="B114" s="14"/>
      <c r="C114" s="14"/>
      <c r="D114" s="14"/>
      <c r="E114" s="14"/>
      <c r="F114" s="14"/>
      <c r="G114" s="14"/>
      <c r="H114" s="14"/>
      <c r="I114" s="14"/>
      <c r="J114" s="14"/>
      <c r="K114" s="14"/>
      <c r="L114" s="14"/>
      <c r="M114" s="14"/>
      <c r="N114" s="14"/>
      <c r="O114" s="14"/>
      <c r="P114" s="14"/>
      <c r="Q114" s="14"/>
      <c r="R114" s="18"/>
      <c r="S114" s="18"/>
      <c r="T114" s="93"/>
      <c r="U114" s="20"/>
      <c r="V114" s="14"/>
      <c r="W114" s="14"/>
      <c r="X114" s="14"/>
      <c r="Y114" s="14"/>
      <c r="Z114" s="14"/>
      <c r="AA114" s="14"/>
      <c r="AB114" s="14"/>
      <c r="AC114" s="14"/>
      <c r="AD114" s="14"/>
      <c r="AE114" s="14"/>
      <c r="AF114" s="14"/>
      <c r="AG114" s="14"/>
      <c r="AH114" s="14"/>
      <c r="AI114" s="14"/>
      <c r="AJ114" s="14"/>
      <c r="AK114" s="14"/>
      <c r="AL114" s="14"/>
      <c r="AM114" s="14"/>
      <c r="AN114" s="14"/>
    </row>
    <row r="115" ht="15.75" customHeight="1">
      <c r="A115" s="14"/>
      <c r="B115" s="14"/>
      <c r="C115" s="14"/>
      <c r="D115" s="14"/>
      <c r="E115" s="14"/>
      <c r="F115" s="14"/>
      <c r="G115" s="14"/>
      <c r="H115" s="14"/>
      <c r="I115" s="14"/>
      <c r="J115" s="14"/>
      <c r="K115" s="14"/>
      <c r="L115" s="14"/>
      <c r="M115" s="14"/>
      <c r="N115" s="14"/>
      <c r="O115" s="14"/>
      <c r="P115" s="14"/>
      <c r="Q115" s="14"/>
      <c r="R115" s="18"/>
      <c r="S115" s="18"/>
      <c r="T115" s="93"/>
      <c r="U115" s="20"/>
      <c r="V115" s="14"/>
      <c r="W115" s="14"/>
      <c r="X115" s="14"/>
      <c r="Y115" s="14"/>
      <c r="Z115" s="14"/>
      <c r="AA115" s="14"/>
      <c r="AB115" s="14"/>
      <c r="AC115" s="14"/>
      <c r="AD115" s="14"/>
      <c r="AE115" s="14"/>
      <c r="AF115" s="14"/>
      <c r="AG115" s="14"/>
      <c r="AH115" s="14"/>
      <c r="AI115" s="14"/>
      <c r="AJ115" s="14"/>
      <c r="AK115" s="14"/>
      <c r="AL115" s="14"/>
      <c r="AM115" s="14"/>
      <c r="AN115" s="14"/>
    </row>
    <row r="116" ht="15.75" customHeight="1">
      <c r="A116" s="14"/>
      <c r="B116" s="14"/>
      <c r="C116" s="14"/>
      <c r="D116" s="14"/>
      <c r="E116" s="14"/>
      <c r="F116" s="14"/>
      <c r="G116" s="14"/>
      <c r="H116" s="14"/>
      <c r="I116" s="14"/>
      <c r="J116" s="14"/>
      <c r="K116" s="14"/>
      <c r="L116" s="14"/>
      <c r="M116" s="14"/>
      <c r="N116" s="14"/>
      <c r="O116" s="14"/>
      <c r="P116" s="14"/>
      <c r="Q116" s="14"/>
      <c r="R116" s="18"/>
      <c r="S116" s="18"/>
      <c r="T116" s="93"/>
      <c r="U116" s="20"/>
      <c r="V116" s="14"/>
      <c r="W116" s="14"/>
      <c r="X116" s="14"/>
      <c r="Y116" s="14"/>
      <c r="Z116" s="14"/>
      <c r="AA116" s="14"/>
      <c r="AB116" s="14"/>
      <c r="AC116" s="14"/>
      <c r="AD116" s="14"/>
      <c r="AE116" s="14"/>
      <c r="AF116" s="14"/>
      <c r="AG116" s="14"/>
      <c r="AH116" s="14"/>
      <c r="AI116" s="14"/>
      <c r="AJ116" s="14"/>
      <c r="AK116" s="14"/>
      <c r="AL116" s="14"/>
      <c r="AM116" s="14"/>
      <c r="AN116" s="14"/>
    </row>
    <row r="117" ht="15.75" customHeight="1">
      <c r="A117" s="14"/>
      <c r="B117" s="14"/>
      <c r="C117" s="14"/>
      <c r="D117" s="14"/>
      <c r="E117" s="14"/>
      <c r="F117" s="14"/>
      <c r="G117" s="14"/>
      <c r="H117" s="14"/>
      <c r="I117" s="14"/>
      <c r="J117" s="14"/>
      <c r="K117" s="14"/>
      <c r="L117" s="14"/>
      <c r="M117" s="14"/>
      <c r="N117" s="14"/>
      <c r="O117" s="14"/>
      <c r="P117" s="14"/>
      <c r="Q117" s="14"/>
      <c r="R117" s="18"/>
      <c r="S117" s="18"/>
      <c r="T117" s="93"/>
      <c r="U117" s="20"/>
      <c r="V117" s="14"/>
      <c r="W117" s="14"/>
      <c r="X117" s="14"/>
      <c r="Y117" s="14"/>
      <c r="Z117" s="14"/>
      <c r="AA117" s="14"/>
      <c r="AB117" s="14"/>
      <c r="AC117" s="14"/>
      <c r="AD117" s="14"/>
      <c r="AE117" s="14"/>
      <c r="AF117" s="14"/>
      <c r="AG117" s="14"/>
      <c r="AH117" s="14"/>
      <c r="AI117" s="14"/>
      <c r="AJ117" s="14"/>
      <c r="AK117" s="14"/>
      <c r="AL117" s="14"/>
      <c r="AM117" s="14"/>
      <c r="AN117" s="14"/>
    </row>
    <row r="118" ht="15.75" customHeight="1">
      <c r="A118" s="14"/>
      <c r="B118" s="14"/>
      <c r="C118" s="14"/>
      <c r="D118" s="14"/>
      <c r="E118" s="14"/>
      <c r="F118" s="14"/>
      <c r="G118" s="14"/>
      <c r="H118" s="14"/>
      <c r="I118" s="14"/>
      <c r="J118" s="14"/>
      <c r="K118" s="14"/>
      <c r="L118" s="14"/>
      <c r="M118" s="14"/>
      <c r="N118" s="14"/>
      <c r="O118" s="14"/>
      <c r="P118" s="14"/>
      <c r="Q118" s="14"/>
      <c r="R118" s="18"/>
      <c r="S118" s="18"/>
      <c r="T118" s="93"/>
      <c r="U118" s="20"/>
      <c r="V118" s="14"/>
      <c r="W118" s="14"/>
      <c r="X118" s="14"/>
      <c r="Y118" s="14"/>
      <c r="Z118" s="14"/>
      <c r="AA118" s="14"/>
      <c r="AB118" s="14"/>
      <c r="AC118" s="14"/>
      <c r="AD118" s="14"/>
      <c r="AE118" s="14"/>
      <c r="AF118" s="14"/>
      <c r="AG118" s="14"/>
      <c r="AH118" s="14"/>
      <c r="AI118" s="14"/>
      <c r="AJ118" s="14"/>
      <c r="AK118" s="14"/>
      <c r="AL118" s="14"/>
      <c r="AM118" s="14"/>
      <c r="AN118" s="14"/>
    </row>
    <row r="119" ht="15.75" customHeight="1">
      <c r="A119" s="14"/>
      <c r="B119" s="14"/>
      <c r="C119" s="14"/>
      <c r="D119" s="14"/>
      <c r="E119" s="14"/>
      <c r="F119" s="14"/>
      <c r="G119" s="14"/>
      <c r="H119" s="14"/>
      <c r="I119" s="14"/>
      <c r="J119" s="14"/>
      <c r="K119" s="14"/>
      <c r="L119" s="14"/>
      <c r="M119" s="14"/>
      <c r="N119" s="14"/>
      <c r="O119" s="14"/>
      <c r="P119" s="14"/>
      <c r="Q119" s="14"/>
      <c r="R119" s="18"/>
      <c r="S119" s="18"/>
      <c r="T119" s="93"/>
      <c r="U119" s="20"/>
      <c r="V119" s="14"/>
      <c r="W119" s="14"/>
      <c r="X119" s="14"/>
      <c r="Y119" s="14"/>
      <c r="Z119" s="14"/>
      <c r="AA119" s="14"/>
      <c r="AB119" s="14"/>
      <c r="AC119" s="14"/>
      <c r="AD119" s="14"/>
      <c r="AE119" s="14"/>
      <c r="AF119" s="14"/>
      <c r="AG119" s="14"/>
      <c r="AH119" s="14"/>
      <c r="AI119" s="14"/>
      <c r="AJ119" s="14"/>
      <c r="AK119" s="14"/>
      <c r="AL119" s="14"/>
      <c r="AM119" s="14"/>
      <c r="AN119" s="14"/>
    </row>
    <row r="120" ht="15.75" customHeight="1">
      <c r="A120" s="14"/>
      <c r="B120" s="14"/>
      <c r="C120" s="14"/>
      <c r="D120" s="14"/>
      <c r="E120" s="14"/>
      <c r="F120" s="14"/>
      <c r="G120" s="14"/>
      <c r="H120" s="14"/>
      <c r="I120" s="14"/>
      <c r="J120" s="14"/>
      <c r="K120" s="14"/>
      <c r="L120" s="14"/>
      <c r="M120" s="14"/>
      <c r="N120" s="14"/>
      <c r="O120" s="14"/>
      <c r="P120" s="14"/>
      <c r="Q120" s="14"/>
      <c r="R120" s="18"/>
      <c r="S120" s="18"/>
      <c r="T120" s="93"/>
      <c r="U120" s="20"/>
      <c r="V120" s="14"/>
      <c r="W120" s="14"/>
      <c r="X120" s="14"/>
      <c r="Y120" s="14"/>
      <c r="Z120" s="14"/>
      <c r="AA120" s="14"/>
      <c r="AB120" s="14"/>
      <c r="AC120" s="14"/>
      <c r="AD120" s="14"/>
      <c r="AE120" s="14"/>
      <c r="AF120" s="14"/>
      <c r="AG120" s="14"/>
      <c r="AH120" s="14"/>
      <c r="AI120" s="14"/>
      <c r="AJ120" s="14"/>
      <c r="AK120" s="14"/>
      <c r="AL120" s="14"/>
      <c r="AM120" s="14"/>
      <c r="AN120" s="14"/>
    </row>
    <row r="121" ht="15.75" customHeight="1">
      <c r="A121" s="14"/>
      <c r="B121" s="14"/>
      <c r="C121" s="14"/>
      <c r="D121" s="14"/>
      <c r="E121" s="14"/>
      <c r="F121" s="14"/>
      <c r="G121" s="14"/>
      <c r="H121" s="14"/>
      <c r="I121" s="14"/>
      <c r="J121" s="14"/>
      <c r="K121" s="14"/>
      <c r="L121" s="14"/>
      <c r="M121" s="14"/>
      <c r="N121" s="14"/>
      <c r="O121" s="14"/>
      <c r="P121" s="14"/>
      <c r="Q121" s="14"/>
      <c r="R121" s="18"/>
      <c r="S121" s="18"/>
      <c r="T121" s="93"/>
      <c r="U121" s="20"/>
      <c r="V121" s="14"/>
      <c r="W121" s="14"/>
      <c r="X121" s="14"/>
      <c r="Y121" s="14"/>
      <c r="Z121" s="14"/>
      <c r="AA121" s="14"/>
      <c r="AB121" s="14"/>
      <c r="AC121" s="14"/>
      <c r="AD121" s="14"/>
      <c r="AE121" s="14"/>
      <c r="AF121" s="14"/>
      <c r="AG121" s="14"/>
      <c r="AH121" s="14"/>
      <c r="AI121" s="14"/>
      <c r="AJ121" s="14"/>
      <c r="AK121" s="14"/>
      <c r="AL121" s="14"/>
      <c r="AM121" s="14"/>
      <c r="AN121" s="14"/>
    </row>
    <row r="122" ht="15.75" customHeight="1">
      <c r="A122" s="14"/>
      <c r="B122" s="14"/>
      <c r="C122" s="14"/>
      <c r="D122" s="14"/>
      <c r="E122" s="14"/>
      <c r="F122" s="14"/>
      <c r="G122" s="14"/>
      <c r="H122" s="14"/>
      <c r="I122" s="14"/>
      <c r="J122" s="14"/>
      <c r="K122" s="14"/>
      <c r="L122" s="14"/>
      <c r="M122" s="14"/>
      <c r="N122" s="14"/>
      <c r="O122" s="14"/>
      <c r="P122" s="14"/>
      <c r="Q122" s="14"/>
      <c r="R122" s="18"/>
      <c r="S122" s="18"/>
      <c r="T122" s="93"/>
      <c r="U122" s="20"/>
      <c r="V122" s="14"/>
      <c r="W122" s="14"/>
      <c r="X122" s="14"/>
      <c r="Y122" s="14"/>
      <c r="Z122" s="14"/>
      <c r="AA122" s="14"/>
      <c r="AB122" s="14"/>
      <c r="AC122" s="14"/>
      <c r="AD122" s="14"/>
      <c r="AE122" s="14"/>
      <c r="AF122" s="14"/>
      <c r="AG122" s="14"/>
      <c r="AH122" s="14"/>
      <c r="AI122" s="14"/>
      <c r="AJ122" s="14"/>
      <c r="AK122" s="14"/>
      <c r="AL122" s="14"/>
      <c r="AM122" s="14"/>
      <c r="AN122" s="14"/>
    </row>
    <row r="123" ht="15.75" customHeight="1">
      <c r="A123" s="14"/>
      <c r="B123" s="14"/>
      <c r="C123" s="14"/>
      <c r="D123" s="14"/>
      <c r="E123" s="14"/>
      <c r="F123" s="14"/>
      <c r="G123" s="14"/>
      <c r="H123" s="14"/>
      <c r="I123" s="14"/>
      <c r="J123" s="14"/>
      <c r="K123" s="14"/>
      <c r="L123" s="14"/>
      <c r="M123" s="14"/>
      <c r="N123" s="14"/>
      <c r="O123" s="14"/>
      <c r="P123" s="14"/>
      <c r="Q123" s="14"/>
      <c r="R123" s="18"/>
      <c r="S123" s="18"/>
      <c r="T123" s="93"/>
      <c r="U123" s="20"/>
      <c r="V123" s="14"/>
      <c r="W123" s="14"/>
      <c r="X123" s="14"/>
      <c r="Y123" s="14"/>
      <c r="Z123" s="14"/>
      <c r="AA123" s="14"/>
      <c r="AB123" s="14"/>
      <c r="AC123" s="14"/>
      <c r="AD123" s="14"/>
      <c r="AE123" s="14"/>
      <c r="AF123" s="14"/>
      <c r="AG123" s="14"/>
      <c r="AH123" s="14"/>
      <c r="AI123" s="14"/>
      <c r="AJ123" s="14"/>
      <c r="AK123" s="14"/>
      <c r="AL123" s="14"/>
      <c r="AM123" s="14"/>
      <c r="AN123" s="14"/>
    </row>
    <row r="124" ht="15.75" customHeight="1">
      <c r="A124" s="14"/>
      <c r="B124" s="14"/>
      <c r="C124" s="14"/>
      <c r="D124" s="14"/>
      <c r="E124" s="14"/>
      <c r="F124" s="14"/>
      <c r="G124" s="14"/>
      <c r="H124" s="14"/>
      <c r="I124" s="14"/>
      <c r="J124" s="14"/>
      <c r="K124" s="14"/>
      <c r="L124" s="14"/>
      <c r="M124" s="14"/>
      <c r="N124" s="14"/>
      <c r="O124" s="14"/>
      <c r="P124" s="14"/>
      <c r="Q124" s="14"/>
      <c r="R124" s="18"/>
      <c r="S124" s="18"/>
      <c r="T124" s="93"/>
      <c r="U124" s="20"/>
      <c r="V124" s="14"/>
      <c r="W124" s="14"/>
      <c r="X124" s="14"/>
      <c r="Y124" s="14"/>
      <c r="Z124" s="14"/>
      <c r="AA124" s="14"/>
      <c r="AB124" s="14"/>
      <c r="AC124" s="14"/>
      <c r="AD124" s="14"/>
      <c r="AE124" s="14"/>
      <c r="AF124" s="14"/>
      <c r="AG124" s="14"/>
      <c r="AH124" s="14"/>
      <c r="AI124" s="14"/>
      <c r="AJ124" s="14"/>
      <c r="AK124" s="14"/>
      <c r="AL124" s="14"/>
      <c r="AM124" s="14"/>
      <c r="AN124" s="14"/>
    </row>
    <row r="125" ht="15.75" customHeight="1">
      <c r="A125" s="14"/>
      <c r="B125" s="14"/>
      <c r="C125" s="14"/>
      <c r="D125" s="14"/>
      <c r="E125" s="14"/>
      <c r="F125" s="14"/>
      <c r="G125" s="14"/>
      <c r="H125" s="14"/>
      <c r="I125" s="14"/>
      <c r="J125" s="14"/>
      <c r="K125" s="14"/>
      <c r="L125" s="14"/>
      <c r="M125" s="14"/>
      <c r="N125" s="14"/>
      <c r="O125" s="14"/>
      <c r="P125" s="14"/>
      <c r="Q125" s="14"/>
      <c r="R125" s="18"/>
      <c r="S125" s="18"/>
      <c r="T125" s="93"/>
      <c r="U125" s="20"/>
      <c r="V125" s="14"/>
      <c r="W125" s="14"/>
      <c r="X125" s="14"/>
      <c r="Y125" s="14"/>
      <c r="Z125" s="14"/>
      <c r="AA125" s="14"/>
      <c r="AB125" s="14"/>
      <c r="AC125" s="14"/>
      <c r="AD125" s="14"/>
      <c r="AE125" s="14"/>
      <c r="AF125" s="14"/>
      <c r="AG125" s="14"/>
      <c r="AH125" s="14"/>
      <c r="AI125" s="14"/>
      <c r="AJ125" s="14"/>
      <c r="AK125" s="14"/>
      <c r="AL125" s="14"/>
      <c r="AM125" s="14"/>
      <c r="AN125" s="14"/>
    </row>
    <row r="126" ht="15.75" customHeight="1">
      <c r="A126" s="14"/>
      <c r="B126" s="14"/>
      <c r="C126" s="14"/>
      <c r="D126" s="14"/>
      <c r="E126" s="14"/>
      <c r="F126" s="14"/>
      <c r="G126" s="14"/>
      <c r="H126" s="14"/>
      <c r="I126" s="14"/>
      <c r="J126" s="14"/>
      <c r="K126" s="14"/>
      <c r="L126" s="14"/>
      <c r="M126" s="14"/>
      <c r="N126" s="14"/>
      <c r="O126" s="14"/>
      <c r="P126" s="14"/>
      <c r="Q126" s="14"/>
      <c r="R126" s="18"/>
      <c r="S126" s="18"/>
      <c r="T126" s="93"/>
      <c r="U126" s="20"/>
      <c r="V126" s="14"/>
      <c r="W126" s="14"/>
      <c r="X126" s="14"/>
      <c r="Y126" s="14"/>
      <c r="Z126" s="14"/>
      <c r="AA126" s="14"/>
      <c r="AB126" s="14"/>
      <c r="AC126" s="14"/>
      <c r="AD126" s="14"/>
      <c r="AE126" s="14"/>
      <c r="AF126" s="14"/>
      <c r="AG126" s="14"/>
      <c r="AH126" s="14"/>
      <c r="AI126" s="14"/>
      <c r="AJ126" s="14"/>
      <c r="AK126" s="14"/>
      <c r="AL126" s="14"/>
      <c r="AM126" s="14"/>
      <c r="AN126" s="14"/>
    </row>
    <row r="127" ht="15.75" customHeight="1">
      <c r="A127" s="14"/>
      <c r="B127" s="14"/>
      <c r="C127" s="14"/>
      <c r="D127" s="14"/>
      <c r="E127" s="14"/>
      <c r="F127" s="14"/>
      <c r="G127" s="14"/>
      <c r="H127" s="14"/>
      <c r="I127" s="14"/>
      <c r="J127" s="14"/>
      <c r="K127" s="14"/>
      <c r="L127" s="14"/>
      <c r="M127" s="14"/>
      <c r="N127" s="14"/>
      <c r="O127" s="14"/>
      <c r="P127" s="14"/>
      <c r="Q127" s="14"/>
      <c r="R127" s="18"/>
      <c r="S127" s="18"/>
      <c r="T127" s="93"/>
      <c r="U127" s="20"/>
      <c r="V127" s="14"/>
      <c r="W127" s="14"/>
      <c r="X127" s="14"/>
      <c r="Y127" s="14"/>
      <c r="Z127" s="14"/>
      <c r="AA127" s="14"/>
      <c r="AB127" s="14"/>
      <c r="AC127" s="14"/>
      <c r="AD127" s="14"/>
      <c r="AE127" s="14"/>
      <c r="AF127" s="14"/>
      <c r="AG127" s="14"/>
      <c r="AH127" s="14"/>
      <c r="AI127" s="14"/>
      <c r="AJ127" s="14"/>
      <c r="AK127" s="14"/>
      <c r="AL127" s="14"/>
      <c r="AM127" s="14"/>
      <c r="AN127" s="14"/>
    </row>
    <row r="128" ht="15.75" customHeight="1">
      <c r="A128" s="14"/>
      <c r="B128" s="14"/>
      <c r="C128" s="14"/>
      <c r="D128" s="14"/>
      <c r="E128" s="14"/>
      <c r="F128" s="14"/>
      <c r="G128" s="14"/>
      <c r="H128" s="14"/>
      <c r="I128" s="14"/>
      <c r="J128" s="14"/>
      <c r="K128" s="14"/>
      <c r="L128" s="14"/>
      <c r="M128" s="14"/>
      <c r="N128" s="14"/>
      <c r="O128" s="14"/>
      <c r="P128" s="14"/>
      <c r="Q128" s="429"/>
      <c r="R128" s="18"/>
      <c r="S128" s="18"/>
      <c r="T128" s="93"/>
      <c r="U128" s="20"/>
      <c r="V128" s="14"/>
      <c r="W128" s="14"/>
      <c r="X128" s="14"/>
      <c r="Y128" s="14"/>
      <c r="Z128" s="14"/>
      <c r="AA128" s="14"/>
      <c r="AB128" s="14"/>
      <c r="AC128" s="14"/>
      <c r="AD128" s="14"/>
      <c r="AE128" s="14"/>
      <c r="AF128" s="14"/>
      <c r="AG128" s="14"/>
      <c r="AH128" s="14"/>
      <c r="AI128" s="14"/>
      <c r="AJ128" s="14"/>
      <c r="AK128" s="14"/>
      <c r="AL128" s="14"/>
      <c r="AM128" s="14"/>
      <c r="AN128" s="14"/>
    </row>
    <row r="129" ht="15.75" customHeight="1">
      <c r="A129" s="14"/>
      <c r="B129" s="14"/>
      <c r="C129" s="14"/>
      <c r="D129" s="14"/>
      <c r="E129" s="14"/>
      <c r="F129" s="14"/>
      <c r="G129" s="14"/>
      <c r="H129" s="14"/>
      <c r="I129" s="14"/>
      <c r="J129" s="14"/>
      <c r="K129" s="14"/>
      <c r="L129" s="14"/>
      <c r="M129" s="14"/>
      <c r="N129" s="14"/>
      <c r="O129" s="14"/>
      <c r="P129" s="14"/>
      <c r="Q129" s="14"/>
      <c r="R129" s="18"/>
      <c r="S129" s="18"/>
      <c r="T129" s="93"/>
      <c r="U129" s="20"/>
      <c r="V129" s="14"/>
      <c r="W129" s="14"/>
      <c r="X129" s="14"/>
      <c r="Y129" s="14"/>
      <c r="Z129" s="14"/>
      <c r="AA129" s="14"/>
      <c r="AB129" s="14"/>
      <c r="AC129" s="14"/>
      <c r="AD129" s="14"/>
      <c r="AE129" s="14"/>
      <c r="AF129" s="14"/>
      <c r="AG129" s="14"/>
      <c r="AH129" s="14"/>
      <c r="AI129" s="14"/>
      <c r="AJ129" s="14"/>
      <c r="AK129" s="14"/>
      <c r="AL129" s="14"/>
      <c r="AM129" s="14"/>
      <c r="AN129" s="14"/>
    </row>
    <row r="130" ht="15.75" customHeight="1">
      <c r="A130" s="14"/>
      <c r="B130" s="14"/>
      <c r="C130" s="14"/>
      <c r="D130" s="14"/>
      <c r="E130" s="14"/>
      <c r="F130" s="14"/>
      <c r="G130" s="14"/>
      <c r="H130" s="14"/>
      <c r="I130" s="14"/>
      <c r="J130" s="14"/>
      <c r="K130" s="14"/>
      <c r="L130" s="14"/>
      <c r="M130" s="14"/>
      <c r="N130" s="14"/>
      <c r="O130" s="14"/>
      <c r="P130" s="14"/>
      <c r="Q130" s="14"/>
      <c r="R130" s="18"/>
      <c r="S130" s="18"/>
      <c r="T130" s="93"/>
      <c r="U130" s="20"/>
      <c r="V130" s="14"/>
      <c r="W130" s="14"/>
      <c r="X130" s="14"/>
      <c r="Y130" s="14"/>
      <c r="Z130" s="14"/>
      <c r="AA130" s="14"/>
      <c r="AB130" s="14"/>
      <c r="AC130" s="14"/>
      <c r="AD130" s="14"/>
      <c r="AE130" s="14"/>
      <c r="AF130" s="14"/>
      <c r="AG130" s="14"/>
      <c r="AH130" s="14"/>
      <c r="AI130" s="14"/>
      <c r="AJ130" s="14"/>
      <c r="AK130" s="14"/>
      <c r="AL130" s="14"/>
      <c r="AM130" s="14"/>
      <c r="AN130" s="14"/>
    </row>
    <row r="131" ht="15.75" customHeight="1">
      <c r="A131" s="14"/>
      <c r="B131" s="14"/>
      <c r="C131" s="14"/>
      <c r="D131" s="14"/>
      <c r="E131" s="14"/>
      <c r="F131" s="14"/>
      <c r="G131" s="14"/>
      <c r="H131" s="14"/>
      <c r="I131" s="14"/>
      <c r="J131" s="14"/>
      <c r="K131" s="14"/>
      <c r="L131" s="14"/>
      <c r="M131" s="14"/>
      <c r="N131" s="14"/>
      <c r="O131" s="14"/>
      <c r="P131" s="14"/>
      <c r="Q131" s="14"/>
      <c r="R131" s="18"/>
      <c r="S131" s="18"/>
      <c r="T131" s="93"/>
      <c r="U131" s="20"/>
      <c r="V131" s="14"/>
      <c r="W131" s="14"/>
      <c r="X131" s="14"/>
      <c r="Y131" s="14"/>
      <c r="Z131" s="14"/>
      <c r="AA131" s="14"/>
      <c r="AB131" s="14"/>
      <c r="AC131" s="14"/>
      <c r="AD131" s="14"/>
      <c r="AE131" s="14"/>
      <c r="AF131" s="14"/>
      <c r="AG131" s="14"/>
      <c r="AH131" s="14"/>
      <c r="AI131" s="14"/>
      <c r="AJ131" s="14"/>
      <c r="AK131" s="14"/>
      <c r="AL131" s="14"/>
      <c r="AM131" s="14"/>
      <c r="AN131" s="14"/>
    </row>
    <row r="132" ht="15.75" customHeight="1">
      <c r="A132" s="14"/>
      <c r="B132" s="14"/>
      <c r="C132" s="14"/>
      <c r="D132" s="14"/>
      <c r="E132" s="14"/>
      <c r="F132" s="14"/>
      <c r="G132" s="14"/>
      <c r="H132" s="14"/>
      <c r="I132" s="14"/>
      <c r="J132" s="14"/>
      <c r="K132" s="14"/>
      <c r="L132" s="14"/>
      <c r="M132" s="14"/>
      <c r="N132" s="14"/>
      <c r="O132" s="14"/>
      <c r="P132" s="14"/>
      <c r="Q132" s="14"/>
      <c r="R132" s="18"/>
      <c r="S132" s="18"/>
      <c r="T132" s="93"/>
      <c r="U132" s="20"/>
      <c r="V132" s="14"/>
      <c r="W132" s="14"/>
      <c r="X132" s="14"/>
      <c r="Y132" s="14"/>
      <c r="Z132" s="14"/>
      <c r="AA132" s="14"/>
      <c r="AB132" s="14"/>
      <c r="AC132" s="14"/>
      <c r="AD132" s="14"/>
      <c r="AE132" s="14"/>
      <c r="AF132" s="14"/>
      <c r="AG132" s="14"/>
      <c r="AH132" s="14"/>
      <c r="AI132" s="14"/>
      <c r="AJ132" s="14"/>
      <c r="AK132" s="14"/>
      <c r="AL132" s="14"/>
      <c r="AM132" s="14"/>
      <c r="AN132" s="14"/>
    </row>
    <row r="133" ht="15.75" customHeight="1">
      <c r="A133" s="14"/>
      <c r="B133" s="14"/>
      <c r="C133" s="14"/>
      <c r="D133" s="14"/>
      <c r="E133" s="14"/>
      <c r="F133" s="14"/>
      <c r="G133" s="14"/>
      <c r="H133" s="14"/>
      <c r="I133" s="14"/>
      <c r="J133" s="14"/>
      <c r="K133" s="14"/>
      <c r="L133" s="14"/>
      <c r="M133" s="14"/>
      <c r="N133" s="14"/>
      <c r="O133" s="14"/>
      <c r="P133" s="14"/>
      <c r="Q133" s="14"/>
      <c r="R133" s="18"/>
      <c r="S133" s="18"/>
      <c r="T133" s="93"/>
      <c r="U133" s="20"/>
      <c r="V133" s="14"/>
      <c r="W133" s="14"/>
      <c r="X133" s="14"/>
      <c r="Y133" s="14"/>
      <c r="Z133" s="14"/>
      <c r="AA133" s="14"/>
      <c r="AB133" s="14"/>
      <c r="AC133" s="14"/>
      <c r="AD133" s="14"/>
      <c r="AE133" s="14"/>
      <c r="AF133" s="14"/>
      <c r="AG133" s="14"/>
      <c r="AH133" s="14"/>
      <c r="AI133" s="14"/>
      <c r="AJ133" s="14"/>
      <c r="AK133" s="14"/>
      <c r="AL133" s="14"/>
      <c r="AM133" s="14"/>
      <c r="AN133" s="14"/>
    </row>
    <row r="134" ht="15.75" customHeight="1">
      <c r="A134" s="14"/>
      <c r="B134" s="14"/>
      <c r="C134" s="14"/>
      <c r="D134" s="14"/>
      <c r="E134" s="14"/>
      <c r="F134" s="14"/>
      <c r="G134" s="14"/>
      <c r="H134" s="14"/>
      <c r="I134" s="14"/>
      <c r="J134" s="14"/>
      <c r="K134" s="14"/>
      <c r="L134" s="14"/>
      <c r="M134" s="14"/>
      <c r="N134" s="14"/>
      <c r="O134" s="14"/>
      <c r="P134" s="14"/>
      <c r="Q134" s="14"/>
      <c r="R134" s="18"/>
      <c r="S134" s="18"/>
      <c r="T134" s="93"/>
      <c r="U134" s="20"/>
      <c r="V134" s="14"/>
      <c r="W134" s="14"/>
      <c r="X134" s="14"/>
      <c r="Y134" s="14"/>
      <c r="Z134" s="14"/>
      <c r="AA134" s="14"/>
      <c r="AB134" s="14"/>
      <c r="AC134" s="14"/>
      <c r="AD134" s="14"/>
      <c r="AE134" s="14"/>
      <c r="AF134" s="14"/>
      <c r="AG134" s="14"/>
      <c r="AH134" s="14"/>
      <c r="AI134" s="14"/>
      <c r="AJ134" s="14"/>
      <c r="AK134" s="14"/>
      <c r="AL134" s="14"/>
      <c r="AM134" s="14"/>
      <c r="AN134" s="14"/>
    </row>
    <row r="135" ht="15.75" customHeight="1">
      <c r="A135" s="14"/>
      <c r="B135" s="14"/>
      <c r="C135" s="14"/>
      <c r="D135" s="14"/>
      <c r="E135" s="14"/>
      <c r="F135" s="14"/>
      <c r="G135" s="14"/>
      <c r="H135" s="14"/>
      <c r="I135" s="14"/>
      <c r="J135" s="14"/>
      <c r="K135" s="14"/>
      <c r="L135" s="14"/>
      <c r="M135" s="14"/>
      <c r="N135" s="14"/>
      <c r="O135" s="14"/>
      <c r="P135" s="14"/>
      <c r="Q135" s="14"/>
      <c r="R135" s="18"/>
      <c r="S135" s="18"/>
      <c r="T135" s="93"/>
      <c r="U135" s="20"/>
      <c r="V135" s="14"/>
      <c r="W135" s="14"/>
      <c r="X135" s="14"/>
      <c r="Y135" s="14"/>
      <c r="Z135" s="14"/>
      <c r="AA135" s="14"/>
      <c r="AB135" s="14"/>
      <c r="AC135" s="14"/>
      <c r="AD135" s="14"/>
      <c r="AE135" s="14"/>
      <c r="AF135" s="14"/>
      <c r="AG135" s="14"/>
      <c r="AH135" s="14"/>
      <c r="AI135" s="14"/>
      <c r="AJ135" s="14"/>
      <c r="AK135" s="14"/>
      <c r="AL135" s="14"/>
      <c r="AM135" s="14"/>
      <c r="AN135" s="14"/>
    </row>
    <row r="136" ht="15.75" customHeight="1">
      <c r="A136" s="14"/>
      <c r="B136" s="14"/>
      <c r="C136" s="14"/>
      <c r="D136" s="14"/>
      <c r="E136" s="14"/>
      <c r="F136" s="14"/>
      <c r="G136" s="14"/>
      <c r="H136" s="14"/>
      <c r="I136" s="14"/>
      <c r="J136" s="14"/>
      <c r="K136" s="14"/>
      <c r="L136" s="14"/>
      <c r="M136" s="14"/>
      <c r="N136" s="14"/>
      <c r="O136" s="14"/>
      <c r="P136" s="14"/>
      <c r="Q136" s="14"/>
      <c r="R136" s="18"/>
      <c r="S136" s="18"/>
      <c r="T136" s="93"/>
      <c r="U136" s="20"/>
      <c r="V136" s="14"/>
      <c r="W136" s="14"/>
      <c r="X136" s="14"/>
      <c r="Y136" s="14"/>
      <c r="Z136" s="14"/>
      <c r="AA136" s="14"/>
      <c r="AB136" s="14"/>
      <c r="AC136" s="14"/>
      <c r="AD136" s="14"/>
      <c r="AE136" s="14"/>
      <c r="AF136" s="14"/>
      <c r="AG136" s="14"/>
      <c r="AH136" s="14"/>
      <c r="AI136" s="14"/>
      <c r="AJ136" s="14"/>
      <c r="AK136" s="14"/>
      <c r="AL136" s="14"/>
      <c r="AM136" s="14"/>
      <c r="AN136" s="14"/>
    </row>
    <row r="137" ht="15.75" customHeight="1">
      <c r="A137" s="14"/>
      <c r="B137" s="14"/>
      <c r="C137" s="14"/>
      <c r="D137" s="14"/>
      <c r="E137" s="14"/>
      <c r="F137" s="14"/>
      <c r="G137" s="14"/>
      <c r="H137" s="14"/>
      <c r="I137" s="14"/>
      <c r="J137" s="14"/>
      <c r="K137" s="14"/>
      <c r="L137" s="14"/>
      <c r="M137" s="14"/>
      <c r="N137" s="14"/>
      <c r="O137" s="14"/>
      <c r="P137" s="14"/>
      <c r="Q137" s="14"/>
      <c r="R137" s="18"/>
      <c r="S137" s="18"/>
      <c r="T137" s="93"/>
      <c r="U137" s="20"/>
      <c r="V137" s="14"/>
      <c r="W137" s="14"/>
      <c r="X137" s="14"/>
      <c r="Y137" s="14"/>
      <c r="Z137" s="14"/>
      <c r="AA137" s="14"/>
      <c r="AB137" s="14"/>
      <c r="AC137" s="14"/>
      <c r="AD137" s="14"/>
      <c r="AE137" s="14"/>
      <c r="AF137" s="14"/>
      <c r="AG137" s="14"/>
      <c r="AH137" s="14"/>
      <c r="AI137" s="14"/>
      <c r="AJ137" s="14"/>
      <c r="AK137" s="14"/>
      <c r="AL137" s="14"/>
      <c r="AM137" s="14"/>
      <c r="AN137" s="14"/>
    </row>
    <row r="138" ht="15.75" customHeight="1">
      <c r="A138" s="14"/>
      <c r="B138" s="14"/>
      <c r="C138" s="14"/>
      <c r="D138" s="14"/>
      <c r="E138" s="14"/>
      <c r="F138" s="14"/>
      <c r="G138" s="14"/>
      <c r="H138" s="14"/>
      <c r="I138" s="14"/>
      <c r="J138" s="14"/>
      <c r="K138" s="14"/>
      <c r="L138" s="14"/>
      <c r="M138" s="14"/>
      <c r="N138" s="14"/>
      <c r="O138" s="14"/>
      <c r="P138" s="14"/>
      <c r="Q138" s="14"/>
      <c r="R138" s="18"/>
      <c r="S138" s="18"/>
      <c r="T138" s="93"/>
      <c r="U138" s="20"/>
      <c r="V138" s="14"/>
      <c r="W138" s="14"/>
      <c r="X138" s="14"/>
      <c r="Y138" s="14"/>
      <c r="Z138" s="14"/>
      <c r="AA138" s="14"/>
      <c r="AB138" s="14"/>
      <c r="AC138" s="14"/>
      <c r="AD138" s="14"/>
      <c r="AE138" s="14"/>
      <c r="AF138" s="14"/>
      <c r="AG138" s="14"/>
      <c r="AH138" s="14"/>
      <c r="AI138" s="14"/>
      <c r="AJ138" s="14"/>
      <c r="AK138" s="14"/>
      <c r="AL138" s="14"/>
      <c r="AM138" s="14"/>
      <c r="AN138" s="14"/>
    </row>
    <row r="139" ht="15.75" customHeight="1">
      <c r="A139" s="14"/>
      <c r="B139" s="14"/>
      <c r="C139" s="14"/>
      <c r="D139" s="14"/>
      <c r="E139" s="14"/>
      <c r="F139" s="14"/>
      <c r="G139" s="14"/>
      <c r="H139" s="14"/>
      <c r="I139" s="14"/>
      <c r="J139" s="14"/>
      <c r="K139" s="14"/>
      <c r="L139" s="14"/>
      <c r="M139" s="14"/>
      <c r="N139" s="14"/>
      <c r="O139" s="14"/>
      <c r="P139" s="14"/>
      <c r="Q139" s="14"/>
      <c r="R139" s="18"/>
      <c r="S139" s="18"/>
      <c r="T139" s="93"/>
      <c r="U139" s="20"/>
      <c r="V139" s="14"/>
      <c r="W139" s="14"/>
      <c r="X139" s="14"/>
      <c r="Y139" s="14"/>
      <c r="Z139" s="14"/>
      <c r="AA139" s="14"/>
      <c r="AB139" s="14"/>
      <c r="AC139" s="14"/>
      <c r="AD139" s="14"/>
      <c r="AE139" s="14"/>
      <c r="AF139" s="14"/>
      <c r="AG139" s="14"/>
      <c r="AH139" s="14"/>
      <c r="AI139" s="14"/>
      <c r="AJ139" s="14"/>
      <c r="AK139" s="14"/>
      <c r="AL139" s="14"/>
      <c r="AM139" s="14"/>
      <c r="AN139" s="14"/>
    </row>
    <row r="140" ht="15.75" customHeight="1">
      <c r="A140" s="14"/>
      <c r="B140" s="14"/>
      <c r="C140" s="14"/>
      <c r="D140" s="14"/>
      <c r="E140" s="14"/>
      <c r="F140" s="14"/>
      <c r="G140" s="14"/>
      <c r="H140" s="14"/>
      <c r="I140" s="14"/>
      <c r="J140" s="14"/>
      <c r="K140" s="14"/>
      <c r="L140" s="14"/>
      <c r="M140" s="14"/>
      <c r="N140" s="14"/>
      <c r="O140" s="14"/>
      <c r="P140" s="14"/>
      <c r="Q140" s="14"/>
      <c r="R140" s="18"/>
      <c r="S140" s="18"/>
      <c r="T140" s="93"/>
      <c r="U140" s="20"/>
      <c r="V140" s="14"/>
      <c r="W140" s="14"/>
      <c r="X140" s="14"/>
      <c r="Y140" s="14"/>
      <c r="Z140" s="14"/>
      <c r="AA140" s="14"/>
      <c r="AB140" s="14"/>
      <c r="AC140" s="14"/>
      <c r="AD140" s="14"/>
      <c r="AE140" s="14"/>
      <c r="AF140" s="14"/>
      <c r="AG140" s="14"/>
      <c r="AH140" s="14"/>
      <c r="AI140" s="14"/>
      <c r="AJ140" s="14"/>
      <c r="AK140" s="14"/>
      <c r="AL140" s="14"/>
      <c r="AM140" s="14"/>
      <c r="AN140" s="14"/>
    </row>
    <row r="141" ht="15.75" customHeight="1">
      <c r="A141" s="14"/>
      <c r="B141" s="14"/>
      <c r="C141" s="14"/>
      <c r="D141" s="14"/>
      <c r="E141" s="14"/>
      <c r="F141" s="14"/>
      <c r="G141" s="14"/>
      <c r="H141" s="14"/>
      <c r="I141" s="14"/>
      <c r="J141" s="14"/>
      <c r="K141" s="14"/>
      <c r="L141" s="14"/>
      <c r="M141" s="14"/>
      <c r="N141" s="14"/>
      <c r="O141" s="14"/>
      <c r="P141" s="14"/>
      <c r="Q141" s="14"/>
      <c r="R141" s="18"/>
      <c r="S141" s="18"/>
      <c r="T141" s="93"/>
      <c r="U141" s="20"/>
      <c r="V141" s="14"/>
      <c r="W141" s="14"/>
      <c r="X141" s="14"/>
      <c r="Y141" s="14"/>
      <c r="Z141" s="14"/>
      <c r="AA141" s="14"/>
      <c r="AB141" s="14"/>
      <c r="AC141" s="14"/>
      <c r="AD141" s="14"/>
      <c r="AE141" s="14"/>
      <c r="AF141" s="14"/>
      <c r="AG141" s="14"/>
      <c r="AH141" s="14"/>
      <c r="AI141" s="14"/>
      <c r="AJ141" s="14"/>
      <c r="AK141" s="14"/>
      <c r="AL141" s="14"/>
      <c r="AM141" s="14"/>
      <c r="AN141" s="14"/>
    </row>
    <row r="142" ht="15.75" customHeight="1">
      <c r="A142" s="14"/>
      <c r="B142" s="14"/>
      <c r="C142" s="14"/>
      <c r="D142" s="14"/>
      <c r="E142" s="14"/>
      <c r="F142" s="14"/>
      <c r="G142" s="14"/>
      <c r="H142" s="14"/>
      <c r="I142" s="14"/>
      <c r="J142" s="14"/>
      <c r="K142" s="14"/>
      <c r="L142" s="14"/>
      <c r="M142" s="14"/>
      <c r="N142" s="14"/>
      <c r="O142" s="14"/>
      <c r="P142" s="14"/>
      <c r="Q142" s="14"/>
      <c r="R142" s="18"/>
      <c r="S142" s="18"/>
      <c r="T142" s="93"/>
      <c r="U142" s="20"/>
      <c r="V142" s="14"/>
      <c r="W142" s="14"/>
      <c r="X142" s="14"/>
      <c r="Y142" s="14"/>
      <c r="Z142" s="14"/>
      <c r="AA142" s="14"/>
      <c r="AB142" s="14"/>
      <c r="AC142" s="14"/>
      <c r="AD142" s="14"/>
      <c r="AE142" s="14"/>
      <c r="AF142" s="14"/>
      <c r="AG142" s="14"/>
      <c r="AH142" s="14"/>
      <c r="AI142" s="14"/>
      <c r="AJ142" s="14"/>
      <c r="AK142" s="14"/>
      <c r="AL142" s="14"/>
      <c r="AM142" s="14"/>
      <c r="AN142" s="14"/>
    </row>
    <row r="143" ht="15.75" customHeight="1">
      <c r="A143" s="14"/>
      <c r="B143" s="14"/>
      <c r="C143" s="14"/>
      <c r="D143" s="14"/>
      <c r="E143" s="14"/>
      <c r="F143" s="14"/>
      <c r="G143" s="14"/>
      <c r="H143" s="14"/>
      <c r="I143" s="14"/>
      <c r="J143" s="14"/>
      <c r="K143" s="14"/>
      <c r="L143" s="14"/>
      <c r="M143" s="14"/>
      <c r="N143" s="14"/>
      <c r="O143" s="14"/>
      <c r="P143" s="14"/>
      <c r="Q143" s="14"/>
      <c r="R143" s="18"/>
      <c r="S143" s="18"/>
      <c r="T143" s="93"/>
      <c r="U143" s="20"/>
      <c r="V143" s="14"/>
      <c r="W143" s="14"/>
      <c r="X143" s="14"/>
      <c r="Y143" s="14"/>
      <c r="Z143" s="14"/>
      <c r="AA143" s="14"/>
      <c r="AB143" s="14"/>
      <c r="AC143" s="14"/>
      <c r="AD143" s="14"/>
      <c r="AE143" s="14"/>
      <c r="AF143" s="14"/>
      <c r="AG143" s="14"/>
      <c r="AH143" s="14"/>
      <c r="AI143" s="14"/>
      <c r="AJ143" s="14"/>
      <c r="AK143" s="14"/>
      <c r="AL143" s="14"/>
      <c r="AM143" s="14"/>
      <c r="AN143" s="14"/>
    </row>
    <row r="144" ht="15.75" customHeight="1">
      <c r="A144" s="14"/>
      <c r="B144" s="14"/>
      <c r="C144" s="14"/>
      <c r="D144" s="14"/>
      <c r="E144" s="14"/>
      <c r="F144" s="14"/>
      <c r="G144" s="14"/>
      <c r="H144" s="14"/>
      <c r="I144" s="14"/>
      <c r="J144" s="14"/>
      <c r="K144" s="14"/>
      <c r="L144" s="14"/>
      <c r="M144" s="14"/>
      <c r="N144" s="14"/>
      <c r="O144" s="14"/>
      <c r="P144" s="14"/>
      <c r="Q144" s="14"/>
      <c r="R144" s="18"/>
      <c r="S144" s="18"/>
      <c r="T144" s="93"/>
      <c r="U144" s="20"/>
      <c r="V144" s="14"/>
      <c r="W144" s="14"/>
      <c r="X144" s="14"/>
      <c r="Y144" s="14"/>
      <c r="Z144" s="14"/>
      <c r="AA144" s="14"/>
      <c r="AB144" s="14"/>
      <c r="AC144" s="14"/>
      <c r="AD144" s="14"/>
      <c r="AE144" s="14"/>
      <c r="AF144" s="14"/>
      <c r="AG144" s="14"/>
      <c r="AH144" s="14"/>
      <c r="AI144" s="14"/>
      <c r="AJ144" s="14"/>
      <c r="AK144" s="14"/>
      <c r="AL144" s="14"/>
      <c r="AM144" s="14"/>
      <c r="AN144" s="14"/>
    </row>
    <row r="145" ht="15.75" customHeight="1">
      <c r="A145" s="14"/>
      <c r="B145" s="14"/>
      <c r="C145" s="14"/>
      <c r="D145" s="14"/>
      <c r="E145" s="14"/>
      <c r="F145" s="14"/>
      <c r="G145" s="14"/>
      <c r="H145" s="14"/>
      <c r="I145" s="14"/>
      <c r="J145" s="14"/>
      <c r="K145" s="14"/>
      <c r="L145" s="14"/>
      <c r="M145" s="14"/>
      <c r="N145" s="14"/>
      <c r="O145" s="14"/>
      <c r="P145" s="14"/>
      <c r="Q145" s="14"/>
      <c r="R145" s="18"/>
      <c r="S145" s="18"/>
      <c r="T145" s="93"/>
      <c r="U145" s="20"/>
      <c r="V145" s="14"/>
      <c r="W145" s="14"/>
      <c r="X145" s="14"/>
      <c r="Y145" s="14"/>
      <c r="Z145" s="14"/>
      <c r="AA145" s="14"/>
      <c r="AB145" s="14"/>
      <c r="AC145" s="14"/>
      <c r="AD145" s="14"/>
      <c r="AE145" s="14"/>
      <c r="AF145" s="14"/>
      <c r="AG145" s="14"/>
      <c r="AH145" s="14"/>
      <c r="AI145" s="14"/>
      <c r="AJ145" s="14"/>
      <c r="AK145" s="14"/>
      <c r="AL145" s="14"/>
      <c r="AM145" s="14"/>
      <c r="AN145" s="14"/>
    </row>
    <row r="146" ht="15.75" customHeight="1">
      <c r="A146" s="14"/>
      <c r="B146" s="14"/>
      <c r="C146" s="14"/>
      <c r="D146" s="14"/>
      <c r="E146" s="14"/>
      <c r="F146" s="14"/>
      <c r="G146" s="14"/>
      <c r="H146" s="14"/>
      <c r="I146" s="14"/>
      <c r="J146" s="14"/>
      <c r="K146" s="14"/>
      <c r="L146" s="14"/>
      <c r="M146" s="14"/>
      <c r="N146" s="14"/>
      <c r="O146" s="14"/>
      <c r="P146" s="14"/>
      <c r="Q146" s="14"/>
      <c r="R146" s="18"/>
      <c r="S146" s="18"/>
      <c r="T146" s="93"/>
      <c r="U146" s="20"/>
      <c r="V146" s="14"/>
      <c r="W146" s="14"/>
      <c r="X146" s="14"/>
      <c r="Y146" s="14"/>
      <c r="Z146" s="14"/>
      <c r="AA146" s="14"/>
      <c r="AB146" s="14"/>
      <c r="AC146" s="14"/>
      <c r="AD146" s="14"/>
      <c r="AE146" s="14"/>
      <c r="AF146" s="14"/>
      <c r="AG146" s="14"/>
      <c r="AH146" s="14"/>
      <c r="AI146" s="14"/>
      <c r="AJ146" s="14"/>
      <c r="AK146" s="14"/>
      <c r="AL146" s="14"/>
      <c r="AM146" s="14"/>
      <c r="AN146" s="14"/>
    </row>
    <row r="147" ht="15.75" customHeight="1">
      <c r="A147" s="14"/>
      <c r="B147" s="14"/>
      <c r="C147" s="14"/>
      <c r="D147" s="14"/>
      <c r="E147" s="14"/>
      <c r="F147" s="14"/>
      <c r="G147" s="14"/>
      <c r="H147" s="14"/>
      <c r="I147" s="14"/>
      <c r="J147" s="14"/>
      <c r="K147" s="14"/>
      <c r="L147" s="14"/>
      <c r="M147" s="14"/>
      <c r="N147" s="14"/>
      <c r="O147" s="14"/>
      <c r="P147" s="14"/>
      <c r="Q147" s="14"/>
      <c r="R147" s="18"/>
      <c r="S147" s="18"/>
      <c r="T147" s="93"/>
      <c r="U147" s="20"/>
      <c r="V147" s="14"/>
      <c r="W147" s="14"/>
      <c r="X147" s="14"/>
      <c r="Y147" s="14"/>
      <c r="Z147" s="14"/>
      <c r="AA147" s="14"/>
      <c r="AB147" s="14"/>
      <c r="AC147" s="14"/>
      <c r="AD147" s="14"/>
      <c r="AE147" s="14"/>
      <c r="AF147" s="14"/>
      <c r="AG147" s="14"/>
      <c r="AH147" s="14"/>
      <c r="AI147" s="14"/>
      <c r="AJ147" s="14"/>
      <c r="AK147" s="14"/>
      <c r="AL147" s="14"/>
      <c r="AM147" s="14"/>
      <c r="AN147" s="14"/>
    </row>
    <row r="148" ht="15.75" customHeight="1">
      <c r="A148" s="14"/>
      <c r="B148" s="14"/>
      <c r="C148" s="14"/>
      <c r="D148" s="14"/>
      <c r="E148" s="14"/>
      <c r="F148" s="14"/>
      <c r="G148" s="14"/>
      <c r="H148" s="14"/>
      <c r="I148" s="14"/>
      <c r="J148" s="14"/>
      <c r="K148" s="14"/>
      <c r="L148" s="14"/>
      <c r="M148" s="14"/>
      <c r="N148" s="14"/>
      <c r="O148" s="14"/>
      <c r="P148" s="14"/>
      <c r="Q148" s="14"/>
      <c r="R148" s="18"/>
      <c r="S148" s="18"/>
      <c r="T148" s="93"/>
      <c r="U148" s="20"/>
      <c r="V148" s="14"/>
      <c r="W148" s="14"/>
      <c r="X148" s="14"/>
      <c r="Y148" s="14"/>
      <c r="Z148" s="14"/>
      <c r="AA148" s="14"/>
      <c r="AB148" s="14"/>
      <c r="AC148" s="14"/>
      <c r="AD148" s="14"/>
      <c r="AE148" s="14"/>
      <c r="AF148" s="14"/>
      <c r="AG148" s="14"/>
      <c r="AH148" s="14"/>
      <c r="AI148" s="14"/>
      <c r="AJ148" s="14"/>
      <c r="AK148" s="14"/>
      <c r="AL148" s="14"/>
      <c r="AM148" s="14"/>
      <c r="AN148" s="14"/>
    </row>
    <row r="149" ht="15.75" customHeight="1">
      <c r="A149" s="14"/>
      <c r="B149" s="14"/>
      <c r="C149" s="14"/>
      <c r="D149" s="14"/>
      <c r="E149" s="14"/>
      <c r="F149" s="14"/>
      <c r="G149" s="14"/>
      <c r="H149" s="14"/>
      <c r="I149" s="14"/>
      <c r="J149" s="14"/>
      <c r="K149" s="14"/>
      <c r="L149" s="14"/>
      <c r="M149" s="14"/>
      <c r="N149" s="14"/>
      <c r="O149" s="14"/>
      <c r="P149" s="14"/>
      <c r="Q149" s="14"/>
      <c r="R149" s="18"/>
      <c r="S149" s="18"/>
      <c r="T149" s="93"/>
      <c r="U149" s="20"/>
      <c r="V149" s="14"/>
      <c r="W149" s="14"/>
      <c r="X149" s="14"/>
      <c r="Y149" s="14"/>
      <c r="Z149" s="14"/>
      <c r="AA149" s="14"/>
      <c r="AB149" s="14"/>
      <c r="AC149" s="14"/>
      <c r="AD149" s="14"/>
      <c r="AE149" s="14"/>
      <c r="AF149" s="14"/>
      <c r="AG149" s="14"/>
      <c r="AH149" s="14"/>
      <c r="AI149" s="14"/>
      <c r="AJ149" s="14"/>
      <c r="AK149" s="14"/>
      <c r="AL149" s="14"/>
      <c r="AM149" s="14"/>
      <c r="AN149" s="14"/>
    </row>
    <row r="150" ht="15.75" customHeight="1">
      <c r="A150" s="14"/>
      <c r="B150" s="14"/>
      <c r="C150" s="14"/>
      <c r="D150" s="14"/>
      <c r="E150" s="14"/>
      <c r="F150" s="14"/>
      <c r="G150" s="14"/>
      <c r="H150" s="14"/>
      <c r="I150" s="14"/>
      <c r="J150" s="14"/>
      <c r="K150" s="14"/>
      <c r="L150" s="14"/>
      <c r="M150" s="14"/>
      <c r="N150" s="14"/>
      <c r="O150" s="14"/>
      <c r="P150" s="14"/>
      <c r="Q150" s="14"/>
      <c r="R150" s="18"/>
      <c r="S150" s="18"/>
      <c r="T150" s="93"/>
      <c r="U150" s="20"/>
      <c r="V150" s="14"/>
      <c r="W150" s="14"/>
      <c r="X150" s="14"/>
      <c r="Y150" s="14"/>
      <c r="Z150" s="14"/>
      <c r="AA150" s="14"/>
      <c r="AB150" s="14"/>
      <c r="AC150" s="14"/>
      <c r="AD150" s="14"/>
      <c r="AE150" s="14"/>
      <c r="AF150" s="14"/>
      <c r="AG150" s="14"/>
      <c r="AH150" s="14"/>
      <c r="AI150" s="14"/>
      <c r="AJ150" s="14"/>
      <c r="AK150" s="14"/>
      <c r="AL150" s="14"/>
      <c r="AM150" s="14"/>
      <c r="AN150" s="14"/>
    </row>
    <row r="151" ht="15.75" customHeight="1">
      <c r="A151" s="14"/>
      <c r="B151" s="14"/>
      <c r="C151" s="14"/>
      <c r="D151" s="14"/>
      <c r="E151" s="14"/>
      <c r="F151" s="14"/>
      <c r="G151" s="14"/>
      <c r="H151" s="14"/>
      <c r="I151" s="14"/>
      <c r="J151" s="14"/>
      <c r="K151" s="14"/>
      <c r="L151" s="14"/>
      <c r="M151" s="14"/>
      <c r="N151" s="14"/>
      <c r="O151" s="14"/>
      <c r="P151" s="14"/>
      <c r="Q151" s="14"/>
      <c r="R151" s="18"/>
      <c r="S151" s="18"/>
      <c r="T151" s="93"/>
      <c r="U151" s="20"/>
      <c r="V151" s="14"/>
      <c r="W151" s="14"/>
      <c r="X151" s="14"/>
      <c r="Y151" s="14"/>
      <c r="Z151" s="14"/>
      <c r="AA151" s="14"/>
      <c r="AB151" s="14"/>
      <c r="AC151" s="14"/>
      <c r="AD151" s="14"/>
      <c r="AE151" s="14"/>
      <c r="AF151" s="14"/>
      <c r="AG151" s="14"/>
      <c r="AH151" s="14"/>
      <c r="AI151" s="14"/>
      <c r="AJ151" s="14"/>
      <c r="AK151" s="14"/>
      <c r="AL151" s="14"/>
      <c r="AM151" s="14"/>
      <c r="AN151" s="14"/>
    </row>
    <row r="152" ht="15.75" customHeight="1">
      <c r="A152" s="14"/>
      <c r="B152" s="14"/>
      <c r="C152" s="14"/>
      <c r="D152" s="14"/>
      <c r="E152" s="14"/>
      <c r="F152" s="14"/>
      <c r="G152" s="14"/>
      <c r="H152" s="14"/>
      <c r="I152" s="14"/>
      <c r="J152" s="14"/>
      <c r="K152" s="14"/>
      <c r="L152" s="14"/>
      <c r="M152" s="14"/>
      <c r="N152" s="14"/>
      <c r="O152" s="14"/>
      <c r="P152" s="14"/>
      <c r="Q152" s="14"/>
      <c r="R152" s="18"/>
      <c r="S152" s="18"/>
      <c r="T152" s="93"/>
      <c r="U152" s="20"/>
      <c r="V152" s="14"/>
      <c r="W152" s="14"/>
      <c r="X152" s="14"/>
      <c r="Y152" s="14"/>
      <c r="Z152" s="14"/>
      <c r="AA152" s="14"/>
      <c r="AB152" s="14"/>
      <c r="AC152" s="14"/>
      <c r="AD152" s="14"/>
      <c r="AE152" s="14"/>
      <c r="AF152" s="14"/>
      <c r="AG152" s="14"/>
      <c r="AH152" s="14"/>
      <c r="AI152" s="14"/>
      <c r="AJ152" s="14"/>
      <c r="AK152" s="14"/>
      <c r="AL152" s="14"/>
      <c r="AM152" s="14"/>
      <c r="AN152" s="14"/>
    </row>
    <row r="153" ht="15.75" customHeight="1">
      <c r="A153" s="14"/>
      <c r="B153" s="14"/>
      <c r="C153" s="14"/>
      <c r="D153" s="14"/>
      <c r="E153" s="14"/>
      <c r="F153" s="14"/>
      <c r="G153" s="14"/>
      <c r="H153" s="14"/>
      <c r="I153" s="14"/>
      <c r="J153" s="14"/>
      <c r="K153" s="14"/>
      <c r="L153" s="14"/>
      <c r="M153" s="14"/>
      <c r="N153" s="14"/>
      <c r="O153" s="14"/>
      <c r="P153" s="14"/>
      <c r="Q153" s="14"/>
      <c r="R153" s="18"/>
      <c r="S153" s="18"/>
      <c r="T153" s="93"/>
      <c r="U153" s="20"/>
      <c r="V153" s="14"/>
      <c r="W153" s="14"/>
      <c r="X153" s="14"/>
      <c r="Y153" s="14"/>
      <c r="Z153" s="14"/>
      <c r="AA153" s="14"/>
      <c r="AB153" s="14"/>
      <c r="AC153" s="14"/>
      <c r="AD153" s="14"/>
      <c r="AE153" s="14"/>
      <c r="AF153" s="14"/>
      <c r="AG153" s="14"/>
      <c r="AH153" s="14"/>
      <c r="AI153" s="14"/>
      <c r="AJ153" s="14"/>
      <c r="AK153" s="14"/>
      <c r="AL153" s="14"/>
      <c r="AM153" s="14"/>
      <c r="AN153" s="14"/>
    </row>
    <row r="154" ht="15.75" customHeight="1">
      <c r="A154" s="14"/>
      <c r="B154" s="14"/>
      <c r="C154" s="14"/>
      <c r="D154" s="14"/>
      <c r="E154" s="14"/>
      <c r="F154" s="14"/>
      <c r="G154" s="14"/>
      <c r="H154" s="14"/>
      <c r="I154" s="14"/>
      <c r="J154" s="14"/>
      <c r="K154" s="14"/>
      <c r="L154" s="14"/>
      <c r="M154" s="14"/>
      <c r="N154" s="14"/>
      <c r="O154" s="14"/>
      <c r="P154" s="14"/>
      <c r="Q154" s="14"/>
      <c r="R154" s="18"/>
      <c r="S154" s="18"/>
      <c r="T154" s="93"/>
      <c r="U154" s="20"/>
      <c r="V154" s="14"/>
      <c r="W154" s="14"/>
      <c r="X154" s="14"/>
      <c r="Y154" s="14"/>
      <c r="Z154" s="14"/>
      <c r="AA154" s="14"/>
      <c r="AB154" s="14"/>
      <c r="AC154" s="14"/>
      <c r="AD154" s="14"/>
      <c r="AE154" s="14"/>
      <c r="AF154" s="14"/>
      <c r="AG154" s="14"/>
      <c r="AH154" s="14"/>
      <c r="AI154" s="14"/>
      <c r="AJ154" s="14"/>
      <c r="AK154" s="14"/>
      <c r="AL154" s="14"/>
      <c r="AM154" s="14"/>
      <c r="AN154" s="14"/>
    </row>
    <row r="155" ht="15.75" customHeight="1">
      <c r="A155" s="14"/>
      <c r="B155" s="14"/>
      <c r="C155" s="14"/>
      <c r="D155" s="14"/>
      <c r="E155" s="14"/>
      <c r="F155" s="14"/>
      <c r="G155" s="14"/>
      <c r="H155" s="14"/>
      <c r="I155" s="14"/>
      <c r="J155" s="14"/>
      <c r="K155" s="14"/>
      <c r="L155" s="14"/>
      <c r="M155" s="14"/>
      <c r="N155" s="14"/>
      <c r="O155" s="14"/>
      <c r="P155" s="14"/>
      <c r="Q155" s="14"/>
      <c r="R155" s="18"/>
      <c r="S155" s="18"/>
      <c r="T155" s="93"/>
      <c r="U155" s="20"/>
      <c r="V155" s="14"/>
      <c r="W155" s="14"/>
      <c r="X155" s="14"/>
      <c r="Y155" s="14"/>
      <c r="Z155" s="14"/>
      <c r="AA155" s="14"/>
      <c r="AB155" s="14"/>
      <c r="AC155" s="14"/>
      <c r="AD155" s="14"/>
      <c r="AE155" s="14"/>
      <c r="AF155" s="14"/>
      <c r="AG155" s="14"/>
      <c r="AH155" s="14"/>
      <c r="AI155" s="14"/>
      <c r="AJ155" s="14"/>
      <c r="AK155" s="14"/>
      <c r="AL155" s="14"/>
      <c r="AM155" s="14"/>
      <c r="AN155" s="14"/>
    </row>
    <row r="156" ht="15.75" customHeight="1">
      <c r="A156" s="14"/>
      <c r="B156" s="14"/>
      <c r="C156" s="14"/>
      <c r="D156" s="14"/>
      <c r="E156" s="14"/>
      <c r="F156" s="14"/>
      <c r="G156" s="14"/>
      <c r="H156" s="14"/>
      <c r="I156" s="14"/>
      <c r="J156" s="14"/>
      <c r="K156" s="14"/>
      <c r="L156" s="14"/>
      <c r="M156" s="14"/>
      <c r="N156" s="14"/>
      <c r="O156" s="14"/>
      <c r="P156" s="14"/>
      <c r="Q156" s="14"/>
      <c r="R156" s="18"/>
      <c r="S156" s="18"/>
      <c r="T156" s="93"/>
      <c r="U156" s="20"/>
      <c r="V156" s="14"/>
      <c r="W156" s="14"/>
      <c r="X156" s="14"/>
      <c r="Y156" s="14"/>
      <c r="Z156" s="14"/>
      <c r="AA156" s="14"/>
      <c r="AB156" s="14"/>
      <c r="AC156" s="14"/>
      <c r="AD156" s="14"/>
      <c r="AE156" s="14"/>
      <c r="AF156" s="14"/>
      <c r="AG156" s="14"/>
      <c r="AH156" s="14"/>
      <c r="AI156" s="14"/>
      <c r="AJ156" s="14"/>
      <c r="AK156" s="14"/>
      <c r="AL156" s="14"/>
      <c r="AM156" s="14"/>
      <c r="AN156" s="14"/>
    </row>
    <row r="157" ht="15.75" customHeight="1">
      <c r="A157" s="14"/>
      <c r="B157" s="14"/>
      <c r="C157" s="14"/>
      <c r="D157" s="14"/>
      <c r="E157" s="14"/>
      <c r="F157" s="14"/>
      <c r="G157" s="14"/>
      <c r="H157" s="14"/>
      <c r="I157" s="14"/>
      <c r="J157" s="14"/>
      <c r="K157" s="14"/>
      <c r="L157" s="14"/>
      <c r="M157" s="14"/>
      <c r="N157" s="14"/>
      <c r="O157" s="14"/>
      <c r="P157" s="14"/>
      <c r="Q157" s="14"/>
      <c r="R157" s="18"/>
      <c r="S157" s="18"/>
      <c r="T157" s="93"/>
      <c r="U157" s="20"/>
      <c r="V157" s="14"/>
      <c r="W157" s="14"/>
      <c r="X157" s="14"/>
      <c r="Y157" s="14"/>
      <c r="Z157" s="14"/>
      <c r="AA157" s="14"/>
      <c r="AB157" s="14"/>
      <c r="AC157" s="14"/>
      <c r="AD157" s="14"/>
      <c r="AE157" s="14"/>
      <c r="AF157" s="14"/>
      <c r="AG157" s="14"/>
      <c r="AH157" s="14"/>
      <c r="AI157" s="14"/>
      <c r="AJ157" s="14"/>
      <c r="AK157" s="14"/>
      <c r="AL157" s="14"/>
      <c r="AM157" s="14"/>
      <c r="AN157" s="14"/>
    </row>
    <row r="158" ht="15.75" customHeight="1">
      <c r="A158" s="14"/>
      <c r="B158" s="14"/>
      <c r="C158" s="14"/>
      <c r="D158" s="14"/>
      <c r="E158" s="14"/>
      <c r="F158" s="14"/>
      <c r="G158" s="14"/>
      <c r="H158" s="14"/>
      <c r="I158" s="14"/>
      <c r="J158" s="14"/>
      <c r="K158" s="14"/>
      <c r="L158" s="14"/>
      <c r="M158" s="14"/>
      <c r="N158" s="14"/>
      <c r="O158" s="14"/>
      <c r="P158" s="14"/>
      <c r="Q158" s="14"/>
      <c r="R158" s="18"/>
      <c r="S158" s="18"/>
      <c r="T158" s="93"/>
      <c r="U158" s="20"/>
      <c r="V158" s="14"/>
      <c r="W158" s="14"/>
      <c r="X158" s="14"/>
      <c r="Y158" s="14"/>
      <c r="Z158" s="14"/>
      <c r="AA158" s="14"/>
      <c r="AB158" s="14"/>
      <c r="AC158" s="14"/>
      <c r="AD158" s="14"/>
      <c r="AE158" s="14"/>
      <c r="AF158" s="14"/>
      <c r="AG158" s="14"/>
      <c r="AH158" s="14"/>
      <c r="AI158" s="14"/>
      <c r="AJ158" s="14"/>
      <c r="AK158" s="14"/>
      <c r="AL158" s="14"/>
      <c r="AM158" s="14"/>
      <c r="AN158" s="14"/>
    </row>
    <row r="159" ht="15.75" customHeight="1">
      <c r="A159" s="14"/>
      <c r="B159" s="14"/>
      <c r="C159" s="14"/>
      <c r="D159" s="14"/>
      <c r="E159" s="14"/>
      <c r="F159" s="14"/>
      <c r="G159" s="14"/>
      <c r="H159" s="14"/>
      <c r="I159" s="14"/>
      <c r="J159" s="14"/>
      <c r="K159" s="14"/>
      <c r="L159" s="14"/>
      <c r="M159" s="14"/>
      <c r="N159" s="14"/>
      <c r="O159" s="14"/>
      <c r="P159" s="14"/>
      <c r="Q159" s="14"/>
      <c r="R159" s="18"/>
      <c r="S159" s="18"/>
      <c r="T159" s="93"/>
      <c r="U159" s="20"/>
      <c r="V159" s="14"/>
      <c r="W159" s="14"/>
      <c r="X159" s="14"/>
      <c r="Y159" s="14"/>
      <c r="Z159" s="14"/>
      <c r="AA159" s="14"/>
      <c r="AB159" s="14"/>
      <c r="AC159" s="14"/>
      <c r="AD159" s="14"/>
      <c r="AE159" s="14"/>
      <c r="AF159" s="14"/>
      <c r="AG159" s="14"/>
      <c r="AH159" s="14"/>
      <c r="AI159" s="14"/>
      <c r="AJ159" s="14"/>
      <c r="AK159" s="14"/>
      <c r="AL159" s="14"/>
      <c r="AM159" s="14"/>
      <c r="AN159" s="14"/>
    </row>
    <row r="160" ht="15.75" customHeight="1">
      <c r="A160" s="14"/>
      <c r="B160" s="14"/>
      <c r="C160" s="14"/>
      <c r="D160" s="14"/>
      <c r="E160" s="14"/>
      <c r="F160" s="14"/>
      <c r="G160" s="14"/>
      <c r="H160" s="14"/>
      <c r="I160" s="14"/>
      <c r="J160" s="14"/>
      <c r="K160" s="14"/>
      <c r="L160" s="14"/>
      <c r="M160" s="14"/>
      <c r="N160" s="14"/>
      <c r="O160" s="14"/>
      <c r="P160" s="14"/>
      <c r="Q160" s="14"/>
      <c r="R160" s="18"/>
      <c r="S160" s="18"/>
      <c r="T160" s="93"/>
      <c r="U160" s="20"/>
      <c r="V160" s="14"/>
      <c r="W160" s="14"/>
      <c r="X160" s="14"/>
      <c r="Y160" s="14"/>
      <c r="Z160" s="14"/>
      <c r="AA160" s="14"/>
      <c r="AB160" s="14"/>
      <c r="AC160" s="14"/>
      <c r="AD160" s="14"/>
      <c r="AE160" s="14"/>
      <c r="AF160" s="14"/>
      <c r="AG160" s="14"/>
      <c r="AH160" s="14"/>
      <c r="AI160" s="14"/>
      <c r="AJ160" s="14"/>
      <c r="AK160" s="14"/>
      <c r="AL160" s="14"/>
      <c r="AM160" s="14"/>
      <c r="AN160" s="14"/>
    </row>
    <row r="161" ht="15.75" customHeight="1">
      <c r="A161" s="14"/>
      <c r="B161" s="14"/>
      <c r="C161" s="14"/>
      <c r="D161" s="14"/>
      <c r="E161" s="14"/>
      <c r="F161" s="14"/>
      <c r="G161" s="14"/>
      <c r="H161" s="14"/>
      <c r="I161" s="14"/>
      <c r="J161" s="14"/>
      <c r="K161" s="14"/>
      <c r="L161" s="14"/>
      <c r="M161" s="14"/>
      <c r="N161" s="14"/>
      <c r="O161" s="14"/>
      <c r="P161" s="14"/>
      <c r="Q161" s="14"/>
      <c r="R161" s="18"/>
      <c r="S161" s="18"/>
      <c r="T161" s="93"/>
      <c r="U161" s="20"/>
      <c r="V161" s="14"/>
      <c r="W161" s="14"/>
      <c r="X161" s="14"/>
      <c r="Y161" s="14"/>
      <c r="Z161" s="14"/>
      <c r="AA161" s="14"/>
      <c r="AB161" s="14"/>
      <c r="AC161" s="14"/>
      <c r="AD161" s="14"/>
      <c r="AE161" s="14"/>
      <c r="AF161" s="14"/>
      <c r="AG161" s="14"/>
      <c r="AH161" s="14"/>
      <c r="AI161" s="14"/>
      <c r="AJ161" s="14"/>
      <c r="AK161" s="14"/>
      <c r="AL161" s="14"/>
      <c r="AM161" s="14"/>
      <c r="AN161" s="14"/>
    </row>
    <row r="162" ht="15.75" customHeight="1">
      <c r="A162" s="14"/>
      <c r="B162" s="14"/>
      <c r="C162" s="14"/>
      <c r="D162" s="14"/>
      <c r="E162" s="14"/>
      <c r="F162" s="14"/>
      <c r="G162" s="14"/>
      <c r="H162" s="14"/>
      <c r="I162" s="14"/>
      <c r="J162" s="14"/>
      <c r="K162" s="14"/>
      <c r="L162" s="14"/>
      <c r="M162" s="14"/>
      <c r="N162" s="14"/>
      <c r="O162" s="14"/>
      <c r="P162" s="14"/>
      <c r="Q162" s="14"/>
      <c r="R162" s="18"/>
      <c r="S162" s="18"/>
      <c r="T162" s="93"/>
      <c r="U162" s="20"/>
      <c r="V162" s="14"/>
      <c r="W162" s="14"/>
      <c r="X162" s="14"/>
      <c r="Y162" s="14"/>
      <c r="Z162" s="14"/>
      <c r="AA162" s="14"/>
      <c r="AB162" s="14"/>
      <c r="AC162" s="14"/>
      <c r="AD162" s="14"/>
      <c r="AE162" s="14"/>
      <c r="AF162" s="14"/>
      <c r="AG162" s="14"/>
      <c r="AH162" s="14"/>
      <c r="AI162" s="14"/>
      <c r="AJ162" s="14"/>
      <c r="AK162" s="14"/>
      <c r="AL162" s="14"/>
      <c r="AM162" s="14"/>
      <c r="AN162" s="14"/>
    </row>
    <row r="163" ht="15.75" customHeight="1">
      <c r="A163" s="14"/>
      <c r="B163" s="14"/>
      <c r="C163" s="14"/>
      <c r="D163" s="14"/>
      <c r="E163" s="14"/>
      <c r="F163" s="14"/>
      <c r="G163" s="14"/>
      <c r="H163" s="14"/>
      <c r="I163" s="14"/>
      <c r="J163" s="14"/>
      <c r="K163" s="14"/>
      <c r="L163" s="14"/>
      <c r="M163" s="14"/>
      <c r="N163" s="14"/>
      <c r="O163" s="14"/>
      <c r="P163" s="14"/>
      <c r="Q163" s="14"/>
      <c r="R163" s="18"/>
      <c r="S163" s="18"/>
      <c r="T163" s="93"/>
      <c r="U163" s="20"/>
      <c r="V163" s="14"/>
      <c r="W163" s="14"/>
      <c r="X163" s="14"/>
      <c r="Y163" s="14"/>
      <c r="Z163" s="14"/>
      <c r="AA163" s="14"/>
      <c r="AB163" s="14"/>
      <c r="AC163" s="14"/>
      <c r="AD163" s="14"/>
      <c r="AE163" s="14"/>
      <c r="AF163" s="14"/>
      <c r="AG163" s="14"/>
      <c r="AH163" s="14"/>
      <c r="AI163" s="14"/>
      <c r="AJ163" s="14"/>
      <c r="AK163" s="14"/>
      <c r="AL163" s="14"/>
      <c r="AM163" s="14"/>
      <c r="AN163" s="14"/>
    </row>
    <row r="164" ht="15.75" customHeight="1">
      <c r="A164" s="14"/>
      <c r="B164" s="14"/>
      <c r="C164" s="14"/>
      <c r="D164" s="14"/>
      <c r="E164" s="14"/>
      <c r="F164" s="14"/>
      <c r="G164" s="14"/>
      <c r="H164" s="14"/>
      <c r="I164" s="14"/>
      <c r="J164" s="14"/>
      <c r="K164" s="14"/>
      <c r="L164" s="14"/>
      <c r="M164" s="14"/>
      <c r="N164" s="14"/>
      <c r="O164" s="14"/>
      <c r="P164" s="14"/>
      <c r="Q164" s="14"/>
      <c r="R164" s="18"/>
      <c r="S164" s="18"/>
      <c r="T164" s="93"/>
      <c r="U164" s="20"/>
      <c r="V164" s="14"/>
      <c r="W164" s="14"/>
      <c r="X164" s="14"/>
      <c r="Y164" s="14"/>
      <c r="Z164" s="14"/>
      <c r="AA164" s="14"/>
      <c r="AB164" s="14"/>
      <c r="AC164" s="14"/>
      <c r="AD164" s="14"/>
      <c r="AE164" s="14"/>
      <c r="AF164" s="14"/>
      <c r="AG164" s="14"/>
      <c r="AH164" s="14"/>
      <c r="AI164" s="14"/>
      <c r="AJ164" s="14"/>
      <c r="AK164" s="14"/>
      <c r="AL164" s="14"/>
      <c r="AM164" s="14"/>
      <c r="AN164" s="14"/>
    </row>
    <row r="165" ht="15.75" customHeight="1">
      <c r="A165" s="14"/>
      <c r="B165" s="14"/>
      <c r="C165" s="14"/>
      <c r="D165" s="14"/>
      <c r="E165" s="14"/>
      <c r="F165" s="14"/>
      <c r="G165" s="14"/>
      <c r="H165" s="14"/>
      <c r="I165" s="14"/>
      <c r="J165" s="14"/>
      <c r="K165" s="14"/>
      <c r="L165" s="14"/>
      <c r="M165" s="14"/>
      <c r="N165" s="14"/>
      <c r="O165" s="14"/>
      <c r="P165" s="14"/>
      <c r="Q165" s="14"/>
      <c r="R165" s="18"/>
      <c r="S165" s="18"/>
      <c r="T165" s="93"/>
      <c r="U165" s="20"/>
      <c r="V165" s="14"/>
      <c r="W165" s="14"/>
      <c r="X165" s="14"/>
      <c r="Y165" s="14"/>
      <c r="Z165" s="14"/>
      <c r="AA165" s="14"/>
      <c r="AB165" s="14"/>
      <c r="AC165" s="14"/>
      <c r="AD165" s="14"/>
      <c r="AE165" s="14"/>
      <c r="AF165" s="14"/>
      <c r="AG165" s="14"/>
      <c r="AH165" s="14"/>
      <c r="AI165" s="14"/>
      <c r="AJ165" s="14"/>
      <c r="AK165" s="14"/>
      <c r="AL165" s="14"/>
      <c r="AM165" s="14"/>
      <c r="AN165" s="14"/>
    </row>
    <row r="166" ht="15.75" customHeight="1">
      <c r="A166" s="14"/>
      <c r="B166" s="14"/>
      <c r="C166" s="14"/>
      <c r="D166" s="14"/>
      <c r="E166" s="14"/>
      <c r="F166" s="14"/>
      <c r="G166" s="14"/>
      <c r="H166" s="14"/>
      <c r="I166" s="14"/>
      <c r="J166" s="14"/>
      <c r="K166" s="14"/>
      <c r="L166" s="14"/>
      <c r="M166" s="14"/>
      <c r="N166" s="14"/>
      <c r="O166" s="14"/>
      <c r="P166" s="14"/>
      <c r="Q166" s="14"/>
      <c r="R166" s="18"/>
      <c r="S166" s="18"/>
      <c r="T166" s="93"/>
      <c r="U166" s="20"/>
      <c r="V166" s="14"/>
      <c r="W166" s="14"/>
      <c r="X166" s="14"/>
      <c r="Y166" s="14"/>
      <c r="Z166" s="14"/>
      <c r="AA166" s="14"/>
      <c r="AB166" s="14"/>
      <c r="AC166" s="14"/>
      <c r="AD166" s="14"/>
      <c r="AE166" s="14"/>
      <c r="AF166" s="14"/>
      <c r="AG166" s="14"/>
      <c r="AH166" s="14"/>
      <c r="AI166" s="14"/>
      <c r="AJ166" s="14"/>
      <c r="AK166" s="14"/>
      <c r="AL166" s="14"/>
      <c r="AM166" s="14"/>
      <c r="AN166" s="14"/>
    </row>
    <row r="167" ht="15.75" customHeight="1">
      <c r="A167" s="14"/>
      <c r="B167" s="14"/>
      <c r="C167" s="14"/>
      <c r="D167" s="14"/>
      <c r="E167" s="14"/>
      <c r="F167" s="14"/>
      <c r="G167" s="14"/>
      <c r="H167" s="14"/>
      <c r="I167" s="14"/>
      <c r="J167" s="14"/>
      <c r="K167" s="14"/>
      <c r="L167" s="14"/>
      <c r="M167" s="14"/>
      <c r="N167" s="14"/>
      <c r="O167" s="14"/>
      <c r="P167" s="14"/>
      <c r="Q167" s="14"/>
      <c r="R167" s="18"/>
      <c r="S167" s="18"/>
      <c r="T167" s="93"/>
      <c r="U167" s="20"/>
      <c r="V167" s="14"/>
      <c r="W167" s="14"/>
      <c r="X167" s="14"/>
      <c r="Y167" s="14"/>
      <c r="Z167" s="14"/>
      <c r="AA167" s="14"/>
      <c r="AB167" s="14"/>
      <c r="AC167" s="14"/>
      <c r="AD167" s="14"/>
      <c r="AE167" s="14"/>
      <c r="AF167" s="14"/>
      <c r="AG167" s="14"/>
      <c r="AH167" s="14"/>
      <c r="AI167" s="14"/>
      <c r="AJ167" s="14"/>
      <c r="AK167" s="14"/>
      <c r="AL167" s="14"/>
      <c r="AM167" s="14"/>
      <c r="AN167" s="14"/>
    </row>
    <row r="168" ht="15.75" customHeight="1">
      <c r="A168" s="14"/>
      <c r="B168" s="14"/>
      <c r="C168" s="14"/>
      <c r="D168" s="14"/>
      <c r="E168" s="14"/>
      <c r="F168" s="14"/>
      <c r="G168" s="14"/>
      <c r="H168" s="14"/>
      <c r="I168" s="14"/>
      <c r="J168" s="14"/>
      <c r="K168" s="14"/>
      <c r="L168" s="14"/>
      <c r="M168" s="14"/>
      <c r="N168" s="14"/>
      <c r="O168" s="14"/>
      <c r="P168" s="14"/>
      <c r="Q168" s="14"/>
      <c r="R168" s="18"/>
      <c r="S168" s="18"/>
      <c r="T168" s="93"/>
      <c r="U168" s="20"/>
      <c r="V168" s="14"/>
      <c r="W168" s="14"/>
      <c r="X168" s="14"/>
      <c r="Y168" s="14"/>
      <c r="Z168" s="14"/>
      <c r="AA168" s="14"/>
      <c r="AB168" s="14"/>
      <c r="AC168" s="14"/>
      <c r="AD168" s="14"/>
      <c r="AE168" s="14"/>
      <c r="AF168" s="14"/>
      <c r="AG168" s="14"/>
      <c r="AH168" s="14"/>
      <c r="AI168" s="14"/>
      <c r="AJ168" s="14"/>
      <c r="AK168" s="14"/>
      <c r="AL168" s="14"/>
      <c r="AM168" s="14"/>
      <c r="AN168" s="14"/>
    </row>
    <row r="169" ht="15.75" customHeight="1">
      <c r="A169" s="14"/>
      <c r="B169" s="14"/>
      <c r="C169" s="14"/>
      <c r="D169" s="14"/>
      <c r="E169" s="14"/>
      <c r="F169" s="14"/>
      <c r="G169" s="14"/>
      <c r="H169" s="14"/>
      <c r="I169" s="14"/>
      <c r="J169" s="14"/>
      <c r="K169" s="14"/>
      <c r="L169" s="14"/>
      <c r="M169" s="14"/>
      <c r="N169" s="14"/>
      <c r="O169" s="14"/>
      <c r="P169" s="14"/>
      <c r="Q169" s="14"/>
      <c r="R169" s="18"/>
      <c r="S169" s="18"/>
      <c r="T169" s="93"/>
      <c r="U169" s="20"/>
      <c r="V169" s="14"/>
      <c r="W169" s="14"/>
      <c r="X169" s="14"/>
      <c r="Y169" s="14"/>
      <c r="Z169" s="14"/>
      <c r="AA169" s="14"/>
      <c r="AB169" s="14"/>
      <c r="AC169" s="14"/>
      <c r="AD169" s="14"/>
      <c r="AE169" s="14"/>
      <c r="AF169" s="14"/>
      <c r="AG169" s="14"/>
      <c r="AH169" s="14"/>
      <c r="AI169" s="14"/>
      <c r="AJ169" s="14"/>
      <c r="AK169" s="14"/>
      <c r="AL169" s="14"/>
      <c r="AM169" s="14"/>
      <c r="AN169" s="14"/>
    </row>
    <row r="170" ht="15.75" customHeight="1">
      <c r="A170" s="14"/>
      <c r="B170" s="14"/>
      <c r="C170" s="14"/>
      <c r="D170" s="14"/>
      <c r="E170" s="14"/>
      <c r="F170" s="14"/>
      <c r="G170" s="14"/>
      <c r="H170" s="14"/>
      <c r="I170" s="14"/>
      <c r="J170" s="14"/>
      <c r="K170" s="14"/>
      <c r="L170" s="14"/>
      <c r="M170" s="14"/>
      <c r="N170" s="14"/>
      <c r="O170" s="14"/>
      <c r="P170" s="14"/>
      <c r="Q170" s="14"/>
      <c r="R170" s="18"/>
      <c r="S170" s="18"/>
      <c r="T170" s="93"/>
      <c r="U170" s="20"/>
      <c r="V170" s="14"/>
      <c r="W170" s="14"/>
      <c r="X170" s="14"/>
      <c r="Y170" s="14"/>
      <c r="Z170" s="14"/>
      <c r="AA170" s="14"/>
      <c r="AB170" s="14"/>
      <c r="AC170" s="14"/>
      <c r="AD170" s="14"/>
      <c r="AE170" s="14"/>
      <c r="AF170" s="14"/>
      <c r="AG170" s="14"/>
      <c r="AH170" s="14"/>
      <c r="AI170" s="14"/>
      <c r="AJ170" s="14"/>
      <c r="AK170" s="14"/>
      <c r="AL170" s="14"/>
      <c r="AM170" s="14"/>
      <c r="AN170" s="14"/>
    </row>
    <row r="171" ht="15.75" customHeight="1">
      <c r="A171" s="14"/>
      <c r="B171" s="14"/>
      <c r="C171" s="14"/>
      <c r="D171" s="14"/>
      <c r="E171" s="14"/>
      <c r="F171" s="14"/>
      <c r="G171" s="14"/>
      <c r="H171" s="14"/>
      <c r="I171" s="14"/>
      <c r="J171" s="14"/>
      <c r="K171" s="14"/>
      <c r="L171" s="14"/>
      <c r="M171" s="14"/>
      <c r="N171" s="14"/>
      <c r="O171" s="14"/>
      <c r="P171" s="14"/>
      <c r="Q171" s="14"/>
      <c r="R171" s="18"/>
      <c r="S171" s="18"/>
      <c r="T171" s="93"/>
      <c r="U171" s="20"/>
      <c r="V171" s="14"/>
      <c r="W171" s="14"/>
      <c r="X171" s="14"/>
      <c r="Y171" s="14"/>
      <c r="Z171" s="14"/>
      <c r="AA171" s="14"/>
      <c r="AB171" s="14"/>
      <c r="AC171" s="14"/>
      <c r="AD171" s="14"/>
      <c r="AE171" s="14"/>
      <c r="AF171" s="14"/>
      <c r="AG171" s="14"/>
      <c r="AH171" s="14"/>
      <c r="AI171" s="14"/>
      <c r="AJ171" s="14"/>
      <c r="AK171" s="14"/>
      <c r="AL171" s="14"/>
      <c r="AM171" s="14"/>
      <c r="AN171" s="14"/>
    </row>
    <row r="172" ht="15.75" customHeight="1">
      <c r="A172" s="14"/>
      <c r="B172" s="14"/>
      <c r="C172" s="14"/>
      <c r="D172" s="14"/>
      <c r="E172" s="14"/>
      <c r="F172" s="14"/>
      <c r="G172" s="14"/>
      <c r="H172" s="14"/>
      <c r="I172" s="14"/>
      <c r="J172" s="14"/>
      <c r="K172" s="14"/>
      <c r="L172" s="14"/>
      <c r="M172" s="14"/>
      <c r="N172" s="14"/>
      <c r="O172" s="14"/>
      <c r="P172" s="14"/>
      <c r="Q172" s="14"/>
      <c r="R172" s="18"/>
      <c r="S172" s="18"/>
      <c r="T172" s="93"/>
      <c r="U172" s="20"/>
      <c r="V172" s="14"/>
      <c r="W172" s="14"/>
      <c r="X172" s="14"/>
      <c r="Y172" s="14"/>
      <c r="Z172" s="14"/>
      <c r="AA172" s="14"/>
      <c r="AB172" s="14"/>
      <c r="AC172" s="14"/>
      <c r="AD172" s="14"/>
      <c r="AE172" s="14"/>
      <c r="AF172" s="14"/>
      <c r="AG172" s="14"/>
      <c r="AH172" s="14"/>
      <c r="AI172" s="14"/>
      <c r="AJ172" s="14"/>
      <c r="AK172" s="14"/>
      <c r="AL172" s="14"/>
      <c r="AM172" s="14"/>
      <c r="AN172" s="14"/>
    </row>
    <row r="173" ht="15.75" customHeight="1">
      <c r="A173" s="14"/>
      <c r="B173" s="14"/>
      <c r="C173" s="14"/>
      <c r="D173" s="14"/>
      <c r="E173" s="14"/>
      <c r="F173" s="14"/>
      <c r="G173" s="14"/>
      <c r="H173" s="14"/>
      <c r="I173" s="14"/>
      <c r="J173" s="14"/>
      <c r="K173" s="14"/>
      <c r="L173" s="14"/>
      <c r="M173" s="14"/>
      <c r="N173" s="14"/>
      <c r="O173" s="14"/>
      <c r="P173" s="14"/>
      <c r="Q173" s="14"/>
      <c r="R173" s="18"/>
      <c r="S173" s="18"/>
      <c r="T173" s="93"/>
      <c r="U173" s="20"/>
      <c r="V173" s="14"/>
      <c r="W173" s="14"/>
      <c r="X173" s="14"/>
      <c r="Y173" s="14"/>
      <c r="Z173" s="14"/>
      <c r="AA173" s="14"/>
      <c r="AB173" s="14"/>
      <c r="AC173" s="14"/>
      <c r="AD173" s="14"/>
      <c r="AE173" s="14"/>
      <c r="AF173" s="14"/>
      <c r="AG173" s="14"/>
      <c r="AH173" s="14"/>
      <c r="AI173" s="14"/>
      <c r="AJ173" s="14"/>
      <c r="AK173" s="14"/>
      <c r="AL173" s="14"/>
      <c r="AM173" s="14"/>
      <c r="AN173" s="14"/>
    </row>
    <row r="174" ht="15.75" customHeight="1">
      <c r="A174" s="14"/>
      <c r="B174" s="14"/>
      <c r="C174" s="14"/>
      <c r="D174" s="14"/>
      <c r="E174" s="14"/>
      <c r="F174" s="14"/>
      <c r="G174" s="14"/>
      <c r="H174" s="14"/>
      <c r="I174" s="14"/>
      <c r="J174" s="14"/>
      <c r="K174" s="14"/>
      <c r="L174" s="14"/>
      <c r="M174" s="14"/>
      <c r="N174" s="14"/>
      <c r="O174" s="14"/>
      <c r="P174" s="14"/>
      <c r="Q174" s="14"/>
      <c r="R174" s="18"/>
      <c r="S174" s="18"/>
      <c r="T174" s="93"/>
      <c r="U174" s="20"/>
      <c r="V174" s="14"/>
      <c r="W174" s="14"/>
      <c r="X174" s="14"/>
      <c r="Y174" s="14"/>
      <c r="Z174" s="14"/>
      <c r="AA174" s="14"/>
      <c r="AB174" s="14"/>
      <c r="AC174" s="14"/>
      <c r="AD174" s="14"/>
      <c r="AE174" s="14"/>
      <c r="AF174" s="14"/>
      <c r="AG174" s="14"/>
      <c r="AH174" s="14"/>
      <c r="AI174" s="14"/>
      <c r="AJ174" s="14"/>
      <c r="AK174" s="14"/>
      <c r="AL174" s="14"/>
      <c r="AM174" s="14"/>
      <c r="AN174" s="14"/>
    </row>
    <row r="175" ht="15.75" customHeight="1">
      <c r="A175" s="14"/>
      <c r="B175" s="14"/>
      <c r="C175" s="14"/>
      <c r="D175" s="14"/>
      <c r="E175" s="14"/>
      <c r="F175" s="14"/>
      <c r="G175" s="14"/>
      <c r="H175" s="14"/>
      <c r="I175" s="14"/>
      <c r="J175" s="14"/>
      <c r="K175" s="14"/>
      <c r="L175" s="14"/>
      <c r="M175" s="14"/>
      <c r="N175" s="14"/>
      <c r="O175" s="14"/>
      <c r="P175" s="14"/>
      <c r="Q175" s="14"/>
      <c r="R175" s="18"/>
      <c r="S175" s="18"/>
      <c r="T175" s="93"/>
      <c r="U175" s="20"/>
      <c r="V175" s="14"/>
      <c r="W175" s="14"/>
      <c r="X175" s="14"/>
      <c r="Y175" s="14"/>
      <c r="Z175" s="14"/>
      <c r="AA175" s="14"/>
      <c r="AB175" s="14"/>
      <c r="AC175" s="14"/>
      <c r="AD175" s="14"/>
      <c r="AE175" s="14"/>
      <c r="AF175" s="14"/>
      <c r="AG175" s="14"/>
      <c r="AH175" s="14"/>
      <c r="AI175" s="14"/>
      <c r="AJ175" s="14"/>
      <c r="AK175" s="14"/>
      <c r="AL175" s="14"/>
      <c r="AM175" s="14"/>
      <c r="AN175" s="14"/>
    </row>
    <row r="176" ht="15.75" customHeight="1">
      <c r="A176" s="14"/>
      <c r="B176" s="14"/>
      <c r="C176" s="14"/>
      <c r="D176" s="14"/>
      <c r="E176" s="14"/>
      <c r="F176" s="14"/>
      <c r="G176" s="14"/>
      <c r="H176" s="14"/>
      <c r="I176" s="14"/>
      <c r="J176" s="14"/>
      <c r="K176" s="14"/>
      <c r="L176" s="14"/>
      <c r="M176" s="14"/>
      <c r="N176" s="14"/>
      <c r="O176" s="14"/>
      <c r="P176" s="14"/>
      <c r="Q176" s="14"/>
      <c r="R176" s="18"/>
      <c r="S176" s="18"/>
      <c r="T176" s="93"/>
      <c r="U176" s="20"/>
      <c r="V176" s="14"/>
      <c r="W176" s="14"/>
      <c r="X176" s="14"/>
      <c r="Y176" s="14"/>
      <c r="Z176" s="14"/>
      <c r="AA176" s="14"/>
      <c r="AB176" s="14"/>
      <c r="AC176" s="14"/>
      <c r="AD176" s="14"/>
      <c r="AE176" s="14"/>
      <c r="AF176" s="14"/>
      <c r="AG176" s="14"/>
      <c r="AH176" s="14"/>
      <c r="AI176" s="14"/>
      <c r="AJ176" s="14"/>
      <c r="AK176" s="14"/>
      <c r="AL176" s="14"/>
      <c r="AM176" s="14"/>
      <c r="AN176" s="14"/>
    </row>
    <row r="177" ht="15.75" customHeight="1">
      <c r="A177" s="14"/>
      <c r="B177" s="14"/>
      <c r="C177" s="14"/>
      <c r="D177" s="14"/>
      <c r="E177" s="14"/>
      <c r="F177" s="14"/>
      <c r="G177" s="14"/>
      <c r="H177" s="14"/>
      <c r="I177" s="14"/>
      <c r="J177" s="14"/>
      <c r="K177" s="14"/>
      <c r="L177" s="14"/>
      <c r="M177" s="14"/>
      <c r="N177" s="14"/>
      <c r="O177" s="14"/>
      <c r="P177" s="14"/>
      <c r="Q177" s="14"/>
      <c r="R177" s="18"/>
      <c r="S177" s="18"/>
      <c r="T177" s="93"/>
      <c r="U177" s="20"/>
      <c r="V177" s="14"/>
      <c r="W177" s="14"/>
      <c r="X177" s="14"/>
      <c r="Y177" s="14"/>
      <c r="Z177" s="14"/>
      <c r="AA177" s="14"/>
      <c r="AB177" s="14"/>
      <c r="AC177" s="14"/>
      <c r="AD177" s="14"/>
      <c r="AE177" s="14"/>
      <c r="AF177" s="14"/>
      <c r="AG177" s="14"/>
      <c r="AH177" s="14"/>
      <c r="AI177" s="14"/>
      <c r="AJ177" s="14"/>
      <c r="AK177" s="14"/>
      <c r="AL177" s="14"/>
      <c r="AM177" s="14"/>
      <c r="AN177" s="14"/>
    </row>
    <row r="178" ht="15.75" customHeight="1">
      <c r="A178" s="14"/>
      <c r="B178" s="14"/>
      <c r="C178" s="14"/>
      <c r="D178" s="14"/>
      <c r="E178" s="14"/>
      <c r="F178" s="14"/>
      <c r="G178" s="14"/>
      <c r="H178" s="14"/>
      <c r="I178" s="14"/>
      <c r="J178" s="14"/>
      <c r="K178" s="14"/>
      <c r="L178" s="14"/>
      <c r="M178" s="14"/>
      <c r="N178" s="14"/>
      <c r="O178" s="14"/>
      <c r="P178" s="14"/>
      <c r="Q178" s="14"/>
      <c r="R178" s="18"/>
      <c r="S178" s="18"/>
      <c r="T178" s="93"/>
      <c r="U178" s="20"/>
      <c r="V178" s="14"/>
      <c r="W178" s="14"/>
      <c r="X178" s="14"/>
      <c r="Y178" s="14"/>
      <c r="Z178" s="14"/>
      <c r="AA178" s="14"/>
      <c r="AB178" s="14"/>
      <c r="AC178" s="14"/>
      <c r="AD178" s="14"/>
      <c r="AE178" s="14"/>
      <c r="AF178" s="14"/>
      <c r="AG178" s="14"/>
      <c r="AH178" s="14"/>
      <c r="AI178" s="14"/>
      <c r="AJ178" s="14"/>
      <c r="AK178" s="14"/>
      <c r="AL178" s="14"/>
      <c r="AM178" s="14"/>
      <c r="AN178" s="14"/>
    </row>
    <row r="179" ht="15.75" customHeight="1">
      <c r="A179" s="14"/>
      <c r="B179" s="14"/>
      <c r="C179" s="14"/>
      <c r="D179" s="14"/>
      <c r="E179" s="14"/>
      <c r="F179" s="14"/>
      <c r="G179" s="14"/>
      <c r="H179" s="14"/>
      <c r="I179" s="14"/>
      <c r="J179" s="14"/>
      <c r="K179" s="14"/>
      <c r="L179" s="14"/>
      <c r="M179" s="14"/>
      <c r="N179" s="14"/>
      <c r="O179" s="14"/>
      <c r="P179" s="14"/>
      <c r="Q179" s="14"/>
      <c r="R179" s="18"/>
      <c r="S179" s="18"/>
      <c r="T179" s="93"/>
      <c r="U179" s="20"/>
      <c r="V179" s="14"/>
      <c r="W179" s="14"/>
      <c r="X179" s="14"/>
      <c r="Y179" s="14"/>
      <c r="Z179" s="14"/>
      <c r="AA179" s="14"/>
      <c r="AB179" s="14"/>
      <c r="AC179" s="14"/>
      <c r="AD179" s="14"/>
      <c r="AE179" s="14"/>
      <c r="AF179" s="14"/>
      <c r="AG179" s="14"/>
      <c r="AH179" s="14"/>
      <c r="AI179" s="14"/>
      <c r="AJ179" s="14"/>
      <c r="AK179" s="14"/>
      <c r="AL179" s="14"/>
      <c r="AM179" s="14"/>
      <c r="AN179" s="14"/>
    </row>
    <row r="180" ht="15.75" customHeight="1">
      <c r="A180" s="14"/>
      <c r="B180" s="14"/>
      <c r="C180" s="14"/>
      <c r="D180" s="14"/>
      <c r="E180" s="14"/>
      <c r="F180" s="14"/>
      <c r="G180" s="14"/>
      <c r="H180" s="14"/>
      <c r="I180" s="14"/>
      <c r="J180" s="14"/>
      <c r="K180" s="14"/>
      <c r="L180" s="14"/>
      <c r="M180" s="14"/>
      <c r="N180" s="14"/>
      <c r="O180" s="14"/>
      <c r="P180" s="14"/>
      <c r="Q180" s="14"/>
      <c r="R180" s="18"/>
      <c r="S180" s="18"/>
      <c r="T180" s="93"/>
      <c r="U180" s="20"/>
      <c r="V180" s="14"/>
      <c r="W180" s="14"/>
      <c r="X180" s="14"/>
      <c r="Y180" s="14"/>
      <c r="Z180" s="14"/>
      <c r="AA180" s="14"/>
      <c r="AB180" s="14"/>
      <c r="AC180" s="14"/>
      <c r="AD180" s="14"/>
      <c r="AE180" s="14"/>
      <c r="AF180" s="14"/>
      <c r="AG180" s="14"/>
      <c r="AH180" s="14"/>
      <c r="AI180" s="14"/>
      <c r="AJ180" s="14"/>
      <c r="AK180" s="14"/>
      <c r="AL180" s="14"/>
      <c r="AM180" s="14"/>
      <c r="AN180" s="14"/>
    </row>
    <row r="181" ht="15.75" customHeight="1">
      <c r="A181" s="14"/>
      <c r="B181" s="14"/>
      <c r="C181" s="14"/>
      <c r="D181" s="14"/>
      <c r="E181" s="14"/>
      <c r="F181" s="14"/>
      <c r="G181" s="14"/>
      <c r="H181" s="14"/>
      <c r="I181" s="14"/>
      <c r="J181" s="14"/>
      <c r="K181" s="14"/>
      <c r="L181" s="14"/>
      <c r="M181" s="14"/>
      <c r="N181" s="14"/>
      <c r="O181" s="14"/>
      <c r="P181" s="14"/>
      <c r="Q181" s="14"/>
      <c r="R181" s="18"/>
      <c r="S181" s="18"/>
      <c r="T181" s="93"/>
      <c r="U181" s="20"/>
      <c r="V181" s="14"/>
      <c r="W181" s="14"/>
      <c r="X181" s="14"/>
      <c r="Y181" s="14"/>
      <c r="Z181" s="14"/>
      <c r="AA181" s="14"/>
      <c r="AB181" s="14"/>
      <c r="AC181" s="14"/>
      <c r="AD181" s="14"/>
      <c r="AE181" s="14"/>
      <c r="AF181" s="14"/>
      <c r="AG181" s="14"/>
      <c r="AH181" s="14"/>
      <c r="AI181" s="14"/>
      <c r="AJ181" s="14"/>
      <c r="AK181" s="14"/>
      <c r="AL181" s="14"/>
      <c r="AM181" s="14"/>
      <c r="AN181" s="14"/>
    </row>
    <row r="182" ht="15.75" customHeight="1">
      <c r="A182" s="14"/>
      <c r="B182" s="14"/>
      <c r="C182" s="14"/>
      <c r="D182" s="14"/>
      <c r="E182" s="14"/>
      <c r="F182" s="14"/>
      <c r="G182" s="14"/>
      <c r="H182" s="14"/>
      <c r="I182" s="14"/>
      <c r="J182" s="14"/>
      <c r="K182" s="14"/>
      <c r="L182" s="14"/>
      <c r="M182" s="14"/>
      <c r="N182" s="14"/>
      <c r="O182" s="14"/>
      <c r="P182" s="14"/>
      <c r="Q182" s="14"/>
      <c r="R182" s="18"/>
      <c r="S182" s="18"/>
      <c r="T182" s="93"/>
      <c r="U182" s="20"/>
      <c r="V182" s="14"/>
      <c r="W182" s="14"/>
      <c r="X182" s="14"/>
      <c r="Y182" s="14"/>
      <c r="Z182" s="14"/>
      <c r="AA182" s="14"/>
      <c r="AB182" s="14"/>
      <c r="AC182" s="14"/>
      <c r="AD182" s="14"/>
      <c r="AE182" s="14"/>
      <c r="AF182" s="14"/>
      <c r="AG182" s="14"/>
      <c r="AH182" s="14"/>
      <c r="AI182" s="14"/>
      <c r="AJ182" s="14"/>
      <c r="AK182" s="14"/>
      <c r="AL182" s="14"/>
      <c r="AM182" s="14"/>
      <c r="AN182" s="14"/>
    </row>
    <row r="183" ht="15.75" customHeight="1">
      <c r="A183" s="14"/>
      <c r="B183" s="14"/>
      <c r="C183" s="14"/>
      <c r="D183" s="14"/>
      <c r="E183" s="14"/>
      <c r="F183" s="14"/>
      <c r="G183" s="14"/>
      <c r="H183" s="14"/>
      <c r="I183" s="14"/>
      <c r="J183" s="14"/>
      <c r="K183" s="14"/>
      <c r="L183" s="14"/>
      <c r="M183" s="14"/>
      <c r="N183" s="14"/>
      <c r="O183" s="14"/>
      <c r="P183" s="14"/>
      <c r="Q183" s="14"/>
      <c r="R183" s="18"/>
      <c r="S183" s="18"/>
      <c r="T183" s="93"/>
      <c r="U183" s="20"/>
      <c r="V183" s="14"/>
      <c r="W183" s="14"/>
      <c r="X183" s="14"/>
      <c r="Y183" s="14"/>
      <c r="Z183" s="14"/>
      <c r="AA183" s="14"/>
      <c r="AB183" s="14"/>
      <c r="AC183" s="14"/>
      <c r="AD183" s="14"/>
      <c r="AE183" s="14"/>
      <c r="AF183" s="14"/>
      <c r="AG183" s="14"/>
      <c r="AH183" s="14"/>
      <c r="AI183" s="14"/>
      <c r="AJ183" s="14"/>
      <c r="AK183" s="14"/>
      <c r="AL183" s="14"/>
      <c r="AM183" s="14"/>
      <c r="AN183" s="14"/>
    </row>
    <row r="184" ht="15.75" customHeight="1">
      <c r="A184" s="14"/>
      <c r="B184" s="14"/>
      <c r="C184" s="14"/>
      <c r="D184" s="14"/>
      <c r="E184" s="14"/>
      <c r="F184" s="14"/>
      <c r="G184" s="14"/>
      <c r="H184" s="14"/>
      <c r="I184" s="14"/>
      <c r="J184" s="14"/>
      <c r="K184" s="14"/>
      <c r="L184" s="14"/>
      <c r="M184" s="14"/>
      <c r="N184" s="14"/>
      <c r="O184" s="14"/>
      <c r="P184" s="14"/>
      <c r="Q184" s="14"/>
      <c r="R184" s="18"/>
      <c r="S184" s="18"/>
      <c r="T184" s="93"/>
      <c r="U184" s="20"/>
      <c r="V184" s="14"/>
      <c r="W184" s="14"/>
      <c r="X184" s="14"/>
      <c r="Y184" s="14"/>
      <c r="Z184" s="14"/>
      <c r="AA184" s="14"/>
      <c r="AB184" s="14"/>
      <c r="AC184" s="14"/>
      <c r="AD184" s="14"/>
      <c r="AE184" s="14"/>
      <c r="AF184" s="14"/>
      <c r="AG184" s="14"/>
      <c r="AH184" s="14"/>
      <c r="AI184" s="14"/>
      <c r="AJ184" s="14"/>
      <c r="AK184" s="14"/>
      <c r="AL184" s="14"/>
      <c r="AM184" s="14"/>
      <c r="AN184" s="14"/>
    </row>
    <row r="185" ht="15.75" customHeight="1">
      <c r="A185" s="14"/>
      <c r="B185" s="14"/>
      <c r="C185" s="14"/>
      <c r="D185" s="14"/>
      <c r="E185" s="14"/>
      <c r="F185" s="14"/>
      <c r="G185" s="14"/>
      <c r="H185" s="14"/>
      <c r="I185" s="14"/>
      <c r="J185" s="14"/>
      <c r="K185" s="14"/>
      <c r="L185" s="14"/>
      <c r="M185" s="14"/>
      <c r="N185" s="14"/>
      <c r="O185" s="14"/>
      <c r="P185" s="14"/>
      <c r="Q185" s="14"/>
      <c r="R185" s="18"/>
      <c r="S185" s="18"/>
      <c r="T185" s="93"/>
      <c r="U185" s="20"/>
      <c r="V185" s="14"/>
      <c r="W185" s="14"/>
      <c r="X185" s="14"/>
      <c r="Y185" s="14"/>
      <c r="Z185" s="14"/>
      <c r="AA185" s="14"/>
      <c r="AB185" s="14"/>
      <c r="AC185" s="14"/>
      <c r="AD185" s="14"/>
      <c r="AE185" s="14"/>
      <c r="AF185" s="14"/>
      <c r="AG185" s="14"/>
      <c r="AH185" s="14"/>
      <c r="AI185" s="14"/>
      <c r="AJ185" s="14"/>
      <c r="AK185" s="14"/>
      <c r="AL185" s="14"/>
      <c r="AM185" s="14"/>
      <c r="AN185" s="14"/>
    </row>
    <row r="186" ht="15.75" customHeight="1">
      <c r="A186" s="14"/>
      <c r="B186" s="14"/>
      <c r="C186" s="14"/>
      <c r="D186" s="14"/>
      <c r="E186" s="14"/>
      <c r="F186" s="14"/>
      <c r="G186" s="14"/>
      <c r="H186" s="14"/>
      <c r="I186" s="14"/>
      <c r="J186" s="14"/>
      <c r="K186" s="14"/>
      <c r="L186" s="14"/>
      <c r="M186" s="14"/>
      <c r="N186" s="14"/>
      <c r="O186" s="14"/>
      <c r="P186" s="14"/>
      <c r="Q186" s="14"/>
      <c r="R186" s="18"/>
      <c r="S186" s="18"/>
      <c r="T186" s="93"/>
      <c r="U186" s="20"/>
      <c r="V186" s="14"/>
      <c r="W186" s="14"/>
      <c r="X186" s="14"/>
      <c r="Y186" s="14"/>
      <c r="Z186" s="14"/>
      <c r="AA186" s="14"/>
      <c r="AB186" s="14"/>
      <c r="AC186" s="14"/>
      <c r="AD186" s="14"/>
      <c r="AE186" s="14"/>
      <c r="AF186" s="14"/>
      <c r="AG186" s="14"/>
      <c r="AH186" s="14"/>
      <c r="AI186" s="14"/>
      <c r="AJ186" s="14"/>
      <c r="AK186" s="14"/>
      <c r="AL186" s="14"/>
      <c r="AM186" s="14"/>
      <c r="AN186" s="14"/>
    </row>
    <row r="187" ht="15.75" customHeight="1">
      <c r="A187" s="14"/>
      <c r="B187" s="14"/>
      <c r="C187" s="14"/>
      <c r="D187" s="14"/>
      <c r="E187" s="14"/>
      <c r="F187" s="14"/>
      <c r="G187" s="14"/>
      <c r="H187" s="14"/>
      <c r="I187" s="14"/>
      <c r="J187" s="14"/>
      <c r="K187" s="14"/>
      <c r="L187" s="14"/>
      <c r="M187" s="14"/>
      <c r="N187" s="14"/>
      <c r="O187" s="14"/>
      <c r="P187" s="14"/>
      <c r="Q187" s="14"/>
      <c r="R187" s="18"/>
      <c r="S187" s="18"/>
      <c r="T187" s="93"/>
      <c r="U187" s="20"/>
      <c r="V187" s="14"/>
      <c r="W187" s="14"/>
      <c r="X187" s="14"/>
      <c r="Y187" s="14"/>
      <c r="Z187" s="14"/>
      <c r="AA187" s="14"/>
      <c r="AB187" s="14"/>
      <c r="AC187" s="14"/>
      <c r="AD187" s="14"/>
      <c r="AE187" s="14"/>
      <c r="AF187" s="14"/>
      <c r="AG187" s="14"/>
      <c r="AH187" s="14"/>
      <c r="AI187" s="14"/>
      <c r="AJ187" s="14"/>
      <c r="AK187" s="14"/>
      <c r="AL187" s="14"/>
      <c r="AM187" s="14"/>
      <c r="AN187" s="14"/>
    </row>
    <row r="188" ht="15.75" customHeight="1">
      <c r="A188" s="14"/>
      <c r="B188" s="14"/>
      <c r="C188" s="14"/>
      <c r="D188" s="14"/>
      <c r="E188" s="14"/>
      <c r="F188" s="14"/>
      <c r="G188" s="14"/>
      <c r="H188" s="14"/>
      <c r="I188" s="14"/>
      <c r="J188" s="14"/>
      <c r="K188" s="14"/>
      <c r="L188" s="14"/>
      <c r="M188" s="14"/>
      <c r="N188" s="14"/>
      <c r="O188" s="14"/>
      <c r="P188" s="14"/>
      <c r="Q188" s="14"/>
      <c r="R188" s="18"/>
      <c r="S188" s="18"/>
      <c r="T188" s="93"/>
      <c r="U188" s="20"/>
      <c r="V188" s="14"/>
      <c r="W188" s="14"/>
      <c r="X188" s="14"/>
      <c r="Y188" s="14"/>
      <c r="Z188" s="14"/>
      <c r="AA188" s="14"/>
      <c r="AB188" s="14"/>
      <c r="AC188" s="14"/>
      <c r="AD188" s="14"/>
      <c r="AE188" s="14"/>
      <c r="AF188" s="14"/>
      <c r="AG188" s="14"/>
      <c r="AH188" s="14"/>
      <c r="AI188" s="14"/>
      <c r="AJ188" s="14"/>
      <c r="AK188" s="14"/>
      <c r="AL188" s="14"/>
      <c r="AM188" s="14"/>
      <c r="AN188" s="14"/>
    </row>
    <row r="189" ht="15.75" customHeight="1">
      <c r="A189" s="14"/>
      <c r="B189" s="14"/>
      <c r="C189" s="14"/>
      <c r="D189" s="14"/>
      <c r="E189" s="14"/>
      <c r="F189" s="14"/>
      <c r="G189" s="14"/>
      <c r="H189" s="14"/>
      <c r="I189" s="14"/>
      <c r="J189" s="14"/>
      <c r="K189" s="14"/>
      <c r="L189" s="14"/>
      <c r="M189" s="14"/>
      <c r="N189" s="14"/>
      <c r="O189" s="14"/>
      <c r="P189" s="14"/>
      <c r="Q189" s="14"/>
      <c r="R189" s="18"/>
      <c r="S189" s="18"/>
      <c r="T189" s="93"/>
      <c r="U189" s="20"/>
      <c r="V189" s="14"/>
      <c r="W189" s="14"/>
      <c r="X189" s="14"/>
      <c r="Y189" s="14"/>
      <c r="Z189" s="14"/>
      <c r="AA189" s="14"/>
      <c r="AB189" s="14"/>
      <c r="AC189" s="14"/>
      <c r="AD189" s="14"/>
      <c r="AE189" s="14"/>
      <c r="AF189" s="14"/>
      <c r="AG189" s="14"/>
      <c r="AH189" s="14"/>
      <c r="AI189" s="14"/>
      <c r="AJ189" s="14"/>
      <c r="AK189" s="14"/>
      <c r="AL189" s="14"/>
      <c r="AM189" s="14"/>
      <c r="AN189" s="14"/>
    </row>
    <row r="190" ht="15.75" customHeight="1">
      <c r="A190" s="14"/>
      <c r="B190" s="14"/>
      <c r="C190" s="14"/>
      <c r="D190" s="14"/>
      <c r="E190" s="14"/>
      <c r="F190" s="14"/>
      <c r="G190" s="14"/>
      <c r="H190" s="14"/>
      <c r="I190" s="14"/>
      <c r="J190" s="14"/>
      <c r="K190" s="14"/>
      <c r="L190" s="14"/>
      <c r="M190" s="14"/>
      <c r="N190" s="14"/>
      <c r="O190" s="14"/>
      <c r="P190" s="14"/>
      <c r="Q190" s="14"/>
      <c r="R190" s="18"/>
      <c r="S190" s="18"/>
      <c r="T190" s="93"/>
      <c r="U190" s="20"/>
      <c r="V190" s="14"/>
      <c r="W190" s="14"/>
      <c r="X190" s="14"/>
      <c r="Y190" s="14"/>
      <c r="Z190" s="14"/>
      <c r="AA190" s="14"/>
      <c r="AB190" s="14"/>
      <c r="AC190" s="14"/>
      <c r="AD190" s="14"/>
      <c r="AE190" s="14"/>
      <c r="AF190" s="14"/>
      <c r="AG190" s="14"/>
      <c r="AH190" s="14"/>
      <c r="AI190" s="14"/>
      <c r="AJ190" s="14"/>
      <c r="AK190" s="14"/>
      <c r="AL190" s="14"/>
      <c r="AM190" s="14"/>
      <c r="AN190" s="14"/>
    </row>
    <row r="191" ht="15.75" customHeight="1">
      <c r="A191" s="14"/>
      <c r="B191" s="14"/>
      <c r="C191" s="14"/>
      <c r="D191" s="14"/>
      <c r="E191" s="14"/>
      <c r="F191" s="14"/>
      <c r="G191" s="14"/>
      <c r="H191" s="14"/>
      <c r="I191" s="14"/>
      <c r="J191" s="14"/>
      <c r="K191" s="14"/>
      <c r="L191" s="14"/>
      <c r="M191" s="14"/>
      <c r="N191" s="14"/>
      <c r="O191" s="14"/>
      <c r="P191" s="14"/>
      <c r="Q191" s="14"/>
      <c r="R191" s="18"/>
      <c r="S191" s="18"/>
      <c r="T191" s="93"/>
      <c r="U191" s="20"/>
      <c r="V191" s="14"/>
      <c r="W191" s="14"/>
      <c r="X191" s="14"/>
      <c r="Y191" s="14"/>
      <c r="Z191" s="14"/>
      <c r="AA191" s="14"/>
      <c r="AB191" s="14"/>
      <c r="AC191" s="14"/>
      <c r="AD191" s="14"/>
      <c r="AE191" s="14"/>
      <c r="AF191" s="14"/>
      <c r="AG191" s="14"/>
      <c r="AH191" s="14"/>
      <c r="AI191" s="14"/>
      <c r="AJ191" s="14"/>
      <c r="AK191" s="14"/>
      <c r="AL191" s="14"/>
      <c r="AM191" s="14"/>
      <c r="AN191" s="14"/>
    </row>
    <row r="192" ht="15.75" customHeight="1">
      <c r="A192" s="14"/>
      <c r="B192" s="14"/>
      <c r="C192" s="14"/>
      <c r="D192" s="14"/>
      <c r="E192" s="14"/>
      <c r="F192" s="14"/>
      <c r="G192" s="14"/>
      <c r="H192" s="14"/>
      <c r="I192" s="14"/>
      <c r="J192" s="14"/>
      <c r="K192" s="14"/>
      <c r="L192" s="14"/>
      <c r="M192" s="14"/>
      <c r="N192" s="14"/>
      <c r="O192" s="14"/>
      <c r="P192" s="14"/>
      <c r="Q192" s="14"/>
      <c r="R192" s="18"/>
      <c r="S192" s="18"/>
      <c r="T192" s="93"/>
      <c r="U192" s="20"/>
      <c r="V192" s="14"/>
      <c r="W192" s="14"/>
      <c r="X192" s="14"/>
      <c r="Y192" s="14"/>
      <c r="Z192" s="14"/>
      <c r="AA192" s="14"/>
      <c r="AB192" s="14"/>
      <c r="AC192" s="14"/>
      <c r="AD192" s="14"/>
      <c r="AE192" s="14"/>
      <c r="AF192" s="14"/>
      <c r="AG192" s="14"/>
      <c r="AH192" s="14"/>
      <c r="AI192" s="14"/>
      <c r="AJ192" s="14"/>
      <c r="AK192" s="14"/>
      <c r="AL192" s="14"/>
      <c r="AM192" s="14"/>
      <c r="AN192" s="14"/>
    </row>
    <row r="193" ht="15.75" customHeight="1">
      <c r="A193" s="14"/>
      <c r="B193" s="14"/>
      <c r="C193" s="14"/>
      <c r="D193" s="14"/>
      <c r="E193" s="14"/>
      <c r="F193" s="14"/>
      <c r="G193" s="14"/>
      <c r="H193" s="14"/>
      <c r="I193" s="14"/>
      <c r="J193" s="14"/>
      <c r="K193" s="14"/>
      <c r="L193" s="14"/>
      <c r="M193" s="14"/>
      <c r="N193" s="14"/>
      <c r="O193" s="14"/>
      <c r="P193" s="14"/>
      <c r="Q193" s="14"/>
      <c r="R193" s="18"/>
      <c r="S193" s="18"/>
      <c r="T193" s="93"/>
      <c r="U193" s="20"/>
      <c r="V193" s="14"/>
      <c r="W193" s="14"/>
      <c r="X193" s="14"/>
      <c r="Y193" s="14"/>
      <c r="Z193" s="14"/>
      <c r="AA193" s="14"/>
      <c r="AB193" s="14"/>
      <c r="AC193" s="14"/>
      <c r="AD193" s="14"/>
      <c r="AE193" s="14"/>
      <c r="AF193" s="14"/>
      <c r="AG193" s="14"/>
      <c r="AH193" s="14"/>
      <c r="AI193" s="14"/>
      <c r="AJ193" s="14"/>
      <c r="AK193" s="14"/>
      <c r="AL193" s="14"/>
      <c r="AM193" s="14"/>
      <c r="AN193" s="14"/>
    </row>
    <row r="194" ht="15.75" customHeight="1">
      <c r="A194" s="14"/>
      <c r="B194" s="14"/>
      <c r="C194" s="14"/>
      <c r="D194" s="14"/>
      <c r="E194" s="14"/>
      <c r="F194" s="14"/>
      <c r="G194" s="14"/>
      <c r="H194" s="14"/>
      <c r="I194" s="14"/>
      <c r="J194" s="14"/>
      <c r="K194" s="14"/>
      <c r="L194" s="14"/>
      <c r="M194" s="14"/>
      <c r="N194" s="14"/>
      <c r="O194" s="14"/>
      <c r="P194" s="14"/>
      <c r="Q194" s="14"/>
      <c r="R194" s="18"/>
      <c r="S194" s="18"/>
      <c r="T194" s="93"/>
      <c r="U194" s="20"/>
      <c r="V194" s="14"/>
      <c r="W194" s="14"/>
      <c r="X194" s="14"/>
      <c r="Y194" s="14"/>
      <c r="Z194" s="14"/>
      <c r="AA194" s="14"/>
      <c r="AB194" s="14"/>
      <c r="AC194" s="14"/>
      <c r="AD194" s="14"/>
      <c r="AE194" s="14"/>
      <c r="AF194" s="14"/>
      <c r="AG194" s="14"/>
      <c r="AH194" s="14"/>
      <c r="AI194" s="14"/>
      <c r="AJ194" s="14"/>
      <c r="AK194" s="14"/>
      <c r="AL194" s="14"/>
      <c r="AM194" s="14"/>
      <c r="AN194" s="14"/>
    </row>
    <row r="195" ht="15.75" customHeight="1">
      <c r="A195" s="14"/>
      <c r="B195" s="14"/>
      <c r="C195" s="14"/>
      <c r="D195" s="14"/>
      <c r="E195" s="14"/>
      <c r="F195" s="14"/>
      <c r="G195" s="14"/>
      <c r="H195" s="14"/>
      <c r="I195" s="14"/>
      <c r="J195" s="14"/>
      <c r="K195" s="14"/>
      <c r="L195" s="14"/>
      <c r="M195" s="14"/>
      <c r="N195" s="14"/>
      <c r="O195" s="14"/>
      <c r="P195" s="14"/>
      <c r="Q195" s="14"/>
      <c r="R195" s="18"/>
      <c r="S195" s="18"/>
      <c r="T195" s="93"/>
      <c r="U195" s="20"/>
      <c r="V195" s="14"/>
      <c r="W195" s="14"/>
      <c r="X195" s="14"/>
      <c r="Y195" s="14"/>
      <c r="Z195" s="14"/>
      <c r="AA195" s="14"/>
      <c r="AB195" s="14"/>
      <c r="AC195" s="14"/>
      <c r="AD195" s="14"/>
      <c r="AE195" s="14"/>
      <c r="AF195" s="14"/>
      <c r="AG195" s="14"/>
      <c r="AH195" s="14"/>
      <c r="AI195" s="14"/>
      <c r="AJ195" s="14"/>
      <c r="AK195" s="14"/>
      <c r="AL195" s="14"/>
      <c r="AM195" s="14"/>
      <c r="AN195" s="14"/>
    </row>
    <row r="196" ht="15.75" customHeight="1">
      <c r="A196" s="14"/>
      <c r="B196" s="14"/>
      <c r="C196" s="14"/>
      <c r="D196" s="14"/>
      <c r="E196" s="14"/>
      <c r="F196" s="14"/>
      <c r="G196" s="14"/>
      <c r="H196" s="14"/>
      <c r="I196" s="14"/>
      <c r="J196" s="14"/>
      <c r="K196" s="14"/>
      <c r="L196" s="14"/>
      <c r="M196" s="14"/>
      <c r="N196" s="14"/>
      <c r="O196" s="14"/>
      <c r="P196" s="14"/>
      <c r="Q196" s="14"/>
      <c r="R196" s="18"/>
      <c r="S196" s="18"/>
      <c r="T196" s="93"/>
      <c r="U196" s="20"/>
      <c r="V196" s="14"/>
      <c r="W196" s="14"/>
      <c r="X196" s="14"/>
      <c r="Y196" s="14"/>
      <c r="Z196" s="14"/>
      <c r="AA196" s="14"/>
      <c r="AB196" s="14"/>
      <c r="AC196" s="14"/>
      <c r="AD196" s="14"/>
      <c r="AE196" s="14"/>
      <c r="AF196" s="14"/>
      <c r="AG196" s="14"/>
      <c r="AH196" s="14"/>
      <c r="AI196" s="14"/>
      <c r="AJ196" s="14"/>
      <c r="AK196" s="14"/>
      <c r="AL196" s="14"/>
      <c r="AM196" s="14"/>
      <c r="AN196" s="14"/>
    </row>
    <row r="197" ht="15.75" customHeight="1">
      <c r="A197" s="14"/>
      <c r="B197" s="14"/>
      <c r="C197" s="14"/>
      <c r="D197" s="14"/>
      <c r="E197" s="14"/>
      <c r="F197" s="14"/>
      <c r="G197" s="14"/>
      <c r="H197" s="14"/>
      <c r="I197" s="14"/>
      <c r="J197" s="14"/>
      <c r="K197" s="14"/>
      <c r="L197" s="14"/>
      <c r="M197" s="14"/>
      <c r="N197" s="14"/>
      <c r="O197" s="14"/>
      <c r="P197" s="14"/>
      <c r="Q197" s="14"/>
      <c r="R197" s="18"/>
      <c r="S197" s="18"/>
      <c r="T197" s="93"/>
      <c r="U197" s="20"/>
      <c r="V197" s="14"/>
      <c r="W197" s="14"/>
      <c r="X197" s="14"/>
      <c r="Y197" s="14"/>
      <c r="Z197" s="14"/>
      <c r="AA197" s="14"/>
      <c r="AB197" s="14"/>
      <c r="AC197" s="14"/>
      <c r="AD197" s="14"/>
      <c r="AE197" s="14"/>
      <c r="AF197" s="14"/>
      <c r="AG197" s="14"/>
      <c r="AH197" s="14"/>
      <c r="AI197" s="14"/>
      <c r="AJ197" s="14"/>
      <c r="AK197" s="14"/>
      <c r="AL197" s="14"/>
      <c r="AM197" s="14"/>
      <c r="AN197" s="14"/>
    </row>
    <row r="198" ht="15.75" customHeight="1">
      <c r="A198" s="14"/>
      <c r="B198" s="14"/>
      <c r="C198" s="14"/>
      <c r="D198" s="14"/>
      <c r="E198" s="14"/>
      <c r="F198" s="14"/>
      <c r="G198" s="14"/>
      <c r="H198" s="14"/>
      <c r="I198" s="14"/>
      <c r="J198" s="14"/>
      <c r="K198" s="14"/>
      <c r="L198" s="14"/>
      <c r="M198" s="14"/>
      <c r="N198" s="14"/>
      <c r="O198" s="14"/>
      <c r="P198" s="14"/>
      <c r="Q198" s="14"/>
      <c r="R198" s="18"/>
      <c r="S198" s="18"/>
      <c r="T198" s="93"/>
      <c r="U198" s="20"/>
      <c r="V198" s="14"/>
      <c r="W198" s="14"/>
      <c r="X198" s="14"/>
      <c r="Y198" s="14"/>
      <c r="Z198" s="14"/>
      <c r="AA198" s="14"/>
      <c r="AB198" s="14"/>
      <c r="AC198" s="14"/>
      <c r="AD198" s="14"/>
      <c r="AE198" s="14"/>
      <c r="AF198" s="14"/>
      <c r="AG198" s="14"/>
      <c r="AH198" s="14"/>
      <c r="AI198" s="14"/>
      <c r="AJ198" s="14"/>
      <c r="AK198" s="14"/>
      <c r="AL198" s="14"/>
      <c r="AM198" s="14"/>
      <c r="AN198" s="14"/>
    </row>
    <row r="199" ht="15.75" customHeight="1">
      <c r="A199" s="14"/>
      <c r="B199" s="14"/>
      <c r="C199" s="14"/>
      <c r="D199" s="14"/>
      <c r="E199" s="14"/>
      <c r="F199" s="14"/>
      <c r="G199" s="14"/>
      <c r="H199" s="14"/>
      <c r="I199" s="14"/>
      <c r="J199" s="14"/>
      <c r="K199" s="14"/>
      <c r="L199" s="14"/>
      <c r="M199" s="14"/>
      <c r="N199" s="14"/>
      <c r="O199" s="14"/>
      <c r="P199" s="14"/>
      <c r="Q199" s="14"/>
      <c r="R199" s="18"/>
      <c r="S199" s="18"/>
      <c r="T199" s="93"/>
      <c r="U199" s="20"/>
      <c r="V199" s="14"/>
      <c r="W199" s="14"/>
      <c r="X199" s="14"/>
      <c r="Y199" s="14"/>
      <c r="Z199" s="14"/>
      <c r="AA199" s="14"/>
      <c r="AB199" s="14"/>
      <c r="AC199" s="14"/>
      <c r="AD199" s="14"/>
      <c r="AE199" s="14"/>
      <c r="AF199" s="14"/>
      <c r="AG199" s="14"/>
      <c r="AH199" s="14"/>
      <c r="AI199" s="14"/>
      <c r="AJ199" s="14"/>
      <c r="AK199" s="14"/>
      <c r="AL199" s="14"/>
      <c r="AM199" s="14"/>
      <c r="AN199" s="14"/>
    </row>
    <row r="200" ht="15.75" customHeight="1">
      <c r="A200" s="14"/>
      <c r="B200" s="14"/>
      <c r="C200" s="14"/>
      <c r="D200" s="14"/>
      <c r="E200" s="14"/>
      <c r="F200" s="14"/>
      <c r="G200" s="14"/>
      <c r="H200" s="14"/>
      <c r="I200" s="14"/>
      <c r="J200" s="14"/>
      <c r="K200" s="14"/>
      <c r="L200" s="14"/>
      <c r="M200" s="14"/>
      <c r="N200" s="14"/>
      <c r="O200" s="14"/>
      <c r="P200" s="14"/>
      <c r="Q200" s="14"/>
      <c r="R200" s="18"/>
      <c r="S200" s="18"/>
      <c r="T200" s="93"/>
      <c r="U200" s="20"/>
      <c r="V200" s="14"/>
      <c r="W200" s="14"/>
      <c r="X200" s="14"/>
      <c r="Y200" s="14"/>
      <c r="Z200" s="14"/>
      <c r="AA200" s="14"/>
      <c r="AB200" s="14"/>
      <c r="AC200" s="14"/>
      <c r="AD200" s="14"/>
      <c r="AE200" s="14"/>
      <c r="AF200" s="14"/>
      <c r="AG200" s="14"/>
      <c r="AH200" s="14"/>
      <c r="AI200" s="14"/>
      <c r="AJ200" s="14"/>
      <c r="AK200" s="14"/>
      <c r="AL200" s="14"/>
      <c r="AM200" s="14"/>
      <c r="AN200" s="14"/>
    </row>
    <row r="201" ht="15.75" customHeight="1">
      <c r="A201" s="14"/>
      <c r="B201" s="14"/>
      <c r="C201" s="14"/>
      <c r="D201" s="14"/>
      <c r="E201" s="14"/>
      <c r="F201" s="14"/>
      <c r="G201" s="14"/>
      <c r="H201" s="14"/>
      <c r="I201" s="14"/>
      <c r="J201" s="14"/>
      <c r="K201" s="14"/>
      <c r="L201" s="14"/>
      <c r="M201" s="14"/>
      <c r="N201" s="14"/>
      <c r="O201" s="14"/>
      <c r="P201" s="14"/>
      <c r="Q201" s="14"/>
      <c r="R201" s="18"/>
      <c r="S201" s="18"/>
      <c r="T201" s="93"/>
      <c r="U201" s="20"/>
      <c r="V201" s="14"/>
      <c r="W201" s="14"/>
      <c r="X201" s="14"/>
      <c r="Y201" s="14"/>
      <c r="Z201" s="14"/>
      <c r="AA201" s="14"/>
      <c r="AB201" s="14"/>
      <c r="AC201" s="14"/>
      <c r="AD201" s="14"/>
      <c r="AE201" s="14"/>
      <c r="AF201" s="14"/>
      <c r="AG201" s="14"/>
      <c r="AH201" s="14"/>
      <c r="AI201" s="14"/>
      <c r="AJ201" s="14"/>
      <c r="AK201" s="14"/>
      <c r="AL201" s="14"/>
      <c r="AM201" s="14"/>
      <c r="AN201" s="14"/>
    </row>
    <row r="202" ht="15.75" customHeight="1">
      <c r="A202" s="14"/>
      <c r="B202" s="14"/>
      <c r="C202" s="14"/>
      <c r="D202" s="14"/>
      <c r="E202" s="14"/>
      <c r="F202" s="14"/>
      <c r="G202" s="14"/>
      <c r="H202" s="14"/>
      <c r="I202" s="14"/>
      <c r="J202" s="14"/>
      <c r="K202" s="14"/>
      <c r="L202" s="14"/>
      <c r="M202" s="14"/>
      <c r="N202" s="14"/>
      <c r="O202" s="14"/>
      <c r="P202" s="14"/>
      <c r="Q202" s="14"/>
      <c r="R202" s="18"/>
      <c r="S202" s="18"/>
      <c r="T202" s="93"/>
      <c r="U202" s="20"/>
      <c r="V202" s="14"/>
      <c r="W202" s="14"/>
      <c r="X202" s="14"/>
      <c r="Y202" s="14"/>
      <c r="Z202" s="14"/>
      <c r="AA202" s="14"/>
      <c r="AB202" s="14"/>
      <c r="AC202" s="14"/>
      <c r="AD202" s="14"/>
      <c r="AE202" s="14"/>
      <c r="AF202" s="14"/>
      <c r="AG202" s="14"/>
      <c r="AH202" s="14"/>
      <c r="AI202" s="14"/>
      <c r="AJ202" s="14"/>
      <c r="AK202" s="14"/>
      <c r="AL202" s="14"/>
      <c r="AM202" s="14"/>
      <c r="AN202" s="14"/>
    </row>
    <row r="203" ht="15.75" customHeight="1">
      <c r="A203" s="14"/>
      <c r="B203" s="14"/>
      <c r="C203" s="14"/>
      <c r="D203" s="14"/>
      <c r="E203" s="14"/>
      <c r="F203" s="14"/>
      <c r="G203" s="14"/>
      <c r="H203" s="14"/>
      <c r="I203" s="14"/>
      <c r="J203" s="14"/>
      <c r="K203" s="14"/>
      <c r="L203" s="14"/>
      <c r="M203" s="14"/>
      <c r="N203" s="14"/>
      <c r="O203" s="14"/>
      <c r="P203" s="14"/>
      <c r="Q203" s="14"/>
      <c r="R203" s="18"/>
      <c r="S203" s="18"/>
      <c r="T203" s="93"/>
      <c r="U203" s="20"/>
      <c r="V203" s="14"/>
      <c r="W203" s="14"/>
      <c r="X203" s="14"/>
      <c r="Y203" s="14"/>
      <c r="Z203" s="14"/>
      <c r="AA203" s="14"/>
      <c r="AB203" s="14"/>
      <c r="AC203" s="14"/>
      <c r="AD203" s="14"/>
      <c r="AE203" s="14"/>
      <c r="AF203" s="14"/>
      <c r="AG203" s="14"/>
      <c r="AH203" s="14"/>
      <c r="AI203" s="14"/>
      <c r="AJ203" s="14"/>
      <c r="AK203" s="14"/>
      <c r="AL203" s="14"/>
      <c r="AM203" s="14"/>
      <c r="AN203" s="14"/>
    </row>
    <row r="204" ht="15.75" customHeight="1">
      <c r="A204" s="14"/>
      <c r="B204" s="14"/>
      <c r="C204" s="14"/>
      <c r="D204" s="14"/>
      <c r="E204" s="14"/>
      <c r="F204" s="14"/>
      <c r="G204" s="14"/>
      <c r="H204" s="14"/>
      <c r="I204" s="14"/>
      <c r="J204" s="14"/>
      <c r="K204" s="14"/>
      <c r="L204" s="14"/>
      <c r="M204" s="14"/>
      <c r="N204" s="14"/>
      <c r="O204" s="14"/>
      <c r="P204" s="14"/>
      <c r="Q204" s="14"/>
      <c r="R204" s="18"/>
      <c r="S204" s="18"/>
      <c r="T204" s="93"/>
      <c r="U204" s="20"/>
      <c r="V204" s="14"/>
      <c r="W204" s="14"/>
      <c r="X204" s="14"/>
      <c r="Y204" s="14"/>
      <c r="Z204" s="14"/>
      <c r="AA204" s="14"/>
      <c r="AB204" s="14"/>
      <c r="AC204" s="14"/>
      <c r="AD204" s="14"/>
      <c r="AE204" s="14"/>
      <c r="AF204" s="14"/>
      <c r="AG204" s="14"/>
      <c r="AH204" s="14"/>
      <c r="AI204" s="14"/>
      <c r="AJ204" s="14"/>
      <c r="AK204" s="14"/>
      <c r="AL204" s="14"/>
      <c r="AM204" s="14"/>
      <c r="AN204" s="14"/>
    </row>
    <row r="205" ht="15.75" customHeight="1">
      <c r="A205" s="14"/>
      <c r="B205" s="14"/>
      <c r="C205" s="14"/>
      <c r="D205" s="14"/>
      <c r="E205" s="14"/>
      <c r="F205" s="14"/>
      <c r="G205" s="14"/>
      <c r="H205" s="14"/>
      <c r="I205" s="14"/>
      <c r="J205" s="14"/>
      <c r="K205" s="14"/>
      <c r="L205" s="14"/>
      <c r="M205" s="14"/>
      <c r="N205" s="14"/>
      <c r="O205" s="14"/>
      <c r="P205" s="14"/>
      <c r="Q205" s="14"/>
      <c r="R205" s="18"/>
      <c r="S205" s="18"/>
      <c r="T205" s="93"/>
      <c r="U205" s="20"/>
      <c r="V205" s="14"/>
      <c r="W205" s="14"/>
      <c r="X205" s="14"/>
      <c r="Y205" s="14"/>
      <c r="Z205" s="14"/>
      <c r="AA205" s="14"/>
      <c r="AB205" s="14"/>
      <c r="AC205" s="14"/>
      <c r="AD205" s="14"/>
      <c r="AE205" s="14"/>
      <c r="AF205" s="14"/>
      <c r="AG205" s="14"/>
      <c r="AH205" s="14"/>
      <c r="AI205" s="14"/>
      <c r="AJ205" s="14"/>
      <c r="AK205" s="14"/>
      <c r="AL205" s="14"/>
      <c r="AM205" s="14"/>
      <c r="AN205" s="14"/>
    </row>
    <row r="206" ht="15.75" customHeight="1">
      <c r="A206" s="14"/>
      <c r="B206" s="14"/>
      <c r="C206" s="14"/>
      <c r="D206" s="14"/>
      <c r="E206" s="14"/>
      <c r="F206" s="14"/>
      <c r="G206" s="14"/>
      <c r="H206" s="14"/>
      <c r="I206" s="14"/>
      <c r="J206" s="14"/>
      <c r="K206" s="14"/>
      <c r="L206" s="14"/>
      <c r="M206" s="14"/>
      <c r="N206" s="14"/>
      <c r="O206" s="14"/>
      <c r="P206" s="14"/>
      <c r="Q206" s="14"/>
      <c r="R206" s="18"/>
      <c r="S206" s="18"/>
      <c r="T206" s="93"/>
      <c r="U206" s="20"/>
      <c r="V206" s="14"/>
      <c r="W206" s="14"/>
      <c r="X206" s="14"/>
      <c r="Y206" s="14"/>
      <c r="Z206" s="14"/>
      <c r="AA206" s="14"/>
      <c r="AB206" s="14"/>
      <c r="AC206" s="14"/>
      <c r="AD206" s="14"/>
      <c r="AE206" s="14"/>
      <c r="AF206" s="14"/>
      <c r="AG206" s="14"/>
      <c r="AH206" s="14"/>
      <c r="AI206" s="14"/>
      <c r="AJ206" s="14"/>
      <c r="AK206" s="14"/>
      <c r="AL206" s="14"/>
      <c r="AM206" s="14"/>
      <c r="AN206" s="14"/>
    </row>
    <row r="207" ht="15.75" customHeight="1">
      <c r="A207" s="14"/>
      <c r="B207" s="14"/>
      <c r="C207" s="14"/>
      <c r="D207" s="14"/>
      <c r="E207" s="14"/>
      <c r="F207" s="14"/>
      <c r="G207" s="14"/>
      <c r="H207" s="14"/>
      <c r="I207" s="14"/>
      <c r="J207" s="14"/>
      <c r="K207" s="14"/>
      <c r="L207" s="14"/>
      <c r="M207" s="14"/>
      <c r="N207" s="14"/>
      <c r="O207" s="14"/>
      <c r="P207" s="14"/>
      <c r="Q207" s="14"/>
      <c r="R207" s="18"/>
      <c r="S207" s="18"/>
      <c r="T207" s="93"/>
      <c r="U207" s="20"/>
      <c r="V207" s="14"/>
      <c r="W207" s="14"/>
      <c r="X207" s="14"/>
      <c r="Y207" s="14"/>
      <c r="Z207" s="14"/>
      <c r="AA207" s="14"/>
      <c r="AB207" s="14"/>
      <c r="AC207" s="14"/>
      <c r="AD207" s="14"/>
      <c r="AE207" s="14"/>
      <c r="AF207" s="14"/>
      <c r="AG207" s="14"/>
      <c r="AH207" s="14"/>
      <c r="AI207" s="14"/>
      <c r="AJ207" s="14"/>
      <c r="AK207" s="14"/>
      <c r="AL207" s="14"/>
      <c r="AM207" s="14"/>
      <c r="AN207" s="14"/>
    </row>
    <row r="208" ht="15.75" customHeight="1">
      <c r="A208" s="14"/>
      <c r="B208" s="14"/>
      <c r="C208" s="14"/>
      <c r="D208" s="14"/>
      <c r="E208" s="14"/>
      <c r="F208" s="14"/>
      <c r="G208" s="14"/>
      <c r="H208" s="14"/>
      <c r="I208" s="14"/>
      <c r="J208" s="14"/>
      <c r="K208" s="14"/>
      <c r="L208" s="14"/>
      <c r="M208" s="14"/>
      <c r="N208" s="14"/>
      <c r="O208" s="14"/>
      <c r="P208" s="14"/>
      <c r="Q208" s="14"/>
      <c r="R208" s="18"/>
      <c r="S208" s="18"/>
      <c r="T208" s="93"/>
      <c r="U208" s="20"/>
      <c r="V208" s="14"/>
      <c r="W208" s="14"/>
      <c r="X208" s="14"/>
      <c r="Y208" s="14"/>
      <c r="Z208" s="14"/>
      <c r="AA208" s="14"/>
      <c r="AB208" s="14"/>
      <c r="AC208" s="14"/>
      <c r="AD208" s="14"/>
      <c r="AE208" s="14"/>
      <c r="AF208" s="14"/>
      <c r="AG208" s="14"/>
      <c r="AH208" s="14"/>
      <c r="AI208" s="14"/>
      <c r="AJ208" s="14"/>
      <c r="AK208" s="14"/>
      <c r="AL208" s="14"/>
      <c r="AM208" s="14"/>
      <c r="AN208" s="14"/>
    </row>
    <row r="209" ht="15.75" customHeight="1">
      <c r="A209" s="14"/>
      <c r="B209" s="14"/>
      <c r="C209" s="14"/>
      <c r="D209" s="14"/>
      <c r="E209" s="14"/>
      <c r="F209" s="14"/>
      <c r="G209" s="14"/>
      <c r="H209" s="14"/>
      <c r="I209" s="14"/>
      <c r="J209" s="14"/>
      <c r="K209" s="14"/>
      <c r="L209" s="14"/>
      <c r="M209" s="14"/>
      <c r="N209" s="14"/>
      <c r="O209" s="14"/>
      <c r="P209" s="14"/>
      <c r="Q209" s="14"/>
      <c r="R209" s="18"/>
      <c r="S209" s="18"/>
      <c r="T209" s="93"/>
      <c r="U209" s="20"/>
      <c r="V209" s="14"/>
      <c r="W209" s="14"/>
      <c r="X209" s="14"/>
      <c r="Y209" s="14"/>
      <c r="Z209" s="14"/>
      <c r="AA209" s="14"/>
      <c r="AB209" s="14"/>
      <c r="AC209" s="14"/>
      <c r="AD209" s="14"/>
      <c r="AE209" s="14"/>
      <c r="AF209" s="14"/>
      <c r="AG209" s="14"/>
      <c r="AH209" s="14"/>
      <c r="AI209" s="14"/>
      <c r="AJ209" s="14"/>
      <c r="AK209" s="14"/>
      <c r="AL209" s="14"/>
      <c r="AM209" s="14"/>
      <c r="AN209" s="14"/>
    </row>
    <row r="210" ht="15.75" customHeight="1">
      <c r="A210" s="14"/>
      <c r="B210" s="14"/>
      <c r="C210" s="14"/>
      <c r="D210" s="14"/>
      <c r="E210" s="14"/>
      <c r="F210" s="14"/>
      <c r="G210" s="14"/>
      <c r="H210" s="14"/>
      <c r="I210" s="14"/>
      <c r="J210" s="14"/>
      <c r="K210" s="14"/>
      <c r="L210" s="14"/>
      <c r="M210" s="14"/>
      <c r="N210" s="14"/>
      <c r="O210" s="14"/>
      <c r="P210" s="14"/>
      <c r="Q210" s="14"/>
      <c r="R210" s="18"/>
      <c r="S210" s="18"/>
      <c r="T210" s="93"/>
      <c r="U210" s="20"/>
      <c r="V210" s="14"/>
      <c r="W210" s="14"/>
      <c r="X210" s="14"/>
      <c r="Y210" s="14"/>
      <c r="Z210" s="14"/>
      <c r="AA210" s="14"/>
      <c r="AB210" s="14"/>
      <c r="AC210" s="14"/>
      <c r="AD210" s="14"/>
      <c r="AE210" s="14"/>
      <c r="AF210" s="14"/>
      <c r="AG210" s="14"/>
      <c r="AH210" s="14"/>
      <c r="AI210" s="14"/>
      <c r="AJ210" s="14"/>
      <c r="AK210" s="14"/>
      <c r="AL210" s="14"/>
      <c r="AM210" s="14"/>
      <c r="AN210" s="14"/>
    </row>
    <row r="211" ht="15.75" customHeight="1">
      <c r="A211" s="14"/>
      <c r="B211" s="14"/>
      <c r="C211" s="14"/>
      <c r="D211" s="14"/>
      <c r="E211" s="14"/>
      <c r="F211" s="14"/>
      <c r="G211" s="14"/>
      <c r="H211" s="14"/>
      <c r="I211" s="14"/>
      <c r="J211" s="14"/>
      <c r="K211" s="14"/>
      <c r="L211" s="14"/>
      <c r="M211" s="14"/>
      <c r="N211" s="14"/>
      <c r="O211" s="14"/>
      <c r="P211" s="14"/>
      <c r="Q211" s="14"/>
      <c r="R211" s="18"/>
      <c r="S211" s="18"/>
      <c r="T211" s="93"/>
      <c r="U211" s="20"/>
      <c r="V211" s="14"/>
      <c r="W211" s="14"/>
      <c r="X211" s="14"/>
      <c r="Y211" s="14"/>
      <c r="Z211" s="14"/>
      <c r="AA211" s="14"/>
      <c r="AB211" s="14"/>
      <c r="AC211" s="14"/>
      <c r="AD211" s="14"/>
      <c r="AE211" s="14"/>
      <c r="AF211" s="14"/>
      <c r="AG211" s="14"/>
      <c r="AH211" s="14"/>
      <c r="AI211" s="14"/>
      <c r="AJ211" s="14"/>
      <c r="AK211" s="14"/>
      <c r="AL211" s="14"/>
      <c r="AM211" s="14"/>
      <c r="AN211" s="14"/>
    </row>
    <row r="212" ht="15.75" customHeight="1">
      <c r="A212" s="14"/>
      <c r="B212" s="14"/>
      <c r="C212" s="14"/>
      <c r="D212" s="14"/>
      <c r="E212" s="14"/>
      <c r="F212" s="14"/>
      <c r="G212" s="14"/>
      <c r="H212" s="14"/>
      <c r="I212" s="14"/>
      <c r="J212" s="14"/>
      <c r="K212" s="14"/>
      <c r="L212" s="14"/>
      <c r="M212" s="14"/>
      <c r="N212" s="14"/>
      <c r="O212" s="14"/>
      <c r="P212" s="14"/>
      <c r="Q212" s="14"/>
      <c r="R212" s="18"/>
      <c r="S212" s="18"/>
      <c r="T212" s="93"/>
      <c r="U212" s="20"/>
      <c r="V212" s="14"/>
      <c r="W212" s="14"/>
      <c r="X212" s="14"/>
      <c r="Y212" s="14"/>
      <c r="Z212" s="14"/>
      <c r="AA212" s="14"/>
      <c r="AB212" s="14"/>
      <c r="AC212" s="14"/>
      <c r="AD212" s="14"/>
      <c r="AE212" s="14"/>
      <c r="AF212" s="14"/>
      <c r="AG212" s="14"/>
      <c r="AH212" s="14"/>
      <c r="AI212" s="14"/>
      <c r="AJ212" s="14"/>
      <c r="AK212" s="14"/>
      <c r="AL212" s="14"/>
      <c r="AM212" s="14"/>
      <c r="AN212" s="14"/>
    </row>
    <row r="213" ht="15.75" customHeight="1">
      <c r="A213" s="14"/>
      <c r="B213" s="14"/>
      <c r="C213" s="14"/>
      <c r="D213" s="14"/>
      <c r="E213" s="14"/>
      <c r="F213" s="14"/>
      <c r="G213" s="14"/>
      <c r="H213" s="14"/>
      <c r="I213" s="14"/>
      <c r="J213" s="14"/>
      <c r="K213" s="14"/>
      <c r="L213" s="14"/>
      <c r="M213" s="14"/>
      <c r="N213" s="14"/>
      <c r="O213" s="14"/>
      <c r="P213" s="14"/>
      <c r="Q213" s="14"/>
      <c r="R213" s="18"/>
      <c r="S213" s="18"/>
      <c r="T213" s="93"/>
      <c r="U213" s="20"/>
      <c r="V213" s="14"/>
      <c r="W213" s="14"/>
      <c r="X213" s="14"/>
      <c r="Y213" s="14"/>
      <c r="Z213" s="14"/>
      <c r="AA213" s="14"/>
      <c r="AB213" s="14"/>
      <c r="AC213" s="14"/>
      <c r="AD213" s="14"/>
      <c r="AE213" s="14"/>
      <c r="AF213" s="14"/>
      <c r="AG213" s="14"/>
      <c r="AH213" s="14"/>
      <c r="AI213" s="14"/>
      <c r="AJ213" s="14"/>
      <c r="AK213" s="14"/>
      <c r="AL213" s="14"/>
      <c r="AM213" s="14"/>
      <c r="AN213" s="14"/>
    </row>
    <row r="214" ht="15.75" customHeight="1">
      <c r="A214" s="14"/>
      <c r="B214" s="14"/>
      <c r="C214" s="14"/>
      <c r="D214" s="14"/>
      <c r="E214" s="14"/>
      <c r="F214" s="14"/>
      <c r="G214" s="14"/>
      <c r="H214" s="14"/>
      <c r="I214" s="14"/>
      <c r="J214" s="14"/>
      <c r="K214" s="14"/>
      <c r="L214" s="14"/>
      <c r="M214" s="14"/>
      <c r="N214" s="14"/>
      <c r="O214" s="14"/>
      <c r="P214" s="14"/>
      <c r="Q214" s="14"/>
      <c r="R214" s="18"/>
      <c r="S214" s="18"/>
      <c r="T214" s="93"/>
      <c r="U214" s="20"/>
      <c r="V214" s="14"/>
      <c r="W214" s="14"/>
      <c r="X214" s="14"/>
      <c r="Y214" s="14"/>
      <c r="Z214" s="14"/>
      <c r="AA214" s="14"/>
      <c r="AB214" s="14"/>
      <c r="AC214" s="14"/>
      <c r="AD214" s="14"/>
      <c r="AE214" s="14"/>
      <c r="AF214" s="14"/>
      <c r="AG214" s="14"/>
      <c r="AH214" s="14"/>
      <c r="AI214" s="14"/>
      <c r="AJ214" s="14"/>
      <c r="AK214" s="14"/>
      <c r="AL214" s="14"/>
      <c r="AM214" s="14"/>
      <c r="AN214" s="14"/>
    </row>
    <row r="215" ht="15.75" customHeight="1">
      <c r="A215" s="14"/>
      <c r="B215" s="14"/>
      <c r="C215" s="14"/>
      <c r="D215" s="14"/>
      <c r="E215" s="14"/>
      <c r="F215" s="14"/>
      <c r="G215" s="14"/>
      <c r="H215" s="14"/>
      <c r="I215" s="14"/>
      <c r="J215" s="14"/>
      <c r="K215" s="14"/>
      <c r="L215" s="14"/>
      <c r="M215" s="14"/>
      <c r="N215" s="14"/>
      <c r="O215" s="14"/>
      <c r="P215" s="14"/>
      <c r="Q215" s="14"/>
      <c r="R215" s="18"/>
      <c r="S215" s="18"/>
      <c r="T215" s="93"/>
      <c r="U215" s="20"/>
      <c r="V215" s="14"/>
      <c r="W215" s="14"/>
      <c r="X215" s="14"/>
      <c r="Y215" s="14"/>
      <c r="Z215" s="14"/>
      <c r="AA215" s="14"/>
      <c r="AB215" s="14"/>
      <c r="AC215" s="14"/>
      <c r="AD215" s="14"/>
      <c r="AE215" s="14"/>
      <c r="AF215" s="14"/>
      <c r="AG215" s="14"/>
      <c r="AH215" s="14"/>
      <c r="AI215" s="14"/>
      <c r="AJ215" s="14"/>
      <c r="AK215" s="14"/>
      <c r="AL215" s="14"/>
      <c r="AM215" s="14"/>
      <c r="AN215" s="14"/>
    </row>
    <row r="216" ht="15.75" customHeight="1">
      <c r="A216" s="14"/>
      <c r="B216" s="14"/>
      <c r="C216" s="14"/>
      <c r="D216" s="14"/>
      <c r="E216" s="14"/>
      <c r="F216" s="14"/>
      <c r="G216" s="14"/>
      <c r="H216" s="14"/>
      <c r="I216" s="14"/>
      <c r="J216" s="14"/>
      <c r="K216" s="14"/>
      <c r="L216" s="14"/>
      <c r="M216" s="14"/>
      <c r="N216" s="14"/>
      <c r="O216" s="14"/>
      <c r="P216" s="14"/>
      <c r="Q216" s="14"/>
      <c r="R216" s="18"/>
      <c r="S216" s="18"/>
      <c r="T216" s="93"/>
      <c r="U216" s="20"/>
      <c r="V216" s="14"/>
      <c r="W216" s="14"/>
      <c r="X216" s="14"/>
      <c r="Y216" s="14"/>
      <c r="Z216" s="14"/>
      <c r="AA216" s="14"/>
      <c r="AB216" s="14"/>
      <c r="AC216" s="14"/>
      <c r="AD216" s="14"/>
      <c r="AE216" s="14"/>
      <c r="AF216" s="14"/>
      <c r="AG216" s="14"/>
      <c r="AH216" s="14"/>
      <c r="AI216" s="14"/>
      <c r="AJ216" s="14"/>
      <c r="AK216" s="14"/>
      <c r="AL216" s="14"/>
      <c r="AM216" s="14"/>
      <c r="AN216" s="14"/>
    </row>
    <row r="217" ht="15.75" customHeight="1">
      <c r="A217" s="14"/>
      <c r="B217" s="14"/>
      <c r="C217" s="14"/>
      <c r="D217" s="14"/>
      <c r="E217" s="14"/>
      <c r="F217" s="14"/>
      <c r="G217" s="14"/>
      <c r="H217" s="14"/>
      <c r="I217" s="14"/>
      <c r="J217" s="14"/>
      <c r="K217" s="14"/>
      <c r="L217" s="14"/>
      <c r="M217" s="14"/>
      <c r="N217" s="14"/>
      <c r="O217" s="14"/>
      <c r="P217" s="14"/>
      <c r="Q217" s="14"/>
      <c r="R217" s="18"/>
      <c r="S217" s="18"/>
      <c r="T217" s="93"/>
      <c r="U217" s="20"/>
      <c r="V217" s="14"/>
      <c r="W217" s="14"/>
      <c r="X217" s="14"/>
      <c r="Y217" s="14"/>
      <c r="Z217" s="14"/>
      <c r="AA217" s="14"/>
      <c r="AB217" s="14"/>
      <c r="AC217" s="14"/>
      <c r="AD217" s="14"/>
      <c r="AE217" s="14"/>
      <c r="AF217" s="14"/>
      <c r="AG217" s="14"/>
      <c r="AH217" s="14"/>
      <c r="AI217" s="14"/>
      <c r="AJ217" s="14"/>
      <c r="AK217" s="14"/>
      <c r="AL217" s="14"/>
      <c r="AM217" s="14"/>
      <c r="AN217" s="14"/>
    </row>
    <row r="218" ht="15.75" customHeight="1">
      <c r="A218" s="14"/>
      <c r="B218" s="14"/>
      <c r="C218" s="14"/>
      <c r="D218" s="14"/>
      <c r="E218" s="14"/>
      <c r="F218" s="14"/>
      <c r="G218" s="14"/>
      <c r="H218" s="14"/>
      <c r="I218" s="14"/>
      <c r="J218" s="14"/>
      <c r="K218" s="14"/>
      <c r="L218" s="14"/>
      <c r="M218" s="14"/>
      <c r="N218" s="14"/>
      <c r="O218" s="14"/>
      <c r="P218" s="14"/>
      <c r="Q218" s="14"/>
      <c r="R218" s="18"/>
      <c r="S218" s="18"/>
      <c r="T218" s="93"/>
      <c r="U218" s="20"/>
      <c r="V218" s="14"/>
      <c r="W218" s="14"/>
      <c r="X218" s="14"/>
      <c r="Y218" s="14"/>
      <c r="Z218" s="14"/>
      <c r="AA218" s="14"/>
      <c r="AB218" s="14"/>
      <c r="AC218" s="14"/>
      <c r="AD218" s="14"/>
      <c r="AE218" s="14"/>
      <c r="AF218" s="14"/>
      <c r="AG218" s="14"/>
      <c r="AH218" s="14"/>
      <c r="AI218" s="14"/>
      <c r="AJ218" s="14"/>
      <c r="AK218" s="14"/>
      <c r="AL218" s="14"/>
      <c r="AM218" s="14"/>
      <c r="AN218" s="14"/>
    </row>
    <row r="219" ht="15.75" customHeight="1">
      <c r="A219" s="14"/>
      <c r="B219" s="14"/>
      <c r="C219" s="14"/>
      <c r="D219" s="14"/>
      <c r="E219" s="14"/>
      <c r="F219" s="14"/>
      <c r="G219" s="14"/>
      <c r="H219" s="14"/>
      <c r="I219" s="14"/>
      <c r="J219" s="14"/>
      <c r="K219" s="14"/>
      <c r="L219" s="14"/>
      <c r="M219" s="14"/>
      <c r="N219" s="14"/>
      <c r="O219" s="14"/>
      <c r="P219" s="14"/>
      <c r="Q219" s="14"/>
      <c r="R219" s="18"/>
      <c r="S219" s="18"/>
      <c r="T219" s="93"/>
      <c r="U219" s="20"/>
      <c r="V219" s="14"/>
      <c r="W219" s="14"/>
      <c r="X219" s="14"/>
      <c r="Y219" s="14"/>
      <c r="Z219" s="14"/>
      <c r="AA219" s="14"/>
      <c r="AB219" s="14"/>
      <c r="AC219" s="14"/>
      <c r="AD219" s="14"/>
      <c r="AE219" s="14"/>
      <c r="AF219" s="14"/>
      <c r="AG219" s="14"/>
      <c r="AH219" s="14"/>
      <c r="AI219" s="14"/>
      <c r="AJ219" s="14"/>
      <c r="AK219" s="14"/>
      <c r="AL219" s="14"/>
      <c r="AM219" s="14"/>
      <c r="AN219" s="14"/>
    </row>
    <row r="220" ht="15.75" customHeight="1">
      <c r="A220" s="14"/>
      <c r="B220" s="14"/>
      <c r="C220" s="14"/>
      <c r="D220" s="14"/>
      <c r="E220" s="14"/>
      <c r="F220" s="14"/>
      <c r="G220" s="14"/>
      <c r="H220" s="14"/>
      <c r="I220" s="14"/>
      <c r="J220" s="14"/>
      <c r="K220" s="14"/>
      <c r="L220" s="14"/>
      <c r="M220" s="14"/>
      <c r="N220" s="14"/>
      <c r="O220" s="14"/>
      <c r="P220" s="14"/>
      <c r="Q220" s="14"/>
      <c r="R220" s="18"/>
      <c r="S220" s="18"/>
      <c r="T220" s="93"/>
      <c r="U220" s="20"/>
      <c r="V220" s="14"/>
      <c r="W220" s="14"/>
      <c r="X220" s="14"/>
      <c r="Y220" s="14"/>
      <c r="Z220" s="14"/>
      <c r="AA220" s="14"/>
      <c r="AB220" s="14"/>
      <c r="AC220" s="14"/>
      <c r="AD220" s="14"/>
      <c r="AE220" s="14"/>
      <c r="AF220" s="14"/>
      <c r="AG220" s="14"/>
      <c r="AH220" s="14"/>
      <c r="AI220" s="14"/>
      <c r="AJ220" s="14"/>
      <c r="AK220" s="14"/>
      <c r="AL220" s="14"/>
      <c r="AM220" s="14"/>
      <c r="AN220" s="14"/>
    </row>
    <row r="221" ht="15.75" customHeight="1">
      <c r="A221" s="14"/>
      <c r="B221" s="14"/>
      <c r="C221" s="14"/>
      <c r="D221" s="14"/>
      <c r="E221" s="14"/>
      <c r="F221" s="14"/>
      <c r="G221" s="14"/>
      <c r="H221" s="14"/>
      <c r="I221" s="14"/>
      <c r="J221" s="14"/>
      <c r="K221" s="14"/>
      <c r="L221" s="14"/>
      <c r="M221" s="14"/>
      <c r="N221" s="14"/>
      <c r="O221" s="14"/>
      <c r="P221" s="14"/>
      <c r="Q221" s="14"/>
      <c r="R221" s="18"/>
      <c r="S221" s="18"/>
      <c r="T221" s="93"/>
      <c r="U221" s="20"/>
      <c r="V221" s="14"/>
      <c r="W221" s="14"/>
      <c r="X221" s="14"/>
      <c r="Y221" s="14"/>
      <c r="Z221" s="14"/>
      <c r="AA221" s="14"/>
      <c r="AB221" s="14"/>
      <c r="AC221" s="14"/>
      <c r="AD221" s="14"/>
      <c r="AE221" s="14"/>
      <c r="AF221" s="14"/>
      <c r="AG221" s="14"/>
      <c r="AH221" s="14"/>
      <c r="AI221" s="14"/>
      <c r="AJ221" s="14"/>
      <c r="AK221" s="14"/>
      <c r="AL221" s="14"/>
      <c r="AM221" s="14"/>
      <c r="AN221" s="14"/>
    </row>
    <row r="222" ht="15.75" customHeight="1">
      <c r="A222" s="14"/>
      <c r="B222" s="14"/>
      <c r="C222" s="14"/>
      <c r="D222" s="14"/>
      <c r="E222" s="14"/>
      <c r="F222" s="14"/>
      <c r="G222" s="14"/>
      <c r="H222" s="14"/>
      <c r="I222" s="14"/>
      <c r="J222" s="14"/>
      <c r="K222" s="14"/>
      <c r="L222" s="14"/>
      <c r="M222" s="14"/>
      <c r="N222" s="14"/>
      <c r="O222" s="14"/>
      <c r="P222" s="14"/>
      <c r="Q222" s="14"/>
      <c r="R222" s="18"/>
      <c r="S222" s="18"/>
      <c r="T222" s="93"/>
      <c r="U222" s="20"/>
      <c r="V222" s="14"/>
      <c r="W222" s="14"/>
      <c r="X222" s="14"/>
      <c r="Y222" s="14"/>
      <c r="Z222" s="14"/>
      <c r="AA222" s="14"/>
      <c r="AB222" s="14"/>
      <c r="AC222" s="14"/>
      <c r="AD222" s="14"/>
      <c r="AE222" s="14"/>
      <c r="AF222" s="14"/>
      <c r="AG222" s="14"/>
      <c r="AH222" s="14"/>
      <c r="AI222" s="14"/>
      <c r="AJ222" s="14"/>
      <c r="AK222" s="14"/>
      <c r="AL222" s="14"/>
      <c r="AM222" s="14"/>
      <c r="AN222" s="14"/>
    </row>
    <row r="223" ht="15.75" customHeight="1">
      <c r="A223" s="14"/>
      <c r="B223" s="14"/>
      <c r="C223" s="14"/>
      <c r="D223" s="14"/>
      <c r="E223" s="14"/>
      <c r="F223" s="14"/>
      <c r="G223" s="14"/>
      <c r="H223" s="14"/>
      <c r="I223" s="14"/>
      <c r="J223" s="14"/>
      <c r="K223" s="14"/>
      <c r="L223" s="14"/>
      <c r="M223" s="14"/>
      <c r="N223" s="14"/>
      <c r="O223" s="14"/>
      <c r="P223" s="14"/>
      <c r="Q223" s="14"/>
      <c r="R223" s="18"/>
      <c r="S223" s="18"/>
      <c r="T223" s="93"/>
      <c r="U223" s="20"/>
      <c r="V223" s="14"/>
      <c r="W223" s="14"/>
      <c r="X223" s="14"/>
      <c r="Y223" s="14"/>
      <c r="Z223" s="14"/>
      <c r="AA223" s="14"/>
      <c r="AB223" s="14"/>
      <c r="AC223" s="14"/>
      <c r="AD223" s="14"/>
      <c r="AE223" s="14"/>
      <c r="AF223" s="14"/>
      <c r="AG223" s="14"/>
      <c r="AH223" s="14"/>
      <c r="AI223" s="14"/>
      <c r="AJ223" s="14"/>
      <c r="AK223" s="14"/>
      <c r="AL223" s="14"/>
      <c r="AM223" s="14"/>
      <c r="AN223" s="14"/>
    </row>
    <row r="224" ht="15.75" customHeight="1">
      <c r="A224" s="14"/>
      <c r="B224" s="14"/>
      <c r="C224" s="14"/>
      <c r="D224" s="14"/>
      <c r="E224" s="14"/>
      <c r="F224" s="14"/>
      <c r="G224" s="14"/>
      <c r="H224" s="14"/>
      <c r="I224" s="14"/>
      <c r="J224" s="14"/>
      <c r="K224" s="14"/>
      <c r="L224" s="14"/>
      <c r="M224" s="14"/>
      <c r="N224" s="14"/>
      <c r="O224" s="14"/>
      <c r="P224" s="14"/>
      <c r="Q224" s="14"/>
      <c r="R224" s="18"/>
      <c r="S224" s="18"/>
      <c r="T224" s="93"/>
      <c r="U224" s="20"/>
      <c r="V224" s="14"/>
      <c r="W224" s="14"/>
      <c r="X224" s="14"/>
      <c r="Y224" s="14"/>
      <c r="Z224" s="14"/>
      <c r="AA224" s="14"/>
      <c r="AB224" s="14"/>
      <c r="AC224" s="14"/>
      <c r="AD224" s="14"/>
      <c r="AE224" s="14"/>
      <c r="AF224" s="14"/>
      <c r="AG224" s="14"/>
      <c r="AH224" s="14"/>
      <c r="AI224" s="14"/>
      <c r="AJ224" s="14"/>
      <c r="AK224" s="14"/>
      <c r="AL224" s="14"/>
      <c r="AM224" s="14"/>
      <c r="AN224" s="14"/>
    </row>
    <row r="225" ht="15.75" customHeight="1">
      <c r="A225" s="14"/>
      <c r="B225" s="14"/>
      <c r="C225" s="14"/>
      <c r="D225" s="14"/>
      <c r="E225" s="14"/>
      <c r="F225" s="14"/>
      <c r="G225" s="14"/>
      <c r="H225" s="14"/>
      <c r="I225" s="14"/>
      <c r="J225" s="14"/>
      <c r="K225" s="14"/>
      <c r="L225" s="14"/>
      <c r="M225" s="14"/>
      <c r="N225" s="14"/>
      <c r="O225" s="14"/>
      <c r="P225" s="14"/>
      <c r="Q225" s="14"/>
      <c r="R225" s="18"/>
      <c r="S225" s="18"/>
      <c r="T225" s="93"/>
      <c r="U225" s="20"/>
      <c r="V225" s="14"/>
      <c r="W225" s="14"/>
      <c r="X225" s="14"/>
      <c r="Y225" s="14"/>
      <c r="Z225" s="14"/>
      <c r="AA225" s="14"/>
      <c r="AB225" s="14"/>
      <c r="AC225" s="14"/>
      <c r="AD225" s="14"/>
      <c r="AE225" s="14"/>
      <c r="AF225" s="14"/>
      <c r="AG225" s="14"/>
      <c r="AH225" s="14"/>
      <c r="AI225" s="14"/>
      <c r="AJ225" s="14"/>
      <c r="AK225" s="14"/>
      <c r="AL225" s="14"/>
      <c r="AM225" s="14"/>
      <c r="AN225" s="14"/>
    </row>
    <row r="226" ht="15.75" customHeight="1">
      <c r="A226" s="14"/>
      <c r="B226" s="14"/>
      <c r="C226" s="14"/>
      <c r="D226" s="14"/>
      <c r="E226" s="14"/>
      <c r="F226" s="14"/>
      <c r="G226" s="14"/>
      <c r="H226" s="14"/>
      <c r="I226" s="14"/>
      <c r="J226" s="14"/>
      <c r="K226" s="14"/>
      <c r="L226" s="14"/>
      <c r="M226" s="14"/>
      <c r="N226" s="14"/>
      <c r="O226" s="14"/>
      <c r="P226" s="14"/>
      <c r="Q226" s="14"/>
      <c r="R226" s="18"/>
      <c r="S226" s="18"/>
      <c r="T226" s="93"/>
      <c r="U226" s="20"/>
      <c r="V226" s="14"/>
      <c r="W226" s="14"/>
      <c r="X226" s="14"/>
      <c r="Y226" s="14"/>
      <c r="Z226" s="14"/>
      <c r="AA226" s="14"/>
      <c r="AB226" s="14"/>
      <c r="AC226" s="14"/>
      <c r="AD226" s="14"/>
      <c r="AE226" s="14"/>
      <c r="AF226" s="14"/>
      <c r="AG226" s="14"/>
      <c r="AH226" s="14"/>
      <c r="AI226" s="14"/>
      <c r="AJ226" s="14"/>
      <c r="AK226" s="14"/>
      <c r="AL226" s="14"/>
      <c r="AM226" s="14"/>
      <c r="AN226" s="14"/>
    </row>
    <row r="227" ht="15.75" customHeight="1">
      <c r="A227" s="14"/>
      <c r="B227" s="14"/>
      <c r="C227" s="14"/>
      <c r="D227" s="14"/>
      <c r="E227" s="14"/>
      <c r="F227" s="14"/>
      <c r="G227" s="14"/>
      <c r="H227" s="14"/>
      <c r="I227" s="14"/>
      <c r="J227" s="14"/>
      <c r="K227" s="14"/>
      <c r="L227" s="14"/>
      <c r="M227" s="14"/>
      <c r="N227" s="14"/>
      <c r="O227" s="14"/>
      <c r="P227" s="14"/>
      <c r="Q227" s="14"/>
      <c r="R227" s="18"/>
      <c r="S227" s="18"/>
      <c r="T227" s="93"/>
      <c r="U227" s="20"/>
      <c r="V227" s="14"/>
      <c r="W227" s="14"/>
      <c r="X227" s="14"/>
      <c r="Y227" s="14"/>
      <c r="Z227" s="14"/>
      <c r="AA227" s="14"/>
      <c r="AB227" s="14"/>
      <c r="AC227" s="14"/>
      <c r="AD227" s="14"/>
      <c r="AE227" s="14"/>
      <c r="AF227" s="14"/>
      <c r="AG227" s="14"/>
      <c r="AH227" s="14"/>
      <c r="AI227" s="14"/>
      <c r="AJ227" s="14"/>
      <c r="AK227" s="14"/>
      <c r="AL227" s="14"/>
      <c r="AM227" s="14"/>
      <c r="AN227" s="14"/>
    </row>
    <row r="228" ht="15.75" customHeight="1">
      <c r="A228" s="14"/>
      <c r="B228" s="14"/>
      <c r="C228" s="14"/>
      <c r="D228" s="14"/>
      <c r="E228" s="14"/>
      <c r="F228" s="14"/>
      <c r="G228" s="14"/>
      <c r="H228" s="14"/>
      <c r="I228" s="14"/>
      <c r="J228" s="14"/>
      <c r="K228" s="14"/>
      <c r="L228" s="14"/>
      <c r="M228" s="14"/>
      <c r="N228" s="14"/>
      <c r="O228" s="14"/>
      <c r="P228" s="14"/>
      <c r="Q228" s="14"/>
      <c r="R228" s="18"/>
      <c r="S228" s="18"/>
      <c r="T228" s="93"/>
      <c r="U228" s="20"/>
      <c r="V228" s="14"/>
      <c r="W228" s="14"/>
      <c r="X228" s="14"/>
      <c r="Y228" s="14"/>
      <c r="Z228" s="14"/>
      <c r="AA228" s="14"/>
      <c r="AB228" s="14"/>
      <c r="AC228" s="14"/>
      <c r="AD228" s="14"/>
      <c r="AE228" s="14"/>
      <c r="AF228" s="14"/>
      <c r="AG228" s="14"/>
      <c r="AH228" s="14"/>
      <c r="AI228" s="14"/>
      <c r="AJ228" s="14"/>
      <c r="AK228" s="14"/>
      <c r="AL228" s="14"/>
      <c r="AM228" s="14"/>
      <c r="AN228" s="14"/>
    </row>
    <row r="229" ht="15.75" customHeight="1">
      <c r="A229" s="14"/>
      <c r="B229" s="14"/>
      <c r="C229" s="14"/>
      <c r="D229" s="14"/>
      <c r="E229" s="14"/>
      <c r="F229" s="14"/>
      <c r="G229" s="14"/>
      <c r="H229" s="14"/>
      <c r="I229" s="14"/>
      <c r="J229" s="14"/>
      <c r="K229" s="14"/>
      <c r="L229" s="14"/>
      <c r="M229" s="14"/>
      <c r="N229" s="14"/>
      <c r="O229" s="14"/>
      <c r="P229" s="14"/>
      <c r="Q229" s="14"/>
      <c r="R229" s="18"/>
      <c r="S229" s="18"/>
      <c r="T229" s="93"/>
      <c r="U229" s="20"/>
      <c r="V229" s="14"/>
      <c r="W229" s="14"/>
      <c r="X229" s="14"/>
      <c r="Y229" s="14"/>
      <c r="Z229" s="14"/>
      <c r="AA229" s="14"/>
      <c r="AB229" s="14"/>
      <c r="AC229" s="14"/>
      <c r="AD229" s="14"/>
      <c r="AE229" s="14"/>
      <c r="AF229" s="14"/>
      <c r="AG229" s="14"/>
      <c r="AH229" s="14"/>
      <c r="AI229" s="14"/>
      <c r="AJ229" s="14"/>
      <c r="AK229" s="14"/>
      <c r="AL229" s="14"/>
      <c r="AM229" s="14"/>
      <c r="AN229" s="14"/>
    </row>
    <row r="230" ht="15.75" customHeight="1">
      <c r="A230" s="14"/>
      <c r="B230" s="14"/>
      <c r="C230" s="14"/>
      <c r="D230" s="14"/>
      <c r="E230" s="14"/>
      <c r="F230" s="14"/>
      <c r="G230" s="14"/>
      <c r="H230" s="14"/>
      <c r="I230" s="14"/>
      <c r="J230" s="14"/>
      <c r="K230" s="14"/>
      <c r="L230" s="14"/>
      <c r="M230" s="14"/>
      <c r="N230" s="14"/>
      <c r="O230" s="14"/>
      <c r="P230" s="14"/>
      <c r="Q230" s="14"/>
      <c r="R230" s="18"/>
      <c r="S230" s="18"/>
      <c r="T230" s="93"/>
      <c r="U230" s="20"/>
      <c r="V230" s="14"/>
      <c r="W230" s="14"/>
      <c r="X230" s="14"/>
      <c r="Y230" s="14"/>
      <c r="Z230" s="14"/>
      <c r="AA230" s="14"/>
      <c r="AB230" s="14"/>
      <c r="AC230" s="14"/>
      <c r="AD230" s="14"/>
      <c r="AE230" s="14"/>
      <c r="AF230" s="14"/>
      <c r="AG230" s="14"/>
      <c r="AH230" s="14"/>
      <c r="AI230" s="14"/>
      <c r="AJ230" s="14"/>
      <c r="AK230" s="14"/>
      <c r="AL230" s="14"/>
      <c r="AM230" s="14"/>
      <c r="AN230" s="14"/>
    </row>
    <row r="231" ht="15.75" customHeight="1">
      <c r="A231" s="14"/>
      <c r="B231" s="14"/>
      <c r="C231" s="14"/>
      <c r="D231" s="14"/>
      <c r="E231" s="14"/>
      <c r="F231" s="14"/>
      <c r="G231" s="14"/>
      <c r="H231" s="14"/>
      <c r="I231" s="14"/>
      <c r="J231" s="14"/>
      <c r="K231" s="14"/>
      <c r="L231" s="14"/>
      <c r="M231" s="14"/>
      <c r="N231" s="14"/>
      <c r="O231" s="14"/>
      <c r="P231" s="14"/>
      <c r="Q231" s="14"/>
      <c r="R231" s="18"/>
      <c r="S231" s="18"/>
      <c r="T231" s="93"/>
      <c r="U231" s="20"/>
      <c r="V231" s="14"/>
      <c r="W231" s="14"/>
      <c r="X231" s="14"/>
      <c r="Y231" s="14"/>
      <c r="Z231" s="14"/>
      <c r="AA231" s="14"/>
      <c r="AB231" s="14"/>
      <c r="AC231" s="14"/>
      <c r="AD231" s="14"/>
      <c r="AE231" s="14"/>
      <c r="AF231" s="14"/>
      <c r="AG231" s="14"/>
      <c r="AH231" s="14"/>
      <c r="AI231" s="14"/>
      <c r="AJ231" s="14"/>
      <c r="AK231" s="14"/>
      <c r="AL231" s="14"/>
      <c r="AM231" s="14"/>
      <c r="AN231" s="14"/>
    </row>
    <row r="232" ht="15.75" customHeight="1">
      <c r="A232" s="14"/>
      <c r="B232" s="14"/>
      <c r="C232" s="14"/>
      <c r="D232" s="14"/>
      <c r="E232" s="14"/>
      <c r="F232" s="14"/>
      <c r="G232" s="14"/>
      <c r="H232" s="14"/>
      <c r="I232" s="14"/>
      <c r="J232" s="14"/>
      <c r="K232" s="14"/>
      <c r="L232" s="14"/>
      <c r="M232" s="14"/>
      <c r="N232" s="14"/>
      <c r="O232" s="14"/>
      <c r="P232" s="14"/>
      <c r="Q232" s="14"/>
      <c r="R232" s="18"/>
      <c r="S232" s="18"/>
      <c r="T232" s="93"/>
      <c r="U232" s="20"/>
      <c r="V232" s="14"/>
      <c r="W232" s="14"/>
      <c r="X232" s="14"/>
      <c r="Y232" s="14"/>
      <c r="Z232" s="14"/>
      <c r="AA232" s="14"/>
      <c r="AB232" s="14"/>
      <c r="AC232" s="14"/>
      <c r="AD232" s="14"/>
      <c r="AE232" s="14"/>
      <c r="AF232" s="14"/>
      <c r="AG232" s="14"/>
      <c r="AH232" s="14"/>
      <c r="AI232" s="14"/>
      <c r="AJ232" s="14"/>
      <c r="AK232" s="14"/>
      <c r="AL232" s="14"/>
      <c r="AM232" s="14"/>
      <c r="AN232" s="14"/>
    </row>
    <row r="233" ht="15.75" customHeight="1">
      <c r="A233" s="14"/>
      <c r="B233" s="14"/>
      <c r="C233" s="14"/>
      <c r="D233" s="14"/>
      <c r="E233" s="14"/>
      <c r="F233" s="14"/>
      <c r="G233" s="14"/>
      <c r="H233" s="14"/>
      <c r="I233" s="14"/>
      <c r="J233" s="14"/>
      <c r="K233" s="14"/>
      <c r="L233" s="14"/>
      <c r="M233" s="14"/>
      <c r="N233" s="14"/>
      <c r="O233" s="14"/>
      <c r="P233" s="14"/>
      <c r="Q233" s="14"/>
      <c r="R233" s="18"/>
      <c r="S233" s="18"/>
      <c r="T233" s="93"/>
      <c r="U233" s="20"/>
      <c r="V233" s="14"/>
      <c r="W233" s="14"/>
      <c r="X233" s="14"/>
      <c r="Y233" s="14"/>
      <c r="Z233" s="14"/>
      <c r="AA233" s="14"/>
      <c r="AB233" s="14"/>
      <c r="AC233" s="14"/>
      <c r="AD233" s="14"/>
      <c r="AE233" s="14"/>
      <c r="AF233" s="14"/>
      <c r="AG233" s="14"/>
      <c r="AH233" s="14"/>
      <c r="AI233" s="14"/>
      <c r="AJ233" s="14"/>
      <c r="AK233" s="14"/>
      <c r="AL233" s="14"/>
      <c r="AM233" s="14"/>
      <c r="AN233" s="14"/>
    </row>
    <row r="234" ht="15.75" customHeight="1">
      <c r="A234" s="14"/>
      <c r="B234" s="14"/>
      <c r="C234" s="14"/>
      <c r="D234" s="14"/>
      <c r="E234" s="14"/>
      <c r="F234" s="14"/>
      <c r="G234" s="14"/>
      <c r="H234" s="14"/>
      <c r="I234" s="14"/>
      <c r="J234" s="14"/>
      <c r="K234" s="14"/>
      <c r="L234" s="14"/>
      <c r="M234" s="14"/>
      <c r="N234" s="14"/>
      <c r="O234" s="14"/>
      <c r="P234" s="14"/>
      <c r="Q234" s="14"/>
      <c r="R234" s="18"/>
      <c r="S234" s="18"/>
      <c r="T234" s="93"/>
      <c r="U234" s="20"/>
      <c r="V234" s="14"/>
      <c r="W234" s="14"/>
      <c r="X234" s="14"/>
      <c r="Y234" s="14"/>
      <c r="Z234" s="14"/>
      <c r="AA234" s="14"/>
      <c r="AB234" s="14"/>
      <c r="AC234" s="14"/>
      <c r="AD234" s="14"/>
      <c r="AE234" s="14"/>
      <c r="AF234" s="14"/>
      <c r="AG234" s="14"/>
      <c r="AH234" s="14"/>
      <c r="AI234" s="14"/>
      <c r="AJ234" s="14"/>
      <c r="AK234" s="14"/>
      <c r="AL234" s="14"/>
      <c r="AM234" s="14"/>
      <c r="AN234" s="14"/>
    </row>
    <row r="235" ht="15.75" customHeight="1">
      <c r="A235" s="14"/>
      <c r="B235" s="14"/>
      <c r="C235" s="14"/>
      <c r="D235" s="14"/>
      <c r="E235" s="14"/>
      <c r="F235" s="14"/>
      <c r="G235" s="14"/>
      <c r="H235" s="14"/>
      <c r="I235" s="14"/>
      <c r="J235" s="14"/>
      <c r="K235" s="14"/>
      <c r="L235" s="14"/>
      <c r="M235" s="14"/>
      <c r="N235" s="14"/>
      <c r="O235" s="14"/>
      <c r="P235" s="14"/>
      <c r="Q235" s="14"/>
      <c r="R235" s="18"/>
      <c r="S235" s="18"/>
      <c r="T235" s="93"/>
      <c r="U235" s="20"/>
      <c r="V235" s="14"/>
      <c r="W235" s="14"/>
      <c r="X235" s="14"/>
      <c r="Y235" s="14"/>
      <c r="Z235" s="14"/>
      <c r="AA235" s="14"/>
      <c r="AB235" s="14"/>
      <c r="AC235" s="14"/>
      <c r="AD235" s="14"/>
      <c r="AE235" s="14"/>
      <c r="AF235" s="14"/>
      <c r="AG235" s="14"/>
      <c r="AH235" s="14"/>
      <c r="AI235" s="14"/>
      <c r="AJ235" s="14"/>
      <c r="AK235" s="14"/>
      <c r="AL235" s="14"/>
      <c r="AM235" s="14"/>
      <c r="AN235" s="14"/>
    </row>
    <row r="236" ht="15.75" customHeight="1">
      <c r="A236" s="14"/>
      <c r="B236" s="14"/>
      <c r="C236" s="14"/>
      <c r="D236" s="14"/>
      <c r="E236" s="14"/>
      <c r="F236" s="14"/>
      <c r="G236" s="14"/>
      <c r="H236" s="14"/>
      <c r="I236" s="14"/>
      <c r="J236" s="14"/>
      <c r="K236" s="14"/>
      <c r="L236" s="14"/>
      <c r="M236" s="14"/>
      <c r="N236" s="14"/>
      <c r="O236" s="14"/>
      <c r="P236" s="14"/>
      <c r="Q236" s="14"/>
      <c r="R236" s="18"/>
      <c r="S236" s="18"/>
      <c r="T236" s="93"/>
      <c r="U236" s="20"/>
      <c r="V236" s="14"/>
      <c r="W236" s="14"/>
      <c r="X236" s="14"/>
      <c r="Y236" s="14"/>
      <c r="Z236" s="14"/>
      <c r="AA236" s="14"/>
      <c r="AB236" s="14"/>
      <c r="AC236" s="14"/>
      <c r="AD236" s="14"/>
      <c r="AE236" s="14"/>
      <c r="AF236" s="14"/>
      <c r="AG236" s="14"/>
      <c r="AH236" s="14"/>
      <c r="AI236" s="14"/>
      <c r="AJ236" s="14"/>
      <c r="AK236" s="14"/>
      <c r="AL236" s="14"/>
      <c r="AM236" s="14"/>
      <c r="AN236" s="14"/>
    </row>
    <row r="237" ht="15.75" customHeight="1">
      <c r="A237" s="14"/>
      <c r="B237" s="14"/>
      <c r="C237" s="14"/>
      <c r="D237" s="14"/>
      <c r="E237" s="14"/>
      <c r="F237" s="14"/>
      <c r="G237" s="14"/>
      <c r="H237" s="14"/>
      <c r="I237" s="14"/>
      <c r="J237" s="14"/>
      <c r="K237" s="14"/>
      <c r="L237" s="14"/>
      <c r="M237" s="14"/>
      <c r="N237" s="14"/>
      <c r="O237" s="14"/>
      <c r="P237" s="14"/>
      <c r="Q237" s="14"/>
      <c r="R237" s="18"/>
      <c r="S237" s="18"/>
      <c r="T237" s="93"/>
      <c r="U237" s="20"/>
      <c r="V237" s="14"/>
      <c r="W237" s="14"/>
      <c r="X237" s="14"/>
      <c r="Y237" s="14"/>
      <c r="Z237" s="14"/>
      <c r="AA237" s="14"/>
      <c r="AB237" s="14"/>
      <c r="AC237" s="14"/>
      <c r="AD237" s="14"/>
      <c r="AE237" s="14"/>
      <c r="AF237" s="14"/>
      <c r="AG237" s="14"/>
      <c r="AH237" s="14"/>
      <c r="AI237" s="14"/>
      <c r="AJ237" s="14"/>
      <c r="AK237" s="14"/>
      <c r="AL237" s="14"/>
      <c r="AM237" s="14"/>
      <c r="AN237" s="14"/>
    </row>
    <row r="238" ht="15.75" customHeight="1">
      <c r="A238" s="14"/>
      <c r="B238" s="14"/>
      <c r="C238" s="14"/>
      <c r="D238" s="14"/>
      <c r="E238" s="14"/>
      <c r="F238" s="14"/>
      <c r="G238" s="14"/>
      <c r="H238" s="14"/>
      <c r="I238" s="14"/>
      <c r="J238" s="14"/>
      <c r="K238" s="14"/>
      <c r="L238" s="14"/>
      <c r="M238" s="14"/>
      <c r="N238" s="14"/>
      <c r="O238" s="14"/>
      <c r="P238" s="14"/>
      <c r="Q238" s="14"/>
      <c r="R238" s="18"/>
      <c r="S238" s="18"/>
      <c r="T238" s="93"/>
      <c r="U238" s="20"/>
      <c r="V238" s="14"/>
      <c r="W238" s="14"/>
      <c r="X238" s="14"/>
      <c r="Y238" s="14"/>
      <c r="Z238" s="14"/>
      <c r="AA238" s="14"/>
      <c r="AB238" s="14"/>
      <c r="AC238" s="14"/>
      <c r="AD238" s="14"/>
      <c r="AE238" s="14"/>
      <c r="AF238" s="14"/>
      <c r="AG238" s="14"/>
      <c r="AH238" s="14"/>
      <c r="AI238" s="14"/>
      <c r="AJ238" s="14"/>
      <c r="AK238" s="14"/>
      <c r="AL238" s="14"/>
      <c r="AM238" s="14"/>
      <c r="AN238" s="14"/>
    </row>
    <row r="239" ht="15.75" customHeight="1">
      <c r="A239" s="14"/>
      <c r="B239" s="14"/>
      <c r="C239" s="14"/>
      <c r="D239" s="14"/>
      <c r="E239" s="14"/>
      <c r="F239" s="14"/>
      <c r="G239" s="14"/>
      <c r="H239" s="14"/>
      <c r="I239" s="14"/>
      <c r="J239" s="14"/>
      <c r="K239" s="14"/>
      <c r="L239" s="14"/>
      <c r="M239" s="14"/>
      <c r="N239" s="14"/>
      <c r="O239" s="14"/>
      <c r="P239" s="14"/>
      <c r="Q239" s="14"/>
      <c r="R239" s="18"/>
      <c r="S239" s="18"/>
      <c r="T239" s="93"/>
      <c r="U239" s="20"/>
      <c r="V239" s="14"/>
      <c r="W239" s="14"/>
      <c r="X239" s="14"/>
      <c r="Y239" s="14"/>
      <c r="Z239" s="14"/>
      <c r="AA239" s="14"/>
      <c r="AB239" s="14"/>
      <c r="AC239" s="14"/>
      <c r="AD239" s="14"/>
      <c r="AE239" s="14"/>
      <c r="AF239" s="14"/>
      <c r="AG239" s="14"/>
      <c r="AH239" s="14"/>
      <c r="AI239" s="14"/>
      <c r="AJ239" s="14"/>
      <c r="AK239" s="14"/>
      <c r="AL239" s="14"/>
      <c r="AM239" s="14"/>
      <c r="AN239" s="14"/>
    </row>
    <row r="240" ht="15.75" customHeight="1">
      <c r="A240" s="14"/>
      <c r="B240" s="14"/>
      <c r="C240" s="14"/>
      <c r="D240" s="14"/>
      <c r="E240" s="14"/>
      <c r="F240" s="14"/>
      <c r="G240" s="14"/>
      <c r="H240" s="14"/>
      <c r="I240" s="14"/>
      <c r="J240" s="14"/>
      <c r="K240" s="14"/>
      <c r="L240" s="14"/>
      <c r="M240" s="14"/>
      <c r="N240" s="14"/>
      <c r="O240" s="14"/>
      <c r="P240" s="14"/>
      <c r="Q240" s="14"/>
      <c r="R240" s="18"/>
      <c r="S240" s="18"/>
      <c r="T240" s="93"/>
      <c r="U240" s="20"/>
      <c r="V240" s="14"/>
      <c r="W240" s="14"/>
      <c r="X240" s="14"/>
      <c r="Y240" s="14"/>
      <c r="Z240" s="14"/>
      <c r="AA240" s="14"/>
      <c r="AB240" s="14"/>
      <c r="AC240" s="14"/>
      <c r="AD240" s="14"/>
      <c r="AE240" s="14"/>
      <c r="AF240" s="14"/>
      <c r="AG240" s="14"/>
      <c r="AH240" s="14"/>
      <c r="AI240" s="14"/>
      <c r="AJ240" s="14"/>
      <c r="AK240" s="14"/>
      <c r="AL240" s="14"/>
      <c r="AM240" s="14"/>
      <c r="AN240" s="14"/>
    </row>
    <row r="241" ht="15.75" customHeight="1">
      <c r="A241" s="14"/>
      <c r="B241" s="14"/>
      <c r="C241" s="14"/>
      <c r="D241" s="14"/>
      <c r="E241" s="14"/>
      <c r="F241" s="14"/>
      <c r="G241" s="14"/>
      <c r="H241" s="14"/>
      <c r="I241" s="14"/>
      <c r="J241" s="14"/>
      <c r="K241" s="14"/>
      <c r="L241" s="14"/>
      <c r="M241" s="14"/>
      <c r="N241" s="14"/>
      <c r="O241" s="14"/>
      <c r="P241" s="14"/>
      <c r="Q241" s="14"/>
      <c r="R241" s="18"/>
      <c r="S241" s="18"/>
      <c r="T241" s="93"/>
      <c r="U241" s="20"/>
      <c r="V241" s="14"/>
      <c r="W241" s="14"/>
      <c r="X241" s="14"/>
      <c r="Y241" s="14"/>
      <c r="Z241" s="14"/>
      <c r="AA241" s="14"/>
      <c r="AB241" s="14"/>
      <c r="AC241" s="14"/>
      <c r="AD241" s="14"/>
      <c r="AE241" s="14"/>
      <c r="AF241" s="14"/>
      <c r="AG241" s="14"/>
      <c r="AH241" s="14"/>
      <c r="AI241" s="14"/>
      <c r="AJ241" s="14"/>
      <c r="AK241" s="14"/>
      <c r="AL241" s="14"/>
      <c r="AM241" s="14"/>
      <c r="AN241" s="14"/>
    </row>
    <row r="242" ht="15.75" customHeight="1">
      <c r="A242" s="14"/>
      <c r="B242" s="14"/>
      <c r="C242" s="14"/>
      <c r="D242" s="14"/>
      <c r="E242" s="14"/>
      <c r="F242" s="14"/>
      <c r="G242" s="14"/>
      <c r="H242" s="14"/>
      <c r="I242" s="14"/>
      <c r="J242" s="14"/>
      <c r="K242" s="14"/>
      <c r="L242" s="14"/>
      <c r="M242" s="14"/>
      <c r="N242" s="14"/>
      <c r="O242" s="14"/>
      <c r="P242" s="14"/>
      <c r="Q242" s="14"/>
      <c r="R242" s="18"/>
      <c r="S242" s="18"/>
      <c r="T242" s="93"/>
      <c r="U242" s="20"/>
      <c r="V242" s="14"/>
      <c r="W242" s="14"/>
      <c r="X242" s="14"/>
      <c r="Y242" s="14"/>
      <c r="Z242" s="14"/>
      <c r="AA242" s="14"/>
      <c r="AB242" s="14"/>
      <c r="AC242" s="14"/>
      <c r="AD242" s="14"/>
      <c r="AE242" s="14"/>
      <c r="AF242" s="14"/>
      <c r="AG242" s="14"/>
      <c r="AH242" s="14"/>
      <c r="AI242" s="14"/>
      <c r="AJ242" s="14"/>
      <c r="AK242" s="14"/>
      <c r="AL242" s="14"/>
      <c r="AM242" s="14"/>
      <c r="AN242" s="14"/>
    </row>
    <row r="243" ht="15.75" customHeight="1">
      <c r="A243" s="14"/>
      <c r="B243" s="14"/>
      <c r="C243" s="14"/>
      <c r="D243" s="14"/>
      <c r="E243" s="14"/>
      <c r="F243" s="14"/>
      <c r="G243" s="14"/>
      <c r="H243" s="14"/>
      <c r="I243" s="14"/>
      <c r="J243" s="14"/>
      <c r="K243" s="14"/>
      <c r="L243" s="14"/>
      <c r="M243" s="14"/>
      <c r="N243" s="14"/>
      <c r="O243" s="14"/>
      <c r="P243" s="14"/>
      <c r="Q243" s="14"/>
      <c r="R243" s="18"/>
      <c r="S243" s="18"/>
      <c r="T243" s="93"/>
      <c r="U243" s="20"/>
      <c r="V243" s="14"/>
      <c r="W243" s="14"/>
      <c r="X243" s="14"/>
      <c r="Y243" s="14"/>
      <c r="Z243" s="14"/>
      <c r="AA243" s="14"/>
      <c r="AB243" s="14"/>
      <c r="AC243" s="14"/>
      <c r="AD243" s="14"/>
      <c r="AE243" s="14"/>
      <c r="AF243" s="14"/>
      <c r="AG243" s="14"/>
      <c r="AH243" s="14"/>
      <c r="AI243" s="14"/>
      <c r="AJ243" s="14"/>
      <c r="AK243" s="14"/>
      <c r="AL243" s="14"/>
      <c r="AM243" s="14"/>
      <c r="AN243" s="14"/>
    </row>
    <row r="244" ht="15.75" customHeight="1">
      <c r="A244" s="14"/>
      <c r="B244" s="14"/>
      <c r="C244" s="14"/>
      <c r="D244" s="14"/>
      <c r="E244" s="14"/>
      <c r="F244" s="14"/>
      <c r="G244" s="14"/>
      <c r="H244" s="14"/>
      <c r="I244" s="14"/>
      <c r="J244" s="14"/>
      <c r="K244" s="14"/>
      <c r="L244" s="14"/>
      <c r="M244" s="14"/>
      <c r="N244" s="14"/>
      <c r="O244" s="14"/>
      <c r="P244" s="14"/>
      <c r="Q244" s="14"/>
      <c r="R244" s="18"/>
      <c r="S244" s="18"/>
      <c r="T244" s="93"/>
      <c r="U244" s="20"/>
      <c r="V244" s="14"/>
      <c r="W244" s="14"/>
      <c r="X244" s="14"/>
      <c r="Y244" s="14"/>
      <c r="Z244" s="14"/>
      <c r="AA244" s="14"/>
      <c r="AB244" s="14"/>
      <c r="AC244" s="14"/>
      <c r="AD244" s="14"/>
      <c r="AE244" s="14"/>
      <c r="AF244" s="14"/>
      <c r="AG244" s="14"/>
      <c r="AH244" s="14"/>
      <c r="AI244" s="14"/>
      <c r="AJ244" s="14"/>
      <c r="AK244" s="14"/>
      <c r="AL244" s="14"/>
      <c r="AM244" s="14"/>
      <c r="AN244" s="14"/>
    </row>
    <row r="245" ht="15.75" customHeight="1">
      <c r="A245" s="14"/>
      <c r="B245" s="14"/>
      <c r="C245" s="14"/>
      <c r="D245" s="14"/>
      <c r="E245" s="14"/>
      <c r="F245" s="14"/>
      <c r="G245" s="14"/>
      <c r="H245" s="14"/>
      <c r="I245" s="14"/>
      <c r="J245" s="14"/>
      <c r="K245" s="14"/>
      <c r="L245" s="14"/>
      <c r="M245" s="14"/>
      <c r="N245" s="14"/>
      <c r="O245" s="14"/>
      <c r="P245" s="14"/>
      <c r="Q245" s="14"/>
      <c r="R245" s="18"/>
      <c r="S245" s="18"/>
      <c r="T245" s="93"/>
      <c r="U245" s="20"/>
      <c r="V245" s="14"/>
      <c r="W245" s="14"/>
      <c r="X245" s="14"/>
      <c r="Y245" s="14"/>
      <c r="Z245" s="14"/>
      <c r="AA245" s="14"/>
      <c r="AB245" s="14"/>
      <c r="AC245" s="14"/>
      <c r="AD245" s="14"/>
      <c r="AE245" s="14"/>
      <c r="AF245" s="14"/>
      <c r="AG245" s="14"/>
      <c r="AH245" s="14"/>
      <c r="AI245" s="14"/>
      <c r="AJ245" s="14"/>
      <c r="AK245" s="14"/>
      <c r="AL245" s="14"/>
      <c r="AM245" s="14"/>
      <c r="AN245" s="14"/>
    </row>
    <row r="246" ht="15.75" customHeight="1">
      <c r="A246" s="14"/>
      <c r="B246" s="14"/>
      <c r="C246" s="14"/>
      <c r="D246" s="14"/>
      <c r="E246" s="14"/>
      <c r="F246" s="14"/>
      <c r="G246" s="14"/>
      <c r="H246" s="14"/>
      <c r="I246" s="14"/>
      <c r="J246" s="14"/>
      <c r="K246" s="14"/>
      <c r="L246" s="14"/>
      <c r="M246" s="14"/>
      <c r="N246" s="14"/>
      <c r="O246" s="14"/>
      <c r="P246" s="14"/>
      <c r="Q246" s="14"/>
      <c r="R246" s="18"/>
      <c r="S246" s="18"/>
      <c r="T246" s="93"/>
      <c r="U246" s="20"/>
      <c r="V246" s="14"/>
      <c r="W246" s="14"/>
      <c r="X246" s="14"/>
      <c r="Y246" s="14"/>
      <c r="Z246" s="14"/>
      <c r="AA246" s="14"/>
      <c r="AB246" s="14"/>
      <c r="AC246" s="14"/>
      <c r="AD246" s="14"/>
      <c r="AE246" s="14"/>
      <c r="AF246" s="14"/>
      <c r="AG246" s="14"/>
      <c r="AH246" s="14"/>
      <c r="AI246" s="14"/>
      <c r="AJ246" s="14"/>
      <c r="AK246" s="14"/>
      <c r="AL246" s="14"/>
      <c r="AM246" s="14"/>
      <c r="AN246" s="14"/>
    </row>
    <row r="247" ht="15.75" customHeight="1">
      <c r="A247" s="14"/>
      <c r="B247" s="14"/>
      <c r="C247" s="14"/>
      <c r="D247" s="14"/>
      <c r="E247" s="14"/>
      <c r="F247" s="14"/>
      <c r="G247" s="14"/>
      <c r="H247" s="14"/>
      <c r="I247" s="14"/>
      <c r="J247" s="14"/>
      <c r="K247" s="14"/>
      <c r="L247" s="14"/>
      <c r="M247" s="14"/>
      <c r="N247" s="14"/>
      <c r="O247" s="14"/>
      <c r="P247" s="14"/>
      <c r="Q247" s="14"/>
      <c r="R247" s="18"/>
      <c r="S247" s="18"/>
      <c r="T247" s="93"/>
      <c r="U247" s="20"/>
      <c r="V247" s="14"/>
      <c r="W247" s="14"/>
      <c r="X247" s="14"/>
      <c r="Y247" s="14"/>
      <c r="Z247" s="14"/>
      <c r="AA247" s="14"/>
      <c r="AB247" s="14"/>
      <c r="AC247" s="14"/>
      <c r="AD247" s="14"/>
      <c r="AE247" s="14"/>
      <c r="AF247" s="14"/>
      <c r="AG247" s="14"/>
      <c r="AH247" s="14"/>
      <c r="AI247" s="14"/>
      <c r="AJ247" s="14"/>
      <c r="AK247" s="14"/>
      <c r="AL247" s="14"/>
      <c r="AM247" s="14"/>
      <c r="AN247" s="14"/>
    </row>
    <row r="248" ht="15.75" customHeight="1">
      <c r="A248" s="14"/>
      <c r="B248" s="14"/>
      <c r="C248" s="14"/>
      <c r="D248" s="14"/>
      <c r="E248" s="14"/>
      <c r="F248" s="14"/>
      <c r="G248" s="14"/>
      <c r="H248" s="14"/>
      <c r="I248" s="14"/>
      <c r="J248" s="14"/>
      <c r="K248" s="14"/>
      <c r="L248" s="14"/>
      <c r="M248" s="14"/>
      <c r="N248" s="14"/>
      <c r="O248" s="14"/>
      <c r="P248" s="14"/>
      <c r="Q248" s="14"/>
      <c r="R248" s="18"/>
      <c r="S248" s="18"/>
      <c r="T248" s="93"/>
      <c r="U248" s="20"/>
      <c r="V248" s="14"/>
      <c r="W248" s="14"/>
      <c r="X248" s="14"/>
      <c r="Y248" s="14"/>
      <c r="Z248" s="14"/>
      <c r="AA248" s="14"/>
      <c r="AB248" s="14"/>
      <c r="AC248" s="14"/>
      <c r="AD248" s="14"/>
      <c r="AE248" s="14"/>
      <c r="AF248" s="14"/>
      <c r="AG248" s="14"/>
      <c r="AH248" s="14"/>
      <c r="AI248" s="14"/>
      <c r="AJ248" s="14"/>
      <c r="AK248" s="14"/>
      <c r="AL248" s="14"/>
      <c r="AM248" s="14"/>
      <c r="AN248" s="14"/>
    </row>
    <row r="249" ht="15.75" customHeight="1">
      <c r="A249" s="14"/>
      <c r="B249" s="14"/>
      <c r="C249" s="14"/>
      <c r="D249" s="14"/>
      <c r="E249" s="14"/>
      <c r="F249" s="14"/>
      <c r="G249" s="14"/>
      <c r="H249" s="14"/>
      <c r="I249" s="14"/>
      <c r="J249" s="14"/>
      <c r="K249" s="14"/>
      <c r="L249" s="14"/>
      <c r="M249" s="14"/>
      <c r="N249" s="14"/>
      <c r="O249" s="14"/>
      <c r="P249" s="14"/>
      <c r="Q249" s="14"/>
      <c r="R249" s="18"/>
      <c r="S249" s="18"/>
      <c r="T249" s="93"/>
      <c r="U249" s="20"/>
      <c r="V249" s="14"/>
      <c r="W249" s="14"/>
      <c r="X249" s="14"/>
      <c r="Y249" s="14"/>
      <c r="Z249" s="14"/>
      <c r="AA249" s="14"/>
      <c r="AB249" s="14"/>
      <c r="AC249" s="14"/>
      <c r="AD249" s="14"/>
      <c r="AE249" s="14"/>
      <c r="AF249" s="14"/>
      <c r="AG249" s="14"/>
      <c r="AH249" s="14"/>
      <c r="AI249" s="14"/>
      <c r="AJ249" s="14"/>
      <c r="AK249" s="14"/>
      <c r="AL249" s="14"/>
      <c r="AM249" s="14"/>
      <c r="AN249" s="14"/>
    </row>
    <row r="250" ht="15.75" customHeight="1">
      <c r="A250" s="14"/>
      <c r="B250" s="14"/>
      <c r="C250" s="14"/>
      <c r="D250" s="14"/>
      <c r="E250" s="14"/>
      <c r="F250" s="14"/>
      <c r="G250" s="14"/>
      <c r="H250" s="14"/>
      <c r="I250" s="14"/>
      <c r="J250" s="14"/>
      <c r="K250" s="14"/>
      <c r="L250" s="14"/>
      <c r="M250" s="14"/>
      <c r="N250" s="14"/>
      <c r="O250" s="14"/>
      <c r="P250" s="14"/>
      <c r="Q250" s="14"/>
      <c r="R250" s="18"/>
      <c r="S250" s="18"/>
      <c r="T250" s="93"/>
      <c r="U250" s="20"/>
      <c r="V250" s="14"/>
      <c r="W250" s="14"/>
      <c r="X250" s="14"/>
      <c r="Y250" s="14"/>
      <c r="Z250" s="14"/>
      <c r="AA250" s="14"/>
      <c r="AB250" s="14"/>
      <c r="AC250" s="14"/>
      <c r="AD250" s="14"/>
      <c r="AE250" s="14"/>
      <c r="AF250" s="14"/>
      <c r="AG250" s="14"/>
      <c r="AH250" s="14"/>
      <c r="AI250" s="14"/>
      <c r="AJ250" s="14"/>
      <c r="AK250" s="14"/>
      <c r="AL250" s="14"/>
      <c r="AM250" s="14"/>
      <c r="AN250" s="14"/>
    </row>
    <row r="251" ht="15.75" customHeight="1">
      <c r="A251" s="14"/>
      <c r="B251" s="14"/>
      <c r="C251" s="14"/>
      <c r="D251" s="14"/>
      <c r="E251" s="14"/>
      <c r="F251" s="14"/>
      <c r="G251" s="14"/>
      <c r="H251" s="14"/>
      <c r="I251" s="14"/>
      <c r="J251" s="14"/>
      <c r="K251" s="14"/>
      <c r="L251" s="14"/>
      <c r="M251" s="14"/>
      <c r="N251" s="14"/>
      <c r="O251" s="14"/>
      <c r="P251" s="14"/>
      <c r="Q251" s="14"/>
      <c r="R251" s="18"/>
      <c r="S251" s="18"/>
      <c r="T251" s="93"/>
      <c r="U251" s="20"/>
      <c r="V251" s="14"/>
      <c r="W251" s="14"/>
      <c r="X251" s="14"/>
      <c r="Y251" s="14"/>
      <c r="Z251" s="14"/>
      <c r="AA251" s="14"/>
      <c r="AB251" s="14"/>
      <c r="AC251" s="14"/>
      <c r="AD251" s="14"/>
      <c r="AE251" s="14"/>
      <c r="AF251" s="14"/>
      <c r="AG251" s="14"/>
      <c r="AH251" s="14"/>
      <c r="AI251" s="14"/>
      <c r="AJ251" s="14"/>
      <c r="AK251" s="14"/>
      <c r="AL251" s="14"/>
      <c r="AM251" s="14"/>
      <c r="AN251" s="14"/>
    </row>
    <row r="252" ht="15.75" customHeight="1">
      <c r="A252" s="14"/>
      <c r="B252" s="14"/>
      <c r="C252" s="14"/>
      <c r="D252" s="14"/>
      <c r="E252" s="14"/>
      <c r="F252" s="14"/>
      <c r="G252" s="14"/>
      <c r="H252" s="14"/>
      <c r="I252" s="14"/>
      <c r="J252" s="14"/>
      <c r="K252" s="14"/>
      <c r="L252" s="14"/>
      <c r="M252" s="14"/>
      <c r="N252" s="14"/>
      <c r="O252" s="14"/>
      <c r="P252" s="14"/>
      <c r="Q252" s="14"/>
      <c r="R252" s="18"/>
      <c r="S252" s="18"/>
      <c r="T252" s="93"/>
      <c r="U252" s="20"/>
      <c r="V252" s="14"/>
      <c r="W252" s="14"/>
      <c r="X252" s="14"/>
      <c r="Y252" s="14"/>
      <c r="Z252" s="14"/>
      <c r="AA252" s="14"/>
      <c r="AB252" s="14"/>
      <c r="AC252" s="14"/>
      <c r="AD252" s="14"/>
      <c r="AE252" s="14"/>
      <c r="AF252" s="14"/>
      <c r="AG252" s="14"/>
      <c r="AH252" s="14"/>
      <c r="AI252" s="14"/>
      <c r="AJ252" s="14"/>
      <c r="AK252" s="14"/>
      <c r="AL252" s="14"/>
      <c r="AM252" s="14"/>
      <c r="AN252" s="14"/>
    </row>
    <row r="253" ht="15.75" customHeight="1">
      <c r="A253" s="14"/>
      <c r="B253" s="14"/>
      <c r="C253" s="14"/>
      <c r="D253" s="14"/>
      <c r="E253" s="14"/>
      <c r="F253" s="14"/>
      <c r="G253" s="14"/>
      <c r="H253" s="14"/>
      <c r="I253" s="14"/>
      <c r="J253" s="14"/>
      <c r="K253" s="14"/>
      <c r="L253" s="14"/>
      <c r="M253" s="14"/>
      <c r="N253" s="14"/>
      <c r="O253" s="14"/>
      <c r="P253" s="14"/>
      <c r="Q253" s="14"/>
      <c r="R253" s="18"/>
      <c r="S253" s="18"/>
      <c r="T253" s="93"/>
      <c r="U253" s="20"/>
      <c r="V253" s="14"/>
      <c r="W253" s="14"/>
      <c r="X253" s="14"/>
      <c r="Y253" s="14"/>
      <c r="Z253" s="14"/>
      <c r="AA253" s="14"/>
      <c r="AB253" s="14"/>
      <c r="AC253" s="14"/>
      <c r="AD253" s="14"/>
      <c r="AE253" s="14"/>
      <c r="AF253" s="14"/>
      <c r="AG253" s="14"/>
      <c r="AH253" s="14"/>
      <c r="AI253" s="14"/>
      <c r="AJ253" s="14"/>
      <c r="AK253" s="14"/>
      <c r="AL253" s="14"/>
      <c r="AM253" s="14"/>
      <c r="AN253" s="14"/>
    </row>
    <row r="254" ht="15.75" customHeight="1">
      <c r="A254" s="14"/>
      <c r="B254" s="14"/>
      <c r="C254" s="14"/>
      <c r="D254" s="14"/>
      <c r="E254" s="14"/>
      <c r="F254" s="14"/>
      <c r="G254" s="14"/>
      <c r="H254" s="14"/>
      <c r="I254" s="14"/>
      <c r="J254" s="14"/>
      <c r="K254" s="14"/>
      <c r="L254" s="14"/>
      <c r="M254" s="14"/>
      <c r="N254" s="14"/>
      <c r="O254" s="14"/>
      <c r="P254" s="14"/>
      <c r="Q254" s="14"/>
      <c r="R254" s="18"/>
      <c r="S254" s="18"/>
      <c r="T254" s="93"/>
      <c r="U254" s="20"/>
      <c r="V254" s="14"/>
      <c r="W254" s="14"/>
      <c r="X254" s="14"/>
      <c r="Y254" s="14"/>
      <c r="Z254" s="14"/>
      <c r="AA254" s="14"/>
      <c r="AB254" s="14"/>
      <c r="AC254" s="14"/>
      <c r="AD254" s="14"/>
      <c r="AE254" s="14"/>
      <c r="AF254" s="14"/>
      <c r="AG254" s="14"/>
      <c r="AH254" s="14"/>
      <c r="AI254" s="14"/>
      <c r="AJ254" s="14"/>
      <c r="AK254" s="14"/>
      <c r="AL254" s="14"/>
      <c r="AM254" s="14"/>
      <c r="AN254" s="14"/>
    </row>
    <row r="255" ht="15.75" customHeight="1">
      <c r="A255" s="14"/>
      <c r="B255" s="14"/>
      <c r="C255" s="14"/>
      <c r="D255" s="14"/>
      <c r="E255" s="14"/>
      <c r="F255" s="14"/>
      <c r="G255" s="14"/>
      <c r="H255" s="14"/>
      <c r="I255" s="14"/>
      <c r="J255" s="14"/>
      <c r="K255" s="14"/>
      <c r="L255" s="14"/>
      <c r="M255" s="14"/>
      <c r="N255" s="14"/>
      <c r="O255" s="14"/>
      <c r="P255" s="14"/>
      <c r="Q255" s="14"/>
      <c r="R255" s="18"/>
      <c r="S255" s="18"/>
      <c r="T255" s="93"/>
      <c r="U255" s="20"/>
      <c r="V255" s="14"/>
      <c r="W255" s="14"/>
      <c r="X255" s="14"/>
      <c r="Y255" s="14"/>
      <c r="Z255" s="14"/>
      <c r="AA255" s="14"/>
      <c r="AB255" s="14"/>
      <c r="AC255" s="14"/>
      <c r="AD255" s="14"/>
      <c r="AE255" s="14"/>
      <c r="AF255" s="14"/>
      <c r="AG255" s="14"/>
      <c r="AH255" s="14"/>
      <c r="AI255" s="14"/>
      <c r="AJ255" s="14"/>
      <c r="AK255" s="14"/>
      <c r="AL255" s="14"/>
      <c r="AM255" s="14"/>
      <c r="AN255" s="14"/>
    </row>
    <row r="256" ht="15.75" customHeight="1">
      <c r="A256" s="14"/>
      <c r="B256" s="14"/>
      <c r="C256" s="14"/>
      <c r="D256" s="14"/>
      <c r="E256" s="14"/>
      <c r="F256" s="14"/>
      <c r="G256" s="14"/>
      <c r="H256" s="14"/>
      <c r="I256" s="14"/>
      <c r="J256" s="14"/>
      <c r="K256" s="14"/>
      <c r="L256" s="14"/>
      <c r="M256" s="14"/>
      <c r="N256" s="14"/>
      <c r="O256" s="14"/>
      <c r="P256" s="14"/>
      <c r="Q256" s="14"/>
      <c r="R256" s="18"/>
      <c r="S256" s="18"/>
      <c r="T256" s="93"/>
      <c r="U256" s="20"/>
      <c r="V256" s="14"/>
      <c r="W256" s="14"/>
      <c r="X256" s="14"/>
      <c r="Y256" s="14"/>
      <c r="Z256" s="14"/>
      <c r="AA256" s="14"/>
      <c r="AB256" s="14"/>
      <c r="AC256" s="14"/>
      <c r="AD256" s="14"/>
      <c r="AE256" s="14"/>
      <c r="AF256" s="14"/>
      <c r="AG256" s="14"/>
      <c r="AH256" s="14"/>
      <c r="AI256" s="14"/>
      <c r="AJ256" s="14"/>
      <c r="AK256" s="14"/>
      <c r="AL256" s="14"/>
      <c r="AM256" s="14"/>
      <c r="AN256" s="14"/>
    </row>
    <row r="257" ht="15.75" customHeight="1">
      <c r="A257" s="14"/>
      <c r="B257" s="14"/>
      <c r="C257" s="14"/>
      <c r="D257" s="14"/>
      <c r="E257" s="14"/>
      <c r="F257" s="14"/>
      <c r="G257" s="14"/>
      <c r="H257" s="14"/>
      <c r="I257" s="14"/>
      <c r="J257" s="14"/>
      <c r="K257" s="14"/>
      <c r="L257" s="14"/>
      <c r="M257" s="14"/>
      <c r="N257" s="14"/>
      <c r="O257" s="14"/>
      <c r="P257" s="14"/>
      <c r="Q257" s="14"/>
      <c r="R257" s="18"/>
      <c r="S257" s="18"/>
      <c r="T257" s="93"/>
      <c r="U257" s="20"/>
      <c r="V257" s="14"/>
      <c r="W257" s="14"/>
      <c r="X257" s="14"/>
      <c r="Y257" s="14"/>
      <c r="Z257" s="14"/>
      <c r="AA257" s="14"/>
      <c r="AB257" s="14"/>
      <c r="AC257" s="14"/>
      <c r="AD257" s="14"/>
      <c r="AE257" s="14"/>
      <c r="AF257" s="14"/>
      <c r="AG257" s="14"/>
      <c r="AH257" s="14"/>
      <c r="AI257" s="14"/>
      <c r="AJ257" s="14"/>
      <c r="AK257" s="14"/>
      <c r="AL257" s="14"/>
      <c r="AM257" s="14"/>
      <c r="AN257" s="14"/>
    </row>
    <row r="258" ht="15.75" customHeight="1">
      <c r="A258" s="14"/>
      <c r="B258" s="14"/>
      <c r="C258" s="14"/>
      <c r="D258" s="14"/>
      <c r="E258" s="14"/>
      <c r="F258" s="14"/>
      <c r="G258" s="14"/>
      <c r="H258" s="14"/>
      <c r="I258" s="14"/>
      <c r="J258" s="14"/>
      <c r="K258" s="14"/>
      <c r="L258" s="14"/>
      <c r="M258" s="14"/>
      <c r="N258" s="14"/>
      <c r="O258" s="14"/>
      <c r="P258" s="14"/>
      <c r="Q258" s="14"/>
      <c r="R258" s="18"/>
      <c r="S258" s="18"/>
      <c r="T258" s="93"/>
      <c r="U258" s="20"/>
      <c r="V258" s="14"/>
      <c r="W258" s="14"/>
      <c r="X258" s="14"/>
      <c r="Y258" s="14"/>
      <c r="Z258" s="14"/>
      <c r="AA258" s="14"/>
      <c r="AB258" s="14"/>
      <c r="AC258" s="14"/>
      <c r="AD258" s="14"/>
      <c r="AE258" s="14"/>
      <c r="AF258" s="14"/>
      <c r="AG258" s="14"/>
      <c r="AH258" s="14"/>
      <c r="AI258" s="14"/>
      <c r="AJ258" s="14"/>
      <c r="AK258" s="14"/>
      <c r="AL258" s="14"/>
      <c r="AM258" s="14"/>
      <c r="AN258" s="14"/>
    </row>
    <row r="259" ht="15.75" customHeight="1">
      <c r="A259" s="14"/>
      <c r="B259" s="14"/>
      <c r="C259" s="14"/>
      <c r="D259" s="14"/>
      <c r="E259" s="14"/>
      <c r="F259" s="14"/>
      <c r="G259" s="14"/>
      <c r="H259" s="14"/>
      <c r="I259" s="14"/>
      <c r="J259" s="14"/>
      <c r="K259" s="14"/>
      <c r="L259" s="14"/>
      <c r="M259" s="14"/>
      <c r="N259" s="14"/>
      <c r="O259" s="14"/>
      <c r="P259" s="14"/>
      <c r="Q259" s="14"/>
      <c r="R259" s="18"/>
      <c r="S259" s="18"/>
      <c r="T259" s="93"/>
      <c r="U259" s="20"/>
      <c r="V259" s="14"/>
      <c r="W259" s="14"/>
      <c r="X259" s="14"/>
      <c r="Y259" s="14"/>
      <c r="Z259" s="14"/>
      <c r="AA259" s="14"/>
      <c r="AB259" s="14"/>
      <c r="AC259" s="14"/>
      <c r="AD259" s="14"/>
      <c r="AE259" s="14"/>
      <c r="AF259" s="14"/>
      <c r="AG259" s="14"/>
      <c r="AH259" s="14"/>
      <c r="AI259" s="14"/>
      <c r="AJ259" s="14"/>
      <c r="AK259" s="14"/>
      <c r="AL259" s="14"/>
      <c r="AM259" s="14"/>
      <c r="AN259" s="14"/>
    </row>
    <row r="260" ht="15.75" customHeight="1">
      <c r="A260" s="14"/>
      <c r="B260" s="14"/>
      <c r="C260" s="14"/>
      <c r="D260" s="14"/>
      <c r="E260" s="14"/>
      <c r="F260" s="14"/>
      <c r="G260" s="14"/>
      <c r="H260" s="14"/>
      <c r="I260" s="14"/>
      <c r="J260" s="14"/>
      <c r="K260" s="14"/>
      <c r="L260" s="14"/>
      <c r="M260" s="14"/>
      <c r="N260" s="14"/>
      <c r="O260" s="14"/>
      <c r="P260" s="14"/>
      <c r="Q260" s="14"/>
      <c r="R260" s="18"/>
      <c r="S260" s="18"/>
      <c r="T260" s="93"/>
      <c r="U260" s="20"/>
      <c r="V260" s="14"/>
      <c r="W260" s="14"/>
      <c r="X260" s="14"/>
      <c r="Y260" s="14"/>
      <c r="Z260" s="14"/>
      <c r="AA260" s="14"/>
      <c r="AB260" s="14"/>
      <c r="AC260" s="14"/>
      <c r="AD260" s="14"/>
      <c r="AE260" s="14"/>
      <c r="AF260" s="14"/>
      <c r="AG260" s="14"/>
      <c r="AH260" s="14"/>
      <c r="AI260" s="14"/>
      <c r="AJ260" s="14"/>
      <c r="AK260" s="14"/>
      <c r="AL260" s="14"/>
      <c r="AM260" s="14"/>
      <c r="AN260" s="14"/>
    </row>
    <row r="261" ht="15.75" customHeight="1">
      <c r="A261" s="14"/>
      <c r="B261" s="14"/>
      <c r="C261" s="14"/>
      <c r="D261" s="14"/>
      <c r="E261" s="14"/>
      <c r="F261" s="14"/>
      <c r="G261" s="14"/>
      <c r="H261" s="14"/>
      <c r="I261" s="14"/>
      <c r="J261" s="14"/>
      <c r="K261" s="14"/>
      <c r="L261" s="14"/>
      <c r="M261" s="14"/>
      <c r="N261" s="14"/>
      <c r="O261" s="14"/>
      <c r="P261" s="14"/>
      <c r="Q261" s="14"/>
      <c r="R261" s="18"/>
      <c r="S261" s="18"/>
      <c r="T261" s="93"/>
      <c r="U261" s="20"/>
      <c r="V261" s="14"/>
      <c r="W261" s="14"/>
      <c r="X261" s="14"/>
      <c r="Y261" s="14"/>
      <c r="Z261" s="14"/>
      <c r="AA261" s="14"/>
      <c r="AB261" s="14"/>
      <c r="AC261" s="14"/>
      <c r="AD261" s="14"/>
      <c r="AE261" s="14"/>
      <c r="AF261" s="14"/>
      <c r="AG261" s="14"/>
      <c r="AH261" s="14"/>
      <c r="AI261" s="14"/>
      <c r="AJ261" s="14"/>
      <c r="AK261" s="14"/>
      <c r="AL261" s="14"/>
      <c r="AM261" s="14"/>
      <c r="AN261" s="14"/>
    </row>
    <row r="262" ht="15.75" customHeight="1">
      <c r="A262" s="14"/>
      <c r="B262" s="14"/>
      <c r="C262" s="14"/>
      <c r="D262" s="14"/>
      <c r="E262" s="14"/>
      <c r="F262" s="14"/>
      <c r="G262" s="14"/>
      <c r="H262" s="14"/>
      <c r="I262" s="14"/>
      <c r="J262" s="14"/>
      <c r="K262" s="14"/>
      <c r="L262" s="14"/>
      <c r="M262" s="14"/>
      <c r="N262" s="14"/>
      <c r="O262" s="14"/>
      <c r="P262" s="14"/>
      <c r="Q262" s="14"/>
      <c r="R262" s="18"/>
      <c r="S262" s="18"/>
      <c r="T262" s="93"/>
      <c r="U262" s="20"/>
      <c r="V262" s="14"/>
      <c r="W262" s="14"/>
      <c r="X262" s="14"/>
      <c r="Y262" s="14"/>
      <c r="Z262" s="14"/>
      <c r="AA262" s="14"/>
      <c r="AB262" s="14"/>
      <c r="AC262" s="14"/>
      <c r="AD262" s="14"/>
      <c r="AE262" s="14"/>
      <c r="AF262" s="14"/>
      <c r="AG262" s="14"/>
      <c r="AH262" s="14"/>
      <c r="AI262" s="14"/>
      <c r="AJ262" s="14"/>
      <c r="AK262" s="14"/>
      <c r="AL262" s="14"/>
      <c r="AM262" s="14"/>
      <c r="AN262" s="14"/>
    </row>
    <row r="263" ht="15.75" customHeight="1">
      <c r="A263" s="14"/>
      <c r="B263" s="14"/>
      <c r="C263" s="14"/>
      <c r="D263" s="14"/>
      <c r="E263" s="14"/>
      <c r="F263" s="14"/>
      <c r="G263" s="14"/>
      <c r="H263" s="14"/>
      <c r="I263" s="14"/>
      <c r="J263" s="14"/>
      <c r="K263" s="14"/>
      <c r="L263" s="14"/>
      <c r="M263" s="14"/>
      <c r="N263" s="14"/>
      <c r="O263" s="14"/>
      <c r="P263" s="14"/>
      <c r="Q263" s="14"/>
      <c r="R263" s="18"/>
      <c r="S263" s="18"/>
      <c r="T263" s="93"/>
      <c r="U263" s="20"/>
      <c r="V263" s="14"/>
      <c r="W263" s="14"/>
      <c r="X263" s="14"/>
      <c r="Y263" s="14"/>
      <c r="Z263" s="14"/>
      <c r="AA263" s="14"/>
      <c r="AB263" s="14"/>
      <c r="AC263" s="14"/>
      <c r="AD263" s="14"/>
      <c r="AE263" s="14"/>
      <c r="AF263" s="14"/>
      <c r="AG263" s="14"/>
      <c r="AH263" s="14"/>
      <c r="AI263" s="14"/>
      <c r="AJ263" s="14"/>
      <c r="AK263" s="14"/>
      <c r="AL263" s="14"/>
      <c r="AM263" s="14"/>
      <c r="AN263" s="14"/>
    </row>
    <row r="264" ht="15.75" customHeight="1">
      <c r="A264" s="14"/>
      <c r="B264" s="14"/>
      <c r="C264" s="14"/>
      <c r="D264" s="14"/>
      <c r="E264" s="14"/>
      <c r="F264" s="14"/>
      <c r="G264" s="14"/>
      <c r="H264" s="14"/>
      <c r="I264" s="14"/>
      <c r="J264" s="14"/>
      <c r="K264" s="14"/>
      <c r="L264" s="14"/>
      <c r="M264" s="14"/>
      <c r="N264" s="14"/>
      <c r="O264" s="14"/>
      <c r="P264" s="14"/>
      <c r="Q264" s="14"/>
      <c r="R264" s="18"/>
      <c r="S264" s="18"/>
      <c r="T264" s="93"/>
      <c r="U264" s="20"/>
      <c r="V264" s="14"/>
      <c r="W264" s="14"/>
      <c r="X264" s="14"/>
      <c r="Y264" s="14"/>
      <c r="Z264" s="14"/>
      <c r="AA264" s="14"/>
      <c r="AB264" s="14"/>
      <c r="AC264" s="14"/>
      <c r="AD264" s="14"/>
      <c r="AE264" s="14"/>
      <c r="AF264" s="14"/>
      <c r="AG264" s="14"/>
      <c r="AH264" s="14"/>
      <c r="AI264" s="14"/>
      <c r="AJ264" s="14"/>
      <c r="AK264" s="14"/>
      <c r="AL264" s="14"/>
      <c r="AM264" s="14"/>
      <c r="AN264" s="14"/>
    </row>
    <row r="265" ht="15.75" customHeight="1">
      <c r="A265" s="14"/>
      <c r="B265" s="14"/>
      <c r="C265" s="14"/>
      <c r="D265" s="14"/>
      <c r="E265" s="14"/>
      <c r="F265" s="14"/>
      <c r="G265" s="14"/>
      <c r="H265" s="14"/>
      <c r="I265" s="14"/>
      <c r="J265" s="14"/>
      <c r="K265" s="14"/>
      <c r="L265" s="14"/>
      <c r="M265" s="14"/>
      <c r="N265" s="14"/>
      <c r="O265" s="14"/>
      <c r="P265" s="14"/>
      <c r="Q265" s="14"/>
      <c r="R265" s="18"/>
      <c r="S265" s="18"/>
      <c r="T265" s="93"/>
      <c r="U265" s="20"/>
      <c r="V265" s="14"/>
      <c r="W265" s="14"/>
      <c r="X265" s="14"/>
      <c r="Y265" s="14"/>
      <c r="Z265" s="14"/>
      <c r="AA265" s="14"/>
      <c r="AB265" s="14"/>
      <c r="AC265" s="14"/>
      <c r="AD265" s="14"/>
      <c r="AE265" s="14"/>
      <c r="AF265" s="14"/>
      <c r="AG265" s="14"/>
      <c r="AH265" s="14"/>
      <c r="AI265" s="14"/>
      <c r="AJ265" s="14"/>
      <c r="AK265" s="14"/>
      <c r="AL265" s="14"/>
      <c r="AM265" s="14"/>
      <c r="AN265" s="14"/>
    </row>
    <row r="266" ht="15.75" customHeight="1">
      <c r="A266" s="14"/>
      <c r="B266" s="14"/>
      <c r="C266" s="14"/>
      <c r="D266" s="14"/>
      <c r="E266" s="14"/>
      <c r="F266" s="14"/>
      <c r="G266" s="14"/>
      <c r="H266" s="14"/>
      <c r="I266" s="14"/>
      <c r="J266" s="14"/>
      <c r="K266" s="14"/>
      <c r="L266" s="14"/>
      <c r="M266" s="14"/>
      <c r="N266" s="14"/>
      <c r="O266" s="14"/>
      <c r="P266" s="14"/>
      <c r="Q266" s="14"/>
      <c r="R266" s="18"/>
      <c r="S266" s="18"/>
      <c r="T266" s="93"/>
      <c r="U266" s="20"/>
      <c r="V266" s="14"/>
      <c r="W266" s="14"/>
      <c r="X266" s="14"/>
      <c r="Y266" s="14"/>
      <c r="Z266" s="14"/>
      <c r="AA266" s="14"/>
      <c r="AB266" s="14"/>
      <c r="AC266" s="14"/>
      <c r="AD266" s="14"/>
      <c r="AE266" s="14"/>
      <c r="AF266" s="14"/>
      <c r="AG266" s="14"/>
      <c r="AH266" s="14"/>
      <c r="AI266" s="14"/>
      <c r="AJ266" s="14"/>
      <c r="AK266" s="14"/>
      <c r="AL266" s="14"/>
      <c r="AM266" s="14"/>
      <c r="AN266" s="14"/>
    </row>
    <row r="267" ht="15.75" customHeight="1">
      <c r="A267" s="14"/>
      <c r="B267" s="14"/>
      <c r="C267" s="14"/>
      <c r="D267" s="14"/>
      <c r="E267" s="14"/>
      <c r="F267" s="14"/>
      <c r="G267" s="14"/>
      <c r="H267" s="14"/>
      <c r="I267" s="14"/>
      <c r="J267" s="14"/>
      <c r="K267" s="14"/>
      <c r="L267" s="14"/>
      <c r="M267" s="14"/>
      <c r="N267" s="14"/>
      <c r="O267" s="14"/>
      <c r="P267" s="14"/>
      <c r="Q267" s="14"/>
      <c r="R267" s="18"/>
      <c r="S267" s="18"/>
      <c r="T267" s="93"/>
      <c r="U267" s="20"/>
      <c r="V267" s="14"/>
      <c r="W267" s="14"/>
      <c r="X267" s="14"/>
      <c r="Y267" s="14"/>
      <c r="Z267" s="14"/>
      <c r="AA267" s="14"/>
      <c r="AB267" s="14"/>
      <c r="AC267" s="14"/>
      <c r="AD267" s="14"/>
      <c r="AE267" s="14"/>
      <c r="AF267" s="14"/>
      <c r="AG267" s="14"/>
      <c r="AH267" s="14"/>
      <c r="AI267" s="14"/>
      <c r="AJ267" s="14"/>
      <c r="AK267" s="14"/>
      <c r="AL267" s="14"/>
      <c r="AM267" s="14"/>
      <c r="AN267" s="14"/>
    </row>
    <row r="268" ht="15.75" customHeight="1">
      <c r="A268" s="14"/>
      <c r="B268" s="14"/>
      <c r="C268" s="14"/>
      <c r="D268" s="14"/>
      <c r="E268" s="14"/>
      <c r="F268" s="14"/>
      <c r="G268" s="14"/>
      <c r="H268" s="14"/>
      <c r="I268" s="14"/>
      <c r="J268" s="14"/>
      <c r="K268" s="14"/>
      <c r="L268" s="14"/>
      <c r="M268" s="14"/>
      <c r="N268" s="14"/>
      <c r="O268" s="14"/>
      <c r="P268" s="14"/>
      <c r="Q268" s="14"/>
      <c r="R268" s="18"/>
      <c r="S268" s="18"/>
      <c r="T268" s="93"/>
      <c r="U268" s="20"/>
      <c r="V268" s="14"/>
      <c r="W268" s="14"/>
      <c r="X268" s="14"/>
      <c r="Y268" s="14"/>
      <c r="Z268" s="14"/>
      <c r="AA268" s="14"/>
      <c r="AB268" s="14"/>
      <c r="AC268" s="14"/>
      <c r="AD268" s="14"/>
      <c r="AE268" s="14"/>
      <c r="AF268" s="14"/>
      <c r="AG268" s="14"/>
      <c r="AH268" s="14"/>
      <c r="AI268" s="14"/>
      <c r="AJ268" s="14"/>
      <c r="AK268" s="14"/>
      <c r="AL268" s="14"/>
      <c r="AM268" s="14"/>
      <c r="AN268" s="14"/>
    </row>
    <row r="269" ht="15.75" customHeight="1">
      <c r="A269" s="14"/>
      <c r="B269" s="14"/>
      <c r="C269" s="14"/>
      <c r="D269" s="14"/>
      <c r="E269" s="14"/>
      <c r="F269" s="14"/>
      <c r="G269" s="14"/>
      <c r="H269" s="14"/>
      <c r="I269" s="14"/>
      <c r="J269" s="14"/>
      <c r="K269" s="14"/>
      <c r="L269" s="14"/>
      <c r="M269" s="14"/>
      <c r="N269" s="14"/>
      <c r="O269" s="14"/>
      <c r="P269" s="14"/>
      <c r="Q269" s="14"/>
      <c r="R269" s="18"/>
      <c r="S269" s="18"/>
      <c r="T269" s="93"/>
      <c r="U269" s="20"/>
      <c r="V269" s="14"/>
      <c r="W269" s="14"/>
      <c r="X269" s="14"/>
      <c r="Y269" s="14"/>
      <c r="Z269" s="14"/>
      <c r="AA269" s="14"/>
      <c r="AB269" s="14"/>
      <c r="AC269" s="14"/>
      <c r="AD269" s="14"/>
      <c r="AE269" s="14"/>
      <c r="AF269" s="14"/>
      <c r="AG269" s="14"/>
      <c r="AH269" s="14"/>
      <c r="AI269" s="14"/>
      <c r="AJ269" s="14"/>
      <c r="AK269" s="14"/>
      <c r="AL269" s="14"/>
      <c r="AM269" s="14"/>
      <c r="AN269" s="14"/>
    </row>
    <row r="270" ht="15.75" customHeight="1">
      <c r="A270" s="14"/>
      <c r="B270" s="14"/>
      <c r="C270" s="14"/>
      <c r="D270" s="14"/>
      <c r="E270" s="14"/>
      <c r="F270" s="14"/>
      <c r="G270" s="14"/>
      <c r="H270" s="14"/>
      <c r="I270" s="14"/>
      <c r="J270" s="14"/>
      <c r="K270" s="14"/>
      <c r="L270" s="14"/>
      <c r="M270" s="14"/>
      <c r="N270" s="14"/>
      <c r="O270" s="14"/>
      <c r="P270" s="14"/>
      <c r="Q270" s="14"/>
      <c r="R270" s="18"/>
      <c r="S270" s="18"/>
      <c r="T270" s="93"/>
      <c r="U270" s="20"/>
      <c r="V270" s="14"/>
      <c r="W270" s="14"/>
      <c r="X270" s="14"/>
      <c r="Y270" s="14"/>
      <c r="Z270" s="14"/>
      <c r="AA270" s="14"/>
      <c r="AB270" s="14"/>
      <c r="AC270" s="14"/>
      <c r="AD270" s="14"/>
      <c r="AE270" s="14"/>
      <c r="AF270" s="14"/>
      <c r="AG270" s="14"/>
      <c r="AH270" s="14"/>
      <c r="AI270" s="14"/>
      <c r="AJ270" s="14"/>
      <c r="AK270" s="14"/>
      <c r="AL270" s="14"/>
      <c r="AM270" s="14"/>
      <c r="AN270" s="14"/>
    </row>
    <row r="271" ht="15.75" customHeight="1">
      <c r="A271" s="14"/>
      <c r="B271" s="14"/>
      <c r="C271" s="14"/>
      <c r="D271" s="14"/>
      <c r="E271" s="14"/>
      <c r="F271" s="14"/>
      <c r="G271" s="14"/>
      <c r="H271" s="14"/>
      <c r="I271" s="14"/>
      <c r="J271" s="14"/>
      <c r="K271" s="14"/>
      <c r="L271" s="14"/>
      <c r="M271" s="14"/>
      <c r="N271" s="14"/>
      <c r="O271" s="14"/>
      <c r="P271" s="14"/>
      <c r="Q271" s="14"/>
      <c r="R271" s="18"/>
      <c r="S271" s="18"/>
      <c r="T271" s="93"/>
      <c r="U271" s="20"/>
      <c r="V271" s="14"/>
      <c r="W271" s="14"/>
      <c r="X271" s="14"/>
      <c r="Y271" s="14"/>
      <c r="Z271" s="14"/>
      <c r="AA271" s="14"/>
      <c r="AB271" s="14"/>
      <c r="AC271" s="14"/>
      <c r="AD271" s="14"/>
      <c r="AE271" s="14"/>
      <c r="AF271" s="14"/>
      <c r="AG271" s="14"/>
      <c r="AH271" s="14"/>
      <c r="AI271" s="14"/>
      <c r="AJ271" s="14"/>
      <c r="AK271" s="14"/>
      <c r="AL271" s="14"/>
      <c r="AM271" s="14"/>
      <c r="AN271" s="14"/>
    </row>
    <row r="272" ht="15.75" customHeight="1">
      <c r="A272" s="14"/>
      <c r="B272" s="14"/>
      <c r="C272" s="14"/>
      <c r="D272" s="14"/>
      <c r="E272" s="14"/>
      <c r="F272" s="14"/>
      <c r="G272" s="14"/>
      <c r="H272" s="14"/>
      <c r="I272" s="14"/>
      <c r="J272" s="14"/>
      <c r="K272" s="14"/>
      <c r="L272" s="14"/>
      <c r="M272" s="14"/>
      <c r="N272" s="14"/>
      <c r="O272" s="14"/>
      <c r="P272" s="14"/>
      <c r="Q272" s="14"/>
      <c r="R272" s="18"/>
      <c r="S272" s="18"/>
      <c r="T272" s="93"/>
      <c r="U272" s="20"/>
      <c r="V272" s="14"/>
      <c r="W272" s="14"/>
      <c r="X272" s="14"/>
      <c r="Y272" s="14"/>
      <c r="Z272" s="14"/>
      <c r="AA272" s="14"/>
      <c r="AB272" s="14"/>
      <c r="AC272" s="14"/>
      <c r="AD272" s="14"/>
      <c r="AE272" s="14"/>
      <c r="AF272" s="14"/>
      <c r="AG272" s="14"/>
      <c r="AH272" s="14"/>
      <c r="AI272" s="14"/>
      <c r="AJ272" s="14"/>
      <c r="AK272" s="14"/>
      <c r="AL272" s="14"/>
      <c r="AM272" s="14"/>
      <c r="AN272" s="14"/>
    </row>
    <row r="273" ht="15.75" customHeight="1">
      <c r="A273" s="14"/>
      <c r="B273" s="14"/>
      <c r="C273" s="14"/>
      <c r="D273" s="14"/>
      <c r="E273" s="14"/>
      <c r="F273" s="14"/>
      <c r="G273" s="14"/>
      <c r="H273" s="14"/>
      <c r="I273" s="14"/>
      <c r="J273" s="14"/>
      <c r="K273" s="14"/>
      <c r="L273" s="14"/>
      <c r="M273" s="14"/>
      <c r="N273" s="14"/>
      <c r="O273" s="14"/>
      <c r="P273" s="14"/>
      <c r="Q273" s="14"/>
      <c r="R273" s="18"/>
      <c r="S273" s="18"/>
      <c r="T273" s="93"/>
      <c r="U273" s="20"/>
      <c r="V273" s="14"/>
      <c r="W273" s="14"/>
      <c r="X273" s="14"/>
      <c r="Y273" s="14"/>
      <c r="Z273" s="14"/>
      <c r="AA273" s="14"/>
      <c r="AB273" s="14"/>
      <c r="AC273" s="14"/>
      <c r="AD273" s="14"/>
      <c r="AE273" s="14"/>
      <c r="AF273" s="14"/>
      <c r="AG273" s="14"/>
      <c r="AH273" s="14"/>
      <c r="AI273" s="14"/>
      <c r="AJ273" s="14"/>
      <c r="AK273" s="14"/>
      <c r="AL273" s="14"/>
      <c r="AM273" s="14"/>
      <c r="AN273" s="14"/>
    </row>
    <row r="274" ht="15.75" customHeight="1">
      <c r="A274" s="14"/>
      <c r="B274" s="14"/>
      <c r="C274" s="14"/>
      <c r="D274" s="14"/>
      <c r="E274" s="14"/>
      <c r="F274" s="14"/>
      <c r="G274" s="14"/>
      <c r="H274" s="14"/>
      <c r="I274" s="14"/>
      <c r="J274" s="14"/>
      <c r="K274" s="14"/>
      <c r="L274" s="14"/>
      <c r="M274" s="14"/>
      <c r="N274" s="14"/>
      <c r="O274" s="14"/>
      <c r="P274" s="14"/>
      <c r="Q274" s="14"/>
      <c r="R274" s="18"/>
      <c r="S274" s="18"/>
      <c r="T274" s="93"/>
      <c r="U274" s="20"/>
      <c r="V274" s="14"/>
      <c r="W274" s="14"/>
      <c r="X274" s="14"/>
      <c r="Y274" s="14"/>
      <c r="Z274" s="14"/>
      <c r="AA274" s="14"/>
      <c r="AB274" s="14"/>
      <c r="AC274" s="14"/>
      <c r="AD274" s="14"/>
      <c r="AE274" s="14"/>
      <c r="AF274" s="14"/>
      <c r="AG274" s="14"/>
      <c r="AH274" s="14"/>
      <c r="AI274" s="14"/>
      <c r="AJ274" s="14"/>
      <c r="AK274" s="14"/>
      <c r="AL274" s="14"/>
      <c r="AM274" s="14"/>
      <c r="AN274" s="14"/>
    </row>
    <row r="275" ht="15.75" customHeight="1">
      <c r="A275" s="14"/>
      <c r="B275" s="14"/>
      <c r="C275" s="14"/>
      <c r="D275" s="14"/>
      <c r="E275" s="14"/>
      <c r="F275" s="14"/>
      <c r="G275" s="14"/>
      <c r="H275" s="14"/>
      <c r="I275" s="14"/>
      <c r="J275" s="14"/>
      <c r="K275" s="14"/>
      <c r="L275" s="14"/>
      <c r="M275" s="14"/>
      <c r="N275" s="14"/>
      <c r="O275" s="14"/>
      <c r="P275" s="14"/>
      <c r="Q275" s="14"/>
      <c r="R275" s="18"/>
      <c r="S275" s="18"/>
      <c r="T275" s="93"/>
      <c r="U275" s="20"/>
      <c r="V275" s="14"/>
      <c r="W275" s="14"/>
      <c r="X275" s="14"/>
      <c r="Y275" s="14"/>
      <c r="Z275" s="14"/>
      <c r="AA275" s="14"/>
      <c r="AB275" s="14"/>
      <c r="AC275" s="14"/>
      <c r="AD275" s="14"/>
      <c r="AE275" s="14"/>
      <c r="AF275" s="14"/>
      <c r="AG275" s="14"/>
      <c r="AH275" s="14"/>
      <c r="AI275" s="14"/>
      <c r="AJ275" s="14"/>
      <c r="AK275" s="14"/>
      <c r="AL275" s="14"/>
      <c r="AM275" s="14"/>
      <c r="AN275" s="14"/>
    </row>
    <row r="276" ht="15.75" customHeight="1">
      <c r="A276" s="14"/>
      <c r="B276" s="14"/>
      <c r="C276" s="14"/>
      <c r="D276" s="14"/>
      <c r="E276" s="14"/>
      <c r="F276" s="14"/>
      <c r="G276" s="14"/>
      <c r="H276" s="14"/>
      <c r="I276" s="14"/>
      <c r="J276" s="14"/>
      <c r="K276" s="14"/>
      <c r="L276" s="14"/>
      <c r="M276" s="14"/>
      <c r="N276" s="14"/>
      <c r="O276" s="14"/>
      <c r="P276" s="14"/>
      <c r="Q276" s="14"/>
      <c r="R276" s="18"/>
      <c r="S276" s="18"/>
      <c r="T276" s="93"/>
      <c r="U276" s="20"/>
      <c r="V276" s="14"/>
      <c r="W276" s="14"/>
      <c r="X276" s="14"/>
      <c r="Y276" s="14"/>
      <c r="Z276" s="14"/>
      <c r="AA276" s="14"/>
      <c r="AB276" s="14"/>
      <c r="AC276" s="14"/>
      <c r="AD276" s="14"/>
      <c r="AE276" s="14"/>
      <c r="AF276" s="14"/>
      <c r="AG276" s="14"/>
      <c r="AH276" s="14"/>
      <c r="AI276" s="14"/>
      <c r="AJ276" s="14"/>
      <c r="AK276" s="14"/>
      <c r="AL276" s="14"/>
      <c r="AM276" s="14"/>
      <c r="AN276" s="14"/>
    </row>
    <row r="277" ht="15.75" customHeight="1">
      <c r="A277" s="14"/>
      <c r="B277" s="14"/>
      <c r="C277" s="14"/>
      <c r="D277" s="14"/>
      <c r="E277" s="14"/>
      <c r="F277" s="14"/>
      <c r="G277" s="14"/>
      <c r="H277" s="14"/>
      <c r="I277" s="14"/>
      <c r="J277" s="14"/>
      <c r="K277" s="14"/>
      <c r="L277" s="14"/>
      <c r="M277" s="14"/>
      <c r="N277" s="14"/>
      <c r="O277" s="14"/>
      <c r="P277" s="14"/>
      <c r="Q277" s="14"/>
      <c r="R277" s="18"/>
      <c r="S277" s="18"/>
      <c r="T277" s="93"/>
      <c r="U277" s="20"/>
      <c r="V277" s="14"/>
      <c r="W277" s="14"/>
      <c r="X277" s="14"/>
      <c r="Y277" s="14"/>
      <c r="Z277" s="14"/>
      <c r="AA277" s="14"/>
      <c r="AB277" s="14"/>
      <c r="AC277" s="14"/>
      <c r="AD277" s="14"/>
      <c r="AE277" s="14"/>
      <c r="AF277" s="14"/>
      <c r="AG277" s="14"/>
      <c r="AH277" s="14"/>
      <c r="AI277" s="14"/>
      <c r="AJ277" s="14"/>
      <c r="AK277" s="14"/>
      <c r="AL277" s="14"/>
      <c r="AM277" s="14"/>
      <c r="AN277" s="14"/>
    </row>
    <row r="278" ht="15.75" customHeight="1">
      <c r="A278" s="14"/>
      <c r="B278" s="14"/>
      <c r="C278" s="14"/>
      <c r="D278" s="14"/>
      <c r="E278" s="14"/>
      <c r="F278" s="14"/>
      <c r="G278" s="14"/>
      <c r="H278" s="14"/>
      <c r="I278" s="14"/>
      <c r="J278" s="14"/>
      <c r="K278" s="14"/>
      <c r="L278" s="14"/>
      <c r="M278" s="14"/>
      <c r="N278" s="14"/>
      <c r="O278" s="14"/>
      <c r="P278" s="14"/>
      <c r="Q278" s="14"/>
      <c r="R278" s="18"/>
      <c r="S278" s="18"/>
      <c r="T278" s="93"/>
      <c r="U278" s="20"/>
      <c r="V278" s="14"/>
      <c r="W278" s="14"/>
      <c r="X278" s="14"/>
      <c r="Y278" s="14"/>
      <c r="Z278" s="14"/>
      <c r="AA278" s="14"/>
      <c r="AB278" s="14"/>
      <c r="AC278" s="14"/>
      <c r="AD278" s="14"/>
      <c r="AE278" s="14"/>
      <c r="AF278" s="14"/>
      <c r="AG278" s="14"/>
      <c r="AH278" s="14"/>
      <c r="AI278" s="14"/>
      <c r="AJ278" s="14"/>
      <c r="AK278" s="14"/>
      <c r="AL278" s="14"/>
      <c r="AM278" s="14"/>
      <c r="AN278" s="14"/>
    </row>
    <row r="279" ht="15.75" customHeight="1">
      <c r="A279" s="14"/>
      <c r="B279" s="14"/>
      <c r="C279" s="14"/>
      <c r="D279" s="14"/>
      <c r="E279" s="14"/>
      <c r="F279" s="14"/>
      <c r="G279" s="14"/>
      <c r="H279" s="14"/>
      <c r="I279" s="14"/>
      <c r="J279" s="14"/>
      <c r="K279" s="14"/>
      <c r="L279" s="14"/>
      <c r="M279" s="14"/>
      <c r="N279" s="14"/>
      <c r="O279" s="14"/>
      <c r="P279" s="14"/>
      <c r="Q279" s="14"/>
      <c r="R279" s="18"/>
      <c r="S279" s="18"/>
      <c r="T279" s="93"/>
      <c r="U279" s="20"/>
      <c r="V279" s="14"/>
      <c r="W279" s="14"/>
      <c r="X279" s="14"/>
      <c r="Y279" s="14"/>
      <c r="Z279" s="14"/>
      <c r="AA279" s="14"/>
      <c r="AB279" s="14"/>
      <c r="AC279" s="14"/>
      <c r="AD279" s="14"/>
      <c r="AE279" s="14"/>
      <c r="AF279" s="14"/>
      <c r="AG279" s="14"/>
      <c r="AH279" s="14"/>
      <c r="AI279" s="14"/>
      <c r="AJ279" s="14"/>
      <c r="AK279" s="14"/>
      <c r="AL279" s="14"/>
      <c r="AM279" s="14"/>
      <c r="AN279" s="14"/>
    </row>
    <row r="280" ht="15.75" customHeight="1">
      <c r="A280" s="14"/>
      <c r="B280" s="14"/>
      <c r="C280" s="14"/>
      <c r="D280" s="14"/>
      <c r="E280" s="14"/>
      <c r="F280" s="14"/>
      <c r="G280" s="14"/>
      <c r="H280" s="14"/>
      <c r="I280" s="14"/>
      <c r="J280" s="14"/>
      <c r="K280" s="14"/>
      <c r="L280" s="14"/>
      <c r="M280" s="14"/>
      <c r="N280" s="14"/>
      <c r="O280" s="14"/>
      <c r="P280" s="14"/>
      <c r="Q280" s="14"/>
      <c r="R280" s="18"/>
      <c r="S280" s="18"/>
      <c r="T280" s="93"/>
      <c r="U280" s="20"/>
      <c r="V280" s="14"/>
      <c r="W280" s="14"/>
      <c r="X280" s="14"/>
      <c r="Y280" s="14"/>
      <c r="Z280" s="14"/>
      <c r="AA280" s="14"/>
      <c r="AB280" s="14"/>
      <c r="AC280" s="14"/>
      <c r="AD280" s="14"/>
      <c r="AE280" s="14"/>
      <c r="AF280" s="14"/>
      <c r="AG280" s="14"/>
      <c r="AH280" s="14"/>
      <c r="AI280" s="14"/>
      <c r="AJ280" s="14"/>
      <c r="AK280" s="14"/>
      <c r="AL280" s="14"/>
      <c r="AM280" s="14"/>
      <c r="AN280" s="14"/>
    </row>
    <row r="281" ht="15.75" customHeight="1">
      <c r="A281" s="14"/>
      <c r="B281" s="14"/>
      <c r="C281" s="14"/>
      <c r="D281" s="14"/>
      <c r="E281" s="14"/>
      <c r="F281" s="14"/>
      <c r="G281" s="14"/>
      <c r="H281" s="14"/>
      <c r="I281" s="14"/>
      <c r="J281" s="14"/>
      <c r="K281" s="14"/>
      <c r="L281" s="14"/>
      <c r="M281" s="14"/>
      <c r="N281" s="14"/>
      <c r="O281" s="14"/>
      <c r="P281" s="14"/>
      <c r="Q281" s="14"/>
      <c r="R281" s="18"/>
      <c r="S281" s="18"/>
      <c r="T281" s="93"/>
      <c r="U281" s="20"/>
      <c r="V281" s="14"/>
      <c r="W281" s="14"/>
      <c r="X281" s="14"/>
      <c r="Y281" s="14"/>
      <c r="Z281" s="14"/>
      <c r="AA281" s="14"/>
      <c r="AB281" s="14"/>
      <c r="AC281" s="14"/>
      <c r="AD281" s="14"/>
      <c r="AE281" s="14"/>
      <c r="AF281" s="14"/>
      <c r="AG281" s="14"/>
      <c r="AH281" s="14"/>
      <c r="AI281" s="14"/>
      <c r="AJ281" s="14"/>
      <c r="AK281" s="14"/>
      <c r="AL281" s="14"/>
      <c r="AM281" s="14"/>
      <c r="AN281" s="14"/>
    </row>
    <row r="282" ht="15.75" customHeight="1">
      <c r="A282" s="14"/>
      <c r="B282" s="14"/>
      <c r="C282" s="14"/>
      <c r="D282" s="14"/>
      <c r="E282" s="14"/>
      <c r="F282" s="14"/>
      <c r="G282" s="14"/>
      <c r="H282" s="14"/>
      <c r="I282" s="14"/>
      <c r="J282" s="14"/>
      <c r="K282" s="14"/>
      <c r="L282" s="14"/>
      <c r="M282" s="14"/>
      <c r="N282" s="14"/>
      <c r="O282" s="14"/>
      <c r="P282" s="14"/>
      <c r="Q282" s="14"/>
      <c r="R282" s="18"/>
      <c r="S282" s="18"/>
      <c r="T282" s="93"/>
      <c r="U282" s="20"/>
      <c r="V282" s="14"/>
      <c r="W282" s="14"/>
      <c r="X282" s="14"/>
      <c r="Y282" s="14"/>
      <c r="Z282" s="14"/>
      <c r="AA282" s="14"/>
      <c r="AB282" s="14"/>
      <c r="AC282" s="14"/>
      <c r="AD282" s="14"/>
      <c r="AE282" s="14"/>
      <c r="AF282" s="14"/>
      <c r="AG282" s="14"/>
      <c r="AH282" s="14"/>
      <c r="AI282" s="14"/>
      <c r="AJ282" s="14"/>
      <c r="AK282" s="14"/>
      <c r="AL282" s="14"/>
      <c r="AM282" s="14"/>
      <c r="AN282" s="14"/>
    </row>
    <row r="283" ht="15.75" customHeight="1">
      <c r="A283" s="14"/>
      <c r="B283" s="14"/>
      <c r="C283" s="14"/>
      <c r="D283" s="14"/>
      <c r="E283" s="14"/>
      <c r="F283" s="14"/>
      <c r="G283" s="14"/>
      <c r="H283" s="14"/>
      <c r="I283" s="14"/>
      <c r="J283" s="14"/>
      <c r="K283" s="14"/>
      <c r="L283" s="14"/>
      <c r="M283" s="14"/>
      <c r="N283" s="14"/>
      <c r="O283" s="14"/>
      <c r="P283" s="14"/>
      <c r="Q283" s="14"/>
      <c r="R283" s="18"/>
      <c r="S283" s="18"/>
      <c r="T283" s="93"/>
      <c r="U283" s="20"/>
      <c r="V283" s="14"/>
      <c r="W283" s="14"/>
      <c r="X283" s="14"/>
      <c r="Y283" s="14"/>
      <c r="Z283" s="14"/>
      <c r="AA283" s="14"/>
      <c r="AB283" s="14"/>
      <c r="AC283" s="14"/>
      <c r="AD283" s="14"/>
      <c r="AE283" s="14"/>
      <c r="AF283" s="14"/>
      <c r="AG283" s="14"/>
      <c r="AH283" s="14"/>
      <c r="AI283" s="14"/>
      <c r="AJ283" s="14"/>
      <c r="AK283" s="14"/>
      <c r="AL283" s="14"/>
      <c r="AM283" s="14"/>
      <c r="AN283" s="14"/>
    </row>
    <row r="284" ht="15.75" customHeight="1">
      <c r="A284" s="14"/>
      <c r="B284" s="14"/>
      <c r="C284" s="14"/>
      <c r="D284" s="14"/>
      <c r="E284" s="14"/>
      <c r="F284" s="14"/>
      <c r="G284" s="14"/>
      <c r="H284" s="14"/>
      <c r="I284" s="14"/>
      <c r="J284" s="14"/>
      <c r="K284" s="14"/>
      <c r="L284" s="14"/>
      <c r="M284" s="14"/>
      <c r="N284" s="14"/>
      <c r="O284" s="14"/>
      <c r="P284" s="14"/>
      <c r="Q284" s="14"/>
      <c r="R284" s="18"/>
      <c r="S284" s="18"/>
      <c r="T284" s="93"/>
      <c r="U284" s="20"/>
      <c r="V284" s="14"/>
      <c r="W284" s="14"/>
      <c r="X284" s="14"/>
      <c r="Y284" s="14"/>
      <c r="Z284" s="14"/>
      <c r="AA284" s="14"/>
      <c r="AB284" s="14"/>
      <c r="AC284" s="14"/>
      <c r="AD284" s="14"/>
      <c r="AE284" s="14"/>
      <c r="AF284" s="14"/>
      <c r="AG284" s="14"/>
      <c r="AH284" s="14"/>
      <c r="AI284" s="14"/>
      <c r="AJ284" s="14"/>
      <c r="AK284" s="14"/>
      <c r="AL284" s="14"/>
      <c r="AM284" s="14"/>
      <c r="AN284" s="14"/>
    </row>
    <row r="285" ht="15.75" customHeight="1">
      <c r="A285" s="14"/>
      <c r="B285" s="14"/>
      <c r="C285" s="14"/>
      <c r="D285" s="14"/>
      <c r="E285" s="14"/>
      <c r="F285" s="14"/>
      <c r="G285" s="14"/>
      <c r="H285" s="14"/>
      <c r="I285" s="14"/>
      <c r="J285" s="14"/>
      <c r="K285" s="14"/>
      <c r="L285" s="14"/>
      <c r="M285" s="14"/>
      <c r="N285" s="14"/>
      <c r="O285" s="14"/>
      <c r="P285" s="14"/>
      <c r="Q285" s="14"/>
      <c r="R285" s="18"/>
      <c r="S285" s="18"/>
      <c r="T285" s="93"/>
      <c r="U285" s="20"/>
      <c r="V285" s="14"/>
      <c r="W285" s="14"/>
      <c r="X285" s="14"/>
      <c r="Y285" s="14"/>
      <c r="Z285" s="14"/>
      <c r="AA285" s="14"/>
      <c r="AB285" s="14"/>
      <c r="AC285" s="14"/>
      <c r="AD285" s="14"/>
      <c r="AE285" s="14"/>
      <c r="AF285" s="14"/>
      <c r="AG285" s="14"/>
      <c r="AH285" s="14"/>
      <c r="AI285" s="14"/>
      <c r="AJ285" s="14"/>
      <c r="AK285" s="14"/>
      <c r="AL285" s="14"/>
      <c r="AM285" s="14"/>
      <c r="AN285" s="14"/>
    </row>
    <row r="286" ht="15.75" customHeight="1">
      <c r="A286" s="14"/>
      <c r="B286" s="14"/>
      <c r="C286" s="14"/>
      <c r="D286" s="14"/>
      <c r="E286" s="14"/>
      <c r="F286" s="14"/>
      <c r="G286" s="14"/>
      <c r="H286" s="14"/>
      <c r="I286" s="14"/>
      <c r="J286" s="14"/>
      <c r="K286" s="14"/>
      <c r="L286" s="14"/>
      <c r="M286" s="14"/>
      <c r="N286" s="14"/>
      <c r="O286" s="14"/>
      <c r="P286" s="14"/>
      <c r="Q286" s="14"/>
      <c r="R286" s="18"/>
      <c r="S286" s="18"/>
      <c r="T286" s="93"/>
      <c r="U286" s="20"/>
      <c r="V286" s="14"/>
      <c r="W286" s="14"/>
      <c r="X286" s="14"/>
      <c r="Y286" s="14"/>
      <c r="Z286" s="14"/>
      <c r="AA286" s="14"/>
      <c r="AB286" s="14"/>
      <c r="AC286" s="14"/>
      <c r="AD286" s="14"/>
      <c r="AE286" s="14"/>
      <c r="AF286" s="14"/>
      <c r="AG286" s="14"/>
      <c r="AH286" s="14"/>
      <c r="AI286" s="14"/>
      <c r="AJ286" s="14"/>
      <c r="AK286" s="14"/>
      <c r="AL286" s="14"/>
      <c r="AM286" s="14"/>
      <c r="AN286" s="14"/>
    </row>
    <row r="287" ht="15.75" customHeight="1">
      <c r="A287" s="14"/>
      <c r="B287" s="14"/>
      <c r="C287" s="14"/>
      <c r="D287" s="14"/>
      <c r="E287" s="14"/>
      <c r="F287" s="14"/>
      <c r="G287" s="14"/>
      <c r="H287" s="14"/>
      <c r="I287" s="14"/>
      <c r="J287" s="14"/>
      <c r="K287" s="14"/>
      <c r="L287" s="14"/>
      <c r="M287" s="14"/>
      <c r="N287" s="14"/>
      <c r="O287" s="14"/>
      <c r="P287" s="14"/>
      <c r="Q287" s="14"/>
      <c r="R287" s="18"/>
      <c r="S287" s="18"/>
      <c r="T287" s="93"/>
      <c r="U287" s="20"/>
      <c r="V287" s="14"/>
      <c r="W287" s="14"/>
      <c r="X287" s="14"/>
      <c r="Y287" s="14"/>
      <c r="Z287" s="14"/>
      <c r="AA287" s="14"/>
      <c r="AB287" s="14"/>
      <c r="AC287" s="14"/>
      <c r="AD287" s="14"/>
      <c r="AE287" s="14"/>
      <c r="AF287" s="14"/>
      <c r="AG287" s="14"/>
      <c r="AH287" s="14"/>
      <c r="AI287" s="14"/>
      <c r="AJ287" s="14"/>
      <c r="AK287" s="14"/>
      <c r="AL287" s="14"/>
      <c r="AM287" s="14"/>
      <c r="AN287" s="14"/>
    </row>
    <row r="288" ht="15.75" customHeight="1">
      <c r="A288" s="14"/>
      <c r="B288" s="14"/>
      <c r="C288" s="14"/>
      <c r="D288" s="14"/>
      <c r="E288" s="14"/>
      <c r="F288" s="14"/>
      <c r="G288" s="14"/>
      <c r="H288" s="14"/>
      <c r="I288" s="14"/>
      <c r="J288" s="14"/>
      <c r="K288" s="14"/>
      <c r="L288" s="14"/>
      <c r="M288" s="14"/>
      <c r="N288" s="14"/>
      <c r="O288" s="14"/>
      <c r="P288" s="14"/>
      <c r="Q288" s="14"/>
      <c r="R288" s="18"/>
      <c r="S288" s="18"/>
      <c r="T288" s="93"/>
      <c r="U288" s="20"/>
      <c r="V288" s="14"/>
      <c r="W288" s="14"/>
      <c r="X288" s="14"/>
      <c r="Y288" s="14"/>
      <c r="Z288" s="14"/>
      <c r="AA288" s="14"/>
      <c r="AB288" s="14"/>
      <c r="AC288" s="14"/>
      <c r="AD288" s="14"/>
      <c r="AE288" s="14"/>
      <c r="AF288" s="14"/>
      <c r="AG288" s="14"/>
      <c r="AH288" s="14"/>
      <c r="AI288" s="14"/>
      <c r="AJ288" s="14"/>
      <c r="AK288" s="14"/>
      <c r="AL288" s="14"/>
      <c r="AM288" s="14"/>
      <c r="AN288" s="14"/>
    </row>
    <row r="289" ht="15.75" customHeight="1">
      <c r="A289" s="14"/>
      <c r="B289" s="14"/>
      <c r="C289" s="14"/>
      <c r="D289" s="14"/>
      <c r="E289" s="14"/>
      <c r="F289" s="14"/>
      <c r="G289" s="14"/>
      <c r="H289" s="14"/>
      <c r="I289" s="14"/>
      <c r="J289" s="14"/>
      <c r="K289" s="14"/>
      <c r="L289" s="14"/>
      <c r="M289" s="14"/>
      <c r="N289" s="14"/>
      <c r="O289" s="14"/>
      <c r="P289" s="14"/>
      <c r="Q289" s="14"/>
      <c r="R289" s="18"/>
      <c r="S289" s="18"/>
      <c r="T289" s="93"/>
      <c r="U289" s="20"/>
      <c r="V289" s="14"/>
      <c r="W289" s="14"/>
      <c r="X289" s="14"/>
      <c r="Y289" s="14"/>
      <c r="Z289" s="14"/>
      <c r="AA289" s="14"/>
      <c r="AB289" s="14"/>
      <c r="AC289" s="14"/>
      <c r="AD289" s="14"/>
      <c r="AE289" s="14"/>
      <c r="AF289" s="14"/>
      <c r="AG289" s="14"/>
      <c r="AH289" s="14"/>
      <c r="AI289" s="14"/>
      <c r="AJ289" s="14"/>
      <c r="AK289" s="14"/>
      <c r="AL289" s="14"/>
      <c r="AM289" s="14"/>
      <c r="AN289" s="14"/>
    </row>
    <row r="290" ht="15.75" customHeight="1">
      <c r="A290" s="14"/>
      <c r="B290" s="14"/>
      <c r="C290" s="14"/>
      <c r="D290" s="14"/>
      <c r="E290" s="14"/>
      <c r="F290" s="14"/>
      <c r="G290" s="14"/>
      <c r="H290" s="14"/>
      <c r="I290" s="14"/>
      <c r="J290" s="14"/>
      <c r="K290" s="14"/>
      <c r="L290" s="14"/>
      <c r="M290" s="14"/>
      <c r="N290" s="14"/>
      <c r="O290" s="14"/>
      <c r="P290" s="14"/>
      <c r="Q290" s="14"/>
      <c r="R290" s="18"/>
      <c r="S290" s="18"/>
      <c r="T290" s="93"/>
      <c r="U290" s="20"/>
      <c r="V290" s="14"/>
      <c r="W290" s="14"/>
      <c r="X290" s="14"/>
      <c r="Y290" s="14"/>
      <c r="Z290" s="14"/>
      <c r="AA290" s="14"/>
      <c r="AB290" s="14"/>
      <c r="AC290" s="14"/>
      <c r="AD290" s="14"/>
      <c r="AE290" s="14"/>
      <c r="AF290" s="14"/>
      <c r="AG290" s="14"/>
      <c r="AH290" s="14"/>
      <c r="AI290" s="14"/>
      <c r="AJ290" s="14"/>
      <c r="AK290" s="14"/>
      <c r="AL290" s="14"/>
      <c r="AM290" s="14"/>
      <c r="AN290" s="14"/>
    </row>
    <row r="291" ht="15.75" customHeight="1">
      <c r="A291" s="14"/>
      <c r="B291" s="14"/>
      <c r="C291" s="14"/>
      <c r="D291" s="14"/>
      <c r="E291" s="14"/>
      <c r="F291" s="14"/>
      <c r="G291" s="14"/>
      <c r="H291" s="14"/>
      <c r="I291" s="14"/>
      <c r="J291" s="14"/>
      <c r="K291" s="14"/>
      <c r="L291" s="14"/>
      <c r="M291" s="14"/>
      <c r="N291" s="14"/>
      <c r="O291" s="14"/>
      <c r="P291" s="14"/>
      <c r="Q291" s="14"/>
      <c r="R291" s="18"/>
      <c r="S291" s="18"/>
      <c r="T291" s="93"/>
      <c r="U291" s="20"/>
      <c r="V291" s="14"/>
      <c r="W291" s="14"/>
      <c r="X291" s="14"/>
      <c r="Y291" s="14"/>
      <c r="Z291" s="14"/>
      <c r="AA291" s="14"/>
      <c r="AB291" s="14"/>
      <c r="AC291" s="14"/>
      <c r="AD291" s="14"/>
      <c r="AE291" s="14"/>
      <c r="AF291" s="14"/>
      <c r="AG291" s="14"/>
      <c r="AH291" s="14"/>
      <c r="AI291" s="14"/>
      <c r="AJ291" s="14"/>
      <c r="AK291" s="14"/>
      <c r="AL291" s="14"/>
      <c r="AM291" s="14"/>
      <c r="AN291" s="14"/>
    </row>
    <row r="292" ht="15.75" customHeight="1">
      <c r="A292" s="14"/>
      <c r="B292" s="14"/>
      <c r="C292" s="14"/>
      <c r="D292" s="14"/>
      <c r="E292" s="14"/>
      <c r="F292" s="14"/>
      <c r="G292" s="14"/>
      <c r="H292" s="14"/>
      <c r="I292" s="14"/>
      <c r="J292" s="14"/>
      <c r="K292" s="14"/>
      <c r="L292" s="14"/>
      <c r="M292" s="14"/>
      <c r="N292" s="14"/>
      <c r="O292" s="14"/>
      <c r="P292" s="14"/>
      <c r="Q292" s="14"/>
      <c r="R292" s="18"/>
      <c r="S292" s="18"/>
      <c r="T292" s="93"/>
      <c r="U292" s="20"/>
      <c r="V292" s="14"/>
      <c r="W292" s="14"/>
      <c r="X292" s="14"/>
      <c r="Y292" s="14"/>
      <c r="Z292" s="14"/>
      <c r="AA292" s="14"/>
      <c r="AB292" s="14"/>
      <c r="AC292" s="14"/>
      <c r="AD292" s="14"/>
      <c r="AE292" s="14"/>
      <c r="AF292" s="14"/>
      <c r="AG292" s="14"/>
      <c r="AH292" s="14"/>
      <c r="AI292" s="14"/>
      <c r="AJ292" s="14"/>
      <c r="AK292" s="14"/>
      <c r="AL292" s="14"/>
      <c r="AM292" s="14"/>
      <c r="AN292" s="14"/>
    </row>
    <row r="293" ht="15.75" customHeight="1">
      <c r="A293" s="14"/>
      <c r="B293" s="14"/>
      <c r="C293" s="14"/>
      <c r="D293" s="14"/>
      <c r="E293" s="14"/>
      <c r="F293" s="14"/>
      <c r="G293" s="14"/>
      <c r="H293" s="14"/>
      <c r="I293" s="14"/>
      <c r="J293" s="14"/>
      <c r="K293" s="14"/>
      <c r="L293" s="14"/>
      <c r="M293" s="14"/>
      <c r="N293" s="14"/>
      <c r="O293" s="14"/>
      <c r="P293" s="14"/>
      <c r="Q293" s="14"/>
      <c r="R293" s="18"/>
      <c r="S293" s="18"/>
      <c r="T293" s="93"/>
      <c r="U293" s="20"/>
      <c r="V293" s="14"/>
      <c r="W293" s="14"/>
      <c r="X293" s="14"/>
      <c r="Y293" s="14"/>
      <c r="Z293" s="14"/>
      <c r="AA293" s="14"/>
      <c r="AB293" s="14"/>
      <c r="AC293" s="14"/>
      <c r="AD293" s="14"/>
      <c r="AE293" s="14"/>
      <c r="AF293" s="14"/>
      <c r="AG293" s="14"/>
      <c r="AH293" s="14"/>
      <c r="AI293" s="14"/>
      <c r="AJ293" s="14"/>
      <c r="AK293" s="14"/>
      <c r="AL293" s="14"/>
      <c r="AM293" s="14"/>
      <c r="AN293" s="14"/>
    </row>
    <row r="294" ht="15.75" customHeight="1">
      <c r="A294" s="14"/>
      <c r="B294" s="14"/>
      <c r="C294" s="14"/>
      <c r="D294" s="14"/>
      <c r="E294" s="14"/>
      <c r="F294" s="14"/>
      <c r="G294" s="14"/>
      <c r="H294" s="14"/>
      <c r="I294" s="14"/>
      <c r="J294" s="14"/>
      <c r="K294" s="14"/>
      <c r="L294" s="14"/>
      <c r="M294" s="14"/>
      <c r="N294" s="14"/>
      <c r="O294" s="14"/>
      <c r="P294" s="14"/>
      <c r="Q294" s="14"/>
      <c r="R294" s="18"/>
      <c r="S294" s="18"/>
      <c r="T294" s="93"/>
      <c r="U294" s="20"/>
      <c r="V294" s="14"/>
      <c r="W294" s="14"/>
      <c r="X294" s="14"/>
      <c r="Y294" s="14"/>
      <c r="Z294" s="14"/>
      <c r="AA294" s="14"/>
      <c r="AB294" s="14"/>
      <c r="AC294" s="14"/>
      <c r="AD294" s="14"/>
      <c r="AE294" s="14"/>
      <c r="AF294" s="14"/>
      <c r="AG294" s="14"/>
      <c r="AH294" s="14"/>
      <c r="AI294" s="14"/>
      <c r="AJ294" s="14"/>
      <c r="AK294" s="14"/>
      <c r="AL294" s="14"/>
      <c r="AM294" s="14"/>
      <c r="AN294" s="14"/>
    </row>
    <row r="295" ht="15.75" customHeight="1">
      <c r="A295" s="14"/>
      <c r="B295" s="14"/>
      <c r="C295" s="14"/>
      <c r="D295" s="14"/>
      <c r="E295" s="14"/>
      <c r="F295" s="14"/>
      <c r="G295" s="14"/>
      <c r="H295" s="14"/>
      <c r="I295" s="14"/>
      <c r="J295" s="14"/>
      <c r="K295" s="14"/>
      <c r="L295" s="14"/>
      <c r="M295" s="14"/>
      <c r="N295" s="14"/>
      <c r="O295" s="14"/>
      <c r="P295" s="14"/>
      <c r="Q295" s="14"/>
      <c r="R295" s="18"/>
      <c r="S295" s="18"/>
      <c r="T295" s="93"/>
      <c r="U295" s="20"/>
      <c r="V295" s="14"/>
      <c r="W295" s="14"/>
      <c r="X295" s="14"/>
      <c r="Y295" s="14"/>
      <c r="Z295" s="14"/>
      <c r="AA295" s="14"/>
      <c r="AB295" s="14"/>
      <c r="AC295" s="14"/>
      <c r="AD295" s="14"/>
      <c r="AE295" s="14"/>
      <c r="AF295" s="14"/>
      <c r="AG295" s="14"/>
      <c r="AH295" s="14"/>
      <c r="AI295" s="14"/>
      <c r="AJ295" s="14"/>
      <c r="AK295" s="14"/>
      <c r="AL295" s="14"/>
      <c r="AM295" s="14"/>
      <c r="AN295" s="14"/>
    </row>
    <row r="296" ht="15.75" customHeight="1">
      <c r="A296" s="14"/>
      <c r="B296" s="14"/>
      <c r="C296" s="14"/>
      <c r="D296" s="14"/>
      <c r="E296" s="14"/>
      <c r="F296" s="14"/>
      <c r="G296" s="14"/>
      <c r="H296" s="14"/>
      <c r="I296" s="14"/>
      <c r="J296" s="14"/>
      <c r="K296" s="14"/>
      <c r="L296" s="14"/>
      <c r="M296" s="14"/>
      <c r="N296" s="14"/>
      <c r="O296" s="14"/>
      <c r="P296" s="14"/>
      <c r="Q296" s="14"/>
      <c r="R296" s="18"/>
      <c r="S296" s="18"/>
      <c r="T296" s="93"/>
      <c r="U296" s="20"/>
      <c r="V296" s="14"/>
      <c r="W296" s="14"/>
      <c r="X296" s="14"/>
      <c r="Y296" s="14"/>
      <c r="Z296" s="14"/>
      <c r="AA296" s="14"/>
      <c r="AB296" s="14"/>
      <c r="AC296" s="14"/>
      <c r="AD296" s="14"/>
      <c r="AE296" s="14"/>
      <c r="AF296" s="14"/>
      <c r="AG296" s="14"/>
      <c r="AH296" s="14"/>
      <c r="AI296" s="14"/>
      <c r="AJ296" s="14"/>
      <c r="AK296" s="14"/>
      <c r="AL296" s="14"/>
      <c r="AM296" s="14"/>
      <c r="AN296" s="14"/>
    </row>
    <row r="297" ht="15.75" customHeight="1">
      <c r="A297" s="14"/>
      <c r="B297" s="14"/>
      <c r="C297" s="14"/>
      <c r="D297" s="14"/>
      <c r="E297" s="14"/>
      <c r="F297" s="14"/>
      <c r="G297" s="14"/>
      <c r="H297" s="14"/>
      <c r="I297" s="14"/>
      <c r="J297" s="14"/>
      <c r="K297" s="14"/>
      <c r="L297" s="14"/>
      <c r="M297" s="14"/>
      <c r="N297" s="14"/>
      <c r="O297" s="14"/>
      <c r="P297" s="14"/>
      <c r="Q297" s="14"/>
      <c r="R297" s="18"/>
      <c r="S297" s="18"/>
      <c r="T297" s="93"/>
      <c r="U297" s="20"/>
      <c r="V297" s="14"/>
      <c r="W297" s="14"/>
      <c r="X297" s="14"/>
      <c r="Y297" s="14"/>
      <c r="Z297" s="14"/>
      <c r="AA297" s="14"/>
      <c r="AB297" s="14"/>
      <c r="AC297" s="14"/>
      <c r="AD297" s="14"/>
      <c r="AE297" s="14"/>
      <c r="AF297" s="14"/>
      <c r="AG297" s="14"/>
      <c r="AH297" s="14"/>
      <c r="AI297" s="14"/>
      <c r="AJ297" s="14"/>
      <c r="AK297" s="14"/>
      <c r="AL297" s="14"/>
      <c r="AM297" s="14"/>
      <c r="AN297" s="14"/>
    </row>
    <row r="298" ht="15.75" customHeight="1">
      <c r="A298" s="14"/>
      <c r="B298" s="14"/>
      <c r="C298" s="14"/>
      <c r="D298" s="14"/>
      <c r="E298" s="14"/>
      <c r="F298" s="14"/>
      <c r="G298" s="14"/>
      <c r="H298" s="14"/>
      <c r="I298" s="14"/>
      <c r="J298" s="14"/>
      <c r="K298" s="14"/>
      <c r="L298" s="14"/>
      <c r="M298" s="14"/>
      <c r="N298" s="14"/>
      <c r="O298" s="14"/>
      <c r="P298" s="14"/>
      <c r="Q298" s="14"/>
      <c r="R298" s="18"/>
      <c r="S298" s="18"/>
      <c r="T298" s="93"/>
      <c r="U298" s="20"/>
      <c r="V298" s="14"/>
      <c r="W298" s="14"/>
      <c r="X298" s="14"/>
      <c r="Y298" s="14"/>
      <c r="Z298" s="14"/>
      <c r="AA298" s="14"/>
      <c r="AB298" s="14"/>
      <c r="AC298" s="14"/>
      <c r="AD298" s="14"/>
      <c r="AE298" s="14"/>
      <c r="AF298" s="14"/>
      <c r="AG298" s="14"/>
      <c r="AH298" s="14"/>
      <c r="AI298" s="14"/>
      <c r="AJ298" s="14"/>
      <c r="AK298" s="14"/>
      <c r="AL298" s="14"/>
      <c r="AM298" s="14"/>
      <c r="AN298" s="14"/>
    </row>
    <row r="299" ht="15.75" customHeight="1">
      <c r="A299" s="14"/>
      <c r="B299" s="14"/>
      <c r="C299" s="14"/>
      <c r="D299" s="14"/>
      <c r="E299" s="14"/>
      <c r="F299" s="14"/>
      <c r="G299" s="14"/>
      <c r="H299" s="14"/>
      <c r="I299" s="14"/>
      <c r="J299" s="14"/>
      <c r="K299" s="14"/>
      <c r="L299" s="14"/>
      <c r="M299" s="14"/>
      <c r="N299" s="14"/>
      <c r="O299" s="14"/>
      <c r="P299" s="14"/>
      <c r="Q299" s="14"/>
      <c r="R299" s="18"/>
      <c r="S299" s="18"/>
      <c r="T299" s="93"/>
      <c r="U299" s="20"/>
      <c r="V299" s="14"/>
      <c r="W299" s="14"/>
      <c r="X299" s="14"/>
      <c r="Y299" s="14"/>
      <c r="Z299" s="14"/>
      <c r="AA299" s="14"/>
      <c r="AB299" s="14"/>
      <c r="AC299" s="14"/>
      <c r="AD299" s="14"/>
      <c r="AE299" s="14"/>
      <c r="AF299" s="14"/>
      <c r="AG299" s="14"/>
      <c r="AH299" s="14"/>
      <c r="AI299" s="14"/>
      <c r="AJ299" s="14"/>
      <c r="AK299" s="14"/>
      <c r="AL299" s="14"/>
      <c r="AM299" s="14"/>
      <c r="AN299" s="14"/>
    </row>
    <row r="300" ht="15.75" customHeight="1">
      <c r="A300" s="14"/>
      <c r="B300" s="14"/>
      <c r="C300" s="14"/>
      <c r="D300" s="14"/>
      <c r="E300" s="14"/>
      <c r="F300" s="14"/>
      <c r="G300" s="14"/>
      <c r="H300" s="14"/>
      <c r="I300" s="14"/>
      <c r="J300" s="14"/>
      <c r="K300" s="14"/>
      <c r="L300" s="14"/>
      <c r="M300" s="14"/>
      <c r="N300" s="14"/>
      <c r="O300" s="14"/>
      <c r="P300" s="14"/>
      <c r="Q300" s="14"/>
      <c r="R300" s="18"/>
      <c r="S300" s="18"/>
      <c r="T300" s="93"/>
      <c r="U300" s="20"/>
      <c r="V300" s="14"/>
      <c r="W300" s="14"/>
      <c r="X300" s="14"/>
      <c r="Y300" s="14"/>
      <c r="Z300" s="14"/>
      <c r="AA300" s="14"/>
      <c r="AB300" s="14"/>
      <c r="AC300" s="14"/>
      <c r="AD300" s="14"/>
      <c r="AE300" s="14"/>
      <c r="AF300" s="14"/>
      <c r="AG300" s="14"/>
      <c r="AH300" s="14"/>
      <c r="AI300" s="14"/>
      <c r="AJ300" s="14"/>
      <c r="AK300" s="14"/>
      <c r="AL300" s="14"/>
      <c r="AM300" s="14"/>
      <c r="AN300" s="14"/>
    </row>
    <row r="301" ht="15.75" customHeight="1">
      <c r="A301" s="14"/>
      <c r="B301" s="14"/>
      <c r="C301" s="14"/>
      <c r="D301" s="14"/>
      <c r="E301" s="14"/>
      <c r="F301" s="14"/>
      <c r="G301" s="14"/>
      <c r="H301" s="14"/>
      <c r="I301" s="14"/>
      <c r="J301" s="14"/>
      <c r="K301" s="14"/>
      <c r="L301" s="14"/>
      <c r="M301" s="14"/>
      <c r="N301" s="14"/>
      <c r="O301" s="14"/>
      <c r="P301" s="14"/>
      <c r="Q301" s="14"/>
      <c r="R301" s="18"/>
      <c r="S301" s="18"/>
      <c r="T301" s="93"/>
      <c r="U301" s="20"/>
      <c r="V301" s="14"/>
      <c r="W301" s="14"/>
      <c r="X301" s="14"/>
      <c r="Y301" s="14"/>
      <c r="Z301" s="14"/>
      <c r="AA301" s="14"/>
      <c r="AB301" s="14"/>
      <c r="AC301" s="14"/>
      <c r="AD301" s="14"/>
      <c r="AE301" s="14"/>
      <c r="AF301" s="14"/>
      <c r="AG301" s="14"/>
      <c r="AH301" s="14"/>
      <c r="AI301" s="14"/>
      <c r="AJ301" s="14"/>
      <c r="AK301" s="14"/>
      <c r="AL301" s="14"/>
      <c r="AM301" s="14"/>
      <c r="AN301" s="14"/>
    </row>
    <row r="302" ht="15.75" customHeight="1">
      <c r="A302" s="14"/>
      <c r="B302" s="14"/>
      <c r="C302" s="14"/>
      <c r="D302" s="14"/>
      <c r="E302" s="14"/>
      <c r="F302" s="14"/>
      <c r="G302" s="14"/>
      <c r="H302" s="14"/>
      <c r="I302" s="14"/>
      <c r="J302" s="14"/>
      <c r="K302" s="14"/>
      <c r="L302" s="14"/>
      <c r="M302" s="14"/>
      <c r="N302" s="14"/>
      <c r="O302" s="14"/>
      <c r="P302" s="14"/>
      <c r="Q302" s="14"/>
      <c r="R302" s="18"/>
      <c r="S302" s="18"/>
      <c r="T302" s="93"/>
      <c r="U302" s="20"/>
      <c r="V302" s="14"/>
      <c r="W302" s="14"/>
      <c r="X302" s="14"/>
      <c r="Y302" s="14"/>
      <c r="Z302" s="14"/>
      <c r="AA302" s="14"/>
      <c r="AB302" s="14"/>
      <c r="AC302" s="14"/>
      <c r="AD302" s="14"/>
      <c r="AE302" s="14"/>
      <c r="AF302" s="14"/>
      <c r="AG302" s="14"/>
      <c r="AH302" s="14"/>
      <c r="AI302" s="14"/>
      <c r="AJ302" s="14"/>
      <c r="AK302" s="14"/>
      <c r="AL302" s="14"/>
      <c r="AM302" s="14"/>
      <c r="AN302" s="14"/>
    </row>
    <row r="303" ht="15.75" customHeight="1">
      <c r="A303" s="14"/>
      <c r="B303" s="14"/>
      <c r="C303" s="14"/>
      <c r="D303" s="14"/>
      <c r="E303" s="14"/>
      <c r="F303" s="14"/>
      <c r="G303" s="14"/>
      <c r="H303" s="14"/>
      <c r="I303" s="14"/>
      <c r="J303" s="14"/>
      <c r="K303" s="14"/>
      <c r="L303" s="14"/>
      <c r="M303" s="14"/>
      <c r="N303" s="14"/>
      <c r="O303" s="14"/>
      <c r="P303" s="14"/>
      <c r="Q303" s="14"/>
      <c r="R303" s="18"/>
      <c r="S303" s="18"/>
      <c r="T303" s="93"/>
      <c r="U303" s="20"/>
      <c r="V303" s="14"/>
      <c r="W303" s="14"/>
      <c r="X303" s="14"/>
      <c r="Y303" s="14"/>
      <c r="Z303" s="14"/>
      <c r="AA303" s="14"/>
      <c r="AB303" s="14"/>
      <c r="AC303" s="14"/>
      <c r="AD303" s="14"/>
      <c r="AE303" s="14"/>
      <c r="AF303" s="14"/>
      <c r="AG303" s="14"/>
      <c r="AH303" s="14"/>
      <c r="AI303" s="14"/>
      <c r="AJ303" s="14"/>
      <c r="AK303" s="14"/>
      <c r="AL303" s="14"/>
      <c r="AM303" s="14"/>
      <c r="AN303" s="14"/>
    </row>
    <row r="304" ht="15.75" customHeight="1">
      <c r="A304" s="14"/>
      <c r="B304" s="14"/>
      <c r="C304" s="14"/>
      <c r="D304" s="14"/>
      <c r="E304" s="14"/>
      <c r="F304" s="14"/>
      <c r="G304" s="14"/>
      <c r="H304" s="14"/>
      <c r="I304" s="14"/>
      <c r="J304" s="14"/>
      <c r="K304" s="14"/>
      <c r="L304" s="14"/>
      <c r="M304" s="14"/>
      <c r="N304" s="14"/>
      <c r="O304" s="14"/>
      <c r="P304" s="14"/>
      <c r="Q304" s="14"/>
      <c r="R304" s="18"/>
      <c r="S304" s="18"/>
      <c r="T304" s="93"/>
      <c r="U304" s="20"/>
      <c r="V304" s="14"/>
      <c r="W304" s="14"/>
      <c r="X304" s="14"/>
      <c r="Y304" s="14"/>
      <c r="Z304" s="14"/>
      <c r="AA304" s="14"/>
      <c r="AB304" s="14"/>
      <c r="AC304" s="14"/>
      <c r="AD304" s="14"/>
      <c r="AE304" s="14"/>
      <c r="AF304" s="14"/>
      <c r="AG304" s="14"/>
      <c r="AH304" s="14"/>
      <c r="AI304" s="14"/>
      <c r="AJ304" s="14"/>
      <c r="AK304" s="14"/>
      <c r="AL304" s="14"/>
      <c r="AM304" s="14"/>
      <c r="AN304" s="14"/>
    </row>
    <row r="305" ht="15.75" customHeight="1">
      <c r="A305" s="14"/>
      <c r="B305" s="14"/>
      <c r="C305" s="14"/>
      <c r="D305" s="14"/>
      <c r="E305" s="14"/>
      <c r="F305" s="14"/>
      <c r="G305" s="14"/>
      <c r="H305" s="14"/>
      <c r="I305" s="14"/>
      <c r="J305" s="14"/>
      <c r="K305" s="14"/>
      <c r="L305" s="14"/>
      <c r="M305" s="14"/>
      <c r="N305" s="14"/>
      <c r="O305" s="14"/>
      <c r="P305" s="14"/>
      <c r="Q305" s="14"/>
      <c r="R305" s="18"/>
      <c r="S305" s="18"/>
      <c r="T305" s="93"/>
      <c r="U305" s="20"/>
      <c r="V305" s="14"/>
      <c r="W305" s="14"/>
      <c r="X305" s="14"/>
      <c r="Y305" s="14"/>
      <c r="Z305" s="14"/>
      <c r="AA305" s="14"/>
      <c r="AB305" s="14"/>
      <c r="AC305" s="14"/>
      <c r="AD305" s="14"/>
      <c r="AE305" s="14"/>
      <c r="AF305" s="14"/>
      <c r="AG305" s="14"/>
      <c r="AH305" s="14"/>
      <c r="AI305" s="14"/>
      <c r="AJ305" s="14"/>
      <c r="AK305" s="14"/>
      <c r="AL305" s="14"/>
      <c r="AM305" s="14"/>
      <c r="AN305" s="14"/>
    </row>
    <row r="306" ht="15.75" customHeight="1">
      <c r="A306" s="14"/>
      <c r="B306" s="14"/>
      <c r="C306" s="14"/>
      <c r="D306" s="14"/>
      <c r="E306" s="14"/>
      <c r="F306" s="14"/>
      <c r="G306" s="14"/>
      <c r="H306" s="14"/>
      <c r="I306" s="14"/>
      <c r="J306" s="14"/>
      <c r="K306" s="14"/>
      <c r="L306" s="14"/>
      <c r="M306" s="14"/>
      <c r="N306" s="14"/>
      <c r="O306" s="14"/>
      <c r="P306" s="14"/>
      <c r="Q306" s="14"/>
      <c r="R306" s="18"/>
      <c r="S306" s="18"/>
      <c r="T306" s="93"/>
      <c r="U306" s="20"/>
      <c r="V306" s="14"/>
      <c r="W306" s="14"/>
      <c r="X306" s="14"/>
      <c r="Y306" s="14"/>
      <c r="Z306" s="14"/>
      <c r="AA306" s="14"/>
      <c r="AB306" s="14"/>
      <c r="AC306" s="14"/>
      <c r="AD306" s="14"/>
      <c r="AE306" s="14"/>
      <c r="AF306" s="14"/>
      <c r="AG306" s="14"/>
      <c r="AH306" s="14"/>
      <c r="AI306" s="14"/>
      <c r="AJ306" s="14"/>
      <c r="AK306" s="14"/>
      <c r="AL306" s="14"/>
      <c r="AM306" s="14"/>
      <c r="AN306" s="14"/>
    </row>
    <row r="307" ht="15.75" customHeight="1">
      <c r="A307" s="14"/>
      <c r="B307" s="14"/>
      <c r="C307" s="14"/>
      <c r="D307" s="14"/>
      <c r="E307" s="14"/>
      <c r="F307" s="14"/>
      <c r="G307" s="14"/>
      <c r="H307" s="14"/>
      <c r="I307" s="14"/>
      <c r="J307" s="14"/>
      <c r="K307" s="14"/>
      <c r="L307" s="14"/>
      <c r="M307" s="14"/>
      <c r="N307" s="14"/>
      <c r="O307" s="14"/>
      <c r="P307" s="14"/>
      <c r="Q307" s="14"/>
      <c r="R307" s="18"/>
      <c r="S307" s="18"/>
      <c r="T307" s="93"/>
      <c r="U307" s="20"/>
      <c r="V307" s="14"/>
      <c r="W307" s="14"/>
      <c r="X307" s="14"/>
      <c r="Y307" s="14"/>
      <c r="Z307" s="14"/>
      <c r="AA307" s="14"/>
      <c r="AB307" s="14"/>
      <c r="AC307" s="14"/>
      <c r="AD307" s="14"/>
      <c r="AE307" s="14"/>
      <c r="AF307" s="14"/>
      <c r="AG307" s="14"/>
      <c r="AH307" s="14"/>
      <c r="AI307" s="14"/>
      <c r="AJ307" s="14"/>
      <c r="AK307" s="14"/>
      <c r="AL307" s="14"/>
      <c r="AM307" s="14"/>
      <c r="AN307" s="14"/>
    </row>
    <row r="308" ht="15.75" customHeight="1">
      <c r="A308" s="14"/>
      <c r="B308" s="14"/>
      <c r="C308" s="14"/>
      <c r="D308" s="14"/>
      <c r="E308" s="14"/>
      <c r="F308" s="14"/>
      <c r="G308" s="14"/>
      <c r="H308" s="14"/>
      <c r="I308" s="14"/>
      <c r="J308" s="14"/>
      <c r="K308" s="14"/>
      <c r="L308" s="14"/>
      <c r="M308" s="14"/>
      <c r="N308" s="14"/>
      <c r="O308" s="14"/>
      <c r="P308" s="14"/>
      <c r="Q308" s="14"/>
      <c r="R308" s="18"/>
      <c r="S308" s="18"/>
      <c r="T308" s="93"/>
      <c r="U308" s="20"/>
      <c r="V308" s="14"/>
      <c r="W308" s="14"/>
      <c r="X308" s="14"/>
      <c r="Y308" s="14"/>
      <c r="Z308" s="14"/>
      <c r="AA308" s="14"/>
      <c r="AB308" s="14"/>
      <c r="AC308" s="14"/>
      <c r="AD308" s="14"/>
      <c r="AE308" s="14"/>
      <c r="AF308" s="14"/>
      <c r="AG308" s="14"/>
      <c r="AH308" s="14"/>
      <c r="AI308" s="14"/>
      <c r="AJ308" s="14"/>
      <c r="AK308" s="14"/>
      <c r="AL308" s="14"/>
      <c r="AM308" s="14"/>
      <c r="AN308" s="14"/>
    </row>
    <row r="309" ht="15.75" customHeight="1">
      <c r="A309" s="14"/>
      <c r="B309" s="14"/>
      <c r="C309" s="14"/>
      <c r="D309" s="14"/>
      <c r="E309" s="14"/>
      <c r="F309" s="14"/>
      <c r="G309" s="14"/>
      <c r="H309" s="14"/>
      <c r="I309" s="14"/>
      <c r="J309" s="14"/>
      <c r="K309" s="14"/>
      <c r="L309" s="14"/>
      <c r="M309" s="14"/>
      <c r="N309" s="14"/>
      <c r="O309" s="14"/>
      <c r="P309" s="14"/>
      <c r="Q309" s="14"/>
      <c r="R309" s="18"/>
      <c r="S309" s="18"/>
      <c r="T309" s="93"/>
      <c r="U309" s="20"/>
      <c r="V309" s="14"/>
      <c r="W309" s="14"/>
      <c r="X309" s="14"/>
      <c r="Y309" s="14"/>
      <c r="Z309" s="14"/>
      <c r="AA309" s="14"/>
      <c r="AB309" s="14"/>
      <c r="AC309" s="14"/>
      <c r="AD309" s="14"/>
      <c r="AE309" s="14"/>
      <c r="AF309" s="14"/>
      <c r="AG309" s="14"/>
      <c r="AH309" s="14"/>
      <c r="AI309" s="14"/>
      <c r="AJ309" s="14"/>
      <c r="AK309" s="14"/>
      <c r="AL309" s="14"/>
      <c r="AM309" s="14"/>
      <c r="AN309" s="14"/>
    </row>
    <row r="310" ht="15.75" customHeight="1">
      <c r="A310" s="14"/>
      <c r="B310" s="14"/>
      <c r="C310" s="14"/>
      <c r="D310" s="14"/>
      <c r="E310" s="14"/>
      <c r="F310" s="14"/>
      <c r="G310" s="14"/>
      <c r="H310" s="14"/>
      <c r="I310" s="14"/>
      <c r="J310" s="14"/>
      <c r="K310" s="14"/>
      <c r="L310" s="14"/>
      <c r="M310" s="14"/>
      <c r="N310" s="14"/>
      <c r="O310" s="14"/>
      <c r="P310" s="14"/>
      <c r="Q310" s="14"/>
      <c r="R310" s="18"/>
      <c r="S310" s="18"/>
      <c r="T310" s="93"/>
      <c r="U310" s="20"/>
      <c r="V310" s="14"/>
      <c r="W310" s="14"/>
      <c r="X310" s="14"/>
      <c r="Y310" s="14"/>
      <c r="Z310" s="14"/>
      <c r="AA310" s="14"/>
      <c r="AB310" s="14"/>
      <c r="AC310" s="14"/>
      <c r="AD310" s="14"/>
      <c r="AE310" s="14"/>
      <c r="AF310" s="14"/>
      <c r="AG310" s="14"/>
      <c r="AH310" s="14"/>
      <c r="AI310" s="14"/>
      <c r="AJ310" s="14"/>
      <c r="AK310" s="14"/>
      <c r="AL310" s="14"/>
      <c r="AM310" s="14"/>
      <c r="AN310" s="14"/>
    </row>
    <row r="311" ht="15.75" customHeight="1">
      <c r="A311" s="14"/>
      <c r="B311" s="14"/>
      <c r="C311" s="14"/>
      <c r="D311" s="14"/>
      <c r="E311" s="14"/>
      <c r="F311" s="14"/>
      <c r="G311" s="14"/>
      <c r="H311" s="14"/>
      <c r="I311" s="14"/>
      <c r="J311" s="14"/>
      <c r="K311" s="14"/>
      <c r="L311" s="14"/>
      <c r="M311" s="14"/>
      <c r="N311" s="14"/>
      <c r="O311" s="14"/>
      <c r="P311" s="14"/>
      <c r="Q311" s="14"/>
      <c r="R311" s="18"/>
      <c r="S311" s="18"/>
      <c r="T311" s="93"/>
      <c r="U311" s="20"/>
      <c r="V311" s="14"/>
      <c r="W311" s="14"/>
      <c r="X311" s="14"/>
      <c r="Y311" s="14"/>
      <c r="Z311" s="14"/>
      <c r="AA311" s="14"/>
      <c r="AB311" s="14"/>
      <c r="AC311" s="14"/>
      <c r="AD311" s="14"/>
      <c r="AE311" s="14"/>
      <c r="AF311" s="14"/>
      <c r="AG311" s="14"/>
      <c r="AH311" s="14"/>
      <c r="AI311" s="14"/>
      <c r="AJ311" s="14"/>
      <c r="AK311" s="14"/>
      <c r="AL311" s="14"/>
      <c r="AM311" s="14"/>
      <c r="AN311" s="14"/>
    </row>
    <row r="312" ht="15.75" customHeight="1">
      <c r="A312" s="14"/>
      <c r="B312" s="14"/>
      <c r="C312" s="14"/>
      <c r="D312" s="14"/>
      <c r="E312" s="14"/>
      <c r="F312" s="14"/>
      <c r="G312" s="14"/>
      <c r="H312" s="14"/>
      <c r="I312" s="14"/>
      <c r="J312" s="14"/>
      <c r="K312" s="14"/>
      <c r="L312" s="14"/>
      <c r="M312" s="14"/>
      <c r="N312" s="14"/>
      <c r="O312" s="14"/>
      <c r="P312" s="14"/>
      <c r="Q312" s="14"/>
      <c r="R312" s="18"/>
      <c r="S312" s="18"/>
      <c r="T312" s="93"/>
      <c r="U312" s="20"/>
      <c r="V312" s="14"/>
      <c r="W312" s="14"/>
      <c r="X312" s="14"/>
      <c r="Y312" s="14"/>
      <c r="Z312" s="14"/>
      <c r="AA312" s="14"/>
      <c r="AB312" s="14"/>
      <c r="AC312" s="14"/>
      <c r="AD312" s="14"/>
      <c r="AE312" s="14"/>
      <c r="AF312" s="14"/>
      <c r="AG312" s="14"/>
      <c r="AH312" s="14"/>
      <c r="AI312" s="14"/>
      <c r="AJ312" s="14"/>
      <c r="AK312" s="14"/>
      <c r="AL312" s="14"/>
      <c r="AM312" s="14"/>
      <c r="AN312" s="14"/>
    </row>
    <row r="313" ht="15.75" customHeight="1">
      <c r="A313" s="14"/>
      <c r="B313" s="14"/>
      <c r="C313" s="14"/>
      <c r="D313" s="14"/>
      <c r="E313" s="14"/>
      <c r="F313" s="14"/>
      <c r="G313" s="14"/>
      <c r="H313" s="14"/>
      <c r="I313" s="14"/>
      <c r="J313" s="14"/>
      <c r="K313" s="14"/>
      <c r="L313" s="14"/>
      <c r="M313" s="14"/>
      <c r="N313" s="14"/>
      <c r="O313" s="14"/>
      <c r="P313" s="14"/>
      <c r="Q313" s="14"/>
      <c r="R313" s="18"/>
      <c r="S313" s="18"/>
      <c r="T313" s="93"/>
      <c r="U313" s="20"/>
      <c r="V313" s="14"/>
      <c r="W313" s="14"/>
      <c r="X313" s="14"/>
      <c r="Y313" s="14"/>
      <c r="Z313" s="14"/>
      <c r="AA313" s="14"/>
      <c r="AB313" s="14"/>
      <c r="AC313" s="14"/>
      <c r="AD313" s="14"/>
      <c r="AE313" s="14"/>
      <c r="AF313" s="14"/>
      <c r="AG313" s="14"/>
      <c r="AH313" s="14"/>
      <c r="AI313" s="14"/>
      <c r="AJ313" s="14"/>
      <c r="AK313" s="14"/>
      <c r="AL313" s="14"/>
      <c r="AM313" s="14"/>
      <c r="AN313" s="14"/>
    </row>
    <row r="314" ht="15.75" customHeight="1">
      <c r="A314" s="14"/>
      <c r="B314" s="14"/>
      <c r="C314" s="14"/>
      <c r="D314" s="14"/>
      <c r="E314" s="14"/>
      <c r="F314" s="14"/>
      <c r="G314" s="14"/>
      <c r="H314" s="14"/>
      <c r="I314" s="14"/>
      <c r="J314" s="14"/>
      <c r="K314" s="14"/>
      <c r="L314" s="14"/>
      <c r="M314" s="14"/>
      <c r="N314" s="14"/>
      <c r="O314" s="14"/>
      <c r="P314" s="14"/>
      <c r="Q314" s="14"/>
      <c r="R314" s="18"/>
      <c r="S314" s="18"/>
      <c r="T314" s="93"/>
      <c r="U314" s="20"/>
      <c r="V314" s="14"/>
      <c r="W314" s="14"/>
      <c r="X314" s="14"/>
      <c r="Y314" s="14"/>
      <c r="Z314" s="14"/>
      <c r="AA314" s="14"/>
      <c r="AB314" s="14"/>
      <c r="AC314" s="14"/>
      <c r="AD314" s="14"/>
      <c r="AE314" s="14"/>
      <c r="AF314" s="14"/>
      <c r="AG314" s="14"/>
      <c r="AH314" s="14"/>
      <c r="AI314" s="14"/>
      <c r="AJ314" s="14"/>
      <c r="AK314" s="14"/>
      <c r="AL314" s="14"/>
      <c r="AM314" s="14"/>
      <c r="AN314" s="14"/>
    </row>
    <row r="315" ht="15.75" customHeight="1">
      <c r="A315" s="14"/>
      <c r="B315" s="14"/>
      <c r="C315" s="14"/>
      <c r="D315" s="14"/>
      <c r="E315" s="14"/>
      <c r="F315" s="14"/>
      <c r="G315" s="14"/>
      <c r="H315" s="14"/>
      <c r="I315" s="14"/>
      <c r="J315" s="14"/>
      <c r="K315" s="14"/>
      <c r="L315" s="14"/>
      <c r="M315" s="14"/>
      <c r="N315" s="14"/>
      <c r="O315" s="14"/>
      <c r="P315" s="14"/>
      <c r="Q315" s="14"/>
      <c r="R315" s="18"/>
      <c r="S315" s="18"/>
      <c r="T315" s="93"/>
      <c r="U315" s="20"/>
      <c r="V315" s="14"/>
      <c r="W315" s="14"/>
      <c r="X315" s="14"/>
      <c r="Y315" s="14"/>
      <c r="Z315" s="14"/>
      <c r="AA315" s="14"/>
      <c r="AB315" s="14"/>
      <c r="AC315" s="14"/>
      <c r="AD315" s="14"/>
      <c r="AE315" s="14"/>
      <c r="AF315" s="14"/>
      <c r="AG315" s="14"/>
      <c r="AH315" s="14"/>
      <c r="AI315" s="14"/>
      <c r="AJ315" s="14"/>
      <c r="AK315" s="14"/>
      <c r="AL315" s="14"/>
      <c r="AM315" s="14"/>
      <c r="AN315" s="14"/>
    </row>
    <row r="316" ht="15.75" customHeight="1">
      <c r="A316" s="14"/>
      <c r="B316" s="14"/>
      <c r="C316" s="14"/>
      <c r="D316" s="14"/>
      <c r="E316" s="14"/>
      <c r="F316" s="14"/>
      <c r="G316" s="14"/>
      <c r="H316" s="14"/>
      <c r="I316" s="14"/>
      <c r="J316" s="14"/>
      <c r="K316" s="14"/>
      <c r="L316" s="14"/>
      <c r="M316" s="14"/>
      <c r="N316" s="14"/>
      <c r="O316" s="14"/>
      <c r="P316" s="14"/>
      <c r="Q316" s="14"/>
      <c r="R316" s="18"/>
      <c r="S316" s="18"/>
      <c r="T316" s="93"/>
      <c r="U316" s="20"/>
      <c r="V316" s="14"/>
      <c r="W316" s="14"/>
      <c r="X316" s="14"/>
      <c r="Y316" s="14"/>
      <c r="Z316" s="14"/>
      <c r="AA316" s="14"/>
      <c r="AB316" s="14"/>
      <c r="AC316" s="14"/>
      <c r="AD316" s="14"/>
      <c r="AE316" s="14"/>
      <c r="AF316" s="14"/>
      <c r="AG316" s="14"/>
      <c r="AH316" s="14"/>
      <c r="AI316" s="14"/>
      <c r="AJ316" s="14"/>
      <c r="AK316" s="14"/>
      <c r="AL316" s="14"/>
      <c r="AM316" s="14"/>
      <c r="AN316" s="14"/>
    </row>
    <row r="317" ht="15.75" customHeight="1">
      <c r="A317" s="14"/>
      <c r="B317" s="14"/>
      <c r="C317" s="14"/>
      <c r="D317" s="14"/>
      <c r="E317" s="14"/>
      <c r="F317" s="14"/>
      <c r="G317" s="14"/>
      <c r="H317" s="14"/>
      <c r="I317" s="14"/>
      <c r="J317" s="14"/>
      <c r="K317" s="14"/>
      <c r="L317" s="14"/>
      <c r="M317" s="14"/>
      <c r="N317" s="14"/>
      <c r="O317" s="14"/>
      <c r="P317" s="14"/>
      <c r="Q317" s="14"/>
      <c r="R317" s="18"/>
      <c r="S317" s="18"/>
      <c r="T317" s="93"/>
      <c r="U317" s="20"/>
      <c r="V317" s="14"/>
      <c r="W317" s="14"/>
      <c r="X317" s="14"/>
      <c r="Y317" s="14"/>
      <c r="Z317" s="14"/>
      <c r="AA317" s="14"/>
      <c r="AB317" s="14"/>
      <c r="AC317" s="14"/>
      <c r="AD317" s="14"/>
      <c r="AE317" s="14"/>
      <c r="AF317" s="14"/>
      <c r="AG317" s="14"/>
      <c r="AH317" s="14"/>
      <c r="AI317" s="14"/>
      <c r="AJ317" s="14"/>
      <c r="AK317" s="14"/>
      <c r="AL317" s="14"/>
      <c r="AM317" s="14"/>
      <c r="AN317" s="14"/>
    </row>
    <row r="318" ht="15.75" customHeight="1">
      <c r="A318" s="14"/>
      <c r="B318" s="14"/>
      <c r="C318" s="14"/>
      <c r="D318" s="14"/>
      <c r="E318" s="14"/>
      <c r="F318" s="14"/>
      <c r="G318" s="14"/>
      <c r="H318" s="14"/>
      <c r="I318" s="14"/>
      <c r="J318" s="14"/>
      <c r="K318" s="14"/>
      <c r="L318" s="14"/>
      <c r="M318" s="14"/>
      <c r="N318" s="14"/>
      <c r="O318" s="14"/>
      <c r="P318" s="14"/>
      <c r="Q318" s="14"/>
      <c r="R318" s="18"/>
      <c r="S318" s="18"/>
      <c r="T318" s="93"/>
      <c r="U318" s="20"/>
      <c r="V318" s="14"/>
      <c r="W318" s="14"/>
      <c r="X318" s="14"/>
      <c r="Y318" s="14"/>
      <c r="Z318" s="14"/>
      <c r="AA318" s="14"/>
      <c r="AB318" s="14"/>
      <c r="AC318" s="14"/>
      <c r="AD318" s="14"/>
      <c r="AE318" s="14"/>
      <c r="AF318" s="14"/>
      <c r="AG318" s="14"/>
      <c r="AH318" s="14"/>
      <c r="AI318" s="14"/>
      <c r="AJ318" s="14"/>
      <c r="AK318" s="14"/>
      <c r="AL318" s="14"/>
      <c r="AM318" s="14"/>
      <c r="AN318" s="14"/>
    </row>
    <row r="319" ht="15.75" customHeight="1">
      <c r="A319" s="14"/>
      <c r="B319" s="14"/>
      <c r="C319" s="14"/>
      <c r="D319" s="14"/>
      <c r="E319" s="14"/>
      <c r="F319" s="14"/>
      <c r="G319" s="14"/>
      <c r="H319" s="14"/>
      <c r="I319" s="14"/>
      <c r="J319" s="14"/>
      <c r="K319" s="14"/>
      <c r="L319" s="14"/>
      <c r="M319" s="14"/>
      <c r="N319" s="14"/>
      <c r="O319" s="14"/>
      <c r="P319" s="14"/>
      <c r="Q319" s="14"/>
      <c r="R319" s="18"/>
      <c r="S319" s="18"/>
      <c r="T319" s="93"/>
      <c r="U319" s="20"/>
      <c r="V319" s="14"/>
      <c r="W319" s="14"/>
      <c r="X319" s="14"/>
      <c r="Y319" s="14"/>
      <c r="Z319" s="14"/>
      <c r="AA319" s="14"/>
      <c r="AB319" s="14"/>
      <c r="AC319" s="14"/>
      <c r="AD319" s="14"/>
      <c r="AE319" s="14"/>
      <c r="AF319" s="14"/>
      <c r="AG319" s="14"/>
      <c r="AH319" s="14"/>
      <c r="AI319" s="14"/>
      <c r="AJ319" s="14"/>
      <c r="AK319" s="14"/>
      <c r="AL319" s="14"/>
      <c r="AM319" s="14"/>
      <c r="AN319" s="14"/>
    </row>
    <row r="320" ht="15.75" customHeight="1">
      <c r="A320" s="14"/>
      <c r="B320" s="14"/>
      <c r="C320" s="14"/>
      <c r="D320" s="14"/>
      <c r="E320" s="14"/>
      <c r="F320" s="14"/>
      <c r="G320" s="14"/>
      <c r="H320" s="14"/>
      <c r="I320" s="14"/>
      <c r="J320" s="14"/>
      <c r="K320" s="14"/>
      <c r="L320" s="14"/>
      <c r="M320" s="14"/>
      <c r="N320" s="14"/>
      <c r="O320" s="14"/>
      <c r="P320" s="14"/>
      <c r="Q320" s="14"/>
      <c r="R320" s="18"/>
      <c r="S320" s="18"/>
      <c r="T320" s="93"/>
      <c r="U320" s="20"/>
      <c r="V320" s="14"/>
      <c r="W320" s="14"/>
      <c r="X320" s="14"/>
      <c r="Y320" s="14"/>
      <c r="Z320" s="14"/>
      <c r="AA320" s="14"/>
      <c r="AB320" s="14"/>
      <c r="AC320" s="14"/>
      <c r="AD320" s="14"/>
      <c r="AE320" s="14"/>
      <c r="AF320" s="14"/>
      <c r="AG320" s="14"/>
      <c r="AH320" s="14"/>
      <c r="AI320" s="14"/>
      <c r="AJ320" s="14"/>
      <c r="AK320" s="14"/>
      <c r="AL320" s="14"/>
      <c r="AM320" s="14"/>
      <c r="AN320" s="14"/>
    </row>
    <row r="321" ht="15.75" customHeight="1">
      <c r="A321" s="14"/>
      <c r="B321" s="14"/>
      <c r="C321" s="14"/>
      <c r="D321" s="14"/>
      <c r="E321" s="14"/>
      <c r="F321" s="14"/>
      <c r="G321" s="14"/>
      <c r="H321" s="14"/>
      <c r="I321" s="14"/>
      <c r="J321" s="14"/>
      <c r="K321" s="14"/>
      <c r="L321" s="14"/>
      <c r="M321" s="14"/>
      <c r="N321" s="14"/>
      <c r="O321" s="14"/>
      <c r="P321" s="14"/>
      <c r="Q321" s="14"/>
      <c r="R321" s="18"/>
      <c r="S321" s="18"/>
      <c r="T321" s="93"/>
      <c r="U321" s="20"/>
      <c r="V321" s="14"/>
      <c r="W321" s="14"/>
      <c r="X321" s="14"/>
      <c r="Y321" s="14"/>
      <c r="Z321" s="14"/>
      <c r="AA321" s="14"/>
      <c r="AB321" s="14"/>
      <c r="AC321" s="14"/>
      <c r="AD321" s="14"/>
      <c r="AE321" s="14"/>
      <c r="AF321" s="14"/>
      <c r="AG321" s="14"/>
      <c r="AH321" s="14"/>
      <c r="AI321" s="14"/>
      <c r="AJ321" s="14"/>
      <c r="AK321" s="14"/>
      <c r="AL321" s="14"/>
      <c r="AM321" s="14"/>
      <c r="AN321" s="14"/>
    </row>
    <row r="322" ht="15.75" customHeight="1">
      <c r="A322" s="14"/>
      <c r="B322" s="14"/>
      <c r="C322" s="14"/>
      <c r="D322" s="14"/>
      <c r="E322" s="14"/>
      <c r="F322" s="14"/>
      <c r="G322" s="14"/>
      <c r="H322" s="14"/>
      <c r="I322" s="14"/>
      <c r="J322" s="14"/>
      <c r="K322" s="14"/>
      <c r="L322" s="14"/>
      <c r="M322" s="14"/>
      <c r="N322" s="14"/>
      <c r="O322" s="14"/>
      <c r="P322" s="14"/>
      <c r="Q322" s="14"/>
      <c r="R322" s="18"/>
      <c r="S322" s="18"/>
      <c r="T322" s="93"/>
      <c r="U322" s="20"/>
      <c r="V322" s="14"/>
      <c r="W322" s="14"/>
      <c r="X322" s="14"/>
      <c r="Y322" s="14"/>
      <c r="Z322" s="14"/>
      <c r="AA322" s="14"/>
      <c r="AB322" s="14"/>
      <c r="AC322" s="14"/>
      <c r="AD322" s="14"/>
      <c r="AE322" s="14"/>
      <c r="AF322" s="14"/>
      <c r="AG322" s="14"/>
      <c r="AH322" s="14"/>
      <c r="AI322" s="14"/>
      <c r="AJ322" s="14"/>
      <c r="AK322" s="14"/>
      <c r="AL322" s="14"/>
      <c r="AM322" s="14"/>
      <c r="AN322" s="14"/>
    </row>
    <row r="323" ht="15.75" customHeight="1">
      <c r="A323" s="14"/>
      <c r="B323" s="14"/>
      <c r="C323" s="14"/>
      <c r="D323" s="14"/>
      <c r="E323" s="14"/>
      <c r="F323" s="14"/>
      <c r="G323" s="14"/>
      <c r="H323" s="14"/>
      <c r="I323" s="14"/>
      <c r="J323" s="14"/>
      <c r="K323" s="14"/>
      <c r="L323" s="14"/>
      <c r="M323" s="14"/>
      <c r="N323" s="14"/>
      <c r="O323" s="14"/>
      <c r="P323" s="14"/>
      <c r="Q323" s="14"/>
      <c r="R323" s="18"/>
      <c r="S323" s="18"/>
      <c r="T323" s="93"/>
      <c r="U323" s="20"/>
      <c r="V323" s="14"/>
      <c r="W323" s="14"/>
      <c r="X323" s="14"/>
      <c r="Y323" s="14"/>
      <c r="Z323" s="14"/>
      <c r="AA323" s="14"/>
      <c r="AB323" s="14"/>
      <c r="AC323" s="14"/>
      <c r="AD323" s="14"/>
      <c r="AE323" s="14"/>
      <c r="AF323" s="14"/>
      <c r="AG323" s="14"/>
      <c r="AH323" s="14"/>
      <c r="AI323" s="14"/>
      <c r="AJ323" s="14"/>
      <c r="AK323" s="14"/>
      <c r="AL323" s="14"/>
      <c r="AM323" s="14"/>
      <c r="AN323" s="14"/>
    </row>
    <row r="324" ht="15.75" customHeight="1">
      <c r="A324" s="14"/>
      <c r="B324" s="14"/>
      <c r="C324" s="14"/>
      <c r="D324" s="14"/>
      <c r="E324" s="14"/>
      <c r="F324" s="14"/>
      <c r="G324" s="14"/>
      <c r="H324" s="14"/>
      <c r="I324" s="14"/>
      <c r="J324" s="14"/>
      <c r="K324" s="14"/>
      <c r="L324" s="14"/>
      <c r="M324" s="14"/>
      <c r="N324" s="14"/>
      <c r="O324" s="14"/>
      <c r="P324" s="14"/>
      <c r="Q324" s="14"/>
      <c r="R324" s="18"/>
      <c r="S324" s="18"/>
      <c r="T324" s="93"/>
      <c r="U324" s="20"/>
      <c r="V324" s="14"/>
      <c r="W324" s="14"/>
      <c r="X324" s="14"/>
      <c r="Y324" s="14"/>
      <c r="Z324" s="14"/>
      <c r="AA324" s="14"/>
      <c r="AB324" s="14"/>
      <c r="AC324" s="14"/>
      <c r="AD324" s="14"/>
      <c r="AE324" s="14"/>
      <c r="AF324" s="14"/>
      <c r="AG324" s="14"/>
      <c r="AH324" s="14"/>
      <c r="AI324" s="14"/>
      <c r="AJ324" s="14"/>
      <c r="AK324" s="14"/>
      <c r="AL324" s="14"/>
      <c r="AM324" s="14"/>
      <c r="AN324" s="14"/>
    </row>
    <row r="325" ht="15.75" customHeight="1">
      <c r="A325" s="14"/>
      <c r="B325" s="14"/>
      <c r="C325" s="14"/>
      <c r="D325" s="14"/>
      <c r="E325" s="14"/>
      <c r="F325" s="14"/>
      <c r="G325" s="14"/>
      <c r="H325" s="14"/>
      <c r="I325" s="14"/>
      <c r="J325" s="14"/>
      <c r="K325" s="14"/>
      <c r="L325" s="14"/>
      <c r="M325" s="14"/>
      <c r="N325" s="14"/>
      <c r="O325" s="14"/>
      <c r="P325" s="14"/>
      <c r="Q325" s="14"/>
      <c r="R325" s="18"/>
      <c r="S325" s="18"/>
      <c r="T325" s="93"/>
      <c r="U325" s="20"/>
      <c r="V325" s="14"/>
      <c r="W325" s="14"/>
      <c r="X325" s="14"/>
      <c r="Y325" s="14"/>
      <c r="Z325" s="14"/>
      <c r="AA325" s="14"/>
      <c r="AB325" s="14"/>
      <c r="AC325" s="14"/>
      <c r="AD325" s="14"/>
      <c r="AE325" s="14"/>
      <c r="AF325" s="14"/>
      <c r="AG325" s="14"/>
      <c r="AH325" s="14"/>
      <c r="AI325" s="14"/>
      <c r="AJ325" s="14"/>
      <c r="AK325" s="14"/>
      <c r="AL325" s="14"/>
      <c r="AM325" s="14"/>
      <c r="AN325" s="14"/>
    </row>
    <row r="326" ht="15.75" customHeight="1">
      <c r="A326" s="14"/>
      <c r="B326" s="14"/>
      <c r="C326" s="14"/>
      <c r="D326" s="14"/>
      <c r="E326" s="14"/>
      <c r="F326" s="14"/>
      <c r="G326" s="14"/>
      <c r="H326" s="14"/>
      <c r="I326" s="14"/>
      <c r="J326" s="14"/>
      <c r="K326" s="14"/>
      <c r="L326" s="14"/>
      <c r="M326" s="14"/>
      <c r="N326" s="14"/>
      <c r="O326" s="14"/>
      <c r="P326" s="14"/>
      <c r="Q326" s="14"/>
      <c r="R326" s="18"/>
      <c r="S326" s="18"/>
      <c r="T326" s="93"/>
      <c r="U326" s="20"/>
      <c r="V326" s="14"/>
      <c r="W326" s="14"/>
      <c r="X326" s="14"/>
      <c r="Y326" s="14"/>
      <c r="Z326" s="14"/>
      <c r="AA326" s="14"/>
      <c r="AB326" s="14"/>
      <c r="AC326" s="14"/>
      <c r="AD326" s="14"/>
      <c r="AE326" s="14"/>
      <c r="AF326" s="14"/>
      <c r="AG326" s="14"/>
      <c r="AH326" s="14"/>
      <c r="AI326" s="14"/>
      <c r="AJ326" s="14"/>
      <c r="AK326" s="14"/>
      <c r="AL326" s="14"/>
      <c r="AM326" s="14"/>
      <c r="AN326" s="14"/>
    </row>
    <row r="327" ht="15.75" customHeight="1">
      <c r="A327" s="14"/>
      <c r="B327" s="14"/>
      <c r="C327" s="14"/>
      <c r="D327" s="14"/>
      <c r="E327" s="14"/>
      <c r="F327" s="14"/>
      <c r="G327" s="14"/>
      <c r="H327" s="14"/>
      <c r="I327" s="14"/>
      <c r="J327" s="14"/>
      <c r="K327" s="14"/>
      <c r="L327" s="14"/>
      <c r="M327" s="14"/>
      <c r="N327" s="14"/>
      <c r="O327" s="14"/>
      <c r="P327" s="14"/>
      <c r="Q327" s="14"/>
      <c r="R327" s="18"/>
      <c r="S327" s="18"/>
      <c r="T327" s="93"/>
      <c r="U327" s="20"/>
      <c r="V327" s="14"/>
      <c r="W327" s="14"/>
      <c r="X327" s="14"/>
      <c r="Y327" s="14"/>
      <c r="Z327" s="14"/>
      <c r="AA327" s="14"/>
      <c r="AB327" s="14"/>
      <c r="AC327" s="14"/>
      <c r="AD327" s="14"/>
      <c r="AE327" s="14"/>
      <c r="AF327" s="14"/>
      <c r="AG327" s="14"/>
      <c r="AH327" s="14"/>
      <c r="AI327" s="14"/>
      <c r="AJ327" s="14"/>
      <c r="AK327" s="14"/>
      <c r="AL327" s="14"/>
      <c r="AM327" s="14"/>
      <c r="AN327" s="14"/>
    </row>
    <row r="328" ht="15.75" customHeight="1">
      <c r="A328" s="14"/>
      <c r="B328" s="14"/>
      <c r="C328" s="14"/>
      <c r="D328" s="14"/>
      <c r="E328" s="14"/>
      <c r="F328" s="14"/>
      <c r="G328" s="14"/>
      <c r="H328" s="14"/>
      <c r="I328" s="14"/>
      <c r="J328" s="14"/>
      <c r="K328" s="14"/>
      <c r="L328" s="14"/>
      <c r="M328" s="14"/>
      <c r="N328" s="14"/>
      <c r="O328" s="14"/>
      <c r="P328" s="14"/>
      <c r="Q328" s="14"/>
      <c r="R328" s="18"/>
      <c r="S328" s="18"/>
      <c r="T328" s="93"/>
      <c r="U328" s="20"/>
      <c r="V328" s="14"/>
      <c r="W328" s="14"/>
      <c r="X328" s="14"/>
      <c r="Y328" s="14"/>
      <c r="Z328" s="14"/>
      <c r="AA328" s="14"/>
      <c r="AB328" s="14"/>
      <c r="AC328" s="14"/>
      <c r="AD328" s="14"/>
      <c r="AE328" s="14"/>
      <c r="AF328" s="14"/>
      <c r="AG328" s="14"/>
      <c r="AH328" s="14"/>
      <c r="AI328" s="14"/>
      <c r="AJ328" s="14"/>
      <c r="AK328" s="14"/>
      <c r="AL328" s="14"/>
      <c r="AM328" s="14"/>
      <c r="AN328" s="14"/>
    </row>
    <row r="329" ht="15.75" customHeight="1">
      <c r="A329" s="14"/>
      <c r="B329" s="14"/>
      <c r="C329" s="14"/>
      <c r="D329" s="14"/>
      <c r="E329" s="14"/>
      <c r="F329" s="14"/>
      <c r="G329" s="14"/>
      <c r="H329" s="14"/>
      <c r="I329" s="14"/>
      <c r="J329" s="14"/>
      <c r="K329" s="14"/>
      <c r="L329" s="14"/>
      <c r="M329" s="14"/>
      <c r="N329" s="14"/>
      <c r="O329" s="14"/>
      <c r="P329" s="14"/>
      <c r="Q329" s="14"/>
      <c r="R329" s="18"/>
      <c r="S329" s="18"/>
      <c r="T329" s="93"/>
      <c r="U329" s="20"/>
      <c r="V329" s="14"/>
      <c r="W329" s="14"/>
      <c r="X329" s="14"/>
      <c r="Y329" s="14"/>
      <c r="Z329" s="14"/>
      <c r="AA329" s="14"/>
      <c r="AB329" s="14"/>
      <c r="AC329" s="14"/>
      <c r="AD329" s="14"/>
      <c r="AE329" s="14"/>
      <c r="AF329" s="14"/>
      <c r="AG329" s="14"/>
      <c r="AH329" s="14"/>
      <c r="AI329" s="14"/>
      <c r="AJ329" s="14"/>
      <c r="AK329" s="14"/>
      <c r="AL329" s="14"/>
      <c r="AM329" s="14"/>
      <c r="AN329" s="14"/>
    </row>
    <row r="330" ht="15.75" customHeight="1">
      <c r="A330" s="14"/>
      <c r="B330" s="14"/>
      <c r="C330" s="14"/>
      <c r="D330" s="14"/>
      <c r="E330" s="14"/>
      <c r="F330" s="14"/>
      <c r="G330" s="14"/>
      <c r="H330" s="14"/>
      <c r="I330" s="14"/>
      <c r="J330" s="14"/>
      <c r="K330" s="14"/>
      <c r="L330" s="14"/>
      <c r="M330" s="14"/>
      <c r="N330" s="14"/>
      <c r="O330" s="14"/>
      <c r="P330" s="14"/>
      <c r="Q330" s="14"/>
      <c r="R330" s="18"/>
      <c r="S330" s="18"/>
      <c r="T330" s="93"/>
      <c r="U330" s="20"/>
      <c r="V330" s="14"/>
      <c r="W330" s="14"/>
      <c r="X330" s="14"/>
      <c r="Y330" s="14"/>
      <c r="Z330" s="14"/>
      <c r="AA330" s="14"/>
      <c r="AB330" s="14"/>
      <c r="AC330" s="14"/>
      <c r="AD330" s="14"/>
      <c r="AE330" s="14"/>
      <c r="AF330" s="14"/>
      <c r="AG330" s="14"/>
      <c r="AH330" s="14"/>
      <c r="AI330" s="14"/>
      <c r="AJ330" s="14"/>
      <c r="AK330" s="14"/>
      <c r="AL330" s="14"/>
      <c r="AM330" s="14"/>
      <c r="AN330" s="14"/>
    </row>
    <row r="331" ht="15.75" customHeight="1">
      <c r="A331" s="14"/>
      <c r="B331" s="14"/>
      <c r="C331" s="14"/>
      <c r="D331" s="14"/>
      <c r="E331" s="14"/>
      <c r="F331" s="14"/>
      <c r="G331" s="14"/>
      <c r="H331" s="14"/>
      <c r="I331" s="14"/>
      <c r="J331" s="14"/>
      <c r="K331" s="14"/>
      <c r="L331" s="14"/>
      <c r="M331" s="14"/>
      <c r="N331" s="14"/>
      <c r="O331" s="14"/>
      <c r="P331" s="14"/>
      <c r="Q331" s="14"/>
      <c r="R331" s="18"/>
      <c r="S331" s="18"/>
      <c r="T331" s="93"/>
      <c r="U331" s="20"/>
      <c r="V331" s="14"/>
      <c r="W331" s="14"/>
      <c r="X331" s="14"/>
      <c r="Y331" s="14"/>
      <c r="Z331" s="14"/>
      <c r="AA331" s="14"/>
      <c r="AB331" s="14"/>
      <c r="AC331" s="14"/>
      <c r="AD331" s="14"/>
      <c r="AE331" s="14"/>
      <c r="AF331" s="14"/>
      <c r="AG331" s="14"/>
      <c r="AH331" s="14"/>
      <c r="AI331" s="14"/>
      <c r="AJ331" s="14"/>
      <c r="AK331" s="14"/>
      <c r="AL331" s="14"/>
      <c r="AM331" s="14"/>
      <c r="AN331" s="14"/>
    </row>
    <row r="332" ht="15.75" customHeight="1">
      <c r="A332" s="14"/>
      <c r="B332" s="14"/>
      <c r="C332" s="14"/>
      <c r="D332" s="14"/>
      <c r="E332" s="14"/>
      <c r="F332" s="14"/>
      <c r="G332" s="14"/>
      <c r="H332" s="14"/>
      <c r="I332" s="14"/>
      <c r="J332" s="14"/>
      <c r="K332" s="14"/>
      <c r="L332" s="14"/>
      <c r="M332" s="14"/>
      <c r="N332" s="14"/>
      <c r="O332" s="14"/>
      <c r="P332" s="14"/>
      <c r="Q332" s="14"/>
      <c r="R332" s="18"/>
      <c r="S332" s="18"/>
      <c r="T332" s="93"/>
      <c r="U332" s="20"/>
      <c r="V332" s="14"/>
      <c r="W332" s="14"/>
      <c r="X332" s="14"/>
      <c r="Y332" s="14"/>
      <c r="Z332" s="14"/>
      <c r="AA332" s="14"/>
      <c r="AB332" s="14"/>
      <c r="AC332" s="14"/>
      <c r="AD332" s="14"/>
      <c r="AE332" s="14"/>
      <c r="AF332" s="14"/>
      <c r="AG332" s="14"/>
      <c r="AH332" s="14"/>
      <c r="AI332" s="14"/>
      <c r="AJ332" s="14"/>
      <c r="AK332" s="14"/>
      <c r="AL332" s="14"/>
      <c r="AM332" s="14"/>
      <c r="AN332" s="14"/>
    </row>
    <row r="333" ht="15.75" customHeight="1">
      <c r="A333" s="14"/>
      <c r="B333" s="14"/>
      <c r="C333" s="14"/>
      <c r="D333" s="14"/>
      <c r="E333" s="14"/>
      <c r="F333" s="14"/>
      <c r="G333" s="14"/>
      <c r="H333" s="14"/>
      <c r="I333" s="14"/>
      <c r="J333" s="14"/>
      <c r="K333" s="14"/>
      <c r="L333" s="14"/>
      <c r="M333" s="14"/>
      <c r="N333" s="14"/>
      <c r="O333" s="14"/>
      <c r="P333" s="14"/>
      <c r="Q333" s="14"/>
      <c r="R333" s="18"/>
      <c r="S333" s="18"/>
      <c r="T333" s="93"/>
      <c r="U333" s="20"/>
      <c r="V333" s="14"/>
      <c r="W333" s="14"/>
      <c r="X333" s="14"/>
      <c r="Y333" s="14"/>
      <c r="Z333" s="14"/>
      <c r="AA333" s="14"/>
      <c r="AB333" s="14"/>
      <c r="AC333" s="14"/>
      <c r="AD333" s="14"/>
      <c r="AE333" s="14"/>
      <c r="AF333" s="14"/>
      <c r="AG333" s="14"/>
      <c r="AH333" s="14"/>
      <c r="AI333" s="14"/>
      <c r="AJ333" s="14"/>
      <c r="AK333" s="14"/>
      <c r="AL333" s="14"/>
      <c r="AM333" s="14"/>
      <c r="AN333" s="14"/>
    </row>
    <row r="334" ht="15.75" customHeight="1">
      <c r="A334" s="14"/>
      <c r="B334" s="14"/>
      <c r="C334" s="14"/>
      <c r="D334" s="14"/>
      <c r="E334" s="14"/>
      <c r="F334" s="14"/>
      <c r="G334" s="14"/>
      <c r="H334" s="14"/>
      <c r="I334" s="14"/>
      <c r="J334" s="14"/>
      <c r="K334" s="14"/>
      <c r="L334" s="14"/>
      <c r="M334" s="14"/>
      <c r="N334" s="14"/>
      <c r="O334" s="14"/>
      <c r="P334" s="14"/>
      <c r="Q334" s="14"/>
      <c r="R334" s="18"/>
      <c r="S334" s="18"/>
      <c r="T334" s="93"/>
      <c r="U334" s="20"/>
      <c r="V334" s="14"/>
      <c r="W334" s="14"/>
      <c r="X334" s="14"/>
      <c r="Y334" s="14"/>
      <c r="Z334" s="14"/>
      <c r="AA334" s="14"/>
      <c r="AB334" s="14"/>
      <c r="AC334" s="14"/>
      <c r="AD334" s="14"/>
      <c r="AE334" s="14"/>
      <c r="AF334" s="14"/>
      <c r="AG334" s="14"/>
      <c r="AH334" s="14"/>
      <c r="AI334" s="14"/>
      <c r="AJ334" s="14"/>
      <c r="AK334" s="14"/>
      <c r="AL334" s="14"/>
      <c r="AM334" s="14"/>
      <c r="AN334" s="14"/>
    </row>
    <row r="335" ht="15.75" customHeight="1">
      <c r="A335" s="14"/>
      <c r="B335" s="14"/>
      <c r="C335" s="14"/>
      <c r="D335" s="14"/>
      <c r="E335" s="14"/>
      <c r="F335" s="14"/>
      <c r="G335" s="14"/>
      <c r="H335" s="14"/>
      <c r="I335" s="14"/>
      <c r="J335" s="14"/>
      <c r="K335" s="14"/>
      <c r="L335" s="14"/>
      <c r="M335" s="14"/>
      <c r="N335" s="14"/>
      <c r="O335" s="14"/>
      <c r="P335" s="14"/>
      <c r="Q335" s="14"/>
      <c r="R335" s="18"/>
      <c r="S335" s="18"/>
      <c r="T335" s="93"/>
      <c r="U335" s="20"/>
      <c r="V335" s="14"/>
      <c r="W335" s="14"/>
      <c r="X335" s="14"/>
      <c r="Y335" s="14"/>
      <c r="Z335" s="14"/>
      <c r="AA335" s="14"/>
      <c r="AB335" s="14"/>
      <c r="AC335" s="14"/>
      <c r="AD335" s="14"/>
      <c r="AE335" s="14"/>
      <c r="AF335" s="14"/>
      <c r="AG335" s="14"/>
      <c r="AH335" s="14"/>
      <c r="AI335" s="14"/>
      <c r="AJ335" s="14"/>
      <c r="AK335" s="14"/>
      <c r="AL335" s="14"/>
      <c r="AM335" s="14"/>
      <c r="AN335" s="14"/>
    </row>
    <row r="336" ht="15.75" customHeight="1">
      <c r="A336" s="14"/>
      <c r="B336" s="14"/>
      <c r="C336" s="14"/>
      <c r="D336" s="14"/>
      <c r="E336" s="14"/>
      <c r="F336" s="14"/>
      <c r="G336" s="14"/>
      <c r="H336" s="14"/>
      <c r="I336" s="14"/>
      <c r="J336" s="14"/>
      <c r="K336" s="14"/>
      <c r="L336" s="14"/>
      <c r="M336" s="14"/>
      <c r="N336" s="14"/>
      <c r="O336" s="14"/>
      <c r="P336" s="14"/>
      <c r="Q336" s="14"/>
      <c r="R336" s="18"/>
      <c r="S336" s="18"/>
      <c r="T336" s="93"/>
      <c r="U336" s="20"/>
      <c r="V336" s="14"/>
      <c r="W336" s="14"/>
      <c r="X336" s="14"/>
      <c r="Y336" s="14"/>
      <c r="Z336" s="14"/>
      <c r="AA336" s="14"/>
      <c r="AB336" s="14"/>
      <c r="AC336" s="14"/>
      <c r="AD336" s="14"/>
      <c r="AE336" s="14"/>
      <c r="AF336" s="14"/>
      <c r="AG336" s="14"/>
      <c r="AH336" s="14"/>
      <c r="AI336" s="14"/>
      <c r="AJ336" s="14"/>
      <c r="AK336" s="14"/>
      <c r="AL336" s="14"/>
      <c r="AM336" s="14"/>
      <c r="AN336" s="14"/>
    </row>
    <row r="337" ht="15.75" customHeight="1">
      <c r="A337" s="14"/>
      <c r="B337" s="14"/>
      <c r="C337" s="14"/>
      <c r="D337" s="14"/>
      <c r="E337" s="14"/>
      <c r="F337" s="14"/>
      <c r="G337" s="14"/>
      <c r="H337" s="14"/>
      <c r="I337" s="14"/>
      <c r="J337" s="14"/>
      <c r="K337" s="14"/>
      <c r="L337" s="14"/>
      <c r="M337" s="14"/>
      <c r="N337" s="14"/>
      <c r="O337" s="14"/>
      <c r="P337" s="14"/>
      <c r="Q337" s="14"/>
      <c r="R337" s="18"/>
      <c r="S337" s="18"/>
      <c r="T337" s="93"/>
      <c r="U337" s="20"/>
      <c r="V337" s="14"/>
      <c r="W337" s="14"/>
      <c r="X337" s="14"/>
      <c r="Y337" s="14"/>
      <c r="Z337" s="14"/>
      <c r="AA337" s="14"/>
      <c r="AB337" s="14"/>
      <c r="AC337" s="14"/>
      <c r="AD337" s="14"/>
      <c r="AE337" s="14"/>
      <c r="AF337" s="14"/>
      <c r="AG337" s="14"/>
      <c r="AH337" s="14"/>
      <c r="AI337" s="14"/>
      <c r="AJ337" s="14"/>
      <c r="AK337" s="14"/>
      <c r="AL337" s="14"/>
      <c r="AM337" s="14"/>
      <c r="AN337" s="14"/>
    </row>
    <row r="338" ht="15.75" customHeight="1">
      <c r="A338" s="14"/>
      <c r="B338" s="14"/>
      <c r="C338" s="14"/>
      <c r="D338" s="14"/>
      <c r="E338" s="14"/>
      <c r="F338" s="14"/>
      <c r="G338" s="14"/>
      <c r="H338" s="14"/>
      <c r="I338" s="14"/>
      <c r="J338" s="14"/>
      <c r="K338" s="14"/>
      <c r="L338" s="14"/>
      <c r="M338" s="14"/>
      <c r="N338" s="14"/>
      <c r="O338" s="14"/>
      <c r="P338" s="14"/>
      <c r="Q338" s="14"/>
      <c r="R338" s="18"/>
      <c r="S338" s="18"/>
      <c r="T338" s="93"/>
      <c r="U338" s="20"/>
      <c r="V338" s="14"/>
      <c r="W338" s="14"/>
      <c r="X338" s="14"/>
      <c r="Y338" s="14"/>
      <c r="Z338" s="14"/>
      <c r="AA338" s="14"/>
      <c r="AB338" s="14"/>
      <c r="AC338" s="14"/>
      <c r="AD338" s="14"/>
      <c r="AE338" s="14"/>
      <c r="AF338" s="14"/>
      <c r="AG338" s="14"/>
      <c r="AH338" s="14"/>
      <c r="AI338" s="14"/>
      <c r="AJ338" s="14"/>
      <c r="AK338" s="14"/>
      <c r="AL338" s="14"/>
      <c r="AM338" s="14"/>
      <c r="AN338" s="14"/>
    </row>
    <row r="339" ht="15.75" customHeight="1">
      <c r="A339" s="14"/>
      <c r="B339" s="14"/>
      <c r="C339" s="14"/>
      <c r="D339" s="14"/>
      <c r="E339" s="14"/>
      <c r="F339" s="14"/>
      <c r="G339" s="14"/>
      <c r="H339" s="14"/>
      <c r="I339" s="14"/>
      <c r="J339" s="14"/>
      <c r="K339" s="14"/>
      <c r="L339" s="14"/>
      <c r="M339" s="14"/>
      <c r="N339" s="14"/>
      <c r="O339" s="14"/>
      <c r="P339" s="14"/>
      <c r="Q339" s="14"/>
      <c r="R339" s="18"/>
      <c r="S339" s="18"/>
      <c r="T339" s="93"/>
      <c r="U339" s="20"/>
      <c r="V339" s="14"/>
      <c r="W339" s="14"/>
      <c r="X339" s="14"/>
      <c r="Y339" s="14"/>
      <c r="Z339" s="14"/>
      <c r="AA339" s="14"/>
      <c r="AB339" s="14"/>
      <c r="AC339" s="14"/>
      <c r="AD339" s="14"/>
      <c r="AE339" s="14"/>
      <c r="AF339" s="14"/>
      <c r="AG339" s="14"/>
      <c r="AH339" s="14"/>
      <c r="AI339" s="14"/>
      <c r="AJ339" s="14"/>
      <c r="AK339" s="14"/>
      <c r="AL339" s="14"/>
      <c r="AM339" s="14"/>
      <c r="AN339" s="14"/>
    </row>
    <row r="340" ht="15.75" customHeight="1">
      <c r="A340" s="14"/>
      <c r="B340" s="14"/>
      <c r="C340" s="14"/>
      <c r="D340" s="14"/>
      <c r="E340" s="14"/>
      <c r="F340" s="14"/>
      <c r="G340" s="14"/>
      <c r="H340" s="14"/>
      <c r="I340" s="14"/>
      <c r="J340" s="14"/>
      <c r="K340" s="14"/>
      <c r="L340" s="14"/>
      <c r="M340" s="14"/>
      <c r="N340" s="14"/>
      <c r="O340" s="14"/>
      <c r="P340" s="14"/>
      <c r="Q340" s="14"/>
      <c r="R340" s="18"/>
      <c r="S340" s="18"/>
      <c r="T340" s="93"/>
      <c r="U340" s="20"/>
      <c r="V340" s="14"/>
      <c r="W340" s="14"/>
      <c r="X340" s="14"/>
      <c r="Y340" s="14"/>
      <c r="Z340" s="14"/>
      <c r="AA340" s="14"/>
      <c r="AB340" s="14"/>
      <c r="AC340" s="14"/>
      <c r="AD340" s="14"/>
      <c r="AE340" s="14"/>
      <c r="AF340" s="14"/>
      <c r="AG340" s="14"/>
      <c r="AH340" s="14"/>
      <c r="AI340" s="14"/>
      <c r="AJ340" s="14"/>
      <c r="AK340" s="14"/>
      <c r="AL340" s="14"/>
      <c r="AM340" s="14"/>
      <c r="AN340" s="14"/>
    </row>
    <row r="341" ht="15.75" customHeight="1">
      <c r="A341" s="14"/>
      <c r="B341" s="14"/>
      <c r="C341" s="14"/>
      <c r="D341" s="14"/>
      <c r="E341" s="14"/>
      <c r="F341" s="14"/>
      <c r="G341" s="14"/>
      <c r="H341" s="14"/>
      <c r="I341" s="14"/>
      <c r="J341" s="14"/>
      <c r="K341" s="14"/>
      <c r="L341" s="14"/>
      <c r="M341" s="14"/>
      <c r="N341" s="14"/>
      <c r="O341" s="14"/>
      <c r="P341" s="14"/>
      <c r="Q341" s="14"/>
      <c r="R341" s="18"/>
      <c r="S341" s="18"/>
      <c r="T341" s="93"/>
      <c r="U341" s="20"/>
      <c r="V341" s="14"/>
      <c r="W341" s="14"/>
      <c r="X341" s="14"/>
      <c r="Y341" s="14"/>
      <c r="Z341" s="14"/>
      <c r="AA341" s="14"/>
      <c r="AB341" s="14"/>
      <c r="AC341" s="14"/>
      <c r="AD341" s="14"/>
      <c r="AE341" s="14"/>
      <c r="AF341" s="14"/>
      <c r="AG341" s="14"/>
      <c r="AH341" s="14"/>
      <c r="AI341" s="14"/>
      <c r="AJ341" s="14"/>
      <c r="AK341" s="14"/>
      <c r="AL341" s="14"/>
      <c r="AM341" s="14"/>
      <c r="AN341" s="14"/>
    </row>
    <row r="342" ht="15.75" customHeight="1">
      <c r="A342" s="14"/>
      <c r="B342" s="14"/>
      <c r="C342" s="14"/>
      <c r="D342" s="14"/>
      <c r="E342" s="14"/>
      <c r="F342" s="14"/>
      <c r="G342" s="14"/>
      <c r="H342" s="14"/>
      <c r="I342" s="14"/>
      <c r="J342" s="14"/>
      <c r="K342" s="14"/>
      <c r="L342" s="14"/>
      <c r="M342" s="14"/>
      <c r="N342" s="14"/>
      <c r="O342" s="14"/>
      <c r="P342" s="14"/>
      <c r="Q342" s="14"/>
      <c r="R342" s="18"/>
      <c r="S342" s="18"/>
      <c r="T342" s="93"/>
      <c r="U342" s="20"/>
      <c r="V342" s="14"/>
      <c r="W342" s="14"/>
      <c r="X342" s="14"/>
      <c r="Y342" s="14"/>
      <c r="Z342" s="14"/>
      <c r="AA342" s="14"/>
      <c r="AB342" s="14"/>
      <c r="AC342" s="14"/>
      <c r="AD342" s="14"/>
      <c r="AE342" s="14"/>
      <c r="AF342" s="14"/>
      <c r="AG342" s="14"/>
      <c r="AH342" s="14"/>
      <c r="AI342" s="14"/>
      <c r="AJ342" s="14"/>
      <c r="AK342" s="14"/>
      <c r="AL342" s="14"/>
      <c r="AM342" s="14"/>
      <c r="AN342" s="14"/>
    </row>
    <row r="343" ht="15.75" customHeight="1">
      <c r="A343" s="14"/>
      <c r="B343" s="14"/>
      <c r="C343" s="14"/>
      <c r="D343" s="14"/>
      <c r="E343" s="14"/>
      <c r="F343" s="14"/>
      <c r="G343" s="14"/>
      <c r="H343" s="14"/>
      <c r="I343" s="14"/>
      <c r="J343" s="14"/>
      <c r="K343" s="14"/>
      <c r="L343" s="14"/>
      <c r="M343" s="14"/>
      <c r="N343" s="14"/>
      <c r="O343" s="14"/>
      <c r="P343" s="14"/>
      <c r="Q343" s="14"/>
      <c r="R343" s="18"/>
      <c r="S343" s="18"/>
      <c r="T343" s="93"/>
      <c r="U343" s="20"/>
      <c r="V343" s="14"/>
      <c r="W343" s="14"/>
      <c r="X343" s="14"/>
      <c r="Y343" s="14"/>
      <c r="Z343" s="14"/>
      <c r="AA343" s="14"/>
      <c r="AB343" s="14"/>
      <c r="AC343" s="14"/>
      <c r="AD343" s="14"/>
      <c r="AE343" s="14"/>
      <c r="AF343" s="14"/>
      <c r="AG343" s="14"/>
      <c r="AH343" s="14"/>
      <c r="AI343" s="14"/>
      <c r="AJ343" s="14"/>
      <c r="AK343" s="14"/>
      <c r="AL343" s="14"/>
      <c r="AM343" s="14"/>
      <c r="AN343" s="14"/>
    </row>
    <row r="344" ht="15.75" customHeight="1">
      <c r="A344" s="14"/>
      <c r="B344" s="14"/>
      <c r="C344" s="14"/>
      <c r="D344" s="14"/>
      <c r="E344" s="14"/>
      <c r="F344" s="14"/>
      <c r="G344" s="14"/>
      <c r="H344" s="14"/>
      <c r="I344" s="14"/>
      <c r="J344" s="14"/>
      <c r="K344" s="14"/>
      <c r="L344" s="14"/>
      <c r="M344" s="14"/>
      <c r="N344" s="14"/>
      <c r="O344" s="14"/>
      <c r="P344" s="14"/>
      <c r="Q344" s="14"/>
      <c r="R344" s="18"/>
      <c r="S344" s="18"/>
      <c r="T344" s="93"/>
      <c r="U344" s="20"/>
      <c r="V344" s="14"/>
      <c r="W344" s="14"/>
      <c r="X344" s="14"/>
      <c r="Y344" s="14"/>
      <c r="Z344" s="14"/>
      <c r="AA344" s="14"/>
      <c r="AB344" s="14"/>
      <c r="AC344" s="14"/>
      <c r="AD344" s="14"/>
      <c r="AE344" s="14"/>
      <c r="AF344" s="14"/>
      <c r="AG344" s="14"/>
      <c r="AH344" s="14"/>
      <c r="AI344" s="14"/>
      <c r="AJ344" s="14"/>
      <c r="AK344" s="14"/>
      <c r="AL344" s="14"/>
      <c r="AM344" s="14"/>
      <c r="AN344" s="14"/>
    </row>
    <row r="345" ht="15.75" customHeight="1">
      <c r="A345" s="14"/>
      <c r="B345" s="14"/>
      <c r="C345" s="14"/>
      <c r="D345" s="14"/>
      <c r="E345" s="14"/>
      <c r="F345" s="14"/>
      <c r="G345" s="14"/>
      <c r="H345" s="14"/>
      <c r="I345" s="14"/>
      <c r="J345" s="14"/>
      <c r="K345" s="14"/>
      <c r="L345" s="14"/>
      <c r="M345" s="14"/>
      <c r="N345" s="14"/>
      <c r="O345" s="14"/>
      <c r="P345" s="14"/>
      <c r="Q345" s="14"/>
      <c r="R345" s="18"/>
      <c r="S345" s="18"/>
      <c r="T345" s="93"/>
      <c r="U345" s="20"/>
      <c r="V345" s="14"/>
      <c r="W345" s="14"/>
      <c r="X345" s="14"/>
      <c r="Y345" s="14"/>
      <c r="Z345" s="14"/>
      <c r="AA345" s="14"/>
      <c r="AB345" s="14"/>
      <c r="AC345" s="14"/>
      <c r="AD345" s="14"/>
      <c r="AE345" s="14"/>
      <c r="AF345" s="14"/>
      <c r="AG345" s="14"/>
      <c r="AH345" s="14"/>
      <c r="AI345" s="14"/>
      <c r="AJ345" s="14"/>
      <c r="AK345" s="14"/>
      <c r="AL345" s="14"/>
      <c r="AM345" s="14"/>
      <c r="AN345" s="14"/>
    </row>
    <row r="346" ht="15.75" customHeight="1">
      <c r="A346" s="14"/>
      <c r="B346" s="14"/>
      <c r="C346" s="14"/>
      <c r="D346" s="14"/>
      <c r="E346" s="14"/>
      <c r="F346" s="14"/>
      <c r="G346" s="14"/>
      <c r="H346" s="14"/>
      <c r="I346" s="14"/>
      <c r="J346" s="14"/>
      <c r="K346" s="14"/>
      <c r="L346" s="14"/>
      <c r="M346" s="14"/>
      <c r="N346" s="14"/>
      <c r="O346" s="14"/>
      <c r="P346" s="14"/>
      <c r="Q346" s="14"/>
      <c r="R346" s="18"/>
      <c r="S346" s="18"/>
      <c r="T346" s="93"/>
      <c r="U346" s="20"/>
      <c r="V346" s="14"/>
      <c r="W346" s="14"/>
      <c r="X346" s="14"/>
      <c r="Y346" s="14"/>
      <c r="Z346" s="14"/>
      <c r="AA346" s="14"/>
      <c r="AB346" s="14"/>
      <c r="AC346" s="14"/>
      <c r="AD346" s="14"/>
      <c r="AE346" s="14"/>
      <c r="AF346" s="14"/>
      <c r="AG346" s="14"/>
      <c r="AH346" s="14"/>
      <c r="AI346" s="14"/>
      <c r="AJ346" s="14"/>
      <c r="AK346" s="14"/>
      <c r="AL346" s="14"/>
      <c r="AM346" s="14"/>
      <c r="AN346" s="14"/>
    </row>
    <row r="347" ht="15.75" customHeight="1">
      <c r="A347" s="14"/>
      <c r="B347" s="14"/>
      <c r="C347" s="14"/>
      <c r="D347" s="14"/>
      <c r="E347" s="14"/>
      <c r="F347" s="14"/>
      <c r="G347" s="14"/>
      <c r="H347" s="14"/>
      <c r="I347" s="14"/>
      <c r="J347" s="14"/>
      <c r="K347" s="14"/>
      <c r="L347" s="14"/>
      <c r="M347" s="14"/>
      <c r="N347" s="14"/>
      <c r="O347" s="14"/>
      <c r="P347" s="14"/>
      <c r="Q347" s="14"/>
      <c r="R347" s="18"/>
      <c r="S347" s="18"/>
      <c r="T347" s="93"/>
      <c r="U347" s="20"/>
      <c r="V347" s="14"/>
      <c r="W347" s="14"/>
      <c r="X347" s="14"/>
      <c r="Y347" s="14"/>
      <c r="Z347" s="14"/>
      <c r="AA347" s="14"/>
      <c r="AB347" s="14"/>
      <c r="AC347" s="14"/>
      <c r="AD347" s="14"/>
      <c r="AE347" s="14"/>
      <c r="AF347" s="14"/>
      <c r="AG347" s="14"/>
      <c r="AH347" s="14"/>
      <c r="AI347" s="14"/>
      <c r="AJ347" s="14"/>
      <c r="AK347" s="14"/>
      <c r="AL347" s="14"/>
      <c r="AM347" s="14"/>
      <c r="AN347" s="14"/>
    </row>
    <row r="348" ht="15.75" customHeight="1">
      <c r="A348" s="14"/>
      <c r="B348" s="14"/>
      <c r="C348" s="14"/>
      <c r="D348" s="14"/>
      <c r="E348" s="14"/>
      <c r="F348" s="14"/>
      <c r="G348" s="14"/>
      <c r="H348" s="14"/>
      <c r="I348" s="14"/>
      <c r="J348" s="14"/>
      <c r="K348" s="14"/>
      <c r="L348" s="14"/>
      <c r="M348" s="14"/>
      <c r="N348" s="14"/>
      <c r="O348" s="14"/>
      <c r="P348" s="14"/>
      <c r="Q348" s="14"/>
      <c r="R348" s="18"/>
      <c r="S348" s="18"/>
      <c r="T348" s="93"/>
      <c r="U348" s="20"/>
      <c r="V348" s="14"/>
      <c r="W348" s="14"/>
      <c r="X348" s="14"/>
      <c r="Y348" s="14"/>
      <c r="Z348" s="14"/>
      <c r="AA348" s="14"/>
      <c r="AB348" s="14"/>
      <c r="AC348" s="14"/>
      <c r="AD348" s="14"/>
      <c r="AE348" s="14"/>
      <c r="AF348" s="14"/>
      <c r="AG348" s="14"/>
      <c r="AH348" s="14"/>
      <c r="AI348" s="14"/>
      <c r="AJ348" s="14"/>
      <c r="AK348" s="14"/>
      <c r="AL348" s="14"/>
      <c r="AM348" s="14"/>
      <c r="AN348" s="14"/>
    </row>
    <row r="349" ht="15.75" customHeight="1">
      <c r="A349" s="14"/>
      <c r="B349" s="14"/>
      <c r="C349" s="14"/>
      <c r="D349" s="14"/>
      <c r="E349" s="14"/>
      <c r="F349" s="14"/>
      <c r="G349" s="14"/>
      <c r="H349" s="14"/>
      <c r="I349" s="14"/>
      <c r="J349" s="14"/>
      <c r="K349" s="14"/>
      <c r="L349" s="14"/>
      <c r="M349" s="14"/>
      <c r="N349" s="14"/>
      <c r="O349" s="14"/>
      <c r="P349" s="14"/>
      <c r="Q349" s="14"/>
      <c r="R349" s="18"/>
      <c r="S349" s="18"/>
      <c r="T349" s="93"/>
      <c r="U349" s="20"/>
      <c r="V349" s="14"/>
      <c r="W349" s="14"/>
      <c r="X349" s="14"/>
      <c r="Y349" s="14"/>
      <c r="Z349" s="14"/>
      <c r="AA349" s="14"/>
      <c r="AB349" s="14"/>
      <c r="AC349" s="14"/>
      <c r="AD349" s="14"/>
      <c r="AE349" s="14"/>
      <c r="AF349" s="14"/>
      <c r="AG349" s="14"/>
      <c r="AH349" s="14"/>
      <c r="AI349" s="14"/>
      <c r="AJ349" s="14"/>
      <c r="AK349" s="14"/>
      <c r="AL349" s="14"/>
      <c r="AM349" s="14"/>
      <c r="AN349" s="14"/>
    </row>
    <row r="350" ht="15.75" customHeight="1">
      <c r="A350" s="14"/>
      <c r="B350" s="14"/>
      <c r="C350" s="14"/>
      <c r="D350" s="14"/>
      <c r="E350" s="14"/>
      <c r="F350" s="14"/>
      <c r="G350" s="14"/>
      <c r="H350" s="14"/>
      <c r="I350" s="14"/>
      <c r="J350" s="14"/>
      <c r="K350" s="14"/>
      <c r="L350" s="14"/>
      <c r="M350" s="14"/>
      <c r="N350" s="14"/>
      <c r="O350" s="14"/>
      <c r="P350" s="14"/>
      <c r="Q350" s="14"/>
      <c r="R350" s="18"/>
      <c r="S350" s="18"/>
      <c r="T350" s="93"/>
      <c r="U350" s="20"/>
      <c r="V350" s="14"/>
      <c r="W350" s="14"/>
      <c r="X350" s="14"/>
      <c r="Y350" s="14"/>
      <c r="Z350" s="14"/>
      <c r="AA350" s="14"/>
      <c r="AB350" s="14"/>
      <c r="AC350" s="14"/>
      <c r="AD350" s="14"/>
      <c r="AE350" s="14"/>
      <c r="AF350" s="14"/>
      <c r="AG350" s="14"/>
      <c r="AH350" s="14"/>
      <c r="AI350" s="14"/>
      <c r="AJ350" s="14"/>
      <c r="AK350" s="14"/>
      <c r="AL350" s="14"/>
      <c r="AM350" s="14"/>
      <c r="AN350" s="14"/>
    </row>
    <row r="351" ht="15.75" customHeight="1">
      <c r="A351" s="14"/>
      <c r="B351" s="14"/>
      <c r="C351" s="14"/>
      <c r="D351" s="14"/>
      <c r="E351" s="14"/>
      <c r="F351" s="14"/>
      <c r="G351" s="14"/>
      <c r="H351" s="14"/>
      <c r="I351" s="14"/>
      <c r="J351" s="14"/>
      <c r="K351" s="14"/>
      <c r="L351" s="14"/>
      <c r="M351" s="14"/>
      <c r="N351" s="14"/>
      <c r="O351" s="14"/>
      <c r="P351" s="14"/>
      <c r="Q351" s="14"/>
      <c r="R351" s="18"/>
      <c r="S351" s="18"/>
      <c r="T351" s="93"/>
      <c r="U351" s="20"/>
      <c r="V351" s="14"/>
      <c r="W351" s="14"/>
      <c r="X351" s="14"/>
      <c r="Y351" s="14"/>
      <c r="Z351" s="14"/>
      <c r="AA351" s="14"/>
      <c r="AB351" s="14"/>
      <c r="AC351" s="14"/>
      <c r="AD351" s="14"/>
      <c r="AE351" s="14"/>
      <c r="AF351" s="14"/>
      <c r="AG351" s="14"/>
      <c r="AH351" s="14"/>
      <c r="AI351" s="14"/>
      <c r="AJ351" s="14"/>
      <c r="AK351" s="14"/>
      <c r="AL351" s="14"/>
      <c r="AM351" s="14"/>
      <c r="AN351" s="14"/>
    </row>
    <row r="352" ht="15.75" customHeight="1">
      <c r="A352" s="14"/>
      <c r="B352" s="14"/>
      <c r="C352" s="14"/>
      <c r="D352" s="14"/>
      <c r="E352" s="14"/>
      <c r="F352" s="14"/>
      <c r="G352" s="14"/>
      <c r="H352" s="14"/>
      <c r="I352" s="14"/>
      <c r="J352" s="14"/>
      <c r="K352" s="14"/>
      <c r="L352" s="14"/>
      <c r="M352" s="14"/>
      <c r="N352" s="14"/>
      <c r="O352" s="14"/>
      <c r="P352" s="14"/>
      <c r="Q352" s="14"/>
      <c r="R352" s="18"/>
      <c r="S352" s="18"/>
      <c r="T352" s="93"/>
      <c r="U352" s="20"/>
      <c r="V352" s="14"/>
      <c r="W352" s="14"/>
      <c r="X352" s="14"/>
      <c r="Y352" s="14"/>
      <c r="Z352" s="14"/>
      <c r="AA352" s="14"/>
      <c r="AB352" s="14"/>
      <c r="AC352" s="14"/>
      <c r="AD352" s="14"/>
      <c r="AE352" s="14"/>
      <c r="AF352" s="14"/>
      <c r="AG352" s="14"/>
      <c r="AH352" s="14"/>
      <c r="AI352" s="14"/>
      <c r="AJ352" s="14"/>
      <c r="AK352" s="14"/>
      <c r="AL352" s="14"/>
      <c r="AM352" s="14"/>
      <c r="AN352" s="14"/>
    </row>
    <row r="353" ht="15.75" customHeight="1">
      <c r="A353" s="14"/>
      <c r="B353" s="14"/>
      <c r="C353" s="14"/>
      <c r="D353" s="14"/>
      <c r="E353" s="14"/>
      <c r="F353" s="14"/>
      <c r="G353" s="14"/>
      <c r="H353" s="14"/>
      <c r="I353" s="14"/>
      <c r="J353" s="14"/>
      <c r="K353" s="14"/>
      <c r="L353" s="14"/>
      <c r="M353" s="14"/>
      <c r="N353" s="14"/>
      <c r="O353" s="14"/>
      <c r="P353" s="14"/>
      <c r="Q353" s="14"/>
      <c r="R353" s="18"/>
      <c r="S353" s="18"/>
      <c r="T353" s="93"/>
      <c r="U353" s="20"/>
      <c r="V353" s="14"/>
      <c r="W353" s="14"/>
      <c r="X353" s="14"/>
      <c r="Y353" s="14"/>
      <c r="Z353" s="14"/>
      <c r="AA353" s="14"/>
      <c r="AB353" s="14"/>
      <c r="AC353" s="14"/>
      <c r="AD353" s="14"/>
      <c r="AE353" s="14"/>
      <c r="AF353" s="14"/>
      <c r="AG353" s="14"/>
      <c r="AH353" s="14"/>
      <c r="AI353" s="14"/>
      <c r="AJ353" s="14"/>
      <c r="AK353" s="14"/>
      <c r="AL353" s="14"/>
      <c r="AM353" s="14"/>
      <c r="AN353" s="14"/>
    </row>
    <row r="354" ht="15.75" customHeight="1">
      <c r="A354" s="14"/>
      <c r="B354" s="14"/>
      <c r="C354" s="14"/>
      <c r="D354" s="14"/>
      <c r="E354" s="14"/>
      <c r="F354" s="14"/>
      <c r="G354" s="14"/>
      <c r="H354" s="14"/>
      <c r="I354" s="14"/>
      <c r="J354" s="14"/>
      <c r="K354" s="14"/>
      <c r="L354" s="14"/>
      <c r="M354" s="14"/>
      <c r="N354" s="14"/>
      <c r="O354" s="14"/>
      <c r="P354" s="14"/>
      <c r="Q354" s="14"/>
      <c r="R354" s="18"/>
      <c r="S354" s="18"/>
      <c r="T354" s="93"/>
      <c r="U354" s="20"/>
      <c r="V354" s="14"/>
      <c r="W354" s="14"/>
      <c r="X354" s="14"/>
      <c r="Y354" s="14"/>
      <c r="Z354" s="14"/>
      <c r="AA354" s="14"/>
      <c r="AB354" s="14"/>
      <c r="AC354" s="14"/>
      <c r="AD354" s="14"/>
      <c r="AE354" s="14"/>
      <c r="AF354" s="14"/>
      <c r="AG354" s="14"/>
      <c r="AH354" s="14"/>
      <c r="AI354" s="14"/>
      <c r="AJ354" s="14"/>
      <c r="AK354" s="14"/>
      <c r="AL354" s="14"/>
      <c r="AM354" s="14"/>
      <c r="AN354" s="14"/>
    </row>
    <row r="355" ht="15.75" customHeight="1">
      <c r="A355" s="14"/>
      <c r="B355" s="14"/>
      <c r="C355" s="14"/>
      <c r="D355" s="14"/>
      <c r="E355" s="14"/>
      <c r="F355" s="14"/>
      <c r="G355" s="14"/>
      <c r="H355" s="14"/>
      <c r="I355" s="14"/>
      <c r="J355" s="14"/>
      <c r="K355" s="14"/>
      <c r="L355" s="14"/>
      <c r="M355" s="14"/>
      <c r="N355" s="14"/>
      <c r="O355" s="14"/>
      <c r="P355" s="14"/>
      <c r="Q355" s="14"/>
      <c r="R355" s="18"/>
      <c r="S355" s="18"/>
      <c r="T355" s="93"/>
      <c r="U355" s="20"/>
      <c r="V355" s="14"/>
      <c r="W355" s="14"/>
      <c r="X355" s="14"/>
      <c r="Y355" s="14"/>
      <c r="Z355" s="14"/>
      <c r="AA355" s="14"/>
      <c r="AB355" s="14"/>
      <c r="AC355" s="14"/>
      <c r="AD355" s="14"/>
      <c r="AE355" s="14"/>
      <c r="AF355" s="14"/>
      <c r="AG355" s="14"/>
      <c r="AH355" s="14"/>
      <c r="AI355" s="14"/>
      <c r="AJ355" s="14"/>
      <c r="AK355" s="14"/>
      <c r="AL355" s="14"/>
      <c r="AM355" s="14"/>
      <c r="AN355" s="14"/>
    </row>
    <row r="356" ht="15.75" customHeight="1">
      <c r="A356" s="14"/>
      <c r="B356" s="14"/>
      <c r="C356" s="14"/>
      <c r="D356" s="14"/>
      <c r="E356" s="14"/>
      <c r="F356" s="14"/>
      <c r="G356" s="14"/>
      <c r="H356" s="14"/>
      <c r="I356" s="14"/>
      <c r="J356" s="14"/>
      <c r="K356" s="14"/>
      <c r="L356" s="14"/>
      <c r="M356" s="14"/>
      <c r="N356" s="14"/>
      <c r="O356" s="14"/>
      <c r="P356" s="14"/>
      <c r="Q356" s="14"/>
      <c r="R356" s="18"/>
      <c r="S356" s="18"/>
      <c r="T356" s="93"/>
      <c r="U356" s="20"/>
      <c r="V356" s="14"/>
      <c r="W356" s="14"/>
      <c r="X356" s="14"/>
      <c r="Y356" s="14"/>
      <c r="Z356" s="14"/>
      <c r="AA356" s="14"/>
      <c r="AB356" s="14"/>
      <c r="AC356" s="14"/>
      <c r="AD356" s="14"/>
      <c r="AE356" s="14"/>
      <c r="AF356" s="14"/>
      <c r="AG356" s="14"/>
      <c r="AH356" s="14"/>
      <c r="AI356" s="14"/>
      <c r="AJ356" s="14"/>
      <c r="AK356" s="14"/>
      <c r="AL356" s="14"/>
      <c r="AM356" s="14"/>
      <c r="AN356" s="14"/>
    </row>
    <row r="357" ht="15.75" customHeight="1">
      <c r="A357" s="14"/>
      <c r="B357" s="14"/>
      <c r="C357" s="14"/>
      <c r="D357" s="14"/>
      <c r="E357" s="14"/>
      <c r="F357" s="14"/>
      <c r="G357" s="14"/>
      <c r="H357" s="14"/>
      <c r="I357" s="14"/>
      <c r="J357" s="14"/>
      <c r="K357" s="14"/>
      <c r="L357" s="14"/>
      <c r="M357" s="14"/>
      <c r="N357" s="14"/>
      <c r="O357" s="14"/>
      <c r="P357" s="14"/>
      <c r="Q357" s="14"/>
      <c r="R357" s="18"/>
      <c r="S357" s="18"/>
      <c r="T357" s="93"/>
      <c r="U357" s="20"/>
      <c r="V357" s="14"/>
      <c r="W357" s="14"/>
      <c r="X357" s="14"/>
      <c r="Y357" s="14"/>
      <c r="Z357" s="14"/>
      <c r="AA357" s="14"/>
      <c r="AB357" s="14"/>
      <c r="AC357" s="14"/>
      <c r="AD357" s="14"/>
      <c r="AE357" s="14"/>
      <c r="AF357" s="14"/>
      <c r="AG357" s="14"/>
      <c r="AH357" s="14"/>
      <c r="AI357" s="14"/>
      <c r="AJ357" s="14"/>
      <c r="AK357" s="14"/>
      <c r="AL357" s="14"/>
      <c r="AM357" s="14"/>
      <c r="AN357" s="14"/>
    </row>
    <row r="358" ht="15.75" customHeight="1">
      <c r="A358" s="14"/>
      <c r="B358" s="14"/>
      <c r="C358" s="14"/>
      <c r="D358" s="14"/>
      <c r="E358" s="14"/>
      <c r="F358" s="14"/>
      <c r="G358" s="14"/>
      <c r="H358" s="14"/>
      <c r="I358" s="14"/>
      <c r="J358" s="14"/>
      <c r="K358" s="14"/>
      <c r="L358" s="14"/>
      <c r="M358" s="14"/>
      <c r="N358" s="14"/>
      <c r="O358" s="14"/>
      <c r="P358" s="14"/>
      <c r="Q358" s="14"/>
      <c r="R358" s="18"/>
      <c r="S358" s="18"/>
      <c r="T358" s="93"/>
      <c r="U358" s="20"/>
      <c r="V358" s="14"/>
      <c r="W358" s="14"/>
      <c r="X358" s="14"/>
      <c r="Y358" s="14"/>
      <c r="Z358" s="14"/>
      <c r="AA358" s="14"/>
      <c r="AB358" s="14"/>
      <c r="AC358" s="14"/>
      <c r="AD358" s="14"/>
      <c r="AE358" s="14"/>
      <c r="AF358" s="14"/>
      <c r="AG358" s="14"/>
      <c r="AH358" s="14"/>
      <c r="AI358" s="14"/>
      <c r="AJ358" s="14"/>
      <c r="AK358" s="14"/>
      <c r="AL358" s="14"/>
      <c r="AM358" s="14"/>
      <c r="AN358" s="14"/>
    </row>
    <row r="359" ht="15.75" customHeight="1">
      <c r="A359" s="14"/>
      <c r="B359" s="14"/>
      <c r="C359" s="14"/>
      <c r="D359" s="14"/>
      <c r="E359" s="14"/>
      <c r="F359" s="14"/>
      <c r="G359" s="14"/>
      <c r="H359" s="14"/>
      <c r="I359" s="14"/>
      <c r="J359" s="14"/>
      <c r="K359" s="14"/>
      <c r="L359" s="14"/>
      <c r="M359" s="14"/>
      <c r="N359" s="14"/>
      <c r="O359" s="14"/>
      <c r="P359" s="14"/>
      <c r="Q359" s="14"/>
      <c r="R359" s="18"/>
      <c r="S359" s="18"/>
      <c r="T359" s="93"/>
      <c r="U359" s="20"/>
      <c r="V359" s="14"/>
      <c r="W359" s="14"/>
      <c r="X359" s="14"/>
      <c r="Y359" s="14"/>
      <c r="Z359" s="14"/>
      <c r="AA359" s="14"/>
      <c r="AB359" s="14"/>
      <c r="AC359" s="14"/>
      <c r="AD359" s="14"/>
      <c r="AE359" s="14"/>
      <c r="AF359" s="14"/>
      <c r="AG359" s="14"/>
      <c r="AH359" s="14"/>
      <c r="AI359" s="14"/>
      <c r="AJ359" s="14"/>
      <c r="AK359" s="14"/>
      <c r="AL359" s="14"/>
      <c r="AM359" s="14"/>
      <c r="AN359" s="14"/>
    </row>
    <row r="360" ht="15.75" customHeight="1">
      <c r="A360" s="14"/>
      <c r="B360" s="14"/>
      <c r="C360" s="14"/>
      <c r="D360" s="14"/>
      <c r="E360" s="14"/>
      <c r="F360" s="14"/>
      <c r="G360" s="14"/>
      <c r="H360" s="14"/>
      <c r="I360" s="14"/>
      <c r="J360" s="14"/>
      <c r="K360" s="14"/>
      <c r="L360" s="14"/>
      <c r="M360" s="14"/>
      <c r="N360" s="14"/>
      <c r="O360" s="14"/>
      <c r="P360" s="14"/>
      <c r="Q360" s="14"/>
      <c r="R360" s="18"/>
      <c r="S360" s="18"/>
      <c r="T360" s="93"/>
      <c r="U360" s="20"/>
      <c r="V360" s="14"/>
      <c r="W360" s="14"/>
      <c r="X360" s="14"/>
      <c r="Y360" s="14"/>
      <c r="Z360" s="14"/>
      <c r="AA360" s="14"/>
      <c r="AB360" s="14"/>
      <c r="AC360" s="14"/>
      <c r="AD360" s="14"/>
      <c r="AE360" s="14"/>
      <c r="AF360" s="14"/>
      <c r="AG360" s="14"/>
      <c r="AH360" s="14"/>
      <c r="AI360" s="14"/>
      <c r="AJ360" s="14"/>
      <c r="AK360" s="14"/>
      <c r="AL360" s="14"/>
      <c r="AM360" s="14"/>
      <c r="AN360" s="14"/>
    </row>
    <row r="361" ht="15.75" customHeight="1">
      <c r="A361" s="14"/>
      <c r="B361" s="14"/>
      <c r="C361" s="14"/>
      <c r="D361" s="14"/>
      <c r="E361" s="14"/>
      <c r="F361" s="14"/>
      <c r="G361" s="14"/>
      <c r="H361" s="14"/>
      <c r="I361" s="14"/>
      <c r="J361" s="14"/>
      <c r="K361" s="14"/>
      <c r="L361" s="14"/>
      <c r="M361" s="14"/>
      <c r="N361" s="14"/>
      <c r="O361" s="14"/>
      <c r="P361" s="14"/>
      <c r="Q361" s="14"/>
      <c r="R361" s="18"/>
      <c r="S361" s="18"/>
      <c r="T361" s="93"/>
      <c r="U361" s="20"/>
      <c r="V361" s="14"/>
      <c r="W361" s="14"/>
      <c r="X361" s="14"/>
      <c r="Y361" s="14"/>
      <c r="Z361" s="14"/>
      <c r="AA361" s="14"/>
      <c r="AB361" s="14"/>
      <c r="AC361" s="14"/>
      <c r="AD361" s="14"/>
      <c r="AE361" s="14"/>
      <c r="AF361" s="14"/>
      <c r="AG361" s="14"/>
      <c r="AH361" s="14"/>
      <c r="AI361" s="14"/>
      <c r="AJ361" s="14"/>
      <c r="AK361" s="14"/>
      <c r="AL361" s="14"/>
      <c r="AM361" s="14"/>
      <c r="AN361" s="14"/>
    </row>
    <row r="362" ht="15.75" customHeight="1">
      <c r="A362" s="14"/>
      <c r="B362" s="14"/>
      <c r="C362" s="14"/>
      <c r="D362" s="14"/>
      <c r="E362" s="14"/>
      <c r="F362" s="14"/>
      <c r="G362" s="14"/>
      <c r="H362" s="14"/>
      <c r="I362" s="14"/>
      <c r="J362" s="14"/>
      <c r="K362" s="14"/>
      <c r="L362" s="14"/>
      <c r="M362" s="14"/>
      <c r="N362" s="14"/>
      <c r="O362" s="14"/>
      <c r="P362" s="14"/>
      <c r="Q362" s="14"/>
      <c r="R362" s="18"/>
      <c r="S362" s="18"/>
      <c r="T362" s="93"/>
      <c r="U362" s="20"/>
      <c r="V362" s="14"/>
      <c r="W362" s="14"/>
      <c r="X362" s="14"/>
      <c r="Y362" s="14"/>
      <c r="Z362" s="14"/>
      <c r="AA362" s="14"/>
      <c r="AB362" s="14"/>
      <c r="AC362" s="14"/>
      <c r="AD362" s="14"/>
      <c r="AE362" s="14"/>
      <c r="AF362" s="14"/>
      <c r="AG362" s="14"/>
      <c r="AH362" s="14"/>
      <c r="AI362" s="14"/>
      <c r="AJ362" s="14"/>
      <c r="AK362" s="14"/>
      <c r="AL362" s="14"/>
      <c r="AM362" s="14"/>
      <c r="AN362" s="14"/>
    </row>
    <row r="363" ht="15.75" customHeight="1">
      <c r="A363" s="14"/>
      <c r="B363" s="14"/>
      <c r="C363" s="14"/>
      <c r="D363" s="14"/>
      <c r="E363" s="14"/>
      <c r="F363" s="14"/>
      <c r="G363" s="14"/>
      <c r="H363" s="14"/>
      <c r="I363" s="14"/>
      <c r="J363" s="14"/>
      <c r="K363" s="14"/>
      <c r="L363" s="14"/>
      <c r="M363" s="14"/>
      <c r="N363" s="14"/>
      <c r="O363" s="14"/>
      <c r="P363" s="14"/>
      <c r="Q363" s="14"/>
      <c r="R363" s="18"/>
      <c r="S363" s="18"/>
      <c r="T363" s="93"/>
      <c r="U363" s="20"/>
      <c r="V363" s="14"/>
      <c r="W363" s="14"/>
      <c r="X363" s="14"/>
      <c r="Y363" s="14"/>
      <c r="Z363" s="14"/>
      <c r="AA363" s="14"/>
      <c r="AB363" s="14"/>
      <c r="AC363" s="14"/>
      <c r="AD363" s="14"/>
      <c r="AE363" s="14"/>
      <c r="AF363" s="14"/>
      <c r="AG363" s="14"/>
      <c r="AH363" s="14"/>
      <c r="AI363" s="14"/>
      <c r="AJ363" s="14"/>
      <c r="AK363" s="14"/>
      <c r="AL363" s="14"/>
      <c r="AM363" s="14"/>
      <c r="AN363" s="14"/>
    </row>
    <row r="364" ht="15.75" customHeight="1">
      <c r="A364" s="14"/>
      <c r="B364" s="14"/>
      <c r="C364" s="14"/>
      <c r="D364" s="14"/>
      <c r="E364" s="14"/>
      <c r="F364" s="14"/>
      <c r="G364" s="14"/>
      <c r="H364" s="14"/>
      <c r="I364" s="14"/>
      <c r="J364" s="14"/>
      <c r="K364" s="14"/>
      <c r="L364" s="14"/>
      <c r="M364" s="14"/>
      <c r="N364" s="14"/>
      <c r="O364" s="14"/>
      <c r="P364" s="14"/>
      <c r="Q364" s="14"/>
      <c r="R364" s="18"/>
      <c r="S364" s="18"/>
      <c r="T364" s="93"/>
      <c r="U364" s="20"/>
      <c r="V364" s="14"/>
      <c r="W364" s="14"/>
      <c r="X364" s="14"/>
      <c r="Y364" s="14"/>
      <c r="Z364" s="14"/>
      <c r="AA364" s="14"/>
      <c r="AB364" s="14"/>
      <c r="AC364" s="14"/>
      <c r="AD364" s="14"/>
      <c r="AE364" s="14"/>
      <c r="AF364" s="14"/>
      <c r="AG364" s="14"/>
      <c r="AH364" s="14"/>
      <c r="AI364" s="14"/>
      <c r="AJ364" s="14"/>
      <c r="AK364" s="14"/>
      <c r="AL364" s="14"/>
      <c r="AM364" s="14"/>
      <c r="AN364" s="14"/>
    </row>
    <row r="365" ht="15.75" customHeight="1">
      <c r="A365" s="14"/>
      <c r="B365" s="14"/>
      <c r="C365" s="14"/>
      <c r="D365" s="14"/>
      <c r="E365" s="14"/>
      <c r="F365" s="14"/>
      <c r="G365" s="14"/>
      <c r="H365" s="14"/>
      <c r="I365" s="14"/>
      <c r="J365" s="14"/>
      <c r="K365" s="14"/>
      <c r="L365" s="14"/>
      <c r="M365" s="14"/>
      <c r="N365" s="14"/>
      <c r="O365" s="14"/>
      <c r="P365" s="14"/>
      <c r="Q365" s="14"/>
      <c r="R365" s="18"/>
      <c r="S365" s="18"/>
      <c r="T365" s="93"/>
      <c r="U365" s="20"/>
      <c r="V365" s="14"/>
      <c r="W365" s="14"/>
      <c r="X365" s="14"/>
      <c r="Y365" s="14"/>
      <c r="Z365" s="14"/>
      <c r="AA365" s="14"/>
      <c r="AB365" s="14"/>
      <c r="AC365" s="14"/>
      <c r="AD365" s="14"/>
      <c r="AE365" s="14"/>
      <c r="AF365" s="14"/>
      <c r="AG365" s="14"/>
      <c r="AH365" s="14"/>
      <c r="AI365" s="14"/>
      <c r="AJ365" s="14"/>
      <c r="AK365" s="14"/>
      <c r="AL365" s="14"/>
      <c r="AM365" s="14"/>
      <c r="AN365" s="14"/>
    </row>
    <row r="366" ht="15.75" customHeight="1">
      <c r="A366" s="14"/>
      <c r="B366" s="14"/>
      <c r="C366" s="14"/>
      <c r="D366" s="14"/>
      <c r="E366" s="14"/>
      <c r="F366" s="14"/>
      <c r="G366" s="14"/>
      <c r="H366" s="14"/>
      <c r="I366" s="14"/>
      <c r="J366" s="14"/>
      <c r="K366" s="14"/>
      <c r="L366" s="14"/>
      <c r="M366" s="14"/>
      <c r="N366" s="14"/>
      <c r="O366" s="14"/>
      <c r="P366" s="14"/>
      <c r="Q366" s="14"/>
      <c r="R366" s="18"/>
      <c r="S366" s="18"/>
      <c r="T366" s="93"/>
      <c r="U366" s="20"/>
      <c r="V366" s="14"/>
      <c r="W366" s="14"/>
      <c r="X366" s="14"/>
      <c r="Y366" s="14"/>
      <c r="Z366" s="14"/>
      <c r="AA366" s="14"/>
      <c r="AB366" s="14"/>
      <c r="AC366" s="14"/>
      <c r="AD366" s="14"/>
      <c r="AE366" s="14"/>
      <c r="AF366" s="14"/>
      <c r="AG366" s="14"/>
      <c r="AH366" s="14"/>
      <c r="AI366" s="14"/>
      <c r="AJ366" s="14"/>
      <c r="AK366" s="14"/>
      <c r="AL366" s="14"/>
      <c r="AM366" s="14"/>
      <c r="AN366" s="14"/>
    </row>
    <row r="367" ht="15.75" customHeight="1">
      <c r="A367" s="14"/>
      <c r="B367" s="14"/>
      <c r="C367" s="14"/>
      <c r="D367" s="14"/>
      <c r="E367" s="14"/>
      <c r="F367" s="14"/>
      <c r="G367" s="14"/>
      <c r="H367" s="14"/>
      <c r="I367" s="14"/>
      <c r="J367" s="14"/>
      <c r="K367" s="14"/>
      <c r="L367" s="14"/>
      <c r="M367" s="14"/>
      <c r="N367" s="14"/>
      <c r="O367" s="14"/>
      <c r="P367" s="14"/>
      <c r="Q367" s="14"/>
      <c r="R367" s="18"/>
      <c r="S367" s="18"/>
      <c r="T367" s="93"/>
      <c r="U367" s="20"/>
      <c r="V367" s="14"/>
      <c r="W367" s="14"/>
      <c r="X367" s="14"/>
      <c r="Y367" s="14"/>
      <c r="Z367" s="14"/>
      <c r="AA367" s="14"/>
      <c r="AB367" s="14"/>
      <c r="AC367" s="14"/>
      <c r="AD367" s="14"/>
      <c r="AE367" s="14"/>
      <c r="AF367" s="14"/>
      <c r="AG367" s="14"/>
      <c r="AH367" s="14"/>
      <c r="AI367" s="14"/>
      <c r="AJ367" s="14"/>
      <c r="AK367" s="14"/>
      <c r="AL367" s="14"/>
      <c r="AM367" s="14"/>
      <c r="AN367" s="14"/>
    </row>
    <row r="368" ht="15.75" customHeight="1">
      <c r="A368" s="14"/>
      <c r="B368" s="14"/>
      <c r="C368" s="14"/>
      <c r="D368" s="14"/>
      <c r="E368" s="14"/>
      <c r="F368" s="14"/>
      <c r="G368" s="14"/>
      <c r="H368" s="14"/>
      <c r="I368" s="14"/>
      <c r="J368" s="14"/>
      <c r="K368" s="14"/>
      <c r="L368" s="14"/>
      <c r="M368" s="14"/>
      <c r="N368" s="14"/>
      <c r="O368" s="14"/>
      <c r="P368" s="14"/>
      <c r="Q368" s="14"/>
      <c r="R368" s="18"/>
      <c r="S368" s="18"/>
      <c r="T368" s="93"/>
      <c r="U368" s="20"/>
      <c r="V368" s="14"/>
      <c r="W368" s="14"/>
      <c r="X368" s="14"/>
      <c r="Y368" s="14"/>
      <c r="Z368" s="14"/>
      <c r="AA368" s="14"/>
      <c r="AB368" s="14"/>
      <c r="AC368" s="14"/>
      <c r="AD368" s="14"/>
      <c r="AE368" s="14"/>
      <c r="AF368" s="14"/>
      <c r="AG368" s="14"/>
      <c r="AH368" s="14"/>
      <c r="AI368" s="14"/>
      <c r="AJ368" s="14"/>
      <c r="AK368" s="14"/>
      <c r="AL368" s="14"/>
      <c r="AM368" s="14"/>
      <c r="AN368" s="14"/>
    </row>
    <row r="369" ht="15.75" customHeight="1">
      <c r="A369" s="14"/>
      <c r="B369" s="14"/>
      <c r="C369" s="14"/>
      <c r="D369" s="14"/>
      <c r="E369" s="14"/>
      <c r="F369" s="14"/>
      <c r="G369" s="14"/>
      <c r="H369" s="14"/>
      <c r="I369" s="14"/>
      <c r="J369" s="14"/>
      <c r="K369" s="14"/>
      <c r="L369" s="14"/>
      <c r="M369" s="14"/>
      <c r="N369" s="14"/>
      <c r="O369" s="14"/>
      <c r="P369" s="14"/>
      <c r="Q369" s="14"/>
      <c r="R369" s="18"/>
      <c r="S369" s="18"/>
      <c r="T369" s="93"/>
      <c r="U369" s="20"/>
      <c r="V369" s="14"/>
      <c r="W369" s="14"/>
      <c r="X369" s="14"/>
      <c r="Y369" s="14"/>
      <c r="Z369" s="14"/>
      <c r="AA369" s="14"/>
      <c r="AB369" s="14"/>
      <c r="AC369" s="14"/>
      <c r="AD369" s="14"/>
      <c r="AE369" s="14"/>
      <c r="AF369" s="14"/>
      <c r="AG369" s="14"/>
      <c r="AH369" s="14"/>
      <c r="AI369" s="14"/>
      <c r="AJ369" s="14"/>
      <c r="AK369" s="14"/>
      <c r="AL369" s="14"/>
      <c r="AM369" s="14"/>
      <c r="AN369" s="14"/>
    </row>
    <row r="370" ht="15.75" customHeight="1">
      <c r="A370" s="14"/>
      <c r="B370" s="14"/>
      <c r="C370" s="14"/>
      <c r="D370" s="14"/>
      <c r="E370" s="14"/>
      <c r="F370" s="14"/>
      <c r="G370" s="14"/>
      <c r="H370" s="14"/>
      <c r="I370" s="14"/>
      <c r="J370" s="14"/>
      <c r="K370" s="14"/>
      <c r="L370" s="14"/>
      <c r="M370" s="14"/>
      <c r="N370" s="14"/>
      <c r="O370" s="14"/>
      <c r="P370" s="14"/>
      <c r="Q370" s="14"/>
      <c r="R370" s="18"/>
      <c r="S370" s="18"/>
      <c r="T370" s="93"/>
      <c r="U370" s="20"/>
      <c r="V370" s="14"/>
      <c r="W370" s="14"/>
      <c r="X370" s="14"/>
      <c r="Y370" s="14"/>
      <c r="Z370" s="14"/>
      <c r="AA370" s="14"/>
      <c r="AB370" s="14"/>
      <c r="AC370" s="14"/>
      <c r="AD370" s="14"/>
      <c r="AE370" s="14"/>
      <c r="AF370" s="14"/>
      <c r="AG370" s="14"/>
      <c r="AH370" s="14"/>
      <c r="AI370" s="14"/>
      <c r="AJ370" s="14"/>
      <c r="AK370" s="14"/>
      <c r="AL370" s="14"/>
      <c r="AM370" s="14"/>
      <c r="AN370" s="14"/>
    </row>
    <row r="371" ht="15.75" customHeight="1">
      <c r="A371" s="14"/>
      <c r="B371" s="14"/>
      <c r="C371" s="14"/>
      <c r="D371" s="14"/>
      <c r="E371" s="14"/>
      <c r="F371" s="14"/>
      <c r="G371" s="14"/>
      <c r="H371" s="14"/>
      <c r="I371" s="14"/>
      <c r="J371" s="14"/>
      <c r="K371" s="14"/>
      <c r="L371" s="14"/>
      <c r="M371" s="14"/>
      <c r="N371" s="14"/>
      <c r="O371" s="14"/>
      <c r="P371" s="14"/>
      <c r="Q371" s="14"/>
      <c r="R371" s="18"/>
      <c r="S371" s="18"/>
      <c r="T371" s="93"/>
      <c r="U371" s="20"/>
      <c r="V371" s="14"/>
      <c r="W371" s="14"/>
      <c r="X371" s="14"/>
      <c r="Y371" s="14"/>
      <c r="Z371" s="14"/>
      <c r="AA371" s="14"/>
      <c r="AB371" s="14"/>
      <c r="AC371" s="14"/>
      <c r="AD371" s="14"/>
      <c r="AE371" s="14"/>
      <c r="AF371" s="14"/>
      <c r="AG371" s="14"/>
      <c r="AH371" s="14"/>
      <c r="AI371" s="14"/>
      <c r="AJ371" s="14"/>
      <c r="AK371" s="14"/>
      <c r="AL371" s="14"/>
      <c r="AM371" s="14"/>
      <c r="AN371" s="14"/>
    </row>
    <row r="372" ht="15.75" customHeight="1">
      <c r="A372" s="14"/>
      <c r="B372" s="14"/>
      <c r="C372" s="14"/>
      <c r="D372" s="14"/>
      <c r="E372" s="14"/>
      <c r="F372" s="14"/>
      <c r="G372" s="14"/>
      <c r="H372" s="14"/>
      <c r="I372" s="14"/>
      <c r="J372" s="14"/>
      <c r="K372" s="14"/>
      <c r="L372" s="14"/>
      <c r="M372" s="14"/>
      <c r="N372" s="14"/>
      <c r="O372" s="14"/>
      <c r="P372" s="14"/>
      <c r="Q372" s="14"/>
      <c r="R372" s="18"/>
      <c r="S372" s="18"/>
      <c r="T372" s="93"/>
      <c r="U372" s="20"/>
      <c r="V372" s="14"/>
      <c r="W372" s="14"/>
      <c r="X372" s="14"/>
      <c r="Y372" s="14"/>
      <c r="Z372" s="14"/>
      <c r="AA372" s="14"/>
      <c r="AB372" s="14"/>
      <c r="AC372" s="14"/>
      <c r="AD372" s="14"/>
      <c r="AE372" s="14"/>
      <c r="AF372" s="14"/>
      <c r="AG372" s="14"/>
      <c r="AH372" s="14"/>
      <c r="AI372" s="14"/>
      <c r="AJ372" s="14"/>
      <c r="AK372" s="14"/>
      <c r="AL372" s="14"/>
      <c r="AM372" s="14"/>
      <c r="AN372" s="14"/>
    </row>
    <row r="373" ht="15.75" customHeight="1">
      <c r="A373" s="14"/>
      <c r="B373" s="14"/>
      <c r="C373" s="14"/>
      <c r="D373" s="14"/>
      <c r="E373" s="14"/>
      <c r="F373" s="14"/>
      <c r="G373" s="14"/>
      <c r="H373" s="14"/>
      <c r="I373" s="14"/>
      <c r="J373" s="14"/>
      <c r="K373" s="14"/>
      <c r="L373" s="14"/>
      <c r="M373" s="14"/>
      <c r="N373" s="14"/>
      <c r="O373" s="14"/>
      <c r="P373" s="14"/>
      <c r="Q373" s="14"/>
      <c r="R373" s="18"/>
      <c r="S373" s="18"/>
      <c r="T373" s="93"/>
      <c r="U373" s="20"/>
      <c r="V373" s="14"/>
      <c r="W373" s="14"/>
      <c r="X373" s="14"/>
      <c r="Y373" s="14"/>
      <c r="Z373" s="14"/>
      <c r="AA373" s="14"/>
      <c r="AB373" s="14"/>
      <c r="AC373" s="14"/>
      <c r="AD373" s="14"/>
      <c r="AE373" s="14"/>
      <c r="AF373" s="14"/>
      <c r="AG373" s="14"/>
      <c r="AH373" s="14"/>
      <c r="AI373" s="14"/>
      <c r="AJ373" s="14"/>
      <c r="AK373" s="14"/>
      <c r="AL373" s="14"/>
      <c r="AM373" s="14"/>
      <c r="AN373" s="14"/>
    </row>
    <row r="374" ht="15.75" customHeight="1">
      <c r="A374" s="14"/>
      <c r="B374" s="14"/>
      <c r="C374" s="14"/>
      <c r="D374" s="14"/>
      <c r="E374" s="14"/>
      <c r="F374" s="14"/>
      <c r="G374" s="14"/>
      <c r="H374" s="14"/>
      <c r="I374" s="14"/>
      <c r="J374" s="14"/>
      <c r="K374" s="14"/>
      <c r="L374" s="14"/>
      <c r="M374" s="14"/>
      <c r="N374" s="14"/>
      <c r="O374" s="14"/>
      <c r="P374" s="14"/>
      <c r="Q374" s="14"/>
      <c r="R374" s="18"/>
      <c r="S374" s="18"/>
      <c r="T374" s="93"/>
      <c r="U374" s="20"/>
      <c r="V374" s="14"/>
      <c r="W374" s="14"/>
      <c r="X374" s="14"/>
      <c r="Y374" s="14"/>
      <c r="Z374" s="14"/>
      <c r="AA374" s="14"/>
      <c r="AB374" s="14"/>
      <c r="AC374" s="14"/>
      <c r="AD374" s="14"/>
      <c r="AE374" s="14"/>
      <c r="AF374" s="14"/>
      <c r="AG374" s="14"/>
      <c r="AH374" s="14"/>
      <c r="AI374" s="14"/>
      <c r="AJ374" s="14"/>
      <c r="AK374" s="14"/>
      <c r="AL374" s="14"/>
      <c r="AM374" s="14"/>
      <c r="AN374" s="14"/>
    </row>
    <row r="375" ht="15.75" customHeight="1">
      <c r="A375" s="14"/>
      <c r="B375" s="14"/>
      <c r="C375" s="14"/>
      <c r="D375" s="14"/>
      <c r="E375" s="14"/>
      <c r="F375" s="14"/>
      <c r="G375" s="14"/>
      <c r="H375" s="14"/>
      <c r="I375" s="14"/>
      <c r="J375" s="14"/>
      <c r="K375" s="14"/>
      <c r="L375" s="14"/>
      <c r="M375" s="14"/>
      <c r="N375" s="14"/>
      <c r="O375" s="14"/>
      <c r="P375" s="14"/>
      <c r="Q375" s="14"/>
      <c r="R375" s="18"/>
      <c r="S375" s="18"/>
      <c r="T375" s="93"/>
      <c r="U375" s="20"/>
      <c r="V375" s="14"/>
      <c r="W375" s="14"/>
      <c r="X375" s="14"/>
      <c r="Y375" s="14"/>
      <c r="Z375" s="14"/>
      <c r="AA375" s="14"/>
      <c r="AB375" s="14"/>
      <c r="AC375" s="14"/>
      <c r="AD375" s="14"/>
      <c r="AE375" s="14"/>
      <c r="AF375" s="14"/>
      <c r="AG375" s="14"/>
      <c r="AH375" s="14"/>
      <c r="AI375" s="14"/>
      <c r="AJ375" s="14"/>
      <c r="AK375" s="14"/>
      <c r="AL375" s="14"/>
      <c r="AM375" s="14"/>
      <c r="AN375" s="14"/>
    </row>
    <row r="376" ht="15.75" customHeight="1">
      <c r="A376" s="14"/>
      <c r="B376" s="14"/>
      <c r="C376" s="14"/>
      <c r="D376" s="14"/>
      <c r="E376" s="14"/>
      <c r="F376" s="14"/>
      <c r="G376" s="14"/>
      <c r="H376" s="14"/>
      <c r="I376" s="14"/>
      <c r="J376" s="14"/>
      <c r="K376" s="14"/>
      <c r="L376" s="14"/>
      <c r="M376" s="14"/>
      <c r="N376" s="14"/>
      <c r="O376" s="14"/>
      <c r="P376" s="14"/>
      <c r="Q376" s="14"/>
      <c r="R376" s="18"/>
      <c r="S376" s="18"/>
      <c r="T376" s="93"/>
      <c r="U376" s="20"/>
      <c r="V376" s="14"/>
      <c r="W376" s="14"/>
      <c r="X376" s="14"/>
      <c r="Y376" s="14"/>
      <c r="Z376" s="14"/>
      <c r="AA376" s="14"/>
      <c r="AB376" s="14"/>
      <c r="AC376" s="14"/>
      <c r="AD376" s="14"/>
      <c r="AE376" s="14"/>
      <c r="AF376" s="14"/>
      <c r="AG376" s="14"/>
      <c r="AH376" s="14"/>
      <c r="AI376" s="14"/>
      <c r="AJ376" s="14"/>
      <c r="AK376" s="14"/>
      <c r="AL376" s="14"/>
      <c r="AM376" s="14"/>
      <c r="AN376" s="14"/>
    </row>
    <row r="377" ht="15.75" customHeight="1">
      <c r="A377" s="14"/>
      <c r="B377" s="14"/>
      <c r="C377" s="14"/>
      <c r="D377" s="14"/>
      <c r="E377" s="14"/>
      <c r="F377" s="14"/>
      <c r="G377" s="14"/>
      <c r="H377" s="14"/>
      <c r="I377" s="14"/>
      <c r="J377" s="14"/>
      <c r="K377" s="14"/>
      <c r="L377" s="14"/>
      <c r="M377" s="14"/>
      <c r="N377" s="14"/>
      <c r="O377" s="14"/>
      <c r="P377" s="14"/>
      <c r="Q377" s="14"/>
      <c r="R377" s="18"/>
      <c r="S377" s="18"/>
      <c r="T377" s="93"/>
      <c r="U377" s="20"/>
      <c r="V377" s="14"/>
      <c r="W377" s="14"/>
      <c r="X377" s="14"/>
      <c r="Y377" s="14"/>
      <c r="Z377" s="14"/>
      <c r="AA377" s="14"/>
      <c r="AB377" s="14"/>
      <c r="AC377" s="14"/>
      <c r="AD377" s="14"/>
      <c r="AE377" s="14"/>
      <c r="AF377" s="14"/>
      <c r="AG377" s="14"/>
      <c r="AH377" s="14"/>
      <c r="AI377" s="14"/>
      <c r="AJ377" s="14"/>
      <c r="AK377" s="14"/>
      <c r="AL377" s="14"/>
      <c r="AM377" s="14"/>
      <c r="AN377" s="14"/>
    </row>
    <row r="378" ht="15.75" customHeight="1">
      <c r="A378" s="14"/>
      <c r="B378" s="14"/>
      <c r="C378" s="14"/>
      <c r="D378" s="14"/>
      <c r="E378" s="14"/>
      <c r="F378" s="14"/>
      <c r="G378" s="14"/>
      <c r="H378" s="14"/>
      <c r="I378" s="14"/>
      <c r="J378" s="14"/>
      <c r="K378" s="14"/>
      <c r="L378" s="14"/>
      <c r="M378" s="14"/>
      <c r="N378" s="14"/>
      <c r="O378" s="14"/>
      <c r="P378" s="14"/>
      <c r="Q378" s="14"/>
      <c r="R378" s="18"/>
      <c r="S378" s="18"/>
      <c r="T378" s="93"/>
      <c r="U378" s="20"/>
      <c r="V378" s="14"/>
      <c r="W378" s="14"/>
      <c r="X378" s="14"/>
      <c r="Y378" s="14"/>
      <c r="Z378" s="14"/>
      <c r="AA378" s="14"/>
      <c r="AB378" s="14"/>
      <c r="AC378" s="14"/>
      <c r="AD378" s="14"/>
      <c r="AE378" s="14"/>
      <c r="AF378" s="14"/>
      <c r="AG378" s="14"/>
      <c r="AH378" s="14"/>
      <c r="AI378" s="14"/>
      <c r="AJ378" s="14"/>
      <c r="AK378" s="14"/>
      <c r="AL378" s="14"/>
      <c r="AM378" s="14"/>
      <c r="AN378" s="14"/>
    </row>
    <row r="379" ht="15.75" customHeight="1">
      <c r="A379" s="14"/>
      <c r="B379" s="14"/>
      <c r="C379" s="14"/>
      <c r="D379" s="14"/>
      <c r="E379" s="14"/>
      <c r="F379" s="14"/>
      <c r="G379" s="14"/>
      <c r="H379" s="14"/>
      <c r="I379" s="14"/>
      <c r="J379" s="14"/>
      <c r="K379" s="14"/>
      <c r="L379" s="14"/>
      <c r="M379" s="14"/>
      <c r="N379" s="14"/>
      <c r="O379" s="14"/>
      <c r="P379" s="14"/>
      <c r="Q379" s="14"/>
      <c r="R379" s="18"/>
      <c r="S379" s="18"/>
      <c r="T379" s="93"/>
      <c r="U379" s="20"/>
      <c r="V379" s="14"/>
      <c r="W379" s="14"/>
      <c r="X379" s="14"/>
      <c r="Y379" s="14"/>
      <c r="Z379" s="14"/>
      <c r="AA379" s="14"/>
      <c r="AB379" s="14"/>
      <c r="AC379" s="14"/>
      <c r="AD379" s="14"/>
      <c r="AE379" s="14"/>
      <c r="AF379" s="14"/>
      <c r="AG379" s="14"/>
      <c r="AH379" s="14"/>
      <c r="AI379" s="14"/>
      <c r="AJ379" s="14"/>
      <c r="AK379" s="14"/>
      <c r="AL379" s="14"/>
      <c r="AM379" s="14"/>
      <c r="AN379" s="14"/>
    </row>
    <row r="380" ht="15.75" customHeight="1">
      <c r="A380" s="14"/>
      <c r="B380" s="14"/>
      <c r="C380" s="14"/>
      <c r="D380" s="14"/>
      <c r="E380" s="14"/>
      <c r="F380" s="14"/>
      <c r="G380" s="14"/>
      <c r="H380" s="14"/>
      <c r="I380" s="14"/>
      <c r="J380" s="14"/>
      <c r="K380" s="14"/>
      <c r="L380" s="14"/>
      <c r="M380" s="14"/>
      <c r="N380" s="14"/>
      <c r="O380" s="14"/>
      <c r="P380" s="14"/>
      <c r="Q380" s="14"/>
      <c r="R380" s="18"/>
      <c r="S380" s="18"/>
      <c r="T380" s="93"/>
      <c r="U380" s="20"/>
      <c r="V380" s="14"/>
      <c r="W380" s="14"/>
      <c r="X380" s="14"/>
      <c r="Y380" s="14"/>
      <c r="Z380" s="14"/>
      <c r="AA380" s="14"/>
      <c r="AB380" s="14"/>
      <c r="AC380" s="14"/>
      <c r="AD380" s="14"/>
      <c r="AE380" s="14"/>
      <c r="AF380" s="14"/>
      <c r="AG380" s="14"/>
      <c r="AH380" s="14"/>
      <c r="AI380" s="14"/>
      <c r="AJ380" s="14"/>
      <c r="AK380" s="14"/>
      <c r="AL380" s="14"/>
      <c r="AM380" s="14"/>
      <c r="AN380" s="14"/>
    </row>
    <row r="381" ht="15.75" customHeight="1">
      <c r="A381" s="14"/>
      <c r="B381" s="14"/>
      <c r="C381" s="14"/>
      <c r="D381" s="14"/>
      <c r="E381" s="14"/>
      <c r="F381" s="14"/>
      <c r="G381" s="14"/>
      <c r="H381" s="14"/>
      <c r="I381" s="14"/>
      <c r="J381" s="14"/>
      <c r="K381" s="14"/>
      <c r="L381" s="14"/>
      <c r="M381" s="14"/>
      <c r="N381" s="14"/>
      <c r="O381" s="14"/>
      <c r="P381" s="14"/>
      <c r="Q381" s="14"/>
      <c r="R381" s="18"/>
      <c r="S381" s="18"/>
      <c r="T381" s="93"/>
      <c r="U381" s="20"/>
      <c r="V381" s="14"/>
      <c r="W381" s="14"/>
      <c r="X381" s="14"/>
      <c r="Y381" s="14"/>
      <c r="Z381" s="14"/>
      <c r="AA381" s="14"/>
      <c r="AB381" s="14"/>
      <c r="AC381" s="14"/>
      <c r="AD381" s="14"/>
      <c r="AE381" s="14"/>
      <c r="AF381" s="14"/>
      <c r="AG381" s="14"/>
      <c r="AH381" s="14"/>
      <c r="AI381" s="14"/>
      <c r="AJ381" s="14"/>
      <c r="AK381" s="14"/>
      <c r="AL381" s="14"/>
      <c r="AM381" s="14"/>
      <c r="AN381" s="14"/>
    </row>
    <row r="382" ht="15.75" customHeight="1">
      <c r="A382" s="14"/>
      <c r="B382" s="14"/>
      <c r="C382" s="14"/>
      <c r="D382" s="14"/>
      <c r="E382" s="14"/>
      <c r="F382" s="14"/>
      <c r="G382" s="14"/>
      <c r="H382" s="14"/>
      <c r="I382" s="14"/>
      <c r="J382" s="14"/>
      <c r="K382" s="14"/>
      <c r="L382" s="14"/>
      <c r="M382" s="14"/>
      <c r="N382" s="14"/>
      <c r="O382" s="14"/>
      <c r="P382" s="14"/>
      <c r="Q382" s="14"/>
      <c r="R382" s="18"/>
      <c r="S382" s="18"/>
      <c r="T382" s="93"/>
      <c r="U382" s="20"/>
      <c r="V382" s="14"/>
      <c r="W382" s="14"/>
      <c r="X382" s="14"/>
      <c r="Y382" s="14"/>
      <c r="Z382" s="14"/>
      <c r="AA382" s="14"/>
      <c r="AB382" s="14"/>
      <c r="AC382" s="14"/>
      <c r="AD382" s="14"/>
      <c r="AE382" s="14"/>
      <c r="AF382" s="14"/>
      <c r="AG382" s="14"/>
      <c r="AH382" s="14"/>
      <c r="AI382" s="14"/>
      <c r="AJ382" s="14"/>
      <c r="AK382" s="14"/>
      <c r="AL382" s="14"/>
      <c r="AM382" s="14"/>
      <c r="AN382" s="14"/>
    </row>
    <row r="383" ht="15.75" customHeight="1">
      <c r="A383" s="14"/>
      <c r="B383" s="14"/>
      <c r="C383" s="14"/>
      <c r="D383" s="14"/>
      <c r="E383" s="14"/>
      <c r="F383" s="14"/>
      <c r="G383" s="14"/>
      <c r="H383" s="14"/>
      <c r="I383" s="14"/>
      <c r="J383" s="14"/>
      <c r="K383" s="14"/>
      <c r="L383" s="14"/>
      <c r="M383" s="14"/>
      <c r="N383" s="14"/>
      <c r="O383" s="14"/>
      <c r="P383" s="14"/>
      <c r="Q383" s="14"/>
      <c r="R383" s="18"/>
      <c r="S383" s="18"/>
      <c r="T383" s="93"/>
      <c r="U383" s="20"/>
      <c r="V383" s="14"/>
      <c r="W383" s="14"/>
      <c r="X383" s="14"/>
      <c r="Y383" s="14"/>
      <c r="Z383" s="14"/>
      <c r="AA383" s="14"/>
      <c r="AB383" s="14"/>
      <c r="AC383" s="14"/>
      <c r="AD383" s="14"/>
      <c r="AE383" s="14"/>
      <c r="AF383" s="14"/>
      <c r="AG383" s="14"/>
      <c r="AH383" s="14"/>
      <c r="AI383" s="14"/>
      <c r="AJ383" s="14"/>
      <c r="AK383" s="14"/>
      <c r="AL383" s="14"/>
      <c r="AM383" s="14"/>
      <c r="AN383" s="14"/>
    </row>
    <row r="384" ht="15.75" customHeight="1">
      <c r="A384" s="14"/>
      <c r="B384" s="14"/>
      <c r="C384" s="14"/>
      <c r="D384" s="14"/>
      <c r="E384" s="14"/>
      <c r="F384" s="14"/>
      <c r="G384" s="14"/>
      <c r="H384" s="14"/>
      <c r="I384" s="14"/>
      <c r="J384" s="14"/>
      <c r="K384" s="14"/>
      <c r="L384" s="14"/>
      <c r="M384" s="14"/>
      <c r="N384" s="14"/>
      <c r="O384" s="14"/>
      <c r="P384" s="14"/>
      <c r="Q384" s="14"/>
      <c r="R384" s="18"/>
      <c r="S384" s="18"/>
      <c r="T384" s="93"/>
      <c r="U384" s="20"/>
      <c r="V384" s="14"/>
      <c r="W384" s="14"/>
      <c r="X384" s="14"/>
      <c r="Y384" s="14"/>
      <c r="Z384" s="14"/>
      <c r="AA384" s="14"/>
      <c r="AB384" s="14"/>
      <c r="AC384" s="14"/>
      <c r="AD384" s="14"/>
      <c r="AE384" s="14"/>
      <c r="AF384" s="14"/>
      <c r="AG384" s="14"/>
      <c r="AH384" s="14"/>
      <c r="AI384" s="14"/>
      <c r="AJ384" s="14"/>
      <c r="AK384" s="14"/>
      <c r="AL384" s="14"/>
      <c r="AM384" s="14"/>
      <c r="AN384" s="14"/>
    </row>
    <row r="385" ht="15.75" customHeight="1">
      <c r="A385" s="14"/>
      <c r="B385" s="14"/>
      <c r="C385" s="14"/>
      <c r="D385" s="14"/>
      <c r="E385" s="14"/>
      <c r="F385" s="14"/>
      <c r="G385" s="14"/>
      <c r="H385" s="14"/>
      <c r="I385" s="14"/>
      <c r="J385" s="14"/>
      <c r="K385" s="14"/>
      <c r="L385" s="14"/>
      <c r="M385" s="14"/>
      <c r="N385" s="14"/>
      <c r="O385" s="14"/>
      <c r="P385" s="14"/>
      <c r="Q385" s="14"/>
      <c r="R385" s="18"/>
      <c r="S385" s="18"/>
      <c r="T385" s="93"/>
      <c r="U385" s="20"/>
      <c r="V385" s="14"/>
      <c r="W385" s="14"/>
      <c r="X385" s="14"/>
      <c r="Y385" s="14"/>
      <c r="Z385" s="14"/>
      <c r="AA385" s="14"/>
      <c r="AB385" s="14"/>
      <c r="AC385" s="14"/>
      <c r="AD385" s="14"/>
      <c r="AE385" s="14"/>
      <c r="AF385" s="14"/>
      <c r="AG385" s="14"/>
      <c r="AH385" s="14"/>
      <c r="AI385" s="14"/>
      <c r="AJ385" s="14"/>
      <c r="AK385" s="14"/>
      <c r="AL385" s="14"/>
      <c r="AM385" s="14"/>
      <c r="AN385" s="14"/>
    </row>
    <row r="386" ht="15.75" customHeight="1">
      <c r="A386" s="14"/>
      <c r="B386" s="14"/>
      <c r="C386" s="14"/>
      <c r="D386" s="14"/>
      <c r="E386" s="14"/>
      <c r="F386" s="14"/>
      <c r="G386" s="14"/>
      <c r="H386" s="14"/>
      <c r="I386" s="14"/>
      <c r="J386" s="14"/>
      <c r="K386" s="14"/>
      <c r="L386" s="14"/>
      <c r="M386" s="14"/>
      <c r="N386" s="14"/>
      <c r="O386" s="14"/>
      <c r="P386" s="14"/>
      <c r="Q386" s="14"/>
      <c r="R386" s="18"/>
      <c r="S386" s="18"/>
      <c r="T386" s="93"/>
      <c r="U386" s="20"/>
      <c r="V386" s="14"/>
      <c r="W386" s="14"/>
      <c r="X386" s="14"/>
      <c r="Y386" s="14"/>
      <c r="Z386" s="14"/>
      <c r="AA386" s="14"/>
      <c r="AB386" s="14"/>
      <c r="AC386" s="14"/>
      <c r="AD386" s="14"/>
      <c r="AE386" s="14"/>
      <c r="AF386" s="14"/>
      <c r="AG386" s="14"/>
      <c r="AH386" s="14"/>
      <c r="AI386" s="14"/>
      <c r="AJ386" s="14"/>
      <c r="AK386" s="14"/>
      <c r="AL386" s="14"/>
      <c r="AM386" s="14"/>
      <c r="AN386" s="14"/>
    </row>
    <row r="387" ht="15.75" customHeight="1">
      <c r="A387" s="14"/>
      <c r="B387" s="14"/>
      <c r="C387" s="14"/>
      <c r="D387" s="14"/>
      <c r="E387" s="14"/>
      <c r="F387" s="14"/>
      <c r="G387" s="14"/>
      <c r="H387" s="14"/>
      <c r="I387" s="14"/>
      <c r="J387" s="14"/>
      <c r="K387" s="14"/>
      <c r="L387" s="14"/>
      <c r="M387" s="14"/>
      <c r="N387" s="14"/>
      <c r="O387" s="14"/>
      <c r="P387" s="14"/>
      <c r="Q387" s="14"/>
      <c r="R387" s="18"/>
      <c r="S387" s="18"/>
      <c r="T387" s="93"/>
      <c r="U387" s="20"/>
      <c r="V387" s="14"/>
      <c r="W387" s="14"/>
      <c r="X387" s="14"/>
      <c r="Y387" s="14"/>
      <c r="Z387" s="14"/>
      <c r="AA387" s="14"/>
      <c r="AB387" s="14"/>
      <c r="AC387" s="14"/>
      <c r="AD387" s="14"/>
      <c r="AE387" s="14"/>
      <c r="AF387" s="14"/>
      <c r="AG387" s="14"/>
      <c r="AH387" s="14"/>
      <c r="AI387" s="14"/>
      <c r="AJ387" s="14"/>
      <c r="AK387" s="14"/>
      <c r="AL387" s="14"/>
      <c r="AM387" s="14"/>
      <c r="AN387" s="14"/>
    </row>
    <row r="388" ht="15.75" customHeight="1">
      <c r="A388" s="14"/>
      <c r="B388" s="14"/>
      <c r="C388" s="14"/>
      <c r="D388" s="14"/>
      <c r="E388" s="14"/>
      <c r="F388" s="14"/>
      <c r="G388" s="14"/>
      <c r="H388" s="14"/>
      <c r="I388" s="14"/>
      <c r="J388" s="14"/>
      <c r="K388" s="14"/>
      <c r="L388" s="14"/>
      <c r="M388" s="14"/>
      <c r="N388" s="14"/>
      <c r="O388" s="14"/>
      <c r="P388" s="14"/>
      <c r="Q388" s="14"/>
      <c r="R388" s="18"/>
      <c r="S388" s="18"/>
      <c r="T388" s="93"/>
      <c r="U388" s="20"/>
      <c r="V388" s="14"/>
      <c r="W388" s="14"/>
      <c r="X388" s="14"/>
      <c r="Y388" s="14"/>
      <c r="Z388" s="14"/>
      <c r="AA388" s="14"/>
      <c r="AB388" s="14"/>
      <c r="AC388" s="14"/>
      <c r="AD388" s="14"/>
      <c r="AE388" s="14"/>
      <c r="AF388" s="14"/>
      <c r="AG388" s="14"/>
      <c r="AH388" s="14"/>
      <c r="AI388" s="14"/>
      <c r="AJ388" s="14"/>
      <c r="AK388" s="14"/>
      <c r="AL388" s="14"/>
      <c r="AM388" s="14"/>
      <c r="AN388" s="14"/>
    </row>
    <row r="389" ht="15.75" customHeight="1">
      <c r="A389" s="14"/>
      <c r="B389" s="14"/>
      <c r="C389" s="14"/>
      <c r="D389" s="14"/>
      <c r="E389" s="14"/>
      <c r="F389" s="14"/>
      <c r="G389" s="14"/>
      <c r="H389" s="14"/>
      <c r="I389" s="14"/>
      <c r="J389" s="14"/>
      <c r="K389" s="14"/>
      <c r="L389" s="14"/>
      <c r="M389" s="14"/>
      <c r="N389" s="14"/>
      <c r="O389" s="14"/>
      <c r="P389" s="14"/>
      <c r="Q389" s="14"/>
      <c r="R389" s="18"/>
      <c r="S389" s="18"/>
      <c r="T389" s="93"/>
      <c r="U389" s="20"/>
      <c r="V389" s="14"/>
      <c r="W389" s="14"/>
      <c r="X389" s="14"/>
      <c r="Y389" s="14"/>
      <c r="Z389" s="14"/>
      <c r="AA389" s="14"/>
      <c r="AB389" s="14"/>
      <c r="AC389" s="14"/>
      <c r="AD389" s="14"/>
      <c r="AE389" s="14"/>
      <c r="AF389" s="14"/>
      <c r="AG389" s="14"/>
      <c r="AH389" s="14"/>
      <c r="AI389" s="14"/>
      <c r="AJ389" s="14"/>
      <c r="AK389" s="14"/>
      <c r="AL389" s="14"/>
      <c r="AM389" s="14"/>
      <c r="AN389" s="14"/>
    </row>
    <row r="390" ht="15.75" customHeight="1">
      <c r="A390" s="14"/>
      <c r="B390" s="14"/>
      <c r="C390" s="14"/>
      <c r="D390" s="14"/>
      <c r="E390" s="14"/>
      <c r="F390" s="14"/>
      <c r="G390" s="14"/>
      <c r="H390" s="14"/>
      <c r="I390" s="14"/>
      <c r="J390" s="14"/>
      <c r="K390" s="14"/>
      <c r="L390" s="14"/>
      <c r="M390" s="14"/>
      <c r="N390" s="14"/>
      <c r="O390" s="14"/>
      <c r="P390" s="14"/>
      <c r="Q390" s="14"/>
      <c r="R390" s="18"/>
      <c r="S390" s="18"/>
      <c r="T390" s="93"/>
      <c r="U390" s="20"/>
      <c r="V390" s="14"/>
      <c r="W390" s="14"/>
      <c r="X390" s="14"/>
      <c r="Y390" s="14"/>
      <c r="Z390" s="14"/>
      <c r="AA390" s="14"/>
      <c r="AB390" s="14"/>
      <c r="AC390" s="14"/>
      <c r="AD390" s="14"/>
      <c r="AE390" s="14"/>
      <c r="AF390" s="14"/>
      <c r="AG390" s="14"/>
      <c r="AH390" s="14"/>
      <c r="AI390" s="14"/>
      <c r="AJ390" s="14"/>
      <c r="AK390" s="14"/>
      <c r="AL390" s="14"/>
      <c r="AM390" s="14"/>
      <c r="AN390" s="14"/>
    </row>
    <row r="391" ht="15.75" customHeight="1">
      <c r="A391" s="14"/>
      <c r="B391" s="14"/>
      <c r="C391" s="14"/>
      <c r="D391" s="14"/>
      <c r="E391" s="14"/>
      <c r="F391" s="14"/>
      <c r="G391" s="14"/>
      <c r="H391" s="14"/>
      <c r="I391" s="14"/>
      <c r="J391" s="14"/>
      <c r="K391" s="14"/>
      <c r="L391" s="14"/>
      <c r="M391" s="14"/>
      <c r="N391" s="14"/>
      <c r="O391" s="14"/>
      <c r="P391" s="14"/>
      <c r="Q391" s="14"/>
      <c r="R391" s="18"/>
      <c r="S391" s="18"/>
      <c r="T391" s="93"/>
      <c r="U391" s="20"/>
      <c r="V391" s="14"/>
      <c r="W391" s="14"/>
      <c r="X391" s="14"/>
      <c r="Y391" s="14"/>
      <c r="Z391" s="14"/>
      <c r="AA391" s="14"/>
      <c r="AB391" s="14"/>
      <c r="AC391" s="14"/>
      <c r="AD391" s="14"/>
      <c r="AE391" s="14"/>
      <c r="AF391" s="14"/>
      <c r="AG391" s="14"/>
      <c r="AH391" s="14"/>
      <c r="AI391" s="14"/>
      <c r="AJ391" s="14"/>
      <c r="AK391" s="14"/>
      <c r="AL391" s="14"/>
      <c r="AM391" s="14"/>
      <c r="AN391" s="14"/>
    </row>
    <row r="392" ht="15.75" customHeight="1">
      <c r="A392" s="14"/>
      <c r="B392" s="14"/>
      <c r="C392" s="14"/>
      <c r="D392" s="14"/>
      <c r="E392" s="14"/>
      <c r="F392" s="14"/>
      <c r="G392" s="14"/>
      <c r="H392" s="14"/>
      <c r="I392" s="14"/>
      <c r="J392" s="14"/>
      <c r="K392" s="14"/>
      <c r="L392" s="14"/>
      <c r="M392" s="14"/>
      <c r="N392" s="14"/>
      <c r="O392" s="14"/>
      <c r="P392" s="14"/>
      <c r="Q392" s="14"/>
      <c r="R392" s="18"/>
      <c r="S392" s="18"/>
      <c r="T392" s="93"/>
      <c r="U392" s="20"/>
      <c r="V392" s="14"/>
      <c r="W392" s="14"/>
      <c r="X392" s="14"/>
      <c r="Y392" s="14"/>
      <c r="Z392" s="14"/>
      <c r="AA392" s="14"/>
      <c r="AB392" s="14"/>
      <c r="AC392" s="14"/>
      <c r="AD392" s="14"/>
      <c r="AE392" s="14"/>
      <c r="AF392" s="14"/>
      <c r="AG392" s="14"/>
      <c r="AH392" s="14"/>
      <c r="AI392" s="14"/>
      <c r="AJ392" s="14"/>
      <c r="AK392" s="14"/>
      <c r="AL392" s="14"/>
      <c r="AM392" s="14"/>
      <c r="AN392" s="14"/>
    </row>
    <row r="393" ht="15.75" customHeight="1">
      <c r="A393" s="14"/>
      <c r="B393" s="14"/>
      <c r="C393" s="14"/>
      <c r="D393" s="14"/>
      <c r="E393" s="14"/>
      <c r="F393" s="14"/>
      <c r="G393" s="14"/>
      <c r="H393" s="14"/>
      <c r="I393" s="14"/>
      <c r="J393" s="14"/>
      <c r="K393" s="14"/>
      <c r="L393" s="14"/>
      <c r="M393" s="14"/>
      <c r="N393" s="14"/>
      <c r="O393" s="14"/>
      <c r="P393" s="14"/>
      <c r="Q393" s="14"/>
      <c r="R393" s="18"/>
      <c r="S393" s="18"/>
      <c r="T393" s="93"/>
      <c r="U393" s="20"/>
      <c r="V393" s="14"/>
      <c r="W393" s="14"/>
      <c r="X393" s="14"/>
      <c r="Y393" s="14"/>
      <c r="Z393" s="14"/>
      <c r="AA393" s="14"/>
      <c r="AB393" s="14"/>
      <c r="AC393" s="14"/>
      <c r="AD393" s="14"/>
      <c r="AE393" s="14"/>
      <c r="AF393" s="14"/>
      <c r="AG393" s="14"/>
      <c r="AH393" s="14"/>
      <c r="AI393" s="14"/>
      <c r="AJ393" s="14"/>
      <c r="AK393" s="14"/>
      <c r="AL393" s="14"/>
      <c r="AM393" s="14"/>
      <c r="AN393" s="14"/>
    </row>
    <row r="394" ht="15.75" customHeight="1">
      <c r="A394" s="14"/>
      <c r="B394" s="14"/>
      <c r="C394" s="14"/>
      <c r="D394" s="14"/>
      <c r="E394" s="14"/>
      <c r="F394" s="14"/>
      <c r="G394" s="14"/>
      <c r="H394" s="14"/>
      <c r="I394" s="14"/>
      <c r="J394" s="14"/>
      <c r="K394" s="14"/>
      <c r="L394" s="14"/>
      <c r="M394" s="14"/>
      <c r="N394" s="14"/>
      <c r="O394" s="14"/>
      <c r="P394" s="14"/>
      <c r="Q394" s="14"/>
      <c r="R394" s="18"/>
      <c r="S394" s="18"/>
      <c r="T394" s="93"/>
      <c r="U394" s="20"/>
      <c r="V394" s="14"/>
      <c r="W394" s="14"/>
      <c r="X394" s="14"/>
      <c r="Y394" s="14"/>
      <c r="Z394" s="14"/>
      <c r="AA394" s="14"/>
      <c r="AB394" s="14"/>
      <c r="AC394" s="14"/>
      <c r="AD394" s="14"/>
      <c r="AE394" s="14"/>
      <c r="AF394" s="14"/>
      <c r="AG394" s="14"/>
      <c r="AH394" s="14"/>
      <c r="AI394" s="14"/>
      <c r="AJ394" s="14"/>
      <c r="AK394" s="14"/>
      <c r="AL394" s="14"/>
      <c r="AM394" s="14"/>
      <c r="AN394" s="14"/>
    </row>
    <row r="395" ht="15.75" customHeight="1">
      <c r="A395" s="14"/>
      <c r="B395" s="14"/>
      <c r="C395" s="14"/>
      <c r="D395" s="14"/>
      <c r="E395" s="14"/>
      <c r="F395" s="14"/>
      <c r="G395" s="14"/>
      <c r="H395" s="14"/>
      <c r="I395" s="14"/>
      <c r="J395" s="14"/>
      <c r="K395" s="14"/>
      <c r="L395" s="14"/>
      <c r="M395" s="14"/>
      <c r="N395" s="14"/>
      <c r="O395" s="14"/>
      <c r="P395" s="14"/>
      <c r="Q395" s="14"/>
      <c r="R395" s="18"/>
      <c r="S395" s="18"/>
      <c r="T395" s="93"/>
      <c r="U395" s="20"/>
      <c r="V395" s="14"/>
      <c r="W395" s="14"/>
      <c r="X395" s="14"/>
      <c r="Y395" s="14"/>
      <c r="Z395" s="14"/>
      <c r="AA395" s="14"/>
      <c r="AB395" s="14"/>
      <c r="AC395" s="14"/>
      <c r="AD395" s="14"/>
      <c r="AE395" s="14"/>
      <c r="AF395" s="14"/>
      <c r="AG395" s="14"/>
      <c r="AH395" s="14"/>
      <c r="AI395" s="14"/>
      <c r="AJ395" s="14"/>
      <c r="AK395" s="14"/>
      <c r="AL395" s="14"/>
      <c r="AM395" s="14"/>
      <c r="AN395" s="14"/>
    </row>
    <row r="396" ht="15.75" customHeight="1">
      <c r="A396" s="14"/>
      <c r="B396" s="14"/>
      <c r="C396" s="14"/>
      <c r="D396" s="14"/>
      <c r="E396" s="14"/>
      <c r="F396" s="14"/>
      <c r="G396" s="14"/>
      <c r="H396" s="14"/>
      <c r="I396" s="14"/>
      <c r="J396" s="14"/>
      <c r="K396" s="14"/>
      <c r="L396" s="14"/>
      <c r="M396" s="14"/>
      <c r="N396" s="14"/>
      <c r="O396" s="14"/>
      <c r="P396" s="14"/>
      <c r="Q396" s="14"/>
      <c r="R396" s="18"/>
      <c r="S396" s="18"/>
      <c r="T396" s="93"/>
      <c r="U396" s="20"/>
      <c r="V396" s="14"/>
      <c r="W396" s="14"/>
      <c r="X396" s="14"/>
      <c r="Y396" s="14"/>
      <c r="Z396" s="14"/>
      <c r="AA396" s="14"/>
      <c r="AB396" s="14"/>
      <c r="AC396" s="14"/>
      <c r="AD396" s="14"/>
      <c r="AE396" s="14"/>
      <c r="AF396" s="14"/>
      <c r="AG396" s="14"/>
      <c r="AH396" s="14"/>
      <c r="AI396" s="14"/>
      <c r="AJ396" s="14"/>
      <c r="AK396" s="14"/>
      <c r="AL396" s="14"/>
      <c r="AM396" s="14"/>
      <c r="AN396" s="14"/>
    </row>
    <row r="397" ht="15.75" customHeight="1">
      <c r="A397" s="14"/>
      <c r="B397" s="14"/>
      <c r="C397" s="14"/>
      <c r="D397" s="14"/>
      <c r="E397" s="14"/>
      <c r="F397" s="14"/>
      <c r="G397" s="14"/>
      <c r="H397" s="14"/>
      <c r="I397" s="14"/>
      <c r="J397" s="14"/>
      <c r="K397" s="14"/>
      <c r="L397" s="14"/>
      <c r="M397" s="14"/>
      <c r="N397" s="14"/>
      <c r="O397" s="14"/>
      <c r="P397" s="14"/>
      <c r="Q397" s="14"/>
      <c r="R397" s="18"/>
      <c r="S397" s="18"/>
      <c r="T397" s="93"/>
      <c r="U397" s="20"/>
      <c r="V397" s="14"/>
      <c r="W397" s="14"/>
      <c r="X397" s="14"/>
      <c r="Y397" s="14"/>
      <c r="Z397" s="14"/>
      <c r="AA397" s="14"/>
      <c r="AB397" s="14"/>
      <c r="AC397" s="14"/>
      <c r="AD397" s="14"/>
      <c r="AE397" s="14"/>
      <c r="AF397" s="14"/>
      <c r="AG397" s="14"/>
      <c r="AH397" s="14"/>
      <c r="AI397" s="14"/>
      <c r="AJ397" s="14"/>
      <c r="AK397" s="14"/>
      <c r="AL397" s="14"/>
      <c r="AM397" s="14"/>
      <c r="AN397" s="14"/>
    </row>
    <row r="398" ht="15.75" customHeight="1">
      <c r="A398" s="14"/>
      <c r="B398" s="14"/>
      <c r="C398" s="14"/>
      <c r="D398" s="14"/>
      <c r="E398" s="14"/>
      <c r="F398" s="14"/>
      <c r="G398" s="14"/>
      <c r="H398" s="14"/>
      <c r="I398" s="14"/>
      <c r="J398" s="14"/>
      <c r="K398" s="14"/>
      <c r="L398" s="14"/>
      <c r="M398" s="14"/>
      <c r="N398" s="14"/>
      <c r="O398" s="14"/>
      <c r="P398" s="14"/>
      <c r="Q398" s="14"/>
      <c r="R398" s="18"/>
      <c r="S398" s="18"/>
      <c r="T398" s="93"/>
      <c r="U398" s="20"/>
      <c r="V398" s="14"/>
      <c r="W398" s="14"/>
      <c r="X398" s="14"/>
      <c r="Y398" s="14"/>
      <c r="Z398" s="14"/>
      <c r="AA398" s="14"/>
      <c r="AB398" s="14"/>
      <c r="AC398" s="14"/>
      <c r="AD398" s="14"/>
      <c r="AE398" s="14"/>
      <c r="AF398" s="14"/>
      <c r="AG398" s="14"/>
      <c r="AH398" s="14"/>
      <c r="AI398" s="14"/>
      <c r="AJ398" s="14"/>
      <c r="AK398" s="14"/>
      <c r="AL398" s="14"/>
      <c r="AM398" s="14"/>
      <c r="AN398" s="14"/>
    </row>
    <row r="399" ht="15.75" customHeight="1">
      <c r="A399" s="14"/>
      <c r="B399" s="14"/>
      <c r="C399" s="14"/>
      <c r="D399" s="14"/>
      <c r="E399" s="14"/>
      <c r="F399" s="14"/>
      <c r="G399" s="14"/>
      <c r="H399" s="14"/>
      <c r="I399" s="14"/>
      <c r="J399" s="14"/>
      <c r="K399" s="14"/>
      <c r="L399" s="14"/>
      <c r="M399" s="14"/>
      <c r="N399" s="14"/>
      <c r="O399" s="14"/>
      <c r="P399" s="14"/>
      <c r="Q399" s="14"/>
      <c r="R399" s="18"/>
      <c r="S399" s="18"/>
      <c r="T399" s="93"/>
      <c r="U399" s="20"/>
      <c r="V399" s="14"/>
      <c r="W399" s="14"/>
      <c r="X399" s="14"/>
      <c r="Y399" s="14"/>
      <c r="Z399" s="14"/>
      <c r="AA399" s="14"/>
      <c r="AB399" s="14"/>
      <c r="AC399" s="14"/>
      <c r="AD399" s="14"/>
      <c r="AE399" s="14"/>
      <c r="AF399" s="14"/>
      <c r="AG399" s="14"/>
      <c r="AH399" s="14"/>
      <c r="AI399" s="14"/>
      <c r="AJ399" s="14"/>
      <c r="AK399" s="14"/>
      <c r="AL399" s="14"/>
      <c r="AM399" s="14"/>
      <c r="AN399" s="14"/>
    </row>
    <row r="400" ht="15.75" customHeight="1">
      <c r="A400" s="14"/>
      <c r="B400" s="14"/>
      <c r="C400" s="14"/>
      <c r="D400" s="14"/>
      <c r="E400" s="14"/>
      <c r="F400" s="14"/>
      <c r="G400" s="14"/>
      <c r="H400" s="14"/>
      <c r="I400" s="14"/>
      <c r="J400" s="14"/>
      <c r="K400" s="14"/>
      <c r="L400" s="14"/>
      <c r="M400" s="14"/>
      <c r="N400" s="14"/>
      <c r="O400" s="14"/>
      <c r="P400" s="14"/>
      <c r="Q400" s="14"/>
      <c r="R400" s="18"/>
      <c r="S400" s="18"/>
      <c r="T400" s="93"/>
      <c r="U400" s="20"/>
      <c r="V400" s="14"/>
      <c r="W400" s="14"/>
      <c r="X400" s="14"/>
      <c r="Y400" s="14"/>
      <c r="Z400" s="14"/>
      <c r="AA400" s="14"/>
      <c r="AB400" s="14"/>
      <c r="AC400" s="14"/>
      <c r="AD400" s="14"/>
      <c r="AE400" s="14"/>
      <c r="AF400" s="14"/>
      <c r="AG400" s="14"/>
      <c r="AH400" s="14"/>
      <c r="AI400" s="14"/>
      <c r="AJ400" s="14"/>
      <c r="AK400" s="14"/>
      <c r="AL400" s="14"/>
      <c r="AM400" s="14"/>
      <c r="AN400" s="14"/>
    </row>
    <row r="401" ht="15.75" customHeight="1">
      <c r="A401" s="14"/>
      <c r="B401" s="14"/>
      <c r="C401" s="14"/>
      <c r="D401" s="14"/>
      <c r="E401" s="14"/>
      <c r="F401" s="14"/>
      <c r="G401" s="14"/>
      <c r="H401" s="14"/>
      <c r="I401" s="14"/>
      <c r="J401" s="14"/>
      <c r="K401" s="14"/>
      <c r="L401" s="14"/>
      <c r="M401" s="14"/>
      <c r="N401" s="14"/>
      <c r="O401" s="14"/>
      <c r="P401" s="14"/>
      <c r="Q401" s="14"/>
      <c r="R401" s="18"/>
      <c r="S401" s="18"/>
      <c r="T401" s="93"/>
      <c r="U401" s="20"/>
      <c r="V401" s="14"/>
      <c r="W401" s="14"/>
      <c r="X401" s="14"/>
      <c r="Y401" s="14"/>
      <c r="Z401" s="14"/>
      <c r="AA401" s="14"/>
      <c r="AB401" s="14"/>
      <c r="AC401" s="14"/>
      <c r="AD401" s="14"/>
      <c r="AE401" s="14"/>
      <c r="AF401" s="14"/>
      <c r="AG401" s="14"/>
      <c r="AH401" s="14"/>
      <c r="AI401" s="14"/>
      <c r="AJ401" s="14"/>
      <c r="AK401" s="14"/>
      <c r="AL401" s="14"/>
      <c r="AM401" s="14"/>
      <c r="AN401" s="14"/>
    </row>
    <row r="402" ht="15.75" customHeight="1">
      <c r="A402" s="14"/>
      <c r="B402" s="14"/>
      <c r="C402" s="14"/>
      <c r="D402" s="14"/>
      <c r="E402" s="14"/>
      <c r="F402" s="14"/>
      <c r="G402" s="14"/>
      <c r="H402" s="14"/>
      <c r="I402" s="14"/>
      <c r="J402" s="14"/>
      <c r="K402" s="14"/>
      <c r="L402" s="14"/>
      <c r="M402" s="14"/>
      <c r="N402" s="14"/>
      <c r="O402" s="14"/>
      <c r="P402" s="14"/>
      <c r="Q402" s="14"/>
      <c r="R402" s="18"/>
      <c r="S402" s="18"/>
      <c r="T402" s="93"/>
      <c r="U402" s="20"/>
      <c r="V402" s="14"/>
      <c r="W402" s="14"/>
      <c r="X402" s="14"/>
      <c r="Y402" s="14"/>
      <c r="Z402" s="14"/>
      <c r="AA402" s="14"/>
      <c r="AB402" s="14"/>
      <c r="AC402" s="14"/>
      <c r="AD402" s="14"/>
      <c r="AE402" s="14"/>
      <c r="AF402" s="14"/>
      <c r="AG402" s="14"/>
      <c r="AH402" s="14"/>
      <c r="AI402" s="14"/>
      <c r="AJ402" s="14"/>
      <c r="AK402" s="14"/>
      <c r="AL402" s="14"/>
      <c r="AM402" s="14"/>
      <c r="AN402" s="14"/>
    </row>
    <row r="403" ht="15.75" customHeight="1">
      <c r="A403" s="14"/>
      <c r="B403" s="14"/>
      <c r="C403" s="14"/>
      <c r="D403" s="14"/>
      <c r="E403" s="14"/>
      <c r="F403" s="14"/>
      <c r="G403" s="14"/>
      <c r="H403" s="14"/>
      <c r="I403" s="14"/>
      <c r="J403" s="14"/>
      <c r="K403" s="14"/>
      <c r="L403" s="14"/>
      <c r="M403" s="14"/>
      <c r="N403" s="14"/>
      <c r="O403" s="14"/>
      <c r="P403" s="14"/>
      <c r="Q403" s="14"/>
      <c r="R403" s="18"/>
      <c r="S403" s="18"/>
      <c r="T403" s="93"/>
      <c r="U403" s="20"/>
      <c r="V403" s="14"/>
      <c r="W403" s="14"/>
      <c r="X403" s="14"/>
      <c r="Y403" s="14"/>
      <c r="Z403" s="14"/>
      <c r="AA403" s="14"/>
      <c r="AB403" s="14"/>
      <c r="AC403" s="14"/>
      <c r="AD403" s="14"/>
      <c r="AE403" s="14"/>
      <c r="AF403" s="14"/>
      <c r="AG403" s="14"/>
      <c r="AH403" s="14"/>
      <c r="AI403" s="14"/>
      <c r="AJ403" s="14"/>
      <c r="AK403" s="14"/>
      <c r="AL403" s="14"/>
      <c r="AM403" s="14"/>
      <c r="AN403" s="14"/>
    </row>
    <row r="404" ht="15.75" customHeight="1">
      <c r="A404" s="14"/>
      <c r="B404" s="14"/>
      <c r="C404" s="14"/>
      <c r="D404" s="14"/>
      <c r="E404" s="14"/>
      <c r="F404" s="14"/>
      <c r="G404" s="14"/>
      <c r="H404" s="14"/>
      <c r="I404" s="14"/>
      <c r="J404" s="14"/>
      <c r="K404" s="14"/>
      <c r="L404" s="14"/>
      <c r="M404" s="14"/>
      <c r="N404" s="14"/>
      <c r="O404" s="14"/>
      <c r="P404" s="14"/>
      <c r="Q404" s="14"/>
      <c r="R404" s="18"/>
      <c r="S404" s="18"/>
      <c r="T404" s="93"/>
      <c r="U404" s="20"/>
      <c r="V404" s="14"/>
      <c r="W404" s="14"/>
      <c r="X404" s="14"/>
      <c r="Y404" s="14"/>
      <c r="Z404" s="14"/>
      <c r="AA404" s="14"/>
      <c r="AB404" s="14"/>
      <c r="AC404" s="14"/>
      <c r="AD404" s="14"/>
      <c r="AE404" s="14"/>
      <c r="AF404" s="14"/>
      <c r="AG404" s="14"/>
      <c r="AH404" s="14"/>
      <c r="AI404" s="14"/>
      <c r="AJ404" s="14"/>
      <c r="AK404" s="14"/>
      <c r="AL404" s="14"/>
      <c r="AM404" s="14"/>
      <c r="AN404" s="14"/>
    </row>
    <row r="405" ht="15.75" customHeight="1">
      <c r="A405" s="14"/>
      <c r="B405" s="14"/>
      <c r="C405" s="14"/>
      <c r="D405" s="14"/>
      <c r="E405" s="14"/>
      <c r="F405" s="14"/>
      <c r="G405" s="14"/>
      <c r="H405" s="14"/>
      <c r="I405" s="14"/>
      <c r="J405" s="14"/>
      <c r="K405" s="14"/>
      <c r="L405" s="14"/>
      <c r="M405" s="14"/>
      <c r="N405" s="14"/>
      <c r="O405" s="14"/>
      <c r="P405" s="14"/>
      <c r="Q405" s="14"/>
      <c r="R405" s="18"/>
      <c r="S405" s="18"/>
      <c r="T405" s="93"/>
      <c r="U405" s="20"/>
      <c r="V405" s="14"/>
      <c r="W405" s="14"/>
      <c r="X405" s="14"/>
      <c r="Y405" s="14"/>
      <c r="Z405" s="14"/>
      <c r="AA405" s="14"/>
      <c r="AB405" s="14"/>
      <c r="AC405" s="14"/>
      <c r="AD405" s="14"/>
      <c r="AE405" s="14"/>
      <c r="AF405" s="14"/>
      <c r="AG405" s="14"/>
      <c r="AH405" s="14"/>
      <c r="AI405" s="14"/>
      <c r="AJ405" s="14"/>
      <c r="AK405" s="14"/>
      <c r="AL405" s="14"/>
      <c r="AM405" s="14"/>
      <c r="AN405" s="14"/>
    </row>
    <row r="406" ht="15.75" customHeight="1">
      <c r="A406" s="14"/>
      <c r="B406" s="14"/>
      <c r="C406" s="14"/>
      <c r="D406" s="14"/>
      <c r="E406" s="14"/>
      <c r="F406" s="14"/>
      <c r="G406" s="14"/>
      <c r="H406" s="14"/>
      <c r="I406" s="14"/>
      <c r="J406" s="14"/>
      <c r="K406" s="14"/>
      <c r="L406" s="14"/>
      <c r="M406" s="14"/>
      <c r="N406" s="14"/>
      <c r="O406" s="14"/>
      <c r="P406" s="14"/>
      <c r="Q406" s="14"/>
      <c r="R406" s="18"/>
      <c r="S406" s="18"/>
      <c r="T406" s="93"/>
      <c r="U406" s="20"/>
      <c r="V406" s="14"/>
      <c r="W406" s="14"/>
      <c r="X406" s="14"/>
      <c r="Y406" s="14"/>
      <c r="Z406" s="14"/>
      <c r="AA406" s="14"/>
      <c r="AB406" s="14"/>
      <c r="AC406" s="14"/>
      <c r="AD406" s="14"/>
      <c r="AE406" s="14"/>
      <c r="AF406" s="14"/>
      <c r="AG406" s="14"/>
      <c r="AH406" s="14"/>
      <c r="AI406" s="14"/>
      <c r="AJ406" s="14"/>
      <c r="AK406" s="14"/>
      <c r="AL406" s="14"/>
      <c r="AM406" s="14"/>
      <c r="AN406" s="14"/>
    </row>
    <row r="407" ht="15.75" customHeight="1">
      <c r="A407" s="14"/>
      <c r="B407" s="14"/>
      <c r="C407" s="14"/>
      <c r="D407" s="14"/>
      <c r="E407" s="14"/>
      <c r="F407" s="14"/>
      <c r="G407" s="14"/>
      <c r="H407" s="14"/>
      <c r="I407" s="14"/>
      <c r="J407" s="14"/>
      <c r="K407" s="14"/>
      <c r="L407" s="14"/>
      <c r="M407" s="14"/>
      <c r="N407" s="14"/>
      <c r="O407" s="14"/>
      <c r="P407" s="14"/>
      <c r="Q407" s="14"/>
      <c r="R407" s="18"/>
      <c r="S407" s="18"/>
      <c r="T407" s="93"/>
      <c r="U407" s="20"/>
      <c r="V407" s="14"/>
      <c r="W407" s="14"/>
      <c r="X407" s="14"/>
      <c r="Y407" s="14"/>
      <c r="Z407" s="14"/>
      <c r="AA407" s="14"/>
      <c r="AB407" s="14"/>
      <c r="AC407" s="14"/>
      <c r="AD407" s="14"/>
      <c r="AE407" s="14"/>
      <c r="AF407" s="14"/>
      <c r="AG407" s="14"/>
      <c r="AH407" s="14"/>
      <c r="AI407" s="14"/>
      <c r="AJ407" s="14"/>
      <c r="AK407" s="14"/>
      <c r="AL407" s="14"/>
      <c r="AM407" s="14"/>
      <c r="AN407" s="14"/>
    </row>
    <row r="408" ht="15.75" customHeight="1">
      <c r="A408" s="14"/>
      <c r="B408" s="14"/>
      <c r="C408" s="14"/>
      <c r="D408" s="14"/>
      <c r="E408" s="14"/>
      <c r="F408" s="14"/>
      <c r="G408" s="14"/>
      <c r="H408" s="14"/>
      <c r="I408" s="14"/>
      <c r="J408" s="14"/>
      <c r="K408" s="14"/>
      <c r="L408" s="14"/>
      <c r="M408" s="14"/>
      <c r="N408" s="14"/>
      <c r="O408" s="14"/>
      <c r="P408" s="14"/>
      <c r="Q408" s="14"/>
      <c r="R408" s="18"/>
      <c r="S408" s="18"/>
      <c r="T408" s="93"/>
      <c r="U408" s="20"/>
      <c r="V408" s="14"/>
      <c r="W408" s="14"/>
      <c r="X408" s="14"/>
      <c r="Y408" s="14"/>
      <c r="Z408" s="14"/>
      <c r="AA408" s="14"/>
      <c r="AB408" s="14"/>
      <c r="AC408" s="14"/>
      <c r="AD408" s="14"/>
      <c r="AE408" s="14"/>
      <c r="AF408" s="14"/>
      <c r="AG408" s="14"/>
      <c r="AH408" s="14"/>
      <c r="AI408" s="14"/>
      <c r="AJ408" s="14"/>
      <c r="AK408" s="14"/>
      <c r="AL408" s="14"/>
      <c r="AM408" s="14"/>
      <c r="AN408" s="14"/>
    </row>
    <row r="409" ht="15.75" customHeight="1">
      <c r="A409" s="14"/>
      <c r="B409" s="14"/>
      <c r="C409" s="14"/>
      <c r="D409" s="14"/>
      <c r="E409" s="14"/>
      <c r="F409" s="14"/>
      <c r="G409" s="14"/>
      <c r="H409" s="14"/>
      <c r="I409" s="14"/>
      <c r="J409" s="14"/>
      <c r="K409" s="14"/>
      <c r="L409" s="14"/>
      <c r="M409" s="14"/>
      <c r="N409" s="14"/>
      <c r="O409" s="14"/>
      <c r="P409" s="14"/>
      <c r="Q409" s="14"/>
      <c r="R409" s="18"/>
      <c r="S409" s="18"/>
      <c r="T409" s="93"/>
      <c r="U409" s="20"/>
      <c r="V409" s="14"/>
      <c r="W409" s="14"/>
      <c r="X409" s="14"/>
      <c r="Y409" s="14"/>
      <c r="Z409" s="14"/>
      <c r="AA409" s="14"/>
      <c r="AB409" s="14"/>
      <c r="AC409" s="14"/>
      <c r="AD409" s="14"/>
      <c r="AE409" s="14"/>
      <c r="AF409" s="14"/>
      <c r="AG409" s="14"/>
      <c r="AH409" s="14"/>
      <c r="AI409" s="14"/>
      <c r="AJ409" s="14"/>
      <c r="AK409" s="14"/>
      <c r="AL409" s="14"/>
      <c r="AM409" s="14"/>
      <c r="AN409" s="14"/>
    </row>
    <row r="410" ht="15.75" customHeight="1">
      <c r="A410" s="14"/>
      <c r="B410" s="14"/>
      <c r="C410" s="14"/>
      <c r="D410" s="14"/>
      <c r="E410" s="14"/>
      <c r="F410" s="14"/>
      <c r="G410" s="14"/>
      <c r="H410" s="14"/>
      <c r="I410" s="14"/>
      <c r="J410" s="14"/>
      <c r="K410" s="14"/>
      <c r="L410" s="14"/>
      <c r="M410" s="14"/>
      <c r="N410" s="14"/>
      <c r="O410" s="14"/>
      <c r="P410" s="14"/>
      <c r="Q410" s="14"/>
      <c r="R410" s="18"/>
      <c r="S410" s="18"/>
      <c r="T410" s="93"/>
      <c r="U410" s="20"/>
      <c r="V410" s="14"/>
      <c r="W410" s="14"/>
      <c r="X410" s="14"/>
      <c r="Y410" s="14"/>
      <c r="Z410" s="14"/>
      <c r="AA410" s="14"/>
      <c r="AB410" s="14"/>
      <c r="AC410" s="14"/>
      <c r="AD410" s="14"/>
      <c r="AE410" s="14"/>
      <c r="AF410" s="14"/>
      <c r="AG410" s="14"/>
      <c r="AH410" s="14"/>
      <c r="AI410" s="14"/>
      <c r="AJ410" s="14"/>
      <c r="AK410" s="14"/>
      <c r="AL410" s="14"/>
      <c r="AM410" s="14"/>
      <c r="AN410" s="14"/>
    </row>
    <row r="411" ht="15.75" customHeight="1">
      <c r="A411" s="14"/>
      <c r="B411" s="14"/>
      <c r="C411" s="14"/>
      <c r="D411" s="14"/>
      <c r="E411" s="14"/>
      <c r="F411" s="14"/>
      <c r="G411" s="14"/>
      <c r="H411" s="14"/>
      <c r="I411" s="14"/>
      <c r="J411" s="14"/>
      <c r="K411" s="14"/>
      <c r="L411" s="14"/>
      <c r="M411" s="14"/>
      <c r="N411" s="14"/>
      <c r="O411" s="14"/>
      <c r="P411" s="14"/>
      <c r="Q411" s="14"/>
      <c r="R411" s="18"/>
      <c r="S411" s="18"/>
      <c r="T411" s="93"/>
      <c r="U411" s="20"/>
      <c r="V411" s="14"/>
      <c r="W411" s="14"/>
      <c r="X411" s="14"/>
      <c r="Y411" s="14"/>
      <c r="Z411" s="14"/>
      <c r="AA411" s="14"/>
      <c r="AB411" s="14"/>
      <c r="AC411" s="14"/>
      <c r="AD411" s="14"/>
      <c r="AE411" s="14"/>
      <c r="AF411" s="14"/>
      <c r="AG411" s="14"/>
      <c r="AH411" s="14"/>
      <c r="AI411" s="14"/>
      <c r="AJ411" s="14"/>
      <c r="AK411" s="14"/>
      <c r="AL411" s="14"/>
      <c r="AM411" s="14"/>
      <c r="AN411" s="14"/>
    </row>
    <row r="412" ht="15.75" customHeight="1">
      <c r="A412" s="14"/>
      <c r="B412" s="14"/>
      <c r="C412" s="14"/>
      <c r="D412" s="14"/>
      <c r="E412" s="14"/>
      <c r="F412" s="14"/>
      <c r="G412" s="14"/>
      <c r="H412" s="14"/>
      <c r="I412" s="14"/>
      <c r="J412" s="14"/>
      <c r="K412" s="14"/>
      <c r="L412" s="14"/>
      <c r="M412" s="14"/>
      <c r="N412" s="14"/>
      <c r="O412" s="14"/>
      <c r="P412" s="14"/>
      <c r="Q412" s="14"/>
      <c r="R412" s="18"/>
      <c r="S412" s="18"/>
      <c r="T412" s="93"/>
      <c r="U412" s="20"/>
      <c r="V412" s="14"/>
      <c r="W412" s="14"/>
      <c r="X412" s="14"/>
      <c r="Y412" s="14"/>
      <c r="Z412" s="14"/>
      <c r="AA412" s="14"/>
      <c r="AB412" s="14"/>
      <c r="AC412" s="14"/>
      <c r="AD412" s="14"/>
      <c r="AE412" s="14"/>
      <c r="AF412" s="14"/>
      <c r="AG412" s="14"/>
      <c r="AH412" s="14"/>
      <c r="AI412" s="14"/>
      <c r="AJ412" s="14"/>
      <c r="AK412" s="14"/>
      <c r="AL412" s="14"/>
      <c r="AM412" s="14"/>
      <c r="AN412" s="14"/>
    </row>
    <row r="413" ht="15.75" customHeight="1">
      <c r="A413" s="14"/>
      <c r="B413" s="14"/>
      <c r="C413" s="14"/>
      <c r="D413" s="14"/>
      <c r="E413" s="14"/>
      <c r="F413" s="14"/>
      <c r="G413" s="14"/>
      <c r="H413" s="14"/>
      <c r="I413" s="14"/>
      <c r="J413" s="14"/>
      <c r="K413" s="14"/>
      <c r="L413" s="14"/>
      <c r="M413" s="14"/>
      <c r="N413" s="14"/>
      <c r="O413" s="14"/>
      <c r="P413" s="14"/>
      <c r="Q413" s="14"/>
      <c r="R413" s="18"/>
      <c r="S413" s="18"/>
      <c r="T413" s="93"/>
      <c r="U413" s="20"/>
      <c r="V413" s="14"/>
      <c r="W413" s="14"/>
      <c r="X413" s="14"/>
      <c r="Y413" s="14"/>
      <c r="Z413" s="14"/>
      <c r="AA413" s="14"/>
      <c r="AB413" s="14"/>
      <c r="AC413" s="14"/>
      <c r="AD413" s="14"/>
      <c r="AE413" s="14"/>
      <c r="AF413" s="14"/>
      <c r="AG413" s="14"/>
      <c r="AH413" s="14"/>
      <c r="AI413" s="14"/>
      <c r="AJ413" s="14"/>
      <c r="AK413" s="14"/>
      <c r="AL413" s="14"/>
      <c r="AM413" s="14"/>
      <c r="AN413" s="14"/>
    </row>
    <row r="414" ht="15.75" customHeight="1">
      <c r="A414" s="14"/>
      <c r="B414" s="14"/>
      <c r="C414" s="14"/>
      <c r="D414" s="14"/>
      <c r="E414" s="14"/>
      <c r="F414" s="14"/>
      <c r="G414" s="14"/>
      <c r="H414" s="14"/>
      <c r="I414" s="14"/>
      <c r="J414" s="14"/>
      <c r="K414" s="14"/>
      <c r="L414" s="14"/>
      <c r="M414" s="14"/>
      <c r="N414" s="14"/>
      <c r="O414" s="14"/>
      <c r="P414" s="14"/>
      <c r="Q414" s="14"/>
      <c r="R414" s="18"/>
      <c r="S414" s="18"/>
      <c r="T414" s="93"/>
      <c r="U414" s="20"/>
      <c r="V414" s="14"/>
      <c r="W414" s="14"/>
      <c r="X414" s="14"/>
      <c r="Y414" s="14"/>
      <c r="Z414" s="14"/>
      <c r="AA414" s="14"/>
      <c r="AB414" s="14"/>
      <c r="AC414" s="14"/>
      <c r="AD414" s="14"/>
      <c r="AE414" s="14"/>
      <c r="AF414" s="14"/>
      <c r="AG414" s="14"/>
      <c r="AH414" s="14"/>
      <c r="AI414" s="14"/>
      <c r="AJ414" s="14"/>
      <c r="AK414" s="14"/>
      <c r="AL414" s="14"/>
      <c r="AM414" s="14"/>
      <c r="AN414" s="14"/>
    </row>
    <row r="415" ht="15.75" customHeight="1">
      <c r="A415" s="14"/>
      <c r="B415" s="14"/>
      <c r="C415" s="14"/>
      <c r="D415" s="14"/>
      <c r="E415" s="14"/>
      <c r="F415" s="14"/>
      <c r="G415" s="14"/>
      <c r="H415" s="14"/>
      <c r="I415" s="14"/>
      <c r="J415" s="14"/>
      <c r="K415" s="14"/>
      <c r="L415" s="14"/>
      <c r="M415" s="14"/>
      <c r="N415" s="14"/>
      <c r="O415" s="14"/>
      <c r="P415" s="14"/>
      <c r="Q415" s="14"/>
      <c r="R415" s="18"/>
      <c r="S415" s="18"/>
      <c r="T415" s="93"/>
      <c r="U415" s="20"/>
      <c r="V415" s="14"/>
      <c r="W415" s="14"/>
      <c r="X415" s="14"/>
      <c r="Y415" s="14"/>
      <c r="Z415" s="14"/>
      <c r="AA415" s="14"/>
      <c r="AB415" s="14"/>
      <c r="AC415" s="14"/>
      <c r="AD415" s="14"/>
      <c r="AE415" s="14"/>
      <c r="AF415" s="14"/>
      <c r="AG415" s="14"/>
      <c r="AH415" s="14"/>
      <c r="AI415" s="14"/>
      <c r="AJ415" s="14"/>
      <c r="AK415" s="14"/>
      <c r="AL415" s="14"/>
      <c r="AM415" s="14"/>
      <c r="AN415" s="14"/>
    </row>
    <row r="416" ht="15.75" customHeight="1">
      <c r="A416" s="14"/>
      <c r="B416" s="14"/>
      <c r="C416" s="14"/>
      <c r="D416" s="14"/>
      <c r="E416" s="14"/>
      <c r="F416" s="14"/>
      <c r="G416" s="14"/>
      <c r="H416" s="14"/>
      <c r="I416" s="14"/>
      <c r="J416" s="14"/>
      <c r="K416" s="14"/>
      <c r="L416" s="14"/>
      <c r="M416" s="14"/>
      <c r="N416" s="14"/>
      <c r="O416" s="14"/>
      <c r="P416" s="14"/>
      <c r="Q416" s="14"/>
      <c r="R416" s="18"/>
      <c r="S416" s="18"/>
      <c r="T416" s="93"/>
      <c r="U416" s="20"/>
      <c r="V416" s="14"/>
      <c r="W416" s="14"/>
      <c r="X416" s="14"/>
      <c r="Y416" s="14"/>
      <c r="Z416" s="14"/>
      <c r="AA416" s="14"/>
      <c r="AB416" s="14"/>
      <c r="AC416" s="14"/>
      <c r="AD416" s="14"/>
      <c r="AE416" s="14"/>
      <c r="AF416" s="14"/>
      <c r="AG416" s="14"/>
      <c r="AH416" s="14"/>
      <c r="AI416" s="14"/>
      <c r="AJ416" s="14"/>
      <c r="AK416" s="14"/>
      <c r="AL416" s="14"/>
      <c r="AM416" s="14"/>
      <c r="AN416" s="14"/>
    </row>
    <row r="417" ht="15.75" customHeight="1">
      <c r="A417" s="14"/>
      <c r="B417" s="14"/>
      <c r="C417" s="14"/>
      <c r="D417" s="14"/>
      <c r="E417" s="14"/>
      <c r="F417" s="14"/>
      <c r="G417" s="14"/>
      <c r="H417" s="14"/>
      <c r="I417" s="14"/>
      <c r="J417" s="14"/>
      <c r="K417" s="14"/>
      <c r="L417" s="14"/>
      <c r="M417" s="14"/>
      <c r="N417" s="14"/>
      <c r="O417" s="14"/>
      <c r="P417" s="14"/>
      <c r="Q417" s="14"/>
      <c r="R417" s="18"/>
      <c r="S417" s="18"/>
      <c r="T417" s="93"/>
      <c r="U417" s="20"/>
      <c r="V417" s="14"/>
      <c r="W417" s="14"/>
      <c r="X417" s="14"/>
      <c r="Y417" s="14"/>
      <c r="Z417" s="14"/>
      <c r="AA417" s="14"/>
      <c r="AB417" s="14"/>
      <c r="AC417" s="14"/>
      <c r="AD417" s="14"/>
      <c r="AE417" s="14"/>
      <c r="AF417" s="14"/>
      <c r="AG417" s="14"/>
      <c r="AH417" s="14"/>
      <c r="AI417" s="14"/>
      <c r="AJ417" s="14"/>
      <c r="AK417" s="14"/>
      <c r="AL417" s="14"/>
      <c r="AM417" s="14"/>
      <c r="AN417" s="14"/>
    </row>
    <row r="418" ht="15.75" customHeight="1">
      <c r="A418" s="14"/>
      <c r="B418" s="14"/>
      <c r="C418" s="14"/>
      <c r="D418" s="14"/>
      <c r="E418" s="14"/>
      <c r="F418" s="14"/>
      <c r="G418" s="14"/>
      <c r="H418" s="14"/>
      <c r="I418" s="14"/>
      <c r="J418" s="14"/>
      <c r="K418" s="14"/>
      <c r="L418" s="14"/>
      <c r="M418" s="14"/>
      <c r="N418" s="14"/>
      <c r="O418" s="14"/>
      <c r="P418" s="14"/>
      <c r="Q418" s="14"/>
      <c r="R418" s="18"/>
      <c r="S418" s="18"/>
      <c r="T418" s="93"/>
      <c r="U418" s="20"/>
      <c r="V418" s="14"/>
      <c r="W418" s="14"/>
      <c r="X418" s="14"/>
      <c r="Y418" s="14"/>
      <c r="Z418" s="14"/>
      <c r="AA418" s="14"/>
      <c r="AB418" s="14"/>
      <c r="AC418" s="14"/>
      <c r="AD418" s="14"/>
      <c r="AE418" s="14"/>
      <c r="AF418" s="14"/>
      <c r="AG418" s="14"/>
      <c r="AH418" s="14"/>
      <c r="AI418" s="14"/>
      <c r="AJ418" s="14"/>
      <c r="AK418" s="14"/>
      <c r="AL418" s="14"/>
      <c r="AM418" s="14"/>
      <c r="AN418" s="14"/>
    </row>
    <row r="419" ht="15.75" customHeight="1">
      <c r="A419" s="14"/>
      <c r="B419" s="14"/>
      <c r="C419" s="14"/>
      <c r="D419" s="14"/>
      <c r="E419" s="14"/>
      <c r="F419" s="14"/>
      <c r="G419" s="14"/>
      <c r="H419" s="14"/>
      <c r="I419" s="14"/>
      <c r="J419" s="14"/>
      <c r="K419" s="14"/>
      <c r="L419" s="14"/>
      <c r="M419" s="14"/>
      <c r="N419" s="14"/>
      <c r="O419" s="14"/>
      <c r="P419" s="14"/>
      <c r="Q419" s="14"/>
      <c r="R419" s="18"/>
      <c r="S419" s="18"/>
      <c r="T419" s="93"/>
      <c r="U419" s="20"/>
      <c r="V419" s="14"/>
      <c r="W419" s="14"/>
      <c r="X419" s="14"/>
      <c r="Y419" s="14"/>
      <c r="Z419" s="14"/>
      <c r="AA419" s="14"/>
      <c r="AB419" s="14"/>
      <c r="AC419" s="14"/>
      <c r="AD419" s="14"/>
      <c r="AE419" s="14"/>
      <c r="AF419" s="14"/>
      <c r="AG419" s="14"/>
      <c r="AH419" s="14"/>
      <c r="AI419" s="14"/>
      <c r="AJ419" s="14"/>
      <c r="AK419" s="14"/>
      <c r="AL419" s="14"/>
      <c r="AM419" s="14"/>
      <c r="AN419" s="14"/>
    </row>
    <row r="420" ht="15.75" customHeight="1">
      <c r="A420" s="14"/>
      <c r="B420" s="14"/>
      <c r="C420" s="14"/>
      <c r="D420" s="14"/>
      <c r="E420" s="14"/>
      <c r="F420" s="14"/>
      <c r="G420" s="14"/>
      <c r="H420" s="14"/>
      <c r="I420" s="14"/>
      <c r="J420" s="14"/>
      <c r="K420" s="14"/>
      <c r="L420" s="14"/>
      <c r="M420" s="14"/>
      <c r="N420" s="14"/>
      <c r="O420" s="14"/>
      <c r="P420" s="14"/>
      <c r="Q420" s="14"/>
      <c r="R420" s="18"/>
      <c r="S420" s="18"/>
      <c r="T420" s="93"/>
      <c r="U420" s="20"/>
      <c r="V420" s="14"/>
      <c r="W420" s="14"/>
      <c r="X420" s="14"/>
      <c r="Y420" s="14"/>
      <c r="Z420" s="14"/>
      <c r="AA420" s="14"/>
      <c r="AB420" s="14"/>
      <c r="AC420" s="14"/>
      <c r="AD420" s="14"/>
      <c r="AE420" s="14"/>
      <c r="AF420" s="14"/>
      <c r="AG420" s="14"/>
      <c r="AH420" s="14"/>
      <c r="AI420" s="14"/>
      <c r="AJ420" s="14"/>
      <c r="AK420" s="14"/>
      <c r="AL420" s="14"/>
      <c r="AM420" s="14"/>
      <c r="AN420" s="14"/>
    </row>
    <row r="421" ht="15.75" customHeight="1">
      <c r="A421" s="14"/>
      <c r="B421" s="14"/>
      <c r="C421" s="14"/>
      <c r="D421" s="14"/>
      <c r="E421" s="14"/>
      <c r="F421" s="14"/>
      <c r="G421" s="14"/>
      <c r="H421" s="14"/>
      <c r="I421" s="14"/>
      <c r="J421" s="14"/>
      <c r="K421" s="14"/>
      <c r="L421" s="14"/>
      <c r="M421" s="14"/>
      <c r="N421" s="14"/>
      <c r="O421" s="14"/>
      <c r="P421" s="14"/>
      <c r="Q421" s="14"/>
      <c r="R421" s="18"/>
      <c r="S421" s="18"/>
      <c r="T421" s="93"/>
      <c r="U421" s="20"/>
      <c r="V421" s="14"/>
      <c r="W421" s="14"/>
      <c r="X421" s="14"/>
      <c r="Y421" s="14"/>
      <c r="Z421" s="14"/>
      <c r="AA421" s="14"/>
      <c r="AB421" s="14"/>
      <c r="AC421" s="14"/>
      <c r="AD421" s="14"/>
      <c r="AE421" s="14"/>
      <c r="AF421" s="14"/>
      <c r="AG421" s="14"/>
      <c r="AH421" s="14"/>
      <c r="AI421" s="14"/>
      <c r="AJ421" s="14"/>
      <c r="AK421" s="14"/>
      <c r="AL421" s="14"/>
      <c r="AM421" s="14"/>
      <c r="AN421" s="14"/>
    </row>
    <row r="422" ht="15.75" customHeight="1">
      <c r="A422" s="14"/>
      <c r="B422" s="14"/>
      <c r="C422" s="14"/>
      <c r="D422" s="14"/>
      <c r="E422" s="14"/>
      <c r="F422" s="14"/>
      <c r="G422" s="14"/>
      <c r="H422" s="14"/>
      <c r="I422" s="14"/>
      <c r="J422" s="14"/>
      <c r="K422" s="14"/>
      <c r="L422" s="14"/>
      <c r="M422" s="14"/>
      <c r="N422" s="14"/>
      <c r="O422" s="14"/>
      <c r="P422" s="14"/>
      <c r="Q422" s="14"/>
      <c r="R422" s="18"/>
      <c r="S422" s="18"/>
      <c r="T422" s="93"/>
      <c r="U422" s="20"/>
      <c r="V422" s="14"/>
      <c r="W422" s="14"/>
      <c r="X422" s="14"/>
      <c r="Y422" s="14"/>
      <c r="Z422" s="14"/>
      <c r="AA422" s="14"/>
      <c r="AB422" s="14"/>
      <c r="AC422" s="14"/>
      <c r="AD422" s="14"/>
      <c r="AE422" s="14"/>
      <c r="AF422" s="14"/>
      <c r="AG422" s="14"/>
      <c r="AH422" s="14"/>
      <c r="AI422" s="14"/>
      <c r="AJ422" s="14"/>
      <c r="AK422" s="14"/>
      <c r="AL422" s="14"/>
      <c r="AM422" s="14"/>
      <c r="AN422" s="14"/>
    </row>
    <row r="423" ht="15.75" customHeight="1">
      <c r="A423" s="14"/>
      <c r="B423" s="14"/>
      <c r="C423" s="14"/>
      <c r="D423" s="14"/>
      <c r="E423" s="14"/>
      <c r="F423" s="14"/>
      <c r="G423" s="14"/>
      <c r="H423" s="14"/>
      <c r="I423" s="14"/>
      <c r="J423" s="14"/>
      <c r="K423" s="14"/>
      <c r="L423" s="14"/>
      <c r="M423" s="14"/>
      <c r="N423" s="14"/>
      <c r="O423" s="14"/>
      <c r="P423" s="14"/>
      <c r="Q423" s="14"/>
      <c r="R423" s="18"/>
      <c r="S423" s="18"/>
      <c r="T423" s="93"/>
      <c r="U423" s="20"/>
      <c r="V423" s="14"/>
      <c r="W423" s="14"/>
      <c r="X423" s="14"/>
      <c r="Y423" s="14"/>
      <c r="Z423" s="14"/>
      <c r="AA423" s="14"/>
      <c r="AB423" s="14"/>
      <c r="AC423" s="14"/>
      <c r="AD423" s="14"/>
      <c r="AE423" s="14"/>
      <c r="AF423" s="14"/>
      <c r="AG423" s="14"/>
      <c r="AH423" s="14"/>
      <c r="AI423" s="14"/>
      <c r="AJ423" s="14"/>
      <c r="AK423" s="14"/>
      <c r="AL423" s="14"/>
      <c r="AM423" s="14"/>
      <c r="AN423" s="14"/>
    </row>
    <row r="424" ht="15.75" customHeight="1">
      <c r="A424" s="14"/>
      <c r="B424" s="14"/>
      <c r="C424" s="14"/>
      <c r="D424" s="14"/>
      <c r="E424" s="14"/>
      <c r="F424" s="14"/>
      <c r="G424" s="14"/>
      <c r="H424" s="14"/>
      <c r="I424" s="14"/>
      <c r="J424" s="14"/>
      <c r="K424" s="14"/>
      <c r="L424" s="14"/>
      <c r="M424" s="14"/>
      <c r="N424" s="14"/>
      <c r="O424" s="14"/>
      <c r="P424" s="14"/>
      <c r="Q424" s="14"/>
      <c r="R424" s="18"/>
      <c r="S424" s="18"/>
      <c r="T424" s="93"/>
      <c r="U424" s="20"/>
      <c r="V424" s="14"/>
      <c r="W424" s="14"/>
      <c r="X424" s="14"/>
      <c r="Y424" s="14"/>
      <c r="Z424" s="14"/>
      <c r="AA424" s="14"/>
      <c r="AB424" s="14"/>
      <c r="AC424" s="14"/>
      <c r="AD424" s="14"/>
      <c r="AE424" s="14"/>
      <c r="AF424" s="14"/>
      <c r="AG424" s="14"/>
      <c r="AH424" s="14"/>
      <c r="AI424" s="14"/>
      <c r="AJ424" s="14"/>
      <c r="AK424" s="14"/>
      <c r="AL424" s="14"/>
      <c r="AM424" s="14"/>
      <c r="AN424" s="14"/>
    </row>
    <row r="425" ht="15.75" customHeight="1">
      <c r="A425" s="14"/>
      <c r="B425" s="14"/>
      <c r="C425" s="14"/>
      <c r="D425" s="14"/>
      <c r="E425" s="14"/>
      <c r="F425" s="14"/>
      <c r="G425" s="14"/>
      <c r="H425" s="14"/>
      <c r="I425" s="14"/>
      <c r="J425" s="14"/>
      <c r="K425" s="14"/>
      <c r="L425" s="14"/>
      <c r="M425" s="14"/>
      <c r="N425" s="14"/>
      <c r="O425" s="14"/>
      <c r="P425" s="14"/>
      <c r="Q425" s="14"/>
      <c r="R425" s="18"/>
      <c r="S425" s="18"/>
      <c r="T425" s="93"/>
      <c r="U425" s="20"/>
      <c r="V425" s="14"/>
      <c r="W425" s="14"/>
      <c r="X425" s="14"/>
      <c r="Y425" s="14"/>
      <c r="Z425" s="14"/>
      <c r="AA425" s="14"/>
      <c r="AB425" s="14"/>
      <c r="AC425" s="14"/>
      <c r="AD425" s="14"/>
      <c r="AE425" s="14"/>
      <c r="AF425" s="14"/>
      <c r="AG425" s="14"/>
      <c r="AH425" s="14"/>
      <c r="AI425" s="14"/>
      <c r="AJ425" s="14"/>
      <c r="AK425" s="14"/>
      <c r="AL425" s="14"/>
      <c r="AM425" s="14"/>
      <c r="AN425" s="14"/>
    </row>
    <row r="426" ht="15.75" customHeight="1">
      <c r="A426" s="14"/>
      <c r="B426" s="14"/>
      <c r="C426" s="14"/>
      <c r="D426" s="14"/>
      <c r="E426" s="14"/>
      <c r="F426" s="14"/>
      <c r="G426" s="14"/>
      <c r="H426" s="14"/>
      <c r="I426" s="14"/>
      <c r="J426" s="14"/>
      <c r="K426" s="14"/>
      <c r="L426" s="14"/>
      <c r="M426" s="14"/>
      <c r="N426" s="14"/>
      <c r="O426" s="14"/>
      <c r="P426" s="14"/>
      <c r="Q426" s="14"/>
      <c r="R426" s="18"/>
      <c r="S426" s="18"/>
      <c r="T426" s="93"/>
      <c r="U426" s="20"/>
      <c r="V426" s="14"/>
      <c r="W426" s="14"/>
      <c r="X426" s="14"/>
      <c r="Y426" s="14"/>
      <c r="Z426" s="14"/>
      <c r="AA426" s="14"/>
      <c r="AB426" s="14"/>
      <c r="AC426" s="14"/>
      <c r="AD426" s="14"/>
      <c r="AE426" s="14"/>
      <c r="AF426" s="14"/>
      <c r="AG426" s="14"/>
      <c r="AH426" s="14"/>
      <c r="AI426" s="14"/>
      <c r="AJ426" s="14"/>
      <c r="AK426" s="14"/>
      <c r="AL426" s="14"/>
      <c r="AM426" s="14"/>
      <c r="AN426" s="14"/>
    </row>
    <row r="427" ht="15.75" customHeight="1">
      <c r="A427" s="14"/>
      <c r="B427" s="14"/>
      <c r="C427" s="14"/>
      <c r="D427" s="14"/>
      <c r="E427" s="14"/>
      <c r="F427" s="14"/>
      <c r="G427" s="14"/>
      <c r="H427" s="14"/>
      <c r="I427" s="14"/>
      <c r="J427" s="14"/>
      <c r="K427" s="14"/>
      <c r="L427" s="14"/>
      <c r="M427" s="14"/>
      <c r="N427" s="14"/>
      <c r="O427" s="14"/>
      <c r="P427" s="14"/>
      <c r="Q427" s="14"/>
      <c r="R427" s="18"/>
      <c r="S427" s="18"/>
      <c r="T427" s="93"/>
      <c r="U427" s="20"/>
      <c r="V427" s="14"/>
      <c r="W427" s="14"/>
      <c r="X427" s="14"/>
      <c r="Y427" s="14"/>
      <c r="Z427" s="14"/>
      <c r="AA427" s="14"/>
      <c r="AB427" s="14"/>
      <c r="AC427" s="14"/>
      <c r="AD427" s="14"/>
      <c r="AE427" s="14"/>
      <c r="AF427" s="14"/>
      <c r="AG427" s="14"/>
      <c r="AH427" s="14"/>
      <c r="AI427" s="14"/>
      <c r="AJ427" s="14"/>
      <c r="AK427" s="14"/>
      <c r="AL427" s="14"/>
      <c r="AM427" s="14"/>
      <c r="AN427" s="14"/>
    </row>
    <row r="428" ht="15.75" customHeight="1">
      <c r="A428" s="14"/>
      <c r="B428" s="14"/>
      <c r="C428" s="14"/>
      <c r="D428" s="14"/>
      <c r="E428" s="14"/>
      <c r="F428" s="14"/>
      <c r="G428" s="14"/>
      <c r="H428" s="14"/>
      <c r="I428" s="14"/>
      <c r="J428" s="14"/>
      <c r="K428" s="14"/>
      <c r="L428" s="14"/>
      <c r="M428" s="14"/>
      <c r="N428" s="14"/>
      <c r="O428" s="14"/>
      <c r="P428" s="14"/>
      <c r="Q428" s="14"/>
      <c r="R428" s="18"/>
      <c r="S428" s="18"/>
      <c r="T428" s="93"/>
      <c r="U428" s="20"/>
      <c r="V428" s="14"/>
      <c r="W428" s="14"/>
      <c r="X428" s="14"/>
      <c r="Y428" s="14"/>
      <c r="Z428" s="14"/>
      <c r="AA428" s="14"/>
      <c r="AB428" s="14"/>
      <c r="AC428" s="14"/>
      <c r="AD428" s="14"/>
      <c r="AE428" s="14"/>
      <c r="AF428" s="14"/>
      <c r="AG428" s="14"/>
      <c r="AH428" s="14"/>
      <c r="AI428" s="14"/>
      <c r="AJ428" s="14"/>
      <c r="AK428" s="14"/>
      <c r="AL428" s="14"/>
      <c r="AM428" s="14"/>
      <c r="AN428" s="14"/>
    </row>
    <row r="429" ht="15.75" customHeight="1">
      <c r="A429" s="14"/>
      <c r="B429" s="14"/>
      <c r="C429" s="14"/>
      <c r="D429" s="14"/>
      <c r="E429" s="14"/>
      <c r="F429" s="14"/>
      <c r="G429" s="14"/>
      <c r="H429" s="14"/>
      <c r="I429" s="14"/>
      <c r="J429" s="14"/>
      <c r="K429" s="14"/>
      <c r="L429" s="14"/>
      <c r="M429" s="14"/>
      <c r="N429" s="14"/>
      <c r="O429" s="14"/>
      <c r="P429" s="14"/>
      <c r="Q429" s="14"/>
      <c r="R429" s="18"/>
      <c r="S429" s="18"/>
      <c r="T429" s="93"/>
      <c r="U429" s="20"/>
      <c r="V429" s="14"/>
      <c r="W429" s="14"/>
      <c r="X429" s="14"/>
      <c r="Y429" s="14"/>
      <c r="Z429" s="14"/>
      <c r="AA429" s="14"/>
      <c r="AB429" s="14"/>
      <c r="AC429" s="14"/>
      <c r="AD429" s="14"/>
      <c r="AE429" s="14"/>
      <c r="AF429" s="14"/>
      <c r="AG429" s="14"/>
      <c r="AH429" s="14"/>
      <c r="AI429" s="14"/>
      <c r="AJ429" s="14"/>
      <c r="AK429" s="14"/>
      <c r="AL429" s="14"/>
      <c r="AM429" s="14"/>
      <c r="AN429" s="14"/>
    </row>
    <row r="430" ht="15.75" customHeight="1">
      <c r="A430" s="14"/>
      <c r="B430" s="14"/>
      <c r="C430" s="14"/>
      <c r="D430" s="14"/>
      <c r="E430" s="14"/>
      <c r="F430" s="14"/>
      <c r="G430" s="14"/>
      <c r="H430" s="14"/>
      <c r="I430" s="14"/>
      <c r="J430" s="14"/>
      <c r="K430" s="14"/>
      <c r="L430" s="14"/>
      <c r="M430" s="14"/>
      <c r="N430" s="14"/>
      <c r="O430" s="14"/>
      <c r="P430" s="14"/>
      <c r="Q430" s="14"/>
      <c r="R430" s="18"/>
      <c r="S430" s="18"/>
      <c r="T430" s="93"/>
      <c r="U430" s="20"/>
      <c r="V430" s="14"/>
      <c r="W430" s="14"/>
      <c r="X430" s="14"/>
      <c r="Y430" s="14"/>
      <c r="Z430" s="14"/>
      <c r="AA430" s="14"/>
      <c r="AB430" s="14"/>
      <c r="AC430" s="14"/>
      <c r="AD430" s="14"/>
      <c r="AE430" s="14"/>
      <c r="AF430" s="14"/>
      <c r="AG430" s="14"/>
      <c r="AH430" s="14"/>
      <c r="AI430" s="14"/>
      <c r="AJ430" s="14"/>
      <c r="AK430" s="14"/>
      <c r="AL430" s="14"/>
      <c r="AM430" s="14"/>
      <c r="AN430" s="14"/>
    </row>
    <row r="431" ht="15.75" customHeight="1">
      <c r="A431" s="14"/>
      <c r="B431" s="14"/>
      <c r="C431" s="14"/>
      <c r="D431" s="14"/>
      <c r="E431" s="14"/>
      <c r="F431" s="14"/>
      <c r="G431" s="14"/>
      <c r="H431" s="14"/>
      <c r="I431" s="14"/>
      <c r="J431" s="14"/>
      <c r="K431" s="14"/>
      <c r="L431" s="14"/>
      <c r="M431" s="14"/>
      <c r="N431" s="14"/>
      <c r="O431" s="14"/>
      <c r="P431" s="14"/>
      <c r="Q431" s="14"/>
      <c r="R431" s="18"/>
      <c r="S431" s="18"/>
      <c r="T431" s="93"/>
      <c r="U431" s="20"/>
      <c r="V431" s="14"/>
      <c r="W431" s="14"/>
      <c r="X431" s="14"/>
      <c r="Y431" s="14"/>
      <c r="Z431" s="14"/>
      <c r="AA431" s="14"/>
      <c r="AB431" s="14"/>
      <c r="AC431" s="14"/>
      <c r="AD431" s="14"/>
      <c r="AE431" s="14"/>
      <c r="AF431" s="14"/>
      <c r="AG431" s="14"/>
      <c r="AH431" s="14"/>
      <c r="AI431" s="14"/>
      <c r="AJ431" s="14"/>
      <c r="AK431" s="14"/>
      <c r="AL431" s="14"/>
      <c r="AM431" s="14"/>
      <c r="AN431" s="14"/>
    </row>
    <row r="432" ht="15.75" customHeight="1">
      <c r="A432" s="14"/>
      <c r="B432" s="14"/>
      <c r="C432" s="14"/>
      <c r="D432" s="14"/>
      <c r="E432" s="14"/>
      <c r="F432" s="14"/>
      <c r="G432" s="14"/>
      <c r="H432" s="14"/>
      <c r="I432" s="14"/>
      <c r="J432" s="14"/>
      <c r="K432" s="14"/>
      <c r="L432" s="14"/>
      <c r="M432" s="14"/>
      <c r="N432" s="14"/>
      <c r="O432" s="14"/>
      <c r="P432" s="14"/>
      <c r="Q432" s="14"/>
      <c r="R432" s="18"/>
      <c r="S432" s="18"/>
      <c r="T432" s="93"/>
      <c r="U432" s="20"/>
      <c r="V432" s="14"/>
      <c r="W432" s="14"/>
      <c r="X432" s="14"/>
      <c r="Y432" s="14"/>
      <c r="Z432" s="14"/>
      <c r="AA432" s="14"/>
      <c r="AB432" s="14"/>
      <c r="AC432" s="14"/>
      <c r="AD432" s="14"/>
      <c r="AE432" s="14"/>
      <c r="AF432" s="14"/>
      <c r="AG432" s="14"/>
      <c r="AH432" s="14"/>
      <c r="AI432" s="14"/>
      <c r="AJ432" s="14"/>
      <c r="AK432" s="14"/>
      <c r="AL432" s="14"/>
      <c r="AM432" s="14"/>
      <c r="AN432" s="14"/>
    </row>
    <row r="433" ht="15.75" customHeight="1">
      <c r="A433" s="14"/>
      <c r="B433" s="14"/>
      <c r="C433" s="14"/>
      <c r="D433" s="14"/>
      <c r="E433" s="14"/>
      <c r="F433" s="14"/>
      <c r="G433" s="14"/>
      <c r="H433" s="14"/>
      <c r="I433" s="14"/>
      <c r="J433" s="14"/>
      <c r="K433" s="14"/>
      <c r="L433" s="14"/>
      <c r="M433" s="14"/>
      <c r="N433" s="14"/>
      <c r="O433" s="14"/>
      <c r="P433" s="14"/>
      <c r="Q433" s="14"/>
      <c r="R433" s="18"/>
      <c r="S433" s="18"/>
      <c r="T433" s="93"/>
      <c r="U433" s="20"/>
      <c r="V433" s="14"/>
      <c r="W433" s="14"/>
      <c r="X433" s="14"/>
      <c r="Y433" s="14"/>
      <c r="Z433" s="14"/>
      <c r="AA433" s="14"/>
      <c r="AB433" s="14"/>
      <c r="AC433" s="14"/>
      <c r="AD433" s="14"/>
      <c r="AE433" s="14"/>
      <c r="AF433" s="14"/>
      <c r="AG433" s="14"/>
      <c r="AH433" s="14"/>
      <c r="AI433" s="14"/>
      <c r="AJ433" s="14"/>
      <c r="AK433" s="14"/>
      <c r="AL433" s="14"/>
      <c r="AM433" s="14"/>
      <c r="AN433" s="14"/>
    </row>
    <row r="434" ht="15.75" customHeight="1">
      <c r="A434" s="14"/>
      <c r="B434" s="14"/>
      <c r="C434" s="14"/>
      <c r="D434" s="14"/>
      <c r="E434" s="14"/>
      <c r="F434" s="14"/>
      <c r="G434" s="14"/>
      <c r="H434" s="14"/>
      <c r="I434" s="14"/>
      <c r="J434" s="14"/>
      <c r="K434" s="14"/>
      <c r="L434" s="14"/>
      <c r="M434" s="14"/>
      <c r="N434" s="14"/>
      <c r="O434" s="14"/>
      <c r="P434" s="14"/>
      <c r="Q434" s="14"/>
      <c r="R434" s="18"/>
      <c r="S434" s="18"/>
      <c r="T434" s="93"/>
      <c r="U434" s="20"/>
      <c r="V434" s="14"/>
      <c r="W434" s="14"/>
      <c r="X434" s="14"/>
      <c r="Y434" s="14"/>
      <c r="Z434" s="14"/>
      <c r="AA434" s="14"/>
      <c r="AB434" s="14"/>
      <c r="AC434" s="14"/>
      <c r="AD434" s="14"/>
      <c r="AE434" s="14"/>
      <c r="AF434" s="14"/>
      <c r="AG434" s="14"/>
      <c r="AH434" s="14"/>
      <c r="AI434" s="14"/>
      <c r="AJ434" s="14"/>
      <c r="AK434" s="14"/>
      <c r="AL434" s="14"/>
      <c r="AM434" s="14"/>
      <c r="AN434" s="14"/>
    </row>
    <row r="435" ht="15.75" customHeight="1">
      <c r="A435" s="14"/>
      <c r="B435" s="14"/>
      <c r="C435" s="14"/>
      <c r="D435" s="14"/>
      <c r="E435" s="14"/>
      <c r="F435" s="14"/>
      <c r="G435" s="14"/>
      <c r="H435" s="14"/>
      <c r="I435" s="14"/>
      <c r="J435" s="14"/>
      <c r="K435" s="14"/>
      <c r="L435" s="14"/>
      <c r="M435" s="14"/>
      <c r="N435" s="14"/>
      <c r="O435" s="14"/>
      <c r="P435" s="14"/>
      <c r="Q435" s="14"/>
      <c r="R435" s="18"/>
      <c r="S435" s="18"/>
      <c r="T435" s="93"/>
      <c r="U435" s="20"/>
      <c r="V435" s="14"/>
      <c r="W435" s="14"/>
      <c r="X435" s="14"/>
      <c r="Y435" s="14"/>
      <c r="Z435" s="14"/>
      <c r="AA435" s="14"/>
      <c r="AB435" s="14"/>
      <c r="AC435" s="14"/>
      <c r="AD435" s="14"/>
      <c r="AE435" s="14"/>
      <c r="AF435" s="14"/>
      <c r="AG435" s="14"/>
      <c r="AH435" s="14"/>
      <c r="AI435" s="14"/>
      <c r="AJ435" s="14"/>
      <c r="AK435" s="14"/>
      <c r="AL435" s="14"/>
      <c r="AM435" s="14"/>
      <c r="AN435" s="14"/>
    </row>
    <row r="436" ht="15.75" customHeight="1">
      <c r="A436" s="14"/>
      <c r="B436" s="14"/>
      <c r="C436" s="14"/>
      <c r="D436" s="14"/>
      <c r="E436" s="14"/>
      <c r="F436" s="14"/>
      <c r="G436" s="14"/>
      <c r="H436" s="14"/>
      <c r="I436" s="14"/>
      <c r="J436" s="14"/>
      <c r="K436" s="14"/>
      <c r="L436" s="14"/>
      <c r="M436" s="14"/>
      <c r="N436" s="14"/>
      <c r="O436" s="14"/>
      <c r="P436" s="14"/>
      <c r="Q436" s="14"/>
      <c r="R436" s="18"/>
      <c r="S436" s="18"/>
      <c r="T436" s="93"/>
      <c r="U436" s="20"/>
      <c r="V436" s="14"/>
      <c r="W436" s="14"/>
      <c r="X436" s="14"/>
      <c r="Y436" s="14"/>
      <c r="Z436" s="14"/>
      <c r="AA436" s="14"/>
      <c r="AB436" s="14"/>
      <c r="AC436" s="14"/>
      <c r="AD436" s="14"/>
      <c r="AE436" s="14"/>
      <c r="AF436" s="14"/>
      <c r="AG436" s="14"/>
      <c r="AH436" s="14"/>
      <c r="AI436" s="14"/>
      <c r="AJ436" s="14"/>
      <c r="AK436" s="14"/>
      <c r="AL436" s="14"/>
      <c r="AM436" s="14"/>
      <c r="AN436" s="14"/>
    </row>
    <row r="437" ht="15.75" customHeight="1">
      <c r="A437" s="14"/>
      <c r="B437" s="14"/>
      <c r="C437" s="14"/>
      <c r="D437" s="14"/>
      <c r="E437" s="14"/>
      <c r="F437" s="14"/>
      <c r="G437" s="14"/>
      <c r="H437" s="14"/>
      <c r="I437" s="14"/>
      <c r="J437" s="14"/>
      <c r="K437" s="14"/>
      <c r="L437" s="14"/>
      <c r="M437" s="14"/>
      <c r="N437" s="14"/>
      <c r="O437" s="14"/>
      <c r="P437" s="14"/>
      <c r="Q437" s="14"/>
      <c r="R437" s="18"/>
      <c r="S437" s="18"/>
      <c r="T437" s="93"/>
      <c r="U437" s="20"/>
      <c r="V437" s="14"/>
      <c r="W437" s="14"/>
      <c r="X437" s="14"/>
      <c r="Y437" s="14"/>
      <c r="Z437" s="14"/>
      <c r="AA437" s="14"/>
      <c r="AB437" s="14"/>
      <c r="AC437" s="14"/>
      <c r="AD437" s="14"/>
      <c r="AE437" s="14"/>
      <c r="AF437" s="14"/>
      <c r="AG437" s="14"/>
      <c r="AH437" s="14"/>
      <c r="AI437" s="14"/>
      <c r="AJ437" s="14"/>
      <c r="AK437" s="14"/>
      <c r="AL437" s="14"/>
      <c r="AM437" s="14"/>
      <c r="AN437" s="14"/>
    </row>
    <row r="438" ht="15.75" customHeight="1">
      <c r="A438" s="14"/>
      <c r="B438" s="14"/>
      <c r="C438" s="14"/>
      <c r="D438" s="14"/>
      <c r="E438" s="14"/>
      <c r="F438" s="14"/>
      <c r="G438" s="14"/>
      <c r="H438" s="14"/>
      <c r="I438" s="14"/>
      <c r="J438" s="14"/>
      <c r="K438" s="14"/>
      <c r="L438" s="14"/>
      <c r="M438" s="14"/>
      <c r="N438" s="14"/>
      <c r="O438" s="14"/>
      <c r="P438" s="14"/>
      <c r="Q438" s="14"/>
      <c r="R438" s="18"/>
      <c r="S438" s="18"/>
      <c r="T438" s="93"/>
      <c r="U438" s="20"/>
      <c r="V438" s="14"/>
      <c r="W438" s="14"/>
      <c r="X438" s="14"/>
      <c r="Y438" s="14"/>
      <c r="Z438" s="14"/>
      <c r="AA438" s="14"/>
      <c r="AB438" s="14"/>
      <c r="AC438" s="14"/>
      <c r="AD438" s="14"/>
      <c r="AE438" s="14"/>
      <c r="AF438" s="14"/>
      <c r="AG438" s="14"/>
      <c r="AH438" s="14"/>
      <c r="AI438" s="14"/>
      <c r="AJ438" s="14"/>
      <c r="AK438" s="14"/>
      <c r="AL438" s="14"/>
      <c r="AM438" s="14"/>
      <c r="AN438" s="14"/>
    </row>
    <row r="439" ht="15.75" customHeight="1">
      <c r="A439" s="14"/>
      <c r="B439" s="14"/>
      <c r="C439" s="14"/>
      <c r="D439" s="14"/>
      <c r="E439" s="14"/>
      <c r="F439" s="14"/>
      <c r="G439" s="14"/>
      <c r="H439" s="14"/>
      <c r="I439" s="14"/>
      <c r="J439" s="14"/>
      <c r="K439" s="14"/>
      <c r="L439" s="14"/>
      <c r="M439" s="14"/>
      <c r="N439" s="14"/>
      <c r="O439" s="14"/>
      <c r="P439" s="14"/>
      <c r="Q439" s="14"/>
      <c r="R439" s="18"/>
      <c r="S439" s="18"/>
      <c r="T439" s="93"/>
      <c r="U439" s="20"/>
      <c r="V439" s="14"/>
      <c r="W439" s="14"/>
      <c r="X439" s="14"/>
      <c r="Y439" s="14"/>
      <c r="Z439" s="14"/>
      <c r="AA439" s="14"/>
      <c r="AB439" s="14"/>
      <c r="AC439" s="14"/>
      <c r="AD439" s="14"/>
      <c r="AE439" s="14"/>
      <c r="AF439" s="14"/>
      <c r="AG439" s="14"/>
      <c r="AH439" s="14"/>
      <c r="AI439" s="14"/>
      <c r="AJ439" s="14"/>
      <c r="AK439" s="14"/>
      <c r="AL439" s="14"/>
      <c r="AM439" s="14"/>
      <c r="AN439" s="14"/>
    </row>
    <row r="440" ht="15.75" customHeight="1">
      <c r="A440" s="14"/>
      <c r="B440" s="14"/>
      <c r="C440" s="14"/>
      <c r="D440" s="14"/>
      <c r="E440" s="14"/>
      <c r="F440" s="14"/>
      <c r="G440" s="14"/>
      <c r="H440" s="14"/>
      <c r="I440" s="14"/>
      <c r="J440" s="14"/>
      <c r="K440" s="14"/>
      <c r="L440" s="14"/>
      <c r="M440" s="14"/>
      <c r="N440" s="14"/>
      <c r="O440" s="14"/>
      <c r="P440" s="14"/>
      <c r="Q440" s="14"/>
      <c r="R440" s="18"/>
      <c r="S440" s="18"/>
      <c r="T440" s="93"/>
      <c r="U440" s="20"/>
      <c r="V440" s="14"/>
      <c r="W440" s="14"/>
      <c r="X440" s="14"/>
      <c r="Y440" s="14"/>
      <c r="Z440" s="14"/>
      <c r="AA440" s="14"/>
      <c r="AB440" s="14"/>
      <c r="AC440" s="14"/>
      <c r="AD440" s="14"/>
      <c r="AE440" s="14"/>
      <c r="AF440" s="14"/>
      <c r="AG440" s="14"/>
      <c r="AH440" s="14"/>
      <c r="AI440" s="14"/>
      <c r="AJ440" s="14"/>
      <c r="AK440" s="14"/>
      <c r="AL440" s="14"/>
      <c r="AM440" s="14"/>
      <c r="AN440" s="14"/>
    </row>
    <row r="441" ht="15.75" customHeight="1">
      <c r="A441" s="14"/>
      <c r="B441" s="14"/>
      <c r="C441" s="14"/>
      <c r="D441" s="14"/>
      <c r="E441" s="14"/>
      <c r="F441" s="14"/>
      <c r="G441" s="14"/>
      <c r="H441" s="14"/>
      <c r="I441" s="14"/>
      <c r="J441" s="14"/>
      <c r="K441" s="14"/>
      <c r="L441" s="14"/>
      <c r="M441" s="14"/>
      <c r="N441" s="14"/>
      <c r="O441" s="14"/>
      <c r="P441" s="14"/>
      <c r="Q441" s="14"/>
      <c r="R441" s="18"/>
      <c r="S441" s="18"/>
      <c r="T441" s="93"/>
      <c r="U441" s="20"/>
      <c r="V441" s="14"/>
      <c r="W441" s="14"/>
      <c r="X441" s="14"/>
      <c r="Y441" s="14"/>
      <c r="Z441" s="14"/>
      <c r="AA441" s="14"/>
      <c r="AB441" s="14"/>
      <c r="AC441" s="14"/>
      <c r="AD441" s="14"/>
      <c r="AE441" s="14"/>
      <c r="AF441" s="14"/>
      <c r="AG441" s="14"/>
      <c r="AH441" s="14"/>
      <c r="AI441" s="14"/>
      <c r="AJ441" s="14"/>
      <c r="AK441" s="14"/>
      <c r="AL441" s="14"/>
      <c r="AM441" s="14"/>
      <c r="AN441" s="14"/>
    </row>
    <row r="442" ht="15.75" customHeight="1">
      <c r="A442" s="14"/>
      <c r="B442" s="14"/>
      <c r="C442" s="14"/>
      <c r="D442" s="14"/>
      <c r="E442" s="14"/>
      <c r="F442" s="14"/>
      <c r="G442" s="14"/>
      <c r="H442" s="14"/>
      <c r="I442" s="14"/>
      <c r="J442" s="14"/>
      <c r="K442" s="14"/>
      <c r="L442" s="14"/>
      <c r="M442" s="14"/>
      <c r="N442" s="14"/>
      <c r="O442" s="14"/>
      <c r="P442" s="14"/>
      <c r="Q442" s="14"/>
      <c r="R442" s="18"/>
      <c r="S442" s="18"/>
      <c r="T442" s="93"/>
      <c r="U442" s="20"/>
      <c r="V442" s="14"/>
      <c r="W442" s="14"/>
      <c r="X442" s="14"/>
      <c r="Y442" s="14"/>
      <c r="Z442" s="14"/>
      <c r="AA442" s="14"/>
      <c r="AB442" s="14"/>
      <c r="AC442" s="14"/>
      <c r="AD442" s="14"/>
      <c r="AE442" s="14"/>
      <c r="AF442" s="14"/>
      <c r="AG442" s="14"/>
      <c r="AH442" s="14"/>
      <c r="AI442" s="14"/>
      <c r="AJ442" s="14"/>
      <c r="AK442" s="14"/>
      <c r="AL442" s="14"/>
      <c r="AM442" s="14"/>
      <c r="AN442" s="14"/>
    </row>
    <row r="443" ht="15.75" customHeight="1">
      <c r="A443" s="14"/>
      <c r="B443" s="14"/>
      <c r="C443" s="14"/>
      <c r="D443" s="14"/>
      <c r="E443" s="14"/>
      <c r="F443" s="14"/>
      <c r="G443" s="14"/>
      <c r="H443" s="14"/>
      <c r="I443" s="14"/>
      <c r="J443" s="14"/>
      <c r="K443" s="14"/>
      <c r="L443" s="14"/>
      <c r="M443" s="14"/>
      <c r="N443" s="14"/>
      <c r="O443" s="14"/>
      <c r="P443" s="14"/>
      <c r="Q443" s="14"/>
      <c r="R443" s="18"/>
      <c r="S443" s="18"/>
      <c r="T443" s="93"/>
      <c r="U443" s="20"/>
      <c r="V443" s="14"/>
      <c r="W443" s="14"/>
      <c r="X443" s="14"/>
      <c r="Y443" s="14"/>
      <c r="Z443" s="14"/>
      <c r="AA443" s="14"/>
      <c r="AB443" s="14"/>
      <c r="AC443" s="14"/>
      <c r="AD443" s="14"/>
      <c r="AE443" s="14"/>
      <c r="AF443" s="14"/>
      <c r="AG443" s="14"/>
      <c r="AH443" s="14"/>
      <c r="AI443" s="14"/>
      <c r="AJ443" s="14"/>
      <c r="AK443" s="14"/>
      <c r="AL443" s="14"/>
      <c r="AM443" s="14"/>
      <c r="AN443" s="14"/>
    </row>
    <row r="444" ht="15.75" customHeight="1">
      <c r="A444" s="14"/>
      <c r="B444" s="14"/>
      <c r="C444" s="14"/>
      <c r="D444" s="14"/>
      <c r="E444" s="14"/>
      <c r="F444" s="14"/>
      <c r="G444" s="14"/>
      <c r="H444" s="14"/>
      <c r="I444" s="14"/>
      <c r="J444" s="14"/>
      <c r="K444" s="14"/>
      <c r="L444" s="14"/>
      <c r="M444" s="14"/>
      <c r="N444" s="14"/>
      <c r="O444" s="14"/>
      <c r="P444" s="14"/>
      <c r="Q444" s="14"/>
      <c r="R444" s="18"/>
      <c r="S444" s="18"/>
      <c r="T444" s="93"/>
      <c r="U444" s="20"/>
      <c r="V444" s="14"/>
      <c r="W444" s="14"/>
      <c r="X444" s="14"/>
      <c r="Y444" s="14"/>
      <c r="Z444" s="14"/>
      <c r="AA444" s="14"/>
      <c r="AB444" s="14"/>
      <c r="AC444" s="14"/>
      <c r="AD444" s="14"/>
      <c r="AE444" s="14"/>
      <c r="AF444" s="14"/>
      <c r="AG444" s="14"/>
      <c r="AH444" s="14"/>
      <c r="AI444" s="14"/>
      <c r="AJ444" s="14"/>
      <c r="AK444" s="14"/>
      <c r="AL444" s="14"/>
      <c r="AM444" s="14"/>
      <c r="AN444" s="14"/>
    </row>
    <row r="445" ht="15.75" customHeight="1">
      <c r="A445" s="14"/>
      <c r="B445" s="14"/>
      <c r="C445" s="14"/>
      <c r="D445" s="14"/>
      <c r="E445" s="14"/>
      <c r="F445" s="14"/>
      <c r="G445" s="14"/>
      <c r="H445" s="14"/>
      <c r="I445" s="14"/>
      <c r="J445" s="14"/>
      <c r="K445" s="14"/>
      <c r="L445" s="14"/>
      <c r="M445" s="14"/>
      <c r="N445" s="14"/>
      <c r="O445" s="14"/>
      <c r="P445" s="14"/>
      <c r="Q445" s="14"/>
      <c r="R445" s="18"/>
      <c r="S445" s="18"/>
      <c r="T445" s="93"/>
      <c r="U445" s="20"/>
      <c r="V445" s="14"/>
      <c r="W445" s="14"/>
      <c r="X445" s="14"/>
      <c r="Y445" s="14"/>
      <c r="Z445" s="14"/>
      <c r="AA445" s="14"/>
      <c r="AB445" s="14"/>
      <c r="AC445" s="14"/>
      <c r="AD445" s="14"/>
      <c r="AE445" s="14"/>
      <c r="AF445" s="14"/>
      <c r="AG445" s="14"/>
      <c r="AH445" s="14"/>
      <c r="AI445" s="14"/>
      <c r="AJ445" s="14"/>
      <c r="AK445" s="14"/>
      <c r="AL445" s="14"/>
      <c r="AM445" s="14"/>
      <c r="AN445" s="14"/>
    </row>
    <row r="446" ht="15.75" customHeight="1">
      <c r="A446" s="14"/>
      <c r="B446" s="14"/>
      <c r="C446" s="14"/>
      <c r="D446" s="14"/>
      <c r="E446" s="14"/>
      <c r="F446" s="14"/>
      <c r="G446" s="14"/>
      <c r="H446" s="14"/>
      <c r="I446" s="14"/>
      <c r="J446" s="14"/>
      <c r="K446" s="14"/>
      <c r="L446" s="14"/>
      <c r="M446" s="14"/>
      <c r="N446" s="14"/>
      <c r="O446" s="14"/>
      <c r="P446" s="14"/>
      <c r="Q446" s="14"/>
      <c r="R446" s="18"/>
      <c r="S446" s="18"/>
      <c r="T446" s="93"/>
      <c r="U446" s="20"/>
      <c r="V446" s="14"/>
      <c r="W446" s="14"/>
      <c r="X446" s="14"/>
      <c r="Y446" s="14"/>
      <c r="Z446" s="14"/>
      <c r="AA446" s="14"/>
      <c r="AB446" s="14"/>
      <c r="AC446" s="14"/>
      <c r="AD446" s="14"/>
      <c r="AE446" s="14"/>
      <c r="AF446" s="14"/>
      <c r="AG446" s="14"/>
      <c r="AH446" s="14"/>
      <c r="AI446" s="14"/>
      <c r="AJ446" s="14"/>
      <c r="AK446" s="14"/>
      <c r="AL446" s="14"/>
      <c r="AM446" s="14"/>
      <c r="AN446" s="14"/>
    </row>
    <row r="447" ht="15.75" customHeight="1">
      <c r="A447" s="14"/>
      <c r="B447" s="14"/>
      <c r="C447" s="14"/>
      <c r="D447" s="14"/>
      <c r="E447" s="14"/>
      <c r="F447" s="14"/>
      <c r="G447" s="14"/>
      <c r="H447" s="14"/>
      <c r="I447" s="14"/>
      <c r="J447" s="14"/>
      <c r="K447" s="14"/>
      <c r="L447" s="14"/>
      <c r="M447" s="14"/>
      <c r="N447" s="14"/>
      <c r="O447" s="14"/>
      <c r="P447" s="14"/>
      <c r="Q447" s="14"/>
      <c r="R447" s="18"/>
      <c r="S447" s="18"/>
      <c r="T447" s="93"/>
      <c r="U447" s="20"/>
      <c r="V447" s="14"/>
      <c r="W447" s="14"/>
      <c r="X447" s="14"/>
      <c r="Y447" s="14"/>
      <c r="Z447" s="14"/>
      <c r="AA447" s="14"/>
      <c r="AB447" s="14"/>
      <c r="AC447" s="14"/>
      <c r="AD447" s="14"/>
      <c r="AE447" s="14"/>
      <c r="AF447" s="14"/>
      <c r="AG447" s="14"/>
      <c r="AH447" s="14"/>
      <c r="AI447" s="14"/>
      <c r="AJ447" s="14"/>
      <c r="AK447" s="14"/>
      <c r="AL447" s="14"/>
      <c r="AM447" s="14"/>
      <c r="AN447" s="14"/>
    </row>
    <row r="448" ht="15.75" customHeight="1">
      <c r="A448" s="14"/>
      <c r="B448" s="14"/>
      <c r="C448" s="14"/>
      <c r="D448" s="14"/>
      <c r="E448" s="14"/>
      <c r="F448" s="14"/>
      <c r="G448" s="14"/>
      <c r="H448" s="14"/>
      <c r="I448" s="14"/>
      <c r="J448" s="14"/>
      <c r="K448" s="14"/>
      <c r="L448" s="14"/>
      <c r="M448" s="14"/>
      <c r="N448" s="14"/>
      <c r="O448" s="14"/>
      <c r="P448" s="14"/>
      <c r="Q448" s="14"/>
      <c r="R448" s="18"/>
      <c r="S448" s="18"/>
      <c r="T448" s="93"/>
      <c r="U448" s="20"/>
      <c r="V448" s="14"/>
      <c r="W448" s="14"/>
      <c r="X448" s="14"/>
      <c r="Y448" s="14"/>
      <c r="Z448" s="14"/>
      <c r="AA448" s="14"/>
      <c r="AB448" s="14"/>
      <c r="AC448" s="14"/>
      <c r="AD448" s="14"/>
      <c r="AE448" s="14"/>
      <c r="AF448" s="14"/>
      <c r="AG448" s="14"/>
      <c r="AH448" s="14"/>
      <c r="AI448" s="14"/>
      <c r="AJ448" s="14"/>
      <c r="AK448" s="14"/>
      <c r="AL448" s="14"/>
      <c r="AM448" s="14"/>
      <c r="AN448" s="14"/>
    </row>
    <row r="449" ht="15.75" customHeight="1">
      <c r="A449" s="14"/>
      <c r="B449" s="14"/>
      <c r="C449" s="14"/>
      <c r="D449" s="14"/>
      <c r="E449" s="14"/>
      <c r="F449" s="14"/>
      <c r="G449" s="14"/>
      <c r="H449" s="14"/>
      <c r="I449" s="14"/>
      <c r="J449" s="14"/>
      <c r="K449" s="14"/>
      <c r="L449" s="14"/>
      <c r="M449" s="14"/>
      <c r="N449" s="14"/>
      <c r="O449" s="14"/>
      <c r="P449" s="14"/>
      <c r="Q449" s="14"/>
      <c r="R449" s="18"/>
      <c r="S449" s="18"/>
      <c r="T449" s="93"/>
      <c r="U449" s="20"/>
      <c r="V449" s="14"/>
      <c r="W449" s="14"/>
      <c r="X449" s="14"/>
      <c r="Y449" s="14"/>
      <c r="Z449" s="14"/>
      <c r="AA449" s="14"/>
      <c r="AB449" s="14"/>
      <c r="AC449" s="14"/>
      <c r="AD449" s="14"/>
      <c r="AE449" s="14"/>
      <c r="AF449" s="14"/>
      <c r="AG449" s="14"/>
      <c r="AH449" s="14"/>
      <c r="AI449" s="14"/>
      <c r="AJ449" s="14"/>
      <c r="AK449" s="14"/>
      <c r="AL449" s="14"/>
      <c r="AM449" s="14"/>
      <c r="AN449" s="14"/>
    </row>
    <row r="450" ht="15.75" customHeight="1">
      <c r="A450" s="14"/>
      <c r="B450" s="14"/>
      <c r="C450" s="14"/>
      <c r="D450" s="14"/>
      <c r="E450" s="14"/>
      <c r="F450" s="14"/>
      <c r="G450" s="14"/>
      <c r="H450" s="14"/>
      <c r="I450" s="14"/>
      <c r="J450" s="14"/>
      <c r="K450" s="14"/>
      <c r="L450" s="14"/>
      <c r="M450" s="14"/>
      <c r="N450" s="14"/>
      <c r="O450" s="14"/>
      <c r="P450" s="14"/>
      <c r="Q450" s="14"/>
      <c r="R450" s="18"/>
      <c r="S450" s="18"/>
      <c r="T450" s="93"/>
      <c r="U450" s="20"/>
      <c r="V450" s="14"/>
      <c r="W450" s="14"/>
      <c r="X450" s="14"/>
      <c r="Y450" s="14"/>
      <c r="Z450" s="14"/>
      <c r="AA450" s="14"/>
      <c r="AB450" s="14"/>
      <c r="AC450" s="14"/>
      <c r="AD450" s="14"/>
      <c r="AE450" s="14"/>
      <c r="AF450" s="14"/>
      <c r="AG450" s="14"/>
      <c r="AH450" s="14"/>
      <c r="AI450" s="14"/>
      <c r="AJ450" s="14"/>
      <c r="AK450" s="14"/>
      <c r="AL450" s="14"/>
      <c r="AM450" s="14"/>
      <c r="AN450" s="14"/>
    </row>
    <row r="451" ht="15.75" customHeight="1">
      <c r="A451" s="14"/>
      <c r="B451" s="14"/>
      <c r="C451" s="14"/>
      <c r="D451" s="14"/>
      <c r="E451" s="14"/>
      <c r="F451" s="14"/>
      <c r="G451" s="14"/>
      <c r="H451" s="14"/>
      <c r="I451" s="14"/>
      <c r="J451" s="14"/>
      <c r="K451" s="14"/>
      <c r="L451" s="14"/>
      <c r="M451" s="14"/>
      <c r="N451" s="14"/>
      <c r="O451" s="14"/>
      <c r="P451" s="14"/>
      <c r="Q451" s="14"/>
      <c r="R451" s="18"/>
      <c r="S451" s="18"/>
      <c r="T451" s="93"/>
      <c r="U451" s="20"/>
      <c r="V451" s="14"/>
      <c r="W451" s="14"/>
      <c r="X451" s="14"/>
      <c r="Y451" s="14"/>
      <c r="Z451" s="14"/>
      <c r="AA451" s="14"/>
      <c r="AB451" s="14"/>
      <c r="AC451" s="14"/>
      <c r="AD451" s="14"/>
      <c r="AE451" s="14"/>
      <c r="AF451" s="14"/>
      <c r="AG451" s="14"/>
      <c r="AH451" s="14"/>
      <c r="AI451" s="14"/>
      <c r="AJ451" s="14"/>
      <c r="AK451" s="14"/>
      <c r="AL451" s="14"/>
      <c r="AM451" s="14"/>
      <c r="AN451" s="14"/>
    </row>
    <row r="452" ht="15.75" customHeight="1">
      <c r="A452" s="14"/>
      <c r="B452" s="14"/>
      <c r="C452" s="14"/>
      <c r="D452" s="14"/>
      <c r="E452" s="14"/>
      <c r="F452" s="14"/>
      <c r="G452" s="14"/>
      <c r="H452" s="14"/>
      <c r="I452" s="14"/>
      <c r="J452" s="14"/>
      <c r="K452" s="14"/>
      <c r="L452" s="14"/>
      <c r="M452" s="14"/>
      <c r="N452" s="14"/>
      <c r="O452" s="14"/>
      <c r="P452" s="14"/>
      <c r="Q452" s="14"/>
      <c r="R452" s="18"/>
      <c r="S452" s="18"/>
      <c r="T452" s="93"/>
      <c r="U452" s="20"/>
      <c r="V452" s="14"/>
      <c r="W452" s="14"/>
      <c r="X452" s="14"/>
      <c r="Y452" s="14"/>
      <c r="Z452" s="14"/>
      <c r="AA452" s="14"/>
      <c r="AB452" s="14"/>
      <c r="AC452" s="14"/>
      <c r="AD452" s="14"/>
      <c r="AE452" s="14"/>
      <c r="AF452" s="14"/>
      <c r="AG452" s="14"/>
      <c r="AH452" s="14"/>
      <c r="AI452" s="14"/>
      <c r="AJ452" s="14"/>
      <c r="AK452" s="14"/>
      <c r="AL452" s="14"/>
      <c r="AM452" s="14"/>
      <c r="AN452" s="14"/>
    </row>
    <row r="453" ht="15.75" customHeight="1">
      <c r="A453" s="14"/>
      <c r="B453" s="14"/>
      <c r="C453" s="14"/>
      <c r="D453" s="14"/>
      <c r="E453" s="14"/>
      <c r="F453" s="14"/>
      <c r="G453" s="14"/>
      <c r="H453" s="14"/>
      <c r="I453" s="14"/>
      <c r="J453" s="14"/>
      <c r="K453" s="14"/>
      <c r="L453" s="14"/>
      <c r="M453" s="14"/>
      <c r="N453" s="14"/>
      <c r="O453" s="14"/>
      <c r="P453" s="14"/>
      <c r="Q453" s="14"/>
      <c r="R453" s="18"/>
      <c r="S453" s="18"/>
      <c r="T453" s="93"/>
      <c r="U453" s="20"/>
      <c r="V453" s="14"/>
      <c r="W453" s="14"/>
      <c r="X453" s="14"/>
      <c r="Y453" s="14"/>
      <c r="Z453" s="14"/>
      <c r="AA453" s="14"/>
      <c r="AB453" s="14"/>
      <c r="AC453" s="14"/>
      <c r="AD453" s="14"/>
      <c r="AE453" s="14"/>
      <c r="AF453" s="14"/>
      <c r="AG453" s="14"/>
      <c r="AH453" s="14"/>
      <c r="AI453" s="14"/>
      <c r="AJ453" s="14"/>
      <c r="AK453" s="14"/>
      <c r="AL453" s="14"/>
      <c r="AM453" s="14"/>
      <c r="AN453" s="14"/>
    </row>
    <row r="454" ht="15.75" customHeight="1">
      <c r="A454" s="14"/>
      <c r="B454" s="14"/>
      <c r="C454" s="14"/>
      <c r="D454" s="14"/>
      <c r="E454" s="14"/>
      <c r="F454" s="14"/>
      <c r="G454" s="14"/>
      <c r="H454" s="14"/>
      <c r="I454" s="14"/>
      <c r="J454" s="14"/>
      <c r="K454" s="14"/>
      <c r="L454" s="14"/>
      <c r="M454" s="14"/>
      <c r="N454" s="14"/>
      <c r="O454" s="14"/>
      <c r="P454" s="14"/>
      <c r="Q454" s="14"/>
      <c r="R454" s="18"/>
      <c r="S454" s="18"/>
      <c r="T454" s="93"/>
      <c r="U454" s="20"/>
      <c r="V454" s="14"/>
      <c r="W454" s="14"/>
      <c r="X454" s="14"/>
      <c r="Y454" s="14"/>
      <c r="Z454" s="14"/>
      <c r="AA454" s="14"/>
      <c r="AB454" s="14"/>
      <c r="AC454" s="14"/>
      <c r="AD454" s="14"/>
      <c r="AE454" s="14"/>
      <c r="AF454" s="14"/>
      <c r="AG454" s="14"/>
      <c r="AH454" s="14"/>
      <c r="AI454" s="14"/>
      <c r="AJ454" s="14"/>
      <c r="AK454" s="14"/>
      <c r="AL454" s="14"/>
      <c r="AM454" s="14"/>
      <c r="AN454" s="14"/>
    </row>
    <row r="455" ht="15.75" customHeight="1">
      <c r="A455" s="14"/>
      <c r="B455" s="14"/>
      <c r="C455" s="14"/>
      <c r="D455" s="14"/>
      <c r="E455" s="14"/>
      <c r="F455" s="14"/>
      <c r="G455" s="14"/>
      <c r="H455" s="14"/>
      <c r="I455" s="14"/>
      <c r="J455" s="14"/>
      <c r="K455" s="14"/>
      <c r="L455" s="14"/>
      <c r="M455" s="14"/>
      <c r="N455" s="14"/>
      <c r="O455" s="14"/>
      <c r="P455" s="14"/>
      <c r="Q455" s="14"/>
      <c r="R455" s="18"/>
      <c r="S455" s="18"/>
      <c r="T455" s="93"/>
      <c r="U455" s="20"/>
      <c r="V455" s="14"/>
      <c r="W455" s="14"/>
      <c r="X455" s="14"/>
      <c r="Y455" s="14"/>
      <c r="Z455" s="14"/>
      <c r="AA455" s="14"/>
      <c r="AB455" s="14"/>
      <c r="AC455" s="14"/>
      <c r="AD455" s="14"/>
      <c r="AE455" s="14"/>
      <c r="AF455" s="14"/>
      <c r="AG455" s="14"/>
      <c r="AH455" s="14"/>
      <c r="AI455" s="14"/>
      <c r="AJ455" s="14"/>
      <c r="AK455" s="14"/>
      <c r="AL455" s="14"/>
      <c r="AM455" s="14"/>
      <c r="AN455" s="14"/>
    </row>
    <row r="456" ht="15.75" customHeight="1">
      <c r="A456" s="14"/>
      <c r="B456" s="14"/>
      <c r="C456" s="14"/>
      <c r="D456" s="14"/>
      <c r="E456" s="14"/>
      <c r="F456" s="14"/>
      <c r="G456" s="14"/>
      <c r="H456" s="14"/>
      <c r="I456" s="14"/>
      <c r="J456" s="14"/>
      <c r="K456" s="14"/>
      <c r="L456" s="14"/>
      <c r="M456" s="14"/>
      <c r="N456" s="14"/>
      <c r="O456" s="14"/>
      <c r="P456" s="14"/>
      <c r="Q456" s="14"/>
      <c r="R456" s="18"/>
      <c r="S456" s="18"/>
      <c r="T456" s="93"/>
      <c r="U456" s="20"/>
      <c r="V456" s="14"/>
      <c r="W456" s="14"/>
      <c r="X456" s="14"/>
      <c r="Y456" s="14"/>
      <c r="Z456" s="14"/>
      <c r="AA456" s="14"/>
      <c r="AB456" s="14"/>
      <c r="AC456" s="14"/>
      <c r="AD456" s="14"/>
      <c r="AE456" s="14"/>
      <c r="AF456" s="14"/>
      <c r="AG456" s="14"/>
      <c r="AH456" s="14"/>
      <c r="AI456" s="14"/>
      <c r="AJ456" s="14"/>
      <c r="AK456" s="14"/>
      <c r="AL456" s="14"/>
      <c r="AM456" s="14"/>
      <c r="AN456" s="14"/>
    </row>
    <row r="457" ht="15.75" customHeight="1">
      <c r="A457" s="14"/>
      <c r="B457" s="14"/>
      <c r="C457" s="14"/>
      <c r="D457" s="14"/>
      <c r="E457" s="14"/>
      <c r="F457" s="14"/>
      <c r="G457" s="14"/>
      <c r="H457" s="14"/>
      <c r="I457" s="14"/>
      <c r="J457" s="14"/>
      <c r="K457" s="14"/>
      <c r="L457" s="14"/>
      <c r="M457" s="14"/>
      <c r="N457" s="14"/>
      <c r="O457" s="14"/>
      <c r="P457" s="14"/>
      <c r="Q457" s="14"/>
      <c r="R457" s="18"/>
      <c r="S457" s="18"/>
      <c r="T457" s="93"/>
      <c r="U457" s="20"/>
      <c r="V457" s="14"/>
      <c r="W457" s="14"/>
      <c r="X457" s="14"/>
      <c r="Y457" s="14"/>
      <c r="Z457" s="14"/>
      <c r="AA457" s="14"/>
      <c r="AB457" s="14"/>
      <c r="AC457" s="14"/>
      <c r="AD457" s="14"/>
      <c r="AE457" s="14"/>
      <c r="AF457" s="14"/>
      <c r="AG457" s="14"/>
      <c r="AH457" s="14"/>
      <c r="AI457" s="14"/>
      <c r="AJ457" s="14"/>
      <c r="AK457" s="14"/>
      <c r="AL457" s="14"/>
      <c r="AM457" s="14"/>
      <c r="AN457" s="14"/>
    </row>
    <row r="458" ht="15.75" customHeight="1">
      <c r="A458" s="14"/>
      <c r="B458" s="14"/>
      <c r="C458" s="14"/>
      <c r="D458" s="14"/>
      <c r="E458" s="14"/>
      <c r="F458" s="14"/>
      <c r="G458" s="14"/>
      <c r="H458" s="14"/>
      <c r="I458" s="14"/>
      <c r="J458" s="14"/>
      <c r="K458" s="14"/>
      <c r="L458" s="14"/>
      <c r="M458" s="14"/>
      <c r="N458" s="14"/>
      <c r="O458" s="14"/>
      <c r="P458" s="14"/>
      <c r="Q458" s="14"/>
      <c r="R458" s="18"/>
      <c r="S458" s="18"/>
      <c r="T458" s="93"/>
      <c r="U458" s="20"/>
      <c r="V458" s="14"/>
      <c r="W458" s="14"/>
      <c r="X458" s="14"/>
      <c r="Y458" s="14"/>
      <c r="Z458" s="14"/>
      <c r="AA458" s="14"/>
      <c r="AB458" s="14"/>
      <c r="AC458" s="14"/>
      <c r="AD458" s="14"/>
      <c r="AE458" s="14"/>
      <c r="AF458" s="14"/>
      <c r="AG458" s="14"/>
      <c r="AH458" s="14"/>
      <c r="AI458" s="14"/>
      <c r="AJ458" s="14"/>
      <c r="AK458" s="14"/>
      <c r="AL458" s="14"/>
      <c r="AM458" s="14"/>
      <c r="AN458" s="14"/>
    </row>
    <row r="459" ht="15.75" customHeight="1">
      <c r="A459" s="14"/>
      <c r="B459" s="14"/>
      <c r="C459" s="14"/>
      <c r="D459" s="14"/>
      <c r="E459" s="14"/>
      <c r="F459" s="14"/>
      <c r="G459" s="14"/>
      <c r="H459" s="14"/>
      <c r="I459" s="14"/>
      <c r="J459" s="14"/>
      <c r="K459" s="14"/>
      <c r="L459" s="14"/>
      <c r="M459" s="14"/>
      <c r="N459" s="14"/>
      <c r="O459" s="14"/>
      <c r="P459" s="14"/>
      <c r="Q459" s="14"/>
      <c r="R459" s="18"/>
      <c r="S459" s="18"/>
      <c r="T459" s="93"/>
      <c r="U459" s="20"/>
      <c r="V459" s="14"/>
      <c r="W459" s="14"/>
      <c r="X459" s="14"/>
      <c r="Y459" s="14"/>
      <c r="Z459" s="14"/>
      <c r="AA459" s="14"/>
      <c r="AB459" s="14"/>
      <c r="AC459" s="14"/>
      <c r="AD459" s="14"/>
      <c r="AE459" s="14"/>
      <c r="AF459" s="14"/>
      <c r="AG459" s="14"/>
      <c r="AH459" s="14"/>
      <c r="AI459" s="14"/>
      <c r="AJ459" s="14"/>
      <c r="AK459" s="14"/>
      <c r="AL459" s="14"/>
      <c r="AM459" s="14"/>
      <c r="AN459" s="14"/>
    </row>
    <row r="460" ht="15.75" customHeight="1">
      <c r="A460" s="14"/>
      <c r="B460" s="14"/>
      <c r="C460" s="14"/>
      <c r="D460" s="14"/>
      <c r="E460" s="14"/>
      <c r="F460" s="14"/>
      <c r="G460" s="14"/>
      <c r="H460" s="14"/>
      <c r="I460" s="14"/>
      <c r="J460" s="14"/>
      <c r="K460" s="14"/>
      <c r="L460" s="14"/>
      <c r="M460" s="14"/>
      <c r="N460" s="14"/>
      <c r="O460" s="14"/>
      <c r="P460" s="14"/>
      <c r="Q460" s="14"/>
      <c r="R460" s="18"/>
      <c r="S460" s="18"/>
      <c r="T460" s="93"/>
      <c r="U460" s="20"/>
      <c r="V460" s="14"/>
      <c r="W460" s="14"/>
      <c r="X460" s="14"/>
      <c r="Y460" s="14"/>
      <c r="Z460" s="14"/>
      <c r="AA460" s="14"/>
      <c r="AB460" s="14"/>
      <c r="AC460" s="14"/>
      <c r="AD460" s="14"/>
      <c r="AE460" s="14"/>
      <c r="AF460" s="14"/>
      <c r="AG460" s="14"/>
      <c r="AH460" s="14"/>
      <c r="AI460" s="14"/>
      <c r="AJ460" s="14"/>
      <c r="AK460" s="14"/>
      <c r="AL460" s="14"/>
      <c r="AM460" s="14"/>
      <c r="AN460" s="14"/>
    </row>
    <row r="461" ht="15.75" customHeight="1">
      <c r="A461" s="14"/>
      <c r="B461" s="14"/>
      <c r="C461" s="14"/>
      <c r="D461" s="14"/>
      <c r="E461" s="14"/>
      <c r="F461" s="14"/>
      <c r="G461" s="14"/>
      <c r="H461" s="14"/>
      <c r="I461" s="14"/>
      <c r="J461" s="14"/>
      <c r="K461" s="14"/>
      <c r="L461" s="14"/>
      <c r="M461" s="14"/>
      <c r="N461" s="14"/>
      <c r="O461" s="14"/>
      <c r="P461" s="14"/>
      <c r="Q461" s="14"/>
      <c r="R461" s="18"/>
      <c r="S461" s="18"/>
      <c r="T461" s="93"/>
      <c r="U461" s="20"/>
      <c r="V461" s="14"/>
      <c r="W461" s="14"/>
      <c r="X461" s="14"/>
      <c r="Y461" s="14"/>
      <c r="Z461" s="14"/>
      <c r="AA461" s="14"/>
      <c r="AB461" s="14"/>
      <c r="AC461" s="14"/>
      <c r="AD461" s="14"/>
      <c r="AE461" s="14"/>
      <c r="AF461" s="14"/>
      <c r="AG461" s="14"/>
      <c r="AH461" s="14"/>
      <c r="AI461" s="14"/>
      <c r="AJ461" s="14"/>
      <c r="AK461" s="14"/>
      <c r="AL461" s="14"/>
      <c r="AM461" s="14"/>
      <c r="AN461" s="14"/>
    </row>
    <row r="462" ht="15.75" customHeight="1">
      <c r="A462" s="14"/>
      <c r="B462" s="14"/>
      <c r="C462" s="14"/>
      <c r="D462" s="14"/>
      <c r="E462" s="14"/>
      <c r="F462" s="14"/>
      <c r="G462" s="14"/>
      <c r="H462" s="14"/>
      <c r="I462" s="14"/>
      <c r="J462" s="14"/>
      <c r="K462" s="14"/>
      <c r="L462" s="14"/>
      <c r="M462" s="14"/>
      <c r="N462" s="14"/>
      <c r="O462" s="14"/>
      <c r="P462" s="14"/>
      <c r="Q462" s="14"/>
      <c r="R462" s="18"/>
      <c r="S462" s="18"/>
      <c r="T462" s="93"/>
      <c r="U462" s="20"/>
      <c r="V462" s="14"/>
      <c r="W462" s="14"/>
      <c r="X462" s="14"/>
      <c r="Y462" s="14"/>
      <c r="Z462" s="14"/>
      <c r="AA462" s="14"/>
      <c r="AB462" s="14"/>
      <c r="AC462" s="14"/>
      <c r="AD462" s="14"/>
      <c r="AE462" s="14"/>
      <c r="AF462" s="14"/>
      <c r="AG462" s="14"/>
      <c r="AH462" s="14"/>
      <c r="AI462" s="14"/>
      <c r="AJ462" s="14"/>
      <c r="AK462" s="14"/>
      <c r="AL462" s="14"/>
      <c r="AM462" s="14"/>
      <c r="AN462" s="14"/>
    </row>
    <row r="463" ht="15.75" customHeight="1">
      <c r="A463" s="14"/>
      <c r="B463" s="14"/>
      <c r="C463" s="14"/>
      <c r="D463" s="14"/>
      <c r="E463" s="14"/>
      <c r="F463" s="14"/>
      <c r="G463" s="14"/>
      <c r="H463" s="14"/>
      <c r="I463" s="14"/>
      <c r="J463" s="14"/>
      <c r="K463" s="14"/>
      <c r="L463" s="14"/>
      <c r="M463" s="14"/>
      <c r="N463" s="14"/>
      <c r="O463" s="14"/>
      <c r="P463" s="14"/>
      <c r="Q463" s="14"/>
      <c r="R463" s="18"/>
      <c r="S463" s="18"/>
      <c r="T463" s="93"/>
      <c r="U463" s="20"/>
      <c r="V463" s="14"/>
      <c r="W463" s="14"/>
      <c r="X463" s="14"/>
      <c r="Y463" s="14"/>
      <c r="Z463" s="14"/>
      <c r="AA463" s="14"/>
      <c r="AB463" s="14"/>
      <c r="AC463" s="14"/>
      <c r="AD463" s="14"/>
      <c r="AE463" s="14"/>
      <c r="AF463" s="14"/>
      <c r="AG463" s="14"/>
      <c r="AH463" s="14"/>
      <c r="AI463" s="14"/>
      <c r="AJ463" s="14"/>
      <c r="AK463" s="14"/>
      <c r="AL463" s="14"/>
      <c r="AM463" s="14"/>
      <c r="AN463" s="14"/>
    </row>
    <row r="464" ht="15.75" customHeight="1">
      <c r="A464" s="14"/>
      <c r="B464" s="14"/>
      <c r="C464" s="14"/>
      <c r="D464" s="14"/>
      <c r="E464" s="14"/>
      <c r="F464" s="14"/>
      <c r="G464" s="14"/>
      <c r="H464" s="14"/>
      <c r="I464" s="14"/>
      <c r="J464" s="14"/>
      <c r="K464" s="14"/>
      <c r="L464" s="14"/>
      <c r="M464" s="14"/>
      <c r="N464" s="14"/>
      <c r="O464" s="14"/>
      <c r="P464" s="14"/>
      <c r="Q464" s="14"/>
      <c r="R464" s="18"/>
      <c r="S464" s="18"/>
      <c r="T464" s="93"/>
      <c r="U464" s="20"/>
      <c r="V464" s="14"/>
      <c r="W464" s="14"/>
      <c r="X464" s="14"/>
      <c r="Y464" s="14"/>
      <c r="Z464" s="14"/>
      <c r="AA464" s="14"/>
      <c r="AB464" s="14"/>
      <c r="AC464" s="14"/>
      <c r="AD464" s="14"/>
      <c r="AE464" s="14"/>
      <c r="AF464" s="14"/>
      <c r="AG464" s="14"/>
      <c r="AH464" s="14"/>
      <c r="AI464" s="14"/>
      <c r="AJ464" s="14"/>
      <c r="AK464" s="14"/>
      <c r="AL464" s="14"/>
      <c r="AM464" s="14"/>
      <c r="AN464" s="14"/>
    </row>
    <row r="465" ht="15.75" customHeight="1">
      <c r="A465" s="14"/>
      <c r="B465" s="14"/>
      <c r="C465" s="14"/>
      <c r="D465" s="14"/>
      <c r="E465" s="14"/>
      <c r="F465" s="14"/>
      <c r="G465" s="14"/>
      <c r="H465" s="14"/>
      <c r="I465" s="14"/>
      <c r="J465" s="14"/>
      <c r="K465" s="14"/>
      <c r="L465" s="14"/>
      <c r="M465" s="14"/>
      <c r="N465" s="14"/>
      <c r="O465" s="14"/>
      <c r="P465" s="14"/>
      <c r="Q465" s="14"/>
      <c r="R465" s="18"/>
      <c r="S465" s="18"/>
      <c r="T465" s="93"/>
      <c r="U465" s="20"/>
      <c r="V465" s="14"/>
      <c r="W465" s="14"/>
      <c r="X465" s="14"/>
      <c r="Y465" s="14"/>
      <c r="Z465" s="14"/>
      <c r="AA465" s="14"/>
      <c r="AB465" s="14"/>
      <c r="AC465" s="14"/>
      <c r="AD465" s="14"/>
      <c r="AE465" s="14"/>
      <c r="AF465" s="14"/>
      <c r="AG465" s="14"/>
      <c r="AH465" s="14"/>
      <c r="AI465" s="14"/>
      <c r="AJ465" s="14"/>
      <c r="AK465" s="14"/>
      <c r="AL465" s="14"/>
      <c r="AM465" s="14"/>
      <c r="AN465" s="14"/>
    </row>
    <row r="466" ht="15.75" customHeight="1">
      <c r="A466" s="14"/>
      <c r="B466" s="14"/>
      <c r="C466" s="14"/>
      <c r="D466" s="14"/>
      <c r="E466" s="14"/>
      <c r="F466" s="14"/>
      <c r="G466" s="14"/>
      <c r="H466" s="14"/>
      <c r="I466" s="14"/>
      <c r="J466" s="14"/>
      <c r="K466" s="14"/>
      <c r="L466" s="14"/>
      <c r="M466" s="14"/>
      <c r="N466" s="14"/>
      <c r="O466" s="14"/>
      <c r="P466" s="14"/>
      <c r="Q466" s="14"/>
      <c r="R466" s="18"/>
      <c r="S466" s="18"/>
      <c r="T466" s="93"/>
      <c r="U466" s="20"/>
      <c r="V466" s="14"/>
      <c r="W466" s="14"/>
      <c r="X466" s="14"/>
      <c r="Y466" s="14"/>
      <c r="Z466" s="14"/>
      <c r="AA466" s="14"/>
      <c r="AB466" s="14"/>
      <c r="AC466" s="14"/>
      <c r="AD466" s="14"/>
      <c r="AE466" s="14"/>
      <c r="AF466" s="14"/>
      <c r="AG466" s="14"/>
      <c r="AH466" s="14"/>
      <c r="AI466" s="14"/>
      <c r="AJ466" s="14"/>
      <c r="AK466" s="14"/>
      <c r="AL466" s="14"/>
      <c r="AM466" s="14"/>
      <c r="AN466" s="14"/>
    </row>
    <row r="467" ht="15.75" customHeight="1">
      <c r="A467" s="14"/>
      <c r="B467" s="14"/>
      <c r="C467" s="14"/>
      <c r="D467" s="14"/>
      <c r="E467" s="14"/>
      <c r="F467" s="14"/>
      <c r="G467" s="14"/>
      <c r="H467" s="14"/>
      <c r="I467" s="14"/>
      <c r="J467" s="14"/>
      <c r="K467" s="14"/>
      <c r="L467" s="14"/>
      <c r="M467" s="14"/>
      <c r="N467" s="14"/>
      <c r="O467" s="14"/>
      <c r="P467" s="14"/>
      <c r="Q467" s="14"/>
      <c r="R467" s="18"/>
      <c r="S467" s="18"/>
      <c r="T467" s="93"/>
      <c r="U467" s="20"/>
      <c r="V467" s="14"/>
      <c r="W467" s="14"/>
      <c r="X467" s="14"/>
      <c r="Y467" s="14"/>
      <c r="Z467" s="14"/>
      <c r="AA467" s="14"/>
      <c r="AB467" s="14"/>
      <c r="AC467" s="14"/>
      <c r="AD467" s="14"/>
      <c r="AE467" s="14"/>
      <c r="AF467" s="14"/>
      <c r="AG467" s="14"/>
      <c r="AH467" s="14"/>
      <c r="AI467" s="14"/>
      <c r="AJ467" s="14"/>
      <c r="AK467" s="14"/>
      <c r="AL467" s="14"/>
      <c r="AM467" s="14"/>
      <c r="AN467" s="14"/>
    </row>
    <row r="468" ht="15.75" customHeight="1">
      <c r="A468" s="14"/>
      <c r="B468" s="14"/>
      <c r="C468" s="14"/>
      <c r="D468" s="14"/>
      <c r="E468" s="14"/>
      <c r="F468" s="14"/>
      <c r="G468" s="14"/>
      <c r="H468" s="14"/>
      <c r="I468" s="14"/>
      <c r="J468" s="14"/>
      <c r="K468" s="14"/>
      <c r="L468" s="14"/>
      <c r="M468" s="14"/>
      <c r="N468" s="14"/>
      <c r="O468" s="14"/>
      <c r="P468" s="14"/>
      <c r="Q468" s="14"/>
      <c r="R468" s="18"/>
      <c r="S468" s="18"/>
      <c r="T468" s="93"/>
      <c r="U468" s="20"/>
      <c r="V468" s="14"/>
      <c r="W468" s="14"/>
      <c r="X468" s="14"/>
      <c r="Y468" s="14"/>
      <c r="Z468" s="14"/>
      <c r="AA468" s="14"/>
      <c r="AB468" s="14"/>
      <c r="AC468" s="14"/>
      <c r="AD468" s="14"/>
      <c r="AE468" s="14"/>
      <c r="AF468" s="14"/>
      <c r="AG468" s="14"/>
      <c r="AH468" s="14"/>
      <c r="AI468" s="14"/>
      <c r="AJ468" s="14"/>
      <c r="AK468" s="14"/>
      <c r="AL468" s="14"/>
      <c r="AM468" s="14"/>
      <c r="AN468" s="14"/>
    </row>
    <row r="469" ht="15.75" customHeight="1">
      <c r="A469" s="14"/>
      <c r="B469" s="14"/>
      <c r="C469" s="14"/>
      <c r="D469" s="14"/>
      <c r="E469" s="14"/>
      <c r="F469" s="14"/>
      <c r="G469" s="14"/>
      <c r="H469" s="14"/>
      <c r="I469" s="14"/>
      <c r="J469" s="14"/>
      <c r="K469" s="14"/>
      <c r="L469" s="14"/>
      <c r="M469" s="14"/>
      <c r="N469" s="14"/>
      <c r="O469" s="14"/>
      <c r="P469" s="14"/>
      <c r="Q469" s="14"/>
      <c r="R469" s="18"/>
      <c r="S469" s="18"/>
      <c r="T469" s="93"/>
      <c r="U469" s="20"/>
      <c r="V469" s="14"/>
      <c r="W469" s="14"/>
      <c r="X469" s="14"/>
      <c r="Y469" s="14"/>
      <c r="Z469" s="14"/>
      <c r="AA469" s="14"/>
      <c r="AB469" s="14"/>
      <c r="AC469" s="14"/>
      <c r="AD469" s="14"/>
      <c r="AE469" s="14"/>
      <c r="AF469" s="14"/>
      <c r="AG469" s="14"/>
      <c r="AH469" s="14"/>
      <c r="AI469" s="14"/>
      <c r="AJ469" s="14"/>
      <c r="AK469" s="14"/>
      <c r="AL469" s="14"/>
      <c r="AM469" s="14"/>
      <c r="AN469" s="14"/>
    </row>
    <row r="470" ht="15.75" customHeight="1">
      <c r="A470" s="14"/>
      <c r="B470" s="14"/>
      <c r="C470" s="14"/>
      <c r="D470" s="14"/>
      <c r="E470" s="14"/>
      <c r="F470" s="14"/>
      <c r="G470" s="14"/>
      <c r="H470" s="14"/>
      <c r="I470" s="14"/>
      <c r="J470" s="14"/>
      <c r="K470" s="14"/>
      <c r="L470" s="14"/>
      <c r="M470" s="14"/>
      <c r="N470" s="14"/>
      <c r="O470" s="14"/>
      <c r="P470" s="14"/>
      <c r="Q470" s="14"/>
      <c r="R470" s="18"/>
      <c r="S470" s="18"/>
      <c r="T470" s="93"/>
      <c r="U470" s="20"/>
      <c r="V470" s="14"/>
      <c r="W470" s="14"/>
      <c r="X470" s="14"/>
      <c r="Y470" s="14"/>
      <c r="Z470" s="14"/>
      <c r="AA470" s="14"/>
      <c r="AB470" s="14"/>
      <c r="AC470" s="14"/>
      <c r="AD470" s="14"/>
      <c r="AE470" s="14"/>
      <c r="AF470" s="14"/>
      <c r="AG470" s="14"/>
      <c r="AH470" s="14"/>
      <c r="AI470" s="14"/>
      <c r="AJ470" s="14"/>
      <c r="AK470" s="14"/>
      <c r="AL470" s="14"/>
      <c r="AM470" s="14"/>
      <c r="AN470" s="14"/>
    </row>
    <row r="471" ht="15.75" customHeight="1">
      <c r="A471" s="14"/>
      <c r="B471" s="14"/>
      <c r="C471" s="14"/>
      <c r="D471" s="14"/>
      <c r="E471" s="14"/>
      <c r="F471" s="14"/>
      <c r="G471" s="14"/>
      <c r="H471" s="14"/>
      <c r="I471" s="14"/>
      <c r="J471" s="14"/>
      <c r="K471" s="14"/>
      <c r="L471" s="14"/>
      <c r="M471" s="14"/>
      <c r="N471" s="14"/>
      <c r="O471" s="14"/>
      <c r="P471" s="14"/>
      <c r="Q471" s="14"/>
      <c r="R471" s="18"/>
      <c r="S471" s="18"/>
      <c r="T471" s="93"/>
      <c r="U471" s="20"/>
      <c r="V471" s="14"/>
      <c r="W471" s="14"/>
      <c r="X471" s="14"/>
      <c r="Y471" s="14"/>
      <c r="Z471" s="14"/>
      <c r="AA471" s="14"/>
      <c r="AB471" s="14"/>
      <c r="AC471" s="14"/>
      <c r="AD471" s="14"/>
      <c r="AE471" s="14"/>
      <c r="AF471" s="14"/>
      <c r="AG471" s="14"/>
      <c r="AH471" s="14"/>
      <c r="AI471" s="14"/>
      <c r="AJ471" s="14"/>
      <c r="AK471" s="14"/>
      <c r="AL471" s="14"/>
      <c r="AM471" s="14"/>
      <c r="AN471" s="14"/>
    </row>
    <row r="472" ht="15.75" customHeight="1">
      <c r="A472" s="14"/>
      <c r="B472" s="14"/>
      <c r="C472" s="14"/>
      <c r="D472" s="14"/>
      <c r="E472" s="14"/>
      <c r="F472" s="14"/>
      <c r="G472" s="14"/>
      <c r="H472" s="14"/>
      <c r="I472" s="14"/>
      <c r="J472" s="14"/>
      <c r="K472" s="14"/>
      <c r="L472" s="14"/>
      <c r="M472" s="14"/>
      <c r="N472" s="14"/>
      <c r="O472" s="14"/>
      <c r="P472" s="14"/>
      <c r="Q472" s="14"/>
      <c r="R472" s="18"/>
      <c r="S472" s="18"/>
      <c r="T472" s="93"/>
      <c r="U472" s="20"/>
      <c r="V472" s="14"/>
      <c r="W472" s="14"/>
      <c r="X472" s="14"/>
      <c r="Y472" s="14"/>
      <c r="Z472" s="14"/>
      <c r="AA472" s="14"/>
      <c r="AB472" s="14"/>
      <c r="AC472" s="14"/>
      <c r="AD472" s="14"/>
      <c r="AE472" s="14"/>
      <c r="AF472" s="14"/>
      <c r="AG472" s="14"/>
      <c r="AH472" s="14"/>
      <c r="AI472" s="14"/>
      <c r="AJ472" s="14"/>
      <c r="AK472" s="14"/>
      <c r="AL472" s="14"/>
      <c r="AM472" s="14"/>
      <c r="AN472" s="14"/>
    </row>
    <row r="473" ht="15.75" customHeight="1">
      <c r="A473" s="14"/>
      <c r="B473" s="14"/>
      <c r="C473" s="14"/>
      <c r="D473" s="14"/>
      <c r="E473" s="14"/>
      <c r="F473" s="14"/>
      <c r="G473" s="14"/>
      <c r="H473" s="14"/>
      <c r="I473" s="14"/>
      <c r="J473" s="14"/>
      <c r="K473" s="14"/>
      <c r="L473" s="14"/>
      <c r="M473" s="14"/>
      <c r="N473" s="14"/>
      <c r="O473" s="14"/>
      <c r="P473" s="14"/>
      <c r="Q473" s="14"/>
      <c r="R473" s="18"/>
      <c r="S473" s="18"/>
      <c r="T473" s="93"/>
      <c r="U473" s="20"/>
      <c r="V473" s="14"/>
      <c r="W473" s="14"/>
      <c r="X473" s="14"/>
      <c r="Y473" s="14"/>
      <c r="Z473" s="14"/>
      <c r="AA473" s="14"/>
      <c r="AB473" s="14"/>
      <c r="AC473" s="14"/>
      <c r="AD473" s="14"/>
      <c r="AE473" s="14"/>
      <c r="AF473" s="14"/>
      <c r="AG473" s="14"/>
      <c r="AH473" s="14"/>
      <c r="AI473" s="14"/>
      <c r="AJ473" s="14"/>
      <c r="AK473" s="14"/>
      <c r="AL473" s="14"/>
      <c r="AM473" s="14"/>
      <c r="AN473" s="14"/>
    </row>
    <row r="474" ht="15.75" customHeight="1">
      <c r="A474" s="14"/>
      <c r="B474" s="14"/>
      <c r="C474" s="14"/>
      <c r="D474" s="14"/>
      <c r="E474" s="14"/>
      <c r="F474" s="14"/>
      <c r="G474" s="14"/>
      <c r="H474" s="14"/>
      <c r="I474" s="14"/>
      <c r="J474" s="14"/>
      <c r="K474" s="14"/>
      <c r="L474" s="14"/>
      <c r="M474" s="14"/>
      <c r="N474" s="14"/>
      <c r="O474" s="14"/>
      <c r="P474" s="14"/>
      <c r="Q474" s="14"/>
      <c r="R474" s="18"/>
      <c r="S474" s="18"/>
      <c r="T474" s="93"/>
      <c r="U474" s="20"/>
      <c r="V474" s="14"/>
      <c r="W474" s="14"/>
      <c r="X474" s="14"/>
      <c r="Y474" s="14"/>
      <c r="Z474" s="14"/>
      <c r="AA474" s="14"/>
      <c r="AB474" s="14"/>
      <c r="AC474" s="14"/>
      <c r="AD474" s="14"/>
      <c r="AE474" s="14"/>
      <c r="AF474" s="14"/>
      <c r="AG474" s="14"/>
      <c r="AH474" s="14"/>
      <c r="AI474" s="14"/>
      <c r="AJ474" s="14"/>
      <c r="AK474" s="14"/>
      <c r="AL474" s="14"/>
      <c r="AM474" s="14"/>
      <c r="AN474" s="14"/>
    </row>
    <row r="475" ht="15.75" customHeight="1">
      <c r="A475" s="14"/>
      <c r="B475" s="14"/>
      <c r="C475" s="14"/>
      <c r="D475" s="14"/>
      <c r="E475" s="14"/>
      <c r="F475" s="14"/>
      <c r="G475" s="14"/>
      <c r="H475" s="14"/>
      <c r="I475" s="14"/>
      <c r="J475" s="14"/>
      <c r="K475" s="14"/>
      <c r="L475" s="14"/>
      <c r="M475" s="14"/>
      <c r="N475" s="14"/>
      <c r="O475" s="14"/>
      <c r="P475" s="14"/>
      <c r="Q475" s="14"/>
      <c r="R475" s="18"/>
      <c r="S475" s="18"/>
      <c r="T475" s="93"/>
      <c r="U475" s="20"/>
      <c r="V475" s="14"/>
      <c r="W475" s="14"/>
      <c r="X475" s="14"/>
      <c r="Y475" s="14"/>
      <c r="Z475" s="14"/>
      <c r="AA475" s="14"/>
      <c r="AB475" s="14"/>
      <c r="AC475" s="14"/>
      <c r="AD475" s="14"/>
      <c r="AE475" s="14"/>
      <c r="AF475" s="14"/>
      <c r="AG475" s="14"/>
      <c r="AH475" s="14"/>
      <c r="AI475" s="14"/>
      <c r="AJ475" s="14"/>
      <c r="AK475" s="14"/>
      <c r="AL475" s="14"/>
      <c r="AM475" s="14"/>
      <c r="AN475" s="14"/>
    </row>
    <row r="476" ht="15.75" customHeight="1">
      <c r="A476" s="14"/>
      <c r="B476" s="14"/>
      <c r="C476" s="14"/>
      <c r="D476" s="14"/>
      <c r="E476" s="14"/>
      <c r="F476" s="14"/>
      <c r="G476" s="14"/>
      <c r="H476" s="14"/>
      <c r="I476" s="14"/>
      <c r="J476" s="14"/>
      <c r="K476" s="14"/>
      <c r="L476" s="14"/>
      <c r="M476" s="14"/>
      <c r="N476" s="14"/>
      <c r="O476" s="14"/>
      <c r="P476" s="14"/>
      <c r="Q476" s="14"/>
      <c r="R476" s="18"/>
      <c r="S476" s="18"/>
      <c r="T476" s="93"/>
      <c r="U476" s="20"/>
      <c r="V476" s="14"/>
      <c r="W476" s="14"/>
      <c r="X476" s="14"/>
      <c r="Y476" s="14"/>
      <c r="Z476" s="14"/>
      <c r="AA476" s="14"/>
      <c r="AB476" s="14"/>
      <c r="AC476" s="14"/>
      <c r="AD476" s="14"/>
      <c r="AE476" s="14"/>
      <c r="AF476" s="14"/>
      <c r="AG476" s="14"/>
      <c r="AH476" s="14"/>
      <c r="AI476" s="14"/>
      <c r="AJ476" s="14"/>
      <c r="AK476" s="14"/>
      <c r="AL476" s="14"/>
      <c r="AM476" s="14"/>
      <c r="AN476" s="14"/>
    </row>
    <row r="477" ht="15.75" customHeight="1">
      <c r="A477" s="14"/>
      <c r="B477" s="14"/>
      <c r="C477" s="14"/>
      <c r="D477" s="14"/>
      <c r="E477" s="14"/>
      <c r="F477" s="14"/>
      <c r="G477" s="14"/>
      <c r="H477" s="14"/>
      <c r="I477" s="14"/>
      <c r="J477" s="14"/>
      <c r="K477" s="14"/>
      <c r="L477" s="14"/>
      <c r="M477" s="14"/>
      <c r="N477" s="14"/>
      <c r="O477" s="14"/>
      <c r="P477" s="14"/>
      <c r="Q477" s="14"/>
      <c r="R477" s="18"/>
      <c r="S477" s="18"/>
      <c r="T477" s="93"/>
      <c r="U477" s="20"/>
      <c r="V477" s="14"/>
      <c r="W477" s="14"/>
      <c r="X477" s="14"/>
      <c r="Y477" s="14"/>
      <c r="Z477" s="14"/>
      <c r="AA477" s="14"/>
      <c r="AB477" s="14"/>
      <c r="AC477" s="14"/>
      <c r="AD477" s="14"/>
      <c r="AE477" s="14"/>
      <c r="AF477" s="14"/>
      <c r="AG477" s="14"/>
      <c r="AH477" s="14"/>
      <c r="AI477" s="14"/>
      <c r="AJ477" s="14"/>
      <c r="AK477" s="14"/>
      <c r="AL477" s="14"/>
      <c r="AM477" s="14"/>
      <c r="AN477" s="14"/>
    </row>
    <row r="478" ht="15.75" customHeight="1">
      <c r="A478" s="14"/>
      <c r="B478" s="14"/>
      <c r="C478" s="14"/>
      <c r="D478" s="14"/>
      <c r="E478" s="14"/>
      <c r="F478" s="14"/>
      <c r="G478" s="14"/>
      <c r="H478" s="14"/>
      <c r="I478" s="14"/>
      <c r="J478" s="14"/>
      <c r="K478" s="14"/>
      <c r="L478" s="14"/>
      <c r="M478" s="14"/>
      <c r="N478" s="14"/>
      <c r="O478" s="14"/>
      <c r="P478" s="14"/>
      <c r="Q478" s="14"/>
      <c r="R478" s="18"/>
      <c r="S478" s="18"/>
      <c r="T478" s="93"/>
      <c r="U478" s="20"/>
      <c r="V478" s="14"/>
      <c r="W478" s="14"/>
      <c r="X478" s="14"/>
      <c r="Y478" s="14"/>
      <c r="Z478" s="14"/>
      <c r="AA478" s="14"/>
      <c r="AB478" s="14"/>
      <c r="AC478" s="14"/>
      <c r="AD478" s="14"/>
      <c r="AE478" s="14"/>
      <c r="AF478" s="14"/>
      <c r="AG478" s="14"/>
      <c r="AH478" s="14"/>
      <c r="AI478" s="14"/>
      <c r="AJ478" s="14"/>
      <c r="AK478" s="14"/>
      <c r="AL478" s="14"/>
      <c r="AM478" s="14"/>
      <c r="AN478" s="14"/>
    </row>
    <row r="479" ht="15.75" customHeight="1">
      <c r="A479" s="14"/>
      <c r="B479" s="14"/>
      <c r="C479" s="14"/>
      <c r="D479" s="14"/>
      <c r="E479" s="14"/>
      <c r="F479" s="14"/>
      <c r="G479" s="14"/>
      <c r="H479" s="14"/>
      <c r="I479" s="14"/>
      <c r="J479" s="14"/>
      <c r="K479" s="14"/>
      <c r="L479" s="14"/>
      <c r="M479" s="14"/>
      <c r="N479" s="14"/>
      <c r="O479" s="14"/>
      <c r="P479" s="14"/>
      <c r="Q479" s="14"/>
      <c r="R479" s="18"/>
      <c r="S479" s="18"/>
      <c r="T479" s="93"/>
      <c r="U479" s="20"/>
      <c r="V479" s="14"/>
      <c r="W479" s="14"/>
      <c r="X479" s="14"/>
      <c r="Y479" s="14"/>
      <c r="Z479" s="14"/>
      <c r="AA479" s="14"/>
      <c r="AB479" s="14"/>
      <c r="AC479" s="14"/>
      <c r="AD479" s="14"/>
      <c r="AE479" s="14"/>
      <c r="AF479" s="14"/>
      <c r="AG479" s="14"/>
      <c r="AH479" s="14"/>
      <c r="AI479" s="14"/>
      <c r="AJ479" s="14"/>
      <c r="AK479" s="14"/>
      <c r="AL479" s="14"/>
      <c r="AM479" s="14"/>
      <c r="AN479" s="14"/>
    </row>
    <row r="480" ht="15.75" customHeight="1">
      <c r="A480" s="14"/>
      <c r="B480" s="14"/>
      <c r="C480" s="14"/>
      <c r="D480" s="14"/>
      <c r="E480" s="14"/>
      <c r="F480" s="14"/>
      <c r="G480" s="14"/>
      <c r="H480" s="14"/>
      <c r="I480" s="14"/>
      <c r="J480" s="14"/>
      <c r="K480" s="14"/>
      <c r="L480" s="14"/>
      <c r="M480" s="14"/>
      <c r="N480" s="14"/>
      <c r="O480" s="14"/>
      <c r="P480" s="14"/>
      <c r="Q480" s="14"/>
      <c r="R480" s="18"/>
      <c r="S480" s="18"/>
      <c r="T480" s="93"/>
      <c r="U480" s="20"/>
      <c r="V480" s="14"/>
      <c r="W480" s="14"/>
      <c r="X480" s="14"/>
      <c r="Y480" s="14"/>
      <c r="Z480" s="14"/>
      <c r="AA480" s="14"/>
      <c r="AB480" s="14"/>
      <c r="AC480" s="14"/>
      <c r="AD480" s="14"/>
      <c r="AE480" s="14"/>
      <c r="AF480" s="14"/>
      <c r="AG480" s="14"/>
      <c r="AH480" s="14"/>
      <c r="AI480" s="14"/>
      <c r="AJ480" s="14"/>
      <c r="AK480" s="14"/>
      <c r="AL480" s="14"/>
      <c r="AM480" s="14"/>
      <c r="AN480" s="14"/>
    </row>
    <row r="481" ht="15.75" customHeight="1">
      <c r="A481" s="14"/>
      <c r="B481" s="14"/>
      <c r="C481" s="14"/>
      <c r="D481" s="14"/>
      <c r="E481" s="14"/>
      <c r="F481" s="14"/>
      <c r="G481" s="14"/>
      <c r="H481" s="14"/>
      <c r="I481" s="14"/>
      <c r="J481" s="14"/>
      <c r="K481" s="14"/>
      <c r="L481" s="14"/>
      <c r="M481" s="14"/>
      <c r="N481" s="14"/>
      <c r="O481" s="14"/>
      <c r="P481" s="14"/>
      <c r="Q481" s="14"/>
      <c r="R481" s="18"/>
      <c r="S481" s="18"/>
      <c r="T481" s="93"/>
      <c r="U481" s="20"/>
      <c r="V481" s="14"/>
      <c r="W481" s="14"/>
      <c r="X481" s="14"/>
      <c r="Y481" s="14"/>
      <c r="Z481" s="14"/>
      <c r="AA481" s="14"/>
      <c r="AB481" s="14"/>
      <c r="AC481" s="14"/>
      <c r="AD481" s="14"/>
      <c r="AE481" s="14"/>
      <c r="AF481" s="14"/>
      <c r="AG481" s="14"/>
      <c r="AH481" s="14"/>
      <c r="AI481" s="14"/>
      <c r="AJ481" s="14"/>
      <c r="AK481" s="14"/>
      <c r="AL481" s="14"/>
      <c r="AM481" s="14"/>
      <c r="AN481" s="14"/>
    </row>
    <row r="482" ht="15.75" customHeight="1">
      <c r="A482" s="14"/>
      <c r="B482" s="14"/>
      <c r="C482" s="14"/>
      <c r="D482" s="14"/>
      <c r="E482" s="14"/>
      <c r="F482" s="14"/>
      <c r="G482" s="14"/>
      <c r="H482" s="14"/>
      <c r="I482" s="14"/>
      <c r="J482" s="14"/>
      <c r="K482" s="14"/>
      <c r="L482" s="14"/>
      <c r="M482" s="14"/>
      <c r="N482" s="14"/>
      <c r="O482" s="14"/>
      <c r="P482" s="14"/>
      <c r="Q482" s="14"/>
      <c r="R482" s="18"/>
      <c r="S482" s="18"/>
      <c r="T482" s="93"/>
      <c r="U482" s="20"/>
      <c r="V482" s="14"/>
      <c r="W482" s="14"/>
      <c r="X482" s="14"/>
      <c r="Y482" s="14"/>
      <c r="Z482" s="14"/>
      <c r="AA482" s="14"/>
      <c r="AB482" s="14"/>
      <c r="AC482" s="14"/>
      <c r="AD482" s="14"/>
      <c r="AE482" s="14"/>
      <c r="AF482" s="14"/>
      <c r="AG482" s="14"/>
      <c r="AH482" s="14"/>
      <c r="AI482" s="14"/>
      <c r="AJ482" s="14"/>
      <c r="AK482" s="14"/>
      <c r="AL482" s="14"/>
      <c r="AM482" s="14"/>
      <c r="AN482" s="14"/>
    </row>
    <row r="483" ht="15.75" customHeight="1">
      <c r="A483" s="14"/>
      <c r="B483" s="14"/>
      <c r="C483" s="14"/>
      <c r="D483" s="14"/>
      <c r="E483" s="14"/>
      <c r="F483" s="14"/>
      <c r="G483" s="14"/>
      <c r="H483" s="14"/>
      <c r="I483" s="14"/>
      <c r="J483" s="14"/>
      <c r="K483" s="14"/>
      <c r="L483" s="14"/>
      <c r="M483" s="14"/>
      <c r="N483" s="14"/>
      <c r="O483" s="14"/>
      <c r="P483" s="14"/>
      <c r="Q483" s="14"/>
      <c r="R483" s="18"/>
      <c r="S483" s="18"/>
      <c r="T483" s="93"/>
      <c r="U483" s="20"/>
      <c r="V483" s="14"/>
      <c r="W483" s="14"/>
      <c r="X483" s="14"/>
      <c r="Y483" s="14"/>
      <c r="Z483" s="14"/>
      <c r="AA483" s="14"/>
      <c r="AB483" s="14"/>
      <c r="AC483" s="14"/>
      <c r="AD483" s="14"/>
      <c r="AE483" s="14"/>
      <c r="AF483" s="14"/>
      <c r="AG483" s="14"/>
      <c r="AH483" s="14"/>
      <c r="AI483" s="14"/>
      <c r="AJ483" s="14"/>
      <c r="AK483" s="14"/>
      <c r="AL483" s="14"/>
      <c r="AM483" s="14"/>
      <c r="AN483" s="14"/>
    </row>
    <row r="484" ht="15.75" customHeight="1">
      <c r="A484" s="14"/>
      <c r="B484" s="14"/>
      <c r="C484" s="14"/>
      <c r="D484" s="14"/>
      <c r="E484" s="14"/>
      <c r="F484" s="14"/>
      <c r="G484" s="14"/>
      <c r="H484" s="14"/>
      <c r="I484" s="14"/>
      <c r="J484" s="14"/>
      <c r="K484" s="14"/>
      <c r="L484" s="14"/>
      <c r="M484" s="14"/>
      <c r="N484" s="14"/>
      <c r="O484" s="14"/>
      <c r="P484" s="14"/>
      <c r="Q484" s="14"/>
      <c r="R484" s="18"/>
      <c r="S484" s="18"/>
      <c r="T484" s="93"/>
      <c r="U484" s="20"/>
      <c r="V484" s="14"/>
      <c r="W484" s="14"/>
      <c r="X484" s="14"/>
      <c r="Y484" s="14"/>
      <c r="Z484" s="14"/>
      <c r="AA484" s="14"/>
      <c r="AB484" s="14"/>
      <c r="AC484" s="14"/>
      <c r="AD484" s="14"/>
      <c r="AE484" s="14"/>
      <c r="AF484" s="14"/>
      <c r="AG484" s="14"/>
      <c r="AH484" s="14"/>
      <c r="AI484" s="14"/>
      <c r="AJ484" s="14"/>
      <c r="AK484" s="14"/>
      <c r="AL484" s="14"/>
      <c r="AM484" s="14"/>
      <c r="AN484" s="14"/>
    </row>
    <row r="485" ht="15.75" customHeight="1">
      <c r="A485" s="14"/>
      <c r="B485" s="14"/>
      <c r="C485" s="14"/>
      <c r="D485" s="14"/>
      <c r="E485" s="14"/>
      <c r="F485" s="14"/>
      <c r="G485" s="14"/>
      <c r="H485" s="14"/>
      <c r="I485" s="14"/>
      <c r="J485" s="14"/>
      <c r="K485" s="14"/>
      <c r="L485" s="14"/>
      <c r="M485" s="14"/>
      <c r="N485" s="14"/>
      <c r="O485" s="14"/>
      <c r="P485" s="14"/>
      <c r="Q485" s="14"/>
      <c r="R485" s="18"/>
      <c r="S485" s="18"/>
      <c r="T485" s="93"/>
      <c r="U485" s="20"/>
      <c r="V485" s="14"/>
      <c r="W485" s="14"/>
      <c r="X485" s="14"/>
      <c r="Y485" s="14"/>
      <c r="Z485" s="14"/>
      <c r="AA485" s="14"/>
      <c r="AB485" s="14"/>
      <c r="AC485" s="14"/>
      <c r="AD485" s="14"/>
      <c r="AE485" s="14"/>
      <c r="AF485" s="14"/>
      <c r="AG485" s="14"/>
      <c r="AH485" s="14"/>
      <c r="AI485" s="14"/>
      <c r="AJ485" s="14"/>
      <c r="AK485" s="14"/>
      <c r="AL485" s="14"/>
      <c r="AM485" s="14"/>
      <c r="AN485" s="14"/>
    </row>
    <row r="486" ht="15.75" customHeight="1">
      <c r="A486" s="14"/>
      <c r="B486" s="14"/>
      <c r="C486" s="14"/>
      <c r="D486" s="14"/>
      <c r="E486" s="14"/>
      <c r="F486" s="14"/>
      <c r="G486" s="14"/>
      <c r="H486" s="14"/>
      <c r="I486" s="14"/>
      <c r="J486" s="14"/>
      <c r="K486" s="14"/>
      <c r="L486" s="14"/>
      <c r="M486" s="14"/>
      <c r="N486" s="14"/>
      <c r="O486" s="14"/>
      <c r="P486" s="14"/>
      <c r="Q486" s="14"/>
      <c r="R486" s="18"/>
      <c r="S486" s="18"/>
      <c r="T486" s="93"/>
      <c r="U486" s="20"/>
      <c r="V486" s="14"/>
      <c r="W486" s="14"/>
      <c r="X486" s="14"/>
      <c r="Y486" s="14"/>
      <c r="Z486" s="14"/>
      <c r="AA486" s="14"/>
      <c r="AB486" s="14"/>
      <c r="AC486" s="14"/>
      <c r="AD486" s="14"/>
      <c r="AE486" s="14"/>
      <c r="AF486" s="14"/>
      <c r="AG486" s="14"/>
      <c r="AH486" s="14"/>
      <c r="AI486" s="14"/>
      <c r="AJ486" s="14"/>
      <c r="AK486" s="14"/>
      <c r="AL486" s="14"/>
      <c r="AM486" s="14"/>
      <c r="AN486" s="14"/>
    </row>
    <row r="487" ht="15.75" customHeight="1">
      <c r="A487" s="14"/>
      <c r="B487" s="14"/>
      <c r="C487" s="14"/>
      <c r="D487" s="14"/>
      <c r="E487" s="14"/>
      <c r="F487" s="14"/>
      <c r="G487" s="14"/>
      <c r="H487" s="14"/>
      <c r="I487" s="14"/>
      <c r="J487" s="14"/>
      <c r="K487" s="14"/>
      <c r="L487" s="14"/>
      <c r="M487" s="14"/>
      <c r="N487" s="14"/>
      <c r="O487" s="14"/>
      <c r="P487" s="14"/>
      <c r="Q487" s="14"/>
      <c r="R487" s="18"/>
      <c r="S487" s="18"/>
      <c r="T487" s="93"/>
      <c r="U487" s="20"/>
      <c r="V487" s="14"/>
      <c r="W487" s="14"/>
      <c r="X487" s="14"/>
      <c r="Y487" s="14"/>
      <c r="Z487" s="14"/>
      <c r="AA487" s="14"/>
      <c r="AB487" s="14"/>
      <c r="AC487" s="14"/>
      <c r="AD487" s="14"/>
      <c r="AE487" s="14"/>
      <c r="AF487" s="14"/>
      <c r="AG487" s="14"/>
      <c r="AH487" s="14"/>
      <c r="AI487" s="14"/>
      <c r="AJ487" s="14"/>
      <c r="AK487" s="14"/>
      <c r="AL487" s="14"/>
      <c r="AM487" s="14"/>
      <c r="AN487" s="14"/>
    </row>
    <row r="488" ht="15.75" customHeight="1">
      <c r="A488" s="14"/>
      <c r="B488" s="14"/>
      <c r="C488" s="14"/>
      <c r="D488" s="14"/>
      <c r="E488" s="14"/>
      <c r="F488" s="14"/>
      <c r="G488" s="14"/>
      <c r="H488" s="14"/>
      <c r="I488" s="14"/>
      <c r="J488" s="14"/>
      <c r="K488" s="14"/>
      <c r="L488" s="14"/>
      <c r="M488" s="14"/>
      <c r="N488" s="14"/>
      <c r="O488" s="14"/>
      <c r="P488" s="14"/>
      <c r="Q488" s="14"/>
      <c r="R488" s="18"/>
      <c r="S488" s="18"/>
      <c r="T488" s="93"/>
      <c r="U488" s="20"/>
      <c r="V488" s="14"/>
      <c r="W488" s="14"/>
      <c r="X488" s="14"/>
      <c r="Y488" s="14"/>
      <c r="Z488" s="14"/>
      <c r="AA488" s="14"/>
      <c r="AB488" s="14"/>
      <c r="AC488" s="14"/>
      <c r="AD488" s="14"/>
      <c r="AE488" s="14"/>
      <c r="AF488" s="14"/>
      <c r="AG488" s="14"/>
      <c r="AH488" s="14"/>
      <c r="AI488" s="14"/>
      <c r="AJ488" s="14"/>
      <c r="AK488" s="14"/>
      <c r="AL488" s="14"/>
      <c r="AM488" s="14"/>
      <c r="AN488" s="14"/>
    </row>
    <row r="489" ht="15.75" customHeight="1">
      <c r="A489" s="14"/>
      <c r="B489" s="14"/>
      <c r="C489" s="14"/>
      <c r="D489" s="14"/>
      <c r="E489" s="14"/>
      <c r="F489" s="14"/>
      <c r="G489" s="14"/>
      <c r="H489" s="14"/>
      <c r="I489" s="14"/>
      <c r="J489" s="14"/>
      <c r="K489" s="14"/>
      <c r="L489" s="14"/>
      <c r="M489" s="14"/>
      <c r="N489" s="14"/>
      <c r="O489" s="14"/>
      <c r="P489" s="14"/>
      <c r="Q489" s="14"/>
      <c r="R489" s="18"/>
      <c r="S489" s="18"/>
      <c r="T489" s="93"/>
      <c r="U489" s="20"/>
      <c r="V489" s="14"/>
      <c r="W489" s="14"/>
      <c r="X489" s="14"/>
      <c r="Y489" s="14"/>
      <c r="Z489" s="14"/>
      <c r="AA489" s="14"/>
      <c r="AB489" s="14"/>
      <c r="AC489" s="14"/>
      <c r="AD489" s="14"/>
      <c r="AE489" s="14"/>
      <c r="AF489" s="14"/>
      <c r="AG489" s="14"/>
      <c r="AH489" s="14"/>
      <c r="AI489" s="14"/>
      <c r="AJ489" s="14"/>
      <c r="AK489" s="14"/>
      <c r="AL489" s="14"/>
      <c r="AM489" s="14"/>
      <c r="AN489" s="14"/>
    </row>
    <row r="490" ht="15.75" customHeight="1">
      <c r="A490" s="14"/>
      <c r="B490" s="14"/>
      <c r="C490" s="14"/>
      <c r="D490" s="14"/>
      <c r="E490" s="14"/>
      <c r="F490" s="14"/>
      <c r="G490" s="14"/>
      <c r="H490" s="14"/>
      <c r="I490" s="14"/>
      <c r="J490" s="14"/>
      <c r="K490" s="14"/>
      <c r="L490" s="14"/>
      <c r="M490" s="14"/>
      <c r="N490" s="14"/>
      <c r="O490" s="14"/>
      <c r="P490" s="14"/>
      <c r="Q490" s="14"/>
      <c r="R490" s="18"/>
      <c r="S490" s="18"/>
      <c r="T490" s="93"/>
      <c r="U490" s="20"/>
      <c r="V490" s="14"/>
      <c r="W490" s="14"/>
      <c r="X490" s="14"/>
      <c r="Y490" s="14"/>
      <c r="Z490" s="14"/>
      <c r="AA490" s="14"/>
      <c r="AB490" s="14"/>
      <c r="AC490" s="14"/>
      <c r="AD490" s="14"/>
      <c r="AE490" s="14"/>
      <c r="AF490" s="14"/>
      <c r="AG490" s="14"/>
      <c r="AH490" s="14"/>
      <c r="AI490" s="14"/>
      <c r="AJ490" s="14"/>
      <c r="AK490" s="14"/>
      <c r="AL490" s="14"/>
      <c r="AM490" s="14"/>
      <c r="AN490" s="14"/>
    </row>
    <row r="491" ht="15.75" customHeight="1">
      <c r="A491" s="14"/>
      <c r="B491" s="14"/>
      <c r="C491" s="14"/>
      <c r="D491" s="14"/>
      <c r="E491" s="14"/>
      <c r="F491" s="14"/>
      <c r="G491" s="14"/>
      <c r="H491" s="14"/>
      <c r="I491" s="14"/>
      <c r="J491" s="14"/>
      <c r="K491" s="14"/>
      <c r="L491" s="14"/>
      <c r="M491" s="14"/>
      <c r="N491" s="14"/>
      <c r="O491" s="14"/>
      <c r="P491" s="14"/>
      <c r="Q491" s="14"/>
      <c r="R491" s="18"/>
      <c r="S491" s="18"/>
      <c r="T491" s="93"/>
      <c r="U491" s="20"/>
      <c r="V491" s="14"/>
      <c r="W491" s="14"/>
      <c r="X491" s="14"/>
      <c r="Y491" s="14"/>
      <c r="Z491" s="14"/>
      <c r="AA491" s="14"/>
      <c r="AB491" s="14"/>
      <c r="AC491" s="14"/>
      <c r="AD491" s="14"/>
      <c r="AE491" s="14"/>
      <c r="AF491" s="14"/>
      <c r="AG491" s="14"/>
      <c r="AH491" s="14"/>
      <c r="AI491" s="14"/>
      <c r="AJ491" s="14"/>
      <c r="AK491" s="14"/>
      <c r="AL491" s="14"/>
      <c r="AM491" s="14"/>
      <c r="AN491" s="14"/>
    </row>
    <row r="492" ht="15.75" customHeight="1">
      <c r="A492" s="14"/>
      <c r="B492" s="14"/>
      <c r="C492" s="14"/>
      <c r="D492" s="14"/>
      <c r="E492" s="14"/>
      <c r="F492" s="14"/>
      <c r="G492" s="14"/>
      <c r="H492" s="14"/>
      <c r="I492" s="14"/>
      <c r="J492" s="14"/>
      <c r="K492" s="14"/>
      <c r="L492" s="14"/>
      <c r="M492" s="14"/>
      <c r="N492" s="14"/>
      <c r="O492" s="14"/>
      <c r="P492" s="14"/>
      <c r="Q492" s="14"/>
      <c r="R492" s="18"/>
      <c r="S492" s="18"/>
      <c r="T492" s="93"/>
      <c r="U492" s="20"/>
      <c r="V492" s="14"/>
      <c r="W492" s="14"/>
      <c r="X492" s="14"/>
      <c r="Y492" s="14"/>
      <c r="Z492" s="14"/>
      <c r="AA492" s="14"/>
      <c r="AB492" s="14"/>
      <c r="AC492" s="14"/>
      <c r="AD492" s="14"/>
      <c r="AE492" s="14"/>
      <c r="AF492" s="14"/>
      <c r="AG492" s="14"/>
      <c r="AH492" s="14"/>
      <c r="AI492" s="14"/>
      <c r="AJ492" s="14"/>
      <c r="AK492" s="14"/>
      <c r="AL492" s="14"/>
      <c r="AM492" s="14"/>
      <c r="AN492" s="14"/>
    </row>
    <row r="493" ht="15.75" customHeight="1">
      <c r="A493" s="14"/>
      <c r="B493" s="14"/>
      <c r="C493" s="14"/>
      <c r="D493" s="14"/>
      <c r="E493" s="14"/>
      <c r="F493" s="14"/>
      <c r="G493" s="14"/>
      <c r="H493" s="14"/>
      <c r="I493" s="14"/>
      <c r="J493" s="14"/>
      <c r="K493" s="14"/>
      <c r="L493" s="14"/>
      <c r="M493" s="14"/>
      <c r="N493" s="14"/>
      <c r="O493" s="14"/>
      <c r="P493" s="14"/>
      <c r="Q493" s="14"/>
      <c r="R493" s="18"/>
      <c r="S493" s="18"/>
      <c r="T493" s="93"/>
      <c r="U493" s="20"/>
      <c r="V493" s="14"/>
      <c r="W493" s="14"/>
      <c r="X493" s="14"/>
      <c r="Y493" s="14"/>
      <c r="Z493" s="14"/>
      <c r="AA493" s="14"/>
      <c r="AB493" s="14"/>
      <c r="AC493" s="14"/>
      <c r="AD493" s="14"/>
      <c r="AE493" s="14"/>
      <c r="AF493" s="14"/>
      <c r="AG493" s="14"/>
      <c r="AH493" s="14"/>
      <c r="AI493" s="14"/>
      <c r="AJ493" s="14"/>
      <c r="AK493" s="14"/>
      <c r="AL493" s="14"/>
      <c r="AM493" s="14"/>
      <c r="AN493" s="14"/>
    </row>
    <row r="494" ht="15.75" customHeight="1">
      <c r="A494" s="14"/>
      <c r="B494" s="14"/>
      <c r="C494" s="14"/>
      <c r="D494" s="14"/>
      <c r="E494" s="14"/>
      <c r="F494" s="14"/>
      <c r="G494" s="14"/>
      <c r="H494" s="14"/>
      <c r="I494" s="14"/>
      <c r="J494" s="14"/>
      <c r="K494" s="14"/>
      <c r="L494" s="14"/>
      <c r="M494" s="14"/>
      <c r="N494" s="14"/>
      <c r="O494" s="14"/>
      <c r="P494" s="14"/>
      <c r="Q494" s="14"/>
      <c r="R494" s="18"/>
      <c r="S494" s="18"/>
      <c r="T494" s="93"/>
      <c r="U494" s="20"/>
      <c r="V494" s="14"/>
      <c r="W494" s="14"/>
      <c r="X494" s="14"/>
      <c r="Y494" s="14"/>
      <c r="Z494" s="14"/>
      <c r="AA494" s="14"/>
      <c r="AB494" s="14"/>
      <c r="AC494" s="14"/>
      <c r="AD494" s="14"/>
      <c r="AE494" s="14"/>
      <c r="AF494" s="14"/>
      <c r="AG494" s="14"/>
      <c r="AH494" s="14"/>
      <c r="AI494" s="14"/>
      <c r="AJ494" s="14"/>
      <c r="AK494" s="14"/>
      <c r="AL494" s="14"/>
      <c r="AM494" s="14"/>
      <c r="AN494" s="14"/>
    </row>
    <row r="495" ht="15.75" customHeight="1">
      <c r="A495" s="14"/>
      <c r="B495" s="14"/>
      <c r="C495" s="14"/>
      <c r="D495" s="14"/>
      <c r="E495" s="14"/>
      <c r="F495" s="14"/>
      <c r="G495" s="14"/>
      <c r="H495" s="14"/>
      <c r="I495" s="14"/>
      <c r="J495" s="14"/>
      <c r="K495" s="14"/>
      <c r="L495" s="14"/>
      <c r="M495" s="14"/>
      <c r="N495" s="14"/>
      <c r="O495" s="14"/>
      <c r="P495" s="14"/>
      <c r="Q495" s="14"/>
      <c r="R495" s="18"/>
      <c r="S495" s="18"/>
      <c r="T495" s="93"/>
      <c r="U495" s="20"/>
      <c r="V495" s="14"/>
      <c r="W495" s="14"/>
      <c r="X495" s="14"/>
      <c r="Y495" s="14"/>
      <c r="Z495" s="14"/>
      <c r="AA495" s="14"/>
      <c r="AB495" s="14"/>
      <c r="AC495" s="14"/>
      <c r="AD495" s="14"/>
      <c r="AE495" s="14"/>
      <c r="AF495" s="14"/>
      <c r="AG495" s="14"/>
      <c r="AH495" s="14"/>
      <c r="AI495" s="14"/>
      <c r="AJ495" s="14"/>
      <c r="AK495" s="14"/>
      <c r="AL495" s="14"/>
      <c r="AM495" s="14"/>
      <c r="AN495" s="14"/>
    </row>
    <row r="496" ht="15.75" customHeight="1">
      <c r="A496" s="14"/>
      <c r="B496" s="14"/>
      <c r="C496" s="14"/>
      <c r="D496" s="14"/>
      <c r="E496" s="14"/>
      <c r="F496" s="14"/>
      <c r="G496" s="14"/>
      <c r="H496" s="14"/>
      <c r="I496" s="14"/>
      <c r="J496" s="14"/>
      <c r="K496" s="14"/>
      <c r="L496" s="14"/>
      <c r="M496" s="14"/>
      <c r="N496" s="14"/>
      <c r="O496" s="14"/>
      <c r="P496" s="14"/>
      <c r="Q496" s="14"/>
      <c r="R496" s="18"/>
      <c r="S496" s="18"/>
      <c r="T496" s="93"/>
      <c r="U496" s="20"/>
      <c r="V496" s="14"/>
      <c r="W496" s="14"/>
      <c r="X496" s="14"/>
      <c r="Y496" s="14"/>
      <c r="Z496" s="14"/>
      <c r="AA496" s="14"/>
      <c r="AB496" s="14"/>
      <c r="AC496" s="14"/>
      <c r="AD496" s="14"/>
      <c r="AE496" s="14"/>
      <c r="AF496" s="14"/>
      <c r="AG496" s="14"/>
      <c r="AH496" s="14"/>
      <c r="AI496" s="14"/>
      <c r="AJ496" s="14"/>
      <c r="AK496" s="14"/>
      <c r="AL496" s="14"/>
      <c r="AM496" s="14"/>
      <c r="AN496" s="14"/>
    </row>
    <row r="497" ht="15.75" customHeight="1">
      <c r="A497" s="14"/>
      <c r="B497" s="14"/>
      <c r="C497" s="14"/>
      <c r="D497" s="14"/>
      <c r="E497" s="14"/>
      <c r="F497" s="14"/>
      <c r="G497" s="14"/>
      <c r="H497" s="14"/>
      <c r="I497" s="14"/>
      <c r="J497" s="14"/>
      <c r="K497" s="14"/>
      <c r="L497" s="14"/>
      <c r="M497" s="14"/>
      <c r="N497" s="14"/>
      <c r="O497" s="14"/>
      <c r="P497" s="14"/>
      <c r="Q497" s="14"/>
      <c r="R497" s="18"/>
      <c r="S497" s="18"/>
      <c r="T497" s="93"/>
      <c r="U497" s="20"/>
      <c r="V497" s="14"/>
      <c r="W497" s="14"/>
      <c r="X497" s="14"/>
      <c r="Y497" s="14"/>
      <c r="Z497" s="14"/>
      <c r="AA497" s="14"/>
      <c r="AB497" s="14"/>
      <c r="AC497" s="14"/>
      <c r="AD497" s="14"/>
      <c r="AE497" s="14"/>
      <c r="AF497" s="14"/>
      <c r="AG497" s="14"/>
      <c r="AH497" s="14"/>
      <c r="AI497" s="14"/>
      <c r="AJ497" s="14"/>
      <c r="AK497" s="14"/>
      <c r="AL497" s="14"/>
      <c r="AM497" s="14"/>
      <c r="AN497" s="14"/>
    </row>
    <row r="498" ht="15.75" customHeight="1">
      <c r="A498" s="14"/>
      <c r="B498" s="14"/>
      <c r="C498" s="14"/>
      <c r="D498" s="14"/>
      <c r="E498" s="14"/>
      <c r="F498" s="14"/>
      <c r="G498" s="14"/>
      <c r="H498" s="14"/>
      <c r="I498" s="14"/>
      <c r="J498" s="14"/>
      <c r="K498" s="14"/>
      <c r="L498" s="14"/>
      <c r="M498" s="14"/>
      <c r="N498" s="14"/>
      <c r="O498" s="14"/>
      <c r="P498" s="14"/>
      <c r="Q498" s="14"/>
      <c r="R498" s="18"/>
      <c r="S498" s="18"/>
      <c r="T498" s="93"/>
      <c r="U498" s="20"/>
      <c r="V498" s="14"/>
      <c r="W498" s="14"/>
      <c r="X498" s="14"/>
      <c r="Y498" s="14"/>
      <c r="Z498" s="14"/>
      <c r="AA498" s="14"/>
      <c r="AB498" s="14"/>
      <c r="AC498" s="14"/>
      <c r="AD498" s="14"/>
      <c r="AE498" s="14"/>
      <c r="AF498" s="14"/>
      <c r="AG498" s="14"/>
      <c r="AH498" s="14"/>
      <c r="AI498" s="14"/>
      <c r="AJ498" s="14"/>
      <c r="AK498" s="14"/>
      <c r="AL498" s="14"/>
      <c r="AM498" s="14"/>
      <c r="AN498" s="14"/>
    </row>
    <row r="499" ht="15.75" customHeight="1">
      <c r="A499" s="14"/>
      <c r="B499" s="14"/>
      <c r="C499" s="14"/>
      <c r="D499" s="14"/>
      <c r="E499" s="14"/>
      <c r="F499" s="14"/>
      <c r="G499" s="14"/>
      <c r="H499" s="14"/>
      <c r="I499" s="14"/>
      <c r="J499" s="14"/>
      <c r="K499" s="14"/>
      <c r="L499" s="14"/>
      <c r="M499" s="14"/>
      <c r="N499" s="14"/>
      <c r="O499" s="14"/>
      <c r="P499" s="14"/>
      <c r="Q499" s="14"/>
      <c r="R499" s="18"/>
      <c r="S499" s="18"/>
      <c r="T499" s="93"/>
      <c r="U499" s="20"/>
      <c r="V499" s="14"/>
      <c r="W499" s="14"/>
      <c r="X499" s="14"/>
      <c r="Y499" s="14"/>
      <c r="Z499" s="14"/>
      <c r="AA499" s="14"/>
      <c r="AB499" s="14"/>
      <c r="AC499" s="14"/>
      <c r="AD499" s="14"/>
      <c r="AE499" s="14"/>
      <c r="AF499" s="14"/>
      <c r="AG499" s="14"/>
      <c r="AH499" s="14"/>
      <c r="AI499" s="14"/>
      <c r="AJ499" s="14"/>
      <c r="AK499" s="14"/>
      <c r="AL499" s="14"/>
      <c r="AM499" s="14"/>
      <c r="AN499" s="14"/>
    </row>
    <row r="500" ht="15.75" customHeight="1">
      <c r="A500" s="14"/>
      <c r="B500" s="14"/>
      <c r="C500" s="14"/>
      <c r="D500" s="14"/>
      <c r="E500" s="14"/>
      <c r="F500" s="14"/>
      <c r="G500" s="14"/>
      <c r="H500" s="14"/>
      <c r="I500" s="14"/>
      <c r="J500" s="14"/>
      <c r="K500" s="14"/>
      <c r="L500" s="14"/>
      <c r="M500" s="14"/>
      <c r="N500" s="14"/>
      <c r="O500" s="14"/>
      <c r="P500" s="14"/>
      <c r="Q500" s="14"/>
      <c r="R500" s="18"/>
      <c r="S500" s="18"/>
      <c r="T500" s="93"/>
      <c r="U500" s="20"/>
      <c r="V500" s="14"/>
      <c r="W500" s="14"/>
      <c r="X500" s="14"/>
      <c r="Y500" s="14"/>
      <c r="Z500" s="14"/>
      <c r="AA500" s="14"/>
      <c r="AB500" s="14"/>
      <c r="AC500" s="14"/>
      <c r="AD500" s="14"/>
      <c r="AE500" s="14"/>
      <c r="AF500" s="14"/>
      <c r="AG500" s="14"/>
      <c r="AH500" s="14"/>
      <c r="AI500" s="14"/>
      <c r="AJ500" s="14"/>
      <c r="AK500" s="14"/>
      <c r="AL500" s="14"/>
      <c r="AM500" s="14"/>
      <c r="AN500" s="14"/>
    </row>
    <row r="501" ht="15.75" customHeight="1">
      <c r="A501" s="14"/>
      <c r="B501" s="14"/>
      <c r="C501" s="14"/>
      <c r="D501" s="14"/>
      <c r="E501" s="14"/>
      <c r="F501" s="14"/>
      <c r="G501" s="14"/>
      <c r="H501" s="14"/>
      <c r="I501" s="14"/>
      <c r="J501" s="14"/>
      <c r="K501" s="14"/>
      <c r="L501" s="14"/>
      <c r="M501" s="14"/>
      <c r="N501" s="14"/>
      <c r="O501" s="14"/>
      <c r="P501" s="14"/>
      <c r="Q501" s="14"/>
      <c r="R501" s="18"/>
      <c r="S501" s="18"/>
      <c r="T501" s="93"/>
      <c r="U501" s="20"/>
      <c r="V501" s="14"/>
      <c r="W501" s="14"/>
      <c r="X501" s="14"/>
      <c r="Y501" s="14"/>
      <c r="Z501" s="14"/>
      <c r="AA501" s="14"/>
      <c r="AB501" s="14"/>
      <c r="AC501" s="14"/>
      <c r="AD501" s="14"/>
      <c r="AE501" s="14"/>
      <c r="AF501" s="14"/>
      <c r="AG501" s="14"/>
      <c r="AH501" s="14"/>
      <c r="AI501" s="14"/>
      <c r="AJ501" s="14"/>
      <c r="AK501" s="14"/>
      <c r="AL501" s="14"/>
      <c r="AM501" s="14"/>
      <c r="AN501" s="14"/>
    </row>
    <row r="502" ht="15.75" customHeight="1">
      <c r="A502" s="14"/>
      <c r="B502" s="14"/>
      <c r="C502" s="14"/>
      <c r="D502" s="14"/>
      <c r="E502" s="14"/>
      <c r="F502" s="14"/>
      <c r="G502" s="14"/>
      <c r="H502" s="14"/>
      <c r="I502" s="14"/>
      <c r="J502" s="14"/>
      <c r="K502" s="14"/>
      <c r="L502" s="14"/>
      <c r="M502" s="14"/>
      <c r="N502" s="14"/>
      <c r="O502" s="14"/>
      <c r="P502" s="14"/>
      <c r="Q502" s="14"/>
      <c r="R502" s="18"/>
      <c r="S502" s="18"/>
      <c r="T502" s="93"/>
      <c r="U502" s="20"/>
      <c r="V502" s="14"/>
      <c r="W502" s="14"/>
      <c r="X502" s="14"/>
      <c r="Y502" s="14"/>
      <c r="Z502" s="14"/>
      <c r="AA502" s="14"/>
      <c r="AB502" s="14"/>
      <c r="AC502" s="14"/>
      <c r="AD502" s="14"/>
      <c r="AE502" s="14"/>
      <c r="AF502" s="14"/>
      <c r="AG502" s="14"/>
      <c r="AH502" s="14"/>
      <c r="AI502" s="14"/>
      <c r="AJ502" s="14"/>
      <c r="AK502" s="14"/>
      <c r="AL502" s="14"/>
      <c r="AM502" s="14"/>
      <c r="AN502" s="14"/>
    </row>
    <row r="503" ht="15.75" customHeight="1">
      <c r="A503" s="14"/>
      <c r="B503" s="14"/>
      <c r="C503" s="14"/>
      <c r="D503" s="14"/>
      <c r="E503" s="14"/>
      <c r="F503" s="14"/>
      <c r="G503" s="14"/>
      <c r="H503" s="14"/>
      <c r="I503" s="14"/>
      <c r="J503" s="14"/>
      <c r="K503" s="14"/>
      <c r="L503" s="14"/>
      <c r="M503" s="14"/>
      <c r="N503" s="14"/>
      <c r="O503" s="14"/>
      <c r="P503" s="14"/>
      <c r="Q503" s="14"/>
      <c r="R503" s="18"/>
      <c r="S503" s="18"/>
      <c r="T503" s="93"/>
      <c r="U503" s="20"/>
      <c r="V503" s="14"/>
      <c r="W503" s="14"/>
      <c r="X503" s="14"/>
      <c r="Y503" s="14"/>
      <c r="Z503" s="14"/>
      <c r="AA503" s="14"/>
      <c r="AB503" s="14"/>
      <c r="AC503" s="14"/>
      <c r="AD503" s="14"/>
      <c r="AE503" s="14"/>
      <c r="AF503" s="14"/>
      <c r="AG503" s="14"/>
      <c r="AH503" s="14"/>
      <c r="AI503" s="14"/>
      <c r="AJ503" s="14"/>
      <c r="AK503" s="14"/>
      <c r="AL503" s="14"/>
      <c r="AM503" s="14"/>
      <c r="AN503" s="14"/>
    </row>
    <row r="504" ht="15.75" customHeight="1">
      <c r="A504" s="14"/>
      <c r="B504" s="14"/>
      <c r="C504" s="14"/>
      <c r="D504" s="14"/>
      <c r="E504" s="14"/>
      <c r="F504" s="14"/>
      <c r="G504" s="14"/>
      <c r="H504" s="14"/>
      <c r="I504" s="14"/>
      <c r="J504" s="14"/>
      <c r="K504" s="14"/>
      <c r="L504" s="14"/>
      <c r="M504" s="14"/>
      <c r="N504" s="14"/>
      <c r="O504" s="14"/>
      <c r="P504" s="14"/>
      <c r="Q504" s="14"/>
      <c r="R504" s="18"/>
      <c r="S504" s="18"/>
      <c r="T504" s="93"/>
      <c r="U504" s="20"/>
      <c r="V504" s="14"/>
      <c r="W504" s="14"/>
      <c r="X504" s="14"/>
      <c r="Y504" s="14"/>
      <c r="Z504" s="14"/>
      <c r="AA504" s="14"/>
      <c r="AB504" s="14"/>
      <c r="AC504" s="14"/>
      <c r="AD504" s="14"/>
      <c r="AE504" s="14"/>
      <c r="AF504" s="14"/>
      <c r="AG504" s="14"/>
      <c r="AH504" s="14"/>
      <c r="AI504" s="14"/>
      <c r="AJ504" s="14"/>
      <c r="AK504" s="14"/>
      <c r="AL504" s="14"/>
      <c r="AM504" s="14"/>
      <c r="AN504" s="14"/>
    </row>
    <row r="505" ht="15.75" customHeight="1">
      <c r="A505" s="14"/>
      <c r="B505" s="14"/>
      <c r="C505" s="14"/>
      <c r="D505" s="14"/>
      <c r="E505" s="14"/>
      <c r="F505" s="14"/>
      <c r="G505" s="14"/>
      <c r="H505" s="14"/>
      <c r="I505" s="14"/>
      <c r="J505" s="14"/>
      <c r="K505" s="14"/>
      <c r="L505" s="14"/>
      <c r="M505" s="14"/>
      <c r="N505" s="14"/>
      <c r="O505" s="14"/>
      <c r="P505" s="14"/>
      <c r="Q505" s="14"/>
      <c r="R505" s="18"/>
      <c r="S505" s="18"/>
      <c r="T505" s="93"/>
      <c r="U505" s="20"/>
      <c r="V505" s="14"/>
      <c r="W505" s="14"/>
      <c r="X505" s="14"/>
      <c r="Y505" s="14"/>
      <c r="Z505" s="14"/>
      <c r="AA505" s="14"/>
      <c r="AB505" s="14"/>
      <c r="AC505" s="14"/>
      <c r="AD505" s="14"/>
      <c r="AE505" s="14"/>
      <c r="AF505" s="14"/>
      <c r="AG505" s="14"/>
      <c r="AH505" s="14"/>
      <c r="AI505" s="14"/>
      <c r="AJ505" s="14"/>
      <c r="AK505" s="14"/>
      <c r="AL505" s="14"/>
      <c r="AM505" s="14"/>
      <c r="AN505" s="14"/>
    </row>
    <row r="506" ht="15.75" customHeight="1">
      <c r="A506" s="14"/>
      <c r="B506" s="14"/>
      <c r="C506" s="14"/>
      <c r="D506" s="14"/>
      <c r="E506" s="14"/>
      <c r="F506" s="14"/>
      <c r="G506" s="14"/>
      <c r="H506" s="14"/>
      <c r="I506" s="14"/>
      <c r="J506" s="14"/>
      <c r="K506" s="14"/>
      <c r="L506" s="14"/>
      <c r="M506" s="14"/>
      <c r="N506" s="14"/>
      <c r="O506" s="14"/>
      <c r="P506" s="14"/>
      <c r="Q506" s="14"/>
      <c r="R506" s="18"/>
      <c r="S506" s="18"/>
      <c r="T506" s="93"/>
      <c r="U506" s="20"/>
      <c r="V506" s="14"/>
      <c r="W506" s="14"/>
      <c r="X506" s="14"/>
      <c r="Y506" s="14"/>
      <c r="Z506" s="14"/>
      <c r="AA506" s="14"/>
      <c r="AB506" s="14"/>
      <c r="AC506" s="14"/>
      <c r="AD506" s="14"/>
      <c r="AE506" s="14"/>
      <c r="AF506" s="14"/>
      <c r="AG506" s="14"/>
      <c r="AH506" s="14"/>
      <c r="AI506" s="14"/>
      <c r="AJ506" s="14"/>
      <c r="AK506" s="14"/>
      <c r="AL506" s="14"/>
      <c r="AM506" s="14"/>
      <c r="AN506" s="14"/>
    </row>
    <row r="507" ht="15.75" customHeight="1">
      <c r="A507" s="14"/>
      <c r="B507" s="14"/>
      <c r="C507" s="14"/>
      <c r="D507" s="14"/>
      <c r="E507" s="14"/>
      <c r="F507" s="14"/>
      <c r="G507" s="14"/>
      <c r="H507" s="14"/>
      <c r="I507" s="14"/>
      <c r="J507" s="14"/>
      <c r="K507" s="14"/>
      <c r="L507" s="14"/>
      <c r="M507" s="14"/>
      <c r="N507" s="14"/>
      <c r="O507" s="14"/>
      <c r="P507" s="14"/>
      <c r="Q507" s="14"/>
      <c r="R507" s="18"/>
      <c r="S507" s="18"/>
      <c r="T507" s="93"/>
      <c r="U507" s="20"/>
      <c r="V507" s="14"/>
      <c r="W507" s="14"/>
      <c r="X507" s="14"/>
      <c r="Y507" s="14"/>
      <c r="Z507" s="14"/>
      <c r="AA507" s="14"/>
      <c r="AB507" s="14"/>
      <c r="AC507" s="14"/>
      <c r="AD507" s="14"/>
      <c r="AE507" s="14"/>
      <c r="AF507" s="14"/>
      <c r="AG507" s="14"/>
      <c r="AH507" s="14"/>
      <c r="AI507" s="14"/>
      <c r="AJ507" s="14"/>
      <c r="AK507" s="14"/>
      <c r="AL507" s="14"/>
      <c r="AM507" s="14"/>
      <c r="AN507" s="14"/>
    </row>
    <row r="508" ht="15.75" customHeight="1">
      <c r="A508" s="14"/>
      <c r="B508" s="14"/>
      <c r="C508" s="14"/>
      <c r="D508" s="14"/>
      <c r="E508" s="14"/>
      <c r="F508" s="14"/>
      <c r="G508" s="14"/>
      <c r="H508" s="14"/>
      <c r="I508" s="14"/>
      <c r="J508" s="14"/>
      <c r="K508" s="14"/>
      <c r="L508" s="14"/>
      <c r="M508" s="14"/>
      <c r="N508" s="14"/>
      <c r="O508" s="14"/>
      <c r="P508" s="14"/>
      <c r="Q508" s="14"/>
      <c r="R508" s="18"/>
      <c r="S508" s="18"/>
      <c r="T508" s="93"/>
      <c r="U508" s="20"/>
      <c r="V508" s="14"/>
      <c r="W508" s="14"/>
      <c r="X508" s="14"/>
      <c r="Y508" s="14"/>
      <c r="Z508" s="14"/>
      <c r="AA508" s="14"/>
      <c r="AB508" s="14"/>
      <c r="AC508" s="14"/>
      <c r="AD508" s="14"/>
      <c r="AE508" s="14"/>
      <c r="AF508" s="14"/>
      <c r="AG508" s="14"/>
      <c r="AH508" s="14"/>
      <c r="AI508" s="14"/>
      <c r="AJ508" s="14"/>
      <c r="AK508" s="14"/>
      <c r="AL508" s="14"/>
      <c r="AM508" s="14"/>
      <c r="AN508" s="14"/>
    </row>
    <row r="509" ht="15.75" customHeight="1">
      <c r="A509" s="14"/>
      <c r="B509" s="14"/>
      <c r="C509" s="14"/>
      <c r="D509" s="14"/>
      <c r="E509" s="14"/>
      <c r="F509" s="14"/>
      <c r="G509" s="14"/>
      <c r="H509" s="14"/>
      <c r="I509" s="14"/>
      <c r="J509" s="14"/>
      <c r="K509" s="14"/>
      <c r="L509" s="14"/>
      <c r="M509" s="14"/>
      <c r="N509" s="14"/>
      <c r="O509" s="14"/>
      <c r="P509" s="14"/>
      <c r="Q509" s="14"/>
      <c r="R509" s="18"/>
      <c r="S509" s="18"/>
      <c r="T509" s="93"/>
      <c r="U509" s="20"/>
      <c r="V509" s="14"/>
      <c r="W509" s="14"/>
      <c r="X509" s="14"/>
      <c r="Y509" s="14"/>
      <c r="Z509" s="14"/>
      <c r="AA509" s="14"/>
      <c r="AB509" s="14"/>
      <c r="AC509" s="14"/>
      <c r="AD509" s="14"/>
      <c r="AE509" s="14"/>
      <c r="AF509" s="14"/>
      <c r="AG509" s="14"/>
      <c r="AH509" s="14"/>
      <c r="AI509" s="14"/>
      <c r="AJ509" s="14"/>
      <c r="AK509" s="14"/>
      <c r="AL509" s="14"/>
      <c r="AM509" s="14"/>
      <c r="AN509" s="14"/>
    </row>
    <row r="510" ht="15.75" customHeight="1">
      <c r="A510" s="14"/>
      <c r="B510" s="14"/>
      <c r="C510" s="14"/>
      <c r="D510" s="14"/>
      <c r="E510" s="14"/>
      <c r="F510" s="14"/>
      <c r="G510" s="14"/>
      <c r="H510" s="14"/>
      <c r="I510" s="14"/>
      <c r="J510" s="14"/>
      <c r="K510" s="14"/>
      <c r="L510" s="14"/>
      <c r="M510" s="14"/>
      <c r="N510" s="14"/>
      <c r="O510" s="14"/>
      <c r="P510" s="14"/>
      <c r="Q510" s="14"/>
      <c r="R510" s="18"/>
      <c r="S510" s="18"/>
      <c r="T510" s="93"/>
      <c r="U510" s="20"/>
      <c r="V510" s="14"/>
      <c r="W510" s="14"/>
      <c r="X510" s="14"/>
      <c r="Y510" s="14"/>
      <c r="Z510" s="14"/>
      <c r="AA510" s="14"/>
      <c r="AB510" s="14"/>
      <c r="AC510" s="14"/>
      <c r="AD510" s="14"/>
      <c r="AE510" s="14"/>
      <c r="AF510" s="14"/>
      <c r="AG510" s="14"/>
      <c r="AH510" s="14"/>
      <c r="AI510" s="14"/>
      <c r="AJ510" s="14"/>
      <c r="AK510" s="14"/>
      <c r="AL510" s="14"/>
      <c r="AM510" s="14"/>
      <c r="AN510" s="14"/>
    </row>
    <row r="511" ht="15.75" customHeight="1">
      <c r="A511" s="14"/>
      <c r="B511" s="14"/>
      <c r="C511" s="14"/>
      <c r="D511" s="14"/>
      <c r="E511" s="14"/>
      <c r="F511" s="14"/>
      <c r="G511" s="14"/>
      <c r="H511" s="14"/>
      <c r="I511" s="14"/>
      <c r="J511" s="14"/>
      <c r="K511" s="14"/>
      <c r="L511" s="14"/>
      <c r="M511" s="14"/>
      <c r="N511" s="14"/>
      <c r="O511" s="14"/>
      <c r="P511" s="14"/>
      <c r="Q511" s="14"/>
      <c r="R511" s="18"/>
      <c r="S511" s="18"/>
      <c r="T511" s="93"/>
      <c r="U511" s="20"/>
      <c r="V511" s="14"/>
      <c r="W511" s="14"/>
      <c r="X511" s="14"/>
      <c r="Y511" s="14"/>
      <c r="Z511" s="14"/>
      <c r="AA511" s="14"/>
      <c r="AB511" s="14"/>
      <c r="AC511" s="14"/>
      <c r="AD511" s="14"/>
      <c r="AE511" s="14"/>
      <c r="AF511" s="14"/>
      <c r="AG511" s="14"/>
      <c r="AH511" s="14"/>
      <c r="AI511" s="14"/>
      <c r="AJ511" s="14"/>
      <c r="AK511" s="14"/>
      <c r="AL511" s="14"/>
      <c r="AM511" s="14"/>
      <c r="AN511" s="14"/>
    </row>
    <row r="512" ht="15.75" customHeight="1">
      <c r="A512" s="14"/>
      <c r="B512" s="14"/>
      <c r="C512" s="14"/>
      <c r="D512" s="14"/>
      <c r="E512" s="14"/>
      <c r="F512" s="14"/>
      <c r="G512" s="14"/>
      <c r="H512" s="14"/>
      <c r="I512" s="14"/>
      <c r="J512" s="14"/>
      <c r="K512" s="14"/>
      <c r="L512" s="14"/>
      <c r="M512" s="14"/>
      <c r="N512" s="14"/>
      <c r="O512" s="14"/>
      <c r="P512" s="14"/>
      <c r="Q512" s="14"/>
      <c r="R512" s="18"/>
      <c r="S512" s="18"/>
      <c r="T512" s="93"/>
      <c r="U512" s="20"/>
      <c r="V512" s="14"/>
      <c r="W512" s="14"/>
      <c r="X512" s="14"/>
      <c r="Y512" s="14"/>
      <c r="Z512" s="14"/>
      <c r="AA512" s="14"/>
      <c r="AB512" s="14"/>
      <c r="AC512" s="14"/>
      <c r="AD512" s="14"/>
      <c r="AE512" s="14"/>
      <c r="AF512" s="14"/>
      <c r="AG512" s="14"/>
      <c r="AH512" s="14"/>
      <c r="AI512" s="14"/>
      <c r="AJ512" s="14"/>
      <c r="AK512" s="14"/>
      <c r="AL512" s="14"/>
      <c r="AM512" s="14"/>
      <c r="AN512" s="14"/>
    </row>
    <row r="513" ht="15.75" customHeight="1">
      <c r="A513" s="14"/>
      <c r="B513" s="14"/>
      <c r="C513" s="14"/>
      <c r="D513" s="14"/>
      <c r="E513" s="14"/>
      <c r="F513" s="14"/>
      <c r="G513" s="14"/>
      <c r="H513" s="14"/>
      <c r="I513" s="14"/>
      <c r="J513" s="14"/>
      <c r="K513" s="14"/>
      <c r="L513" s="14"/>
      <c r="M513" s="14"/>
      <c r="N513" s="14"/>
      <c r="O513" s="14"/>
      <c r="P513" s="14"/>
      <c r="Q513" s="14"/>
      <c r="R513" s="18"/>
      <c r="S513" s="18"/>
      <c r="T513" s="93"/>
      <c r="U513" s="20"/>
      <c r="V513" s="14"/>
      <c r="W513" s="14"/>
      <c r="X513" s="14"/>
      <c r="Y513" s="14"/>
      <c r="Z513" s="14"/>
      <c r="AA513" s="14"/>
      <c r="AB513" s="14"/>
      <c r="AC513" s="14"/>
      <c r="AD513" s="14"/>
      <c r="AE513" s="14"/>
      <c r="AF513" s="14"/>
      <c r="AG513" s="14"/>
      <c r="AH513" s="14"/>
      <c r="AI513" s="14"/>
      <c r="AJ513" s="14"/>
      <c r="AK513" s="14"/>
      <c r="AL513" s="14"/>
      <c r="AM513" s="14"/>
      <c r="AN513" s="14"/>
    </row>
    <row r="514" ht="15.75" customHeight="1">
      <c r="A514" s="14"/>
      <c r="B514" s="14"/>
      <c r="C514" s="14"/>
      <c r="D514" s="14"/>
      <c r="E514" s="14"/>
      <c r="F514" s="14"/>
      <c r="G514" s="14"/>
      <c r="H514" s="14"/>
      <c r="I514" s="14"/>
      <c r="J514" s="14"/>
      <c r="K514" s="14"/>
      <c r="L514" s="14"/>
      <c r="M514" s="14"/>
      <c r="N514" s="14"/>
      <c r="O514" s="14"/>
      <c r="P514" s="14"/>
      <c r="Q514" s="14"/>
      <c r="R514" s="18"/>
      <c r="S514" s="18"/>
      <c r="T514" s="93"/>
      <c r="U514" s="20"/>
      <c r="V514" s="14"/>
      <c r="W514" s="14"/>
      <c r="X514" s="14"/>
      <c r="Y514" s="14"/>
      <c r="Z514" s="14"/>
      <c r="AA514" s="14"/>
      <c r="AB514" s="14"/>
      <c r="AC514" s="14"/>
      <c r="AD514" s="14"/>
      <c r="AE514" s="14"/>
      <c r="AF514" s="14"/>
      <c r="AG514" s="14"/>
      <c r="AH514" s="14"/>
      <c r="AI514" s="14"/>
      <c r="AJ514" s="14"/>
      <c r="AK514" s="14"/>
      <c r="AL514" s="14"/>
      <c r="AM514" s="14"/>
      <c r="AN514" s="14"/>
    </row>
    <row r="515" ht="15.75" customHeight="1">
      <c r="A515" s="14"/>
      <c r="B515" s="14"/>
      <c r="C515" s="14"/>
      <c r="D515" s="14"/>
      <c r="E515" s="14"/>
      <c r="F515" s="14"/>
      <c r="G515" s="14"/>
      <c r="H515" s="14"/>
      <c r="I515" s="14"/>
      <c r="J515" s="14"/>
      <c r="K515" s="14"/>
      <c r="L515" s="14"/>
      <c r="M515" s="14"/>
      <c r="N515" s="14"/>
      <c r="O515" s="14"/>
      <c r="P515" s="14"/>
      <c r="Q515" s="14"/>
      <c r="R515" s="18"/>
      <c r="S515" s="18"/>
      <c r="T515" s="93"/>
      <c r="U515" s="20"/>
      <c r="V515" s="14"/>
      <c r="W515" s="14"/>
      <c r="X515" s="14"/>
      <c r="Y515" s="14"/>
      <c r="Z515" s="14"/>
      <c r="AA515" s="14"/>
      <c r="AB515" s="14"/>
      <c r="AC515" s="14"/>
      <c r="AD515" s="14"/>
      <c r="AE515" s="14"/>
      <c r="AF515" s="14"/>
      <c r="AG515" s="14"/>
      <c r="AH515" s="14"/>
      <c r="AI515" s="14"/>
      <c r="AJ515" s="14"/>
      <c r="AK515" s="14"/>
      <c r="AL515" s="14"/>
      <c r="AM515" s="14"/>
      <c r="AN515" s="14"/>
    </row>
    <row r="516" ht="15.75" customHeight="1">
      <c r="A516" s="14"/>
      <c r="B516" s="14"/>
      <c r="C516" s="14"/>
      <c r="D516" s="14"/>
      <c r="E516" s="14"/>
      <c r="F516" s="14"/>
      <c r="G516" s="14"/>
      <c r="H516" s="14"/>
      <c r="I516" s="14"/>
      <c r="J516" s="14"/>
      <c r="K516" s="14"/>
      <c r="L516" s="14"/>
      <c r="M516" s="14"/>
      <c r="N516" s="14"/>
      <c r="O516" s="14"/>
      <c r="P516" s="14"/>
      <c r="Q516" s="14"/>
      <c r="R516" s="18"/>
      <c r="S516" s="18"/>
      <c r="T516" s="93"/>
      <c r="U516" s="20"/>
      <c r="V516" s="14"/>
      <c r="W516" s="14"/>
      <c r="X516" s="14"/>
      <c r="Y516" s="14"/>
      <c r="Z516" s="14"/>
      <c r="AA516" s="14"/>
      <c r="AB516" s="14"/>
      <c r="AC516" s="14"/>
      <c r="AD516" s="14"/>
      <c r="AE516" s="14"/>
      <c r="AF516" s="14"/>
      <c r="AG516" s="14"/>
      <c r="AH516" s="14"/>
      <c r="AI516" s="14"/>
      <c r="AJ516" s="14"/>
      <c r="AK516" s="14"/>
      <c r="AL516" s="14"/>
      <c r="AM516" s="14"/>
      <c r="AN516" s="14"/>
    </row>
    <row r="517" ht="15.75" customHeight="1">
      <c r="A517" s="14"/>
      <c r="B517" s="14"/>
      <c r="C517" s="14"/>
      <c r="D517" s="14"/>
      <c r="E517" s="14"/>
      <c r="F517" s="14"/>
      <c r="G517" s="14"/>
      <c r="H517" s="14"/>
      <c r="I517" s="14"/>
      <c r="J517" s="14"/>
      <c r="K517" s="14"/>
      <c r="L517" s="14"/>
      <c r="M517" s="14"/>
      <c r="N517" s="14"/>
      <c r="O517" s="14"/>
      <c r="P517" s="14"/>
      <c r="Q517" s="14"/>
      <c r="R517" s="18"/>
      <c r="S517" s="18"/>
      <c r="T517" s="93"/>
      <c r="U517" s="20"/>
      <c r="V517" s="14"/>
      <c r="W517" s="14"/>
      <c r="X517" s="14"/>
      <c r="Y517" s="14"/>
      <c r="Z517" s="14"/>
      <c r="AA517" s="14"/>
      <c r="AB517" s="14"/>
      <c r="AC517" s="14"/>
      <c r="AD517" s="14"/>
      <c r="AE517" s="14"/>
      <c r="AF517" s="14"/>
      <c r="AG517" s="14"/>
      <c r="AH517" s="14"/>
      <c r="AI517" s="14"/>
      <c r="AJ517" s="14"/>
      <c r="AK517" s="14"/>
      <c r="AL517" s="14"/>
      <c r="AM517" s="14"/>
      <c r="AN517" s="14"/>
    </row>
    <row r="518" ht="15.75" customHeight="1">
      <c r="A518" s="14"/>
      <c r="B518" s="14"/>
      <c r="C518" s="14"/>
      <c r="D518" s="14"/>
      <c r="E518" s="14"/>
      <c r="F518" s="14"/>
      <c r="G518" s="14"/>
      <c r="H518" s="14"/>
      <c r="I518" s="14"/>
      <c r="J518" s="14"/>
      <c r="K518" s="14"/>
      <c r="L518" s="14"/>
      <c r="M518" s="14"/>
      <c r="N518" s="14"/>
      <c r="O518" s="14"/>
      <c r="P518" s="14"/>
      <c r="Q518" s="14"/>
      <c r="R518" s="18"/>
      <c r="S518" s="18"/>
      <c r="T518" s="93"/>
      <c r="U518" s="20"/>
      <c r="V518" s="14"/>
      <c r="W518" s="14"/>
      <c r="X518" s="14"/>
      <c r="Y518" s="14"/>
      <c r="Z518" s="14"/>
      <c r="AA518" s="14"/>
      <c r="AB518" s="14"/>
      <c r="AC518" s="14"/>
      <c r="AD518" s="14"/>
      <c r="AE518" s="14"/>
      <c r="AF518" s="14"/>
      <c r="AG518" s="14"/>
      <c r="AH518" s="14"/>
      <c r="AI518" s="14"/>
      <c r="AJ518" s="14"/>
      <c r="AK518" s="14"/>
      <c r="AL518" s="14"/>
      <c r="AM518" s="14"/>
      <c r="AN518" s="14"/>
    </row>
    <row r="519" ht="15.75" customHeight="1">
      <c r="A519" s="14"/>
      <c r="B519" s="14"/>
      <c r="C519" s="14"/>
      <c r="D519" s="14"/>
      <c r="E519" s="14"/>
      <c r="F519" s="14"/>
      <c r="G519" s="14"/>
      <c r="H519" s="14"/>
      <c r="I519" s="14"/>
      <c r="J519" s="14"/>
      <c r="K519" s="14"/>
      <c r="L519" s="14"/>
      <c r="M519" s="14"/>
      <c r="N519" s="14"/>
      <c r="O519" s="14"/>
      <c r="P519" s="14"/>
      <c r="Q519" s="14"/>
      <c r="R519" s="18"/>
      <c r="S519" s="18"/>
      <c r="T519" s="93"/>
      <c r="U519" s="20"/>
      <c r="V519" s="14"/>
      <c r="W519" s="14"/>
      <c r="X519" s="14"/>
      <c r="Y519" s="14"/>
      <c r="Z519" s="14"/>
      <c r="AA519" s="14"/>
      <c r="AB519" s="14"/>
      <c r="AC519" s="14"/>
      <c r="AD519" s="14"/>
      <c r="AE519" s="14"/>
      <c r="AF519" s="14"/>
      <c r="AG519" s="14"/>
      <c r="AH519" s="14"/>
      <c r="AI519" s="14"/>
      <c r="AJ519" s="14"/>
      <c r="AK519" s="14"/>
      <c r="AL519" s="14"/>
      <c r="AM519" s="14"/>
      <c r="AN519" s="14"/>
    </row>
    <row r="520" ht="15.75" customHeight="1">
      <c r="A520" s="14"/>
      <c r="B520" s="14"/>
      <c r="C520" s="14"/>
      <c r="D520" s="14"/>
      <c r="E520" s="14"/>
      <c r="F520" s="14"/>
      <c r="G520" s="14"/>
      <c r="H520" s="14"/>
      <c r="I520" s="14"/>
      <c r="J520" s="14"/>
      <c r="K520" s="14"/>
      <c r="L520" s="14"/>
      <c r="M520" s="14"/>
      <c r="N520" s="14"/>
      <c r="O520" s="14"/>
      <c r="P520" s="14"/>
      <c r="Q520" s="14"/>
      <c r="R520" s="18"/>
      <c r="S520" s="18"/>
      <c r="T520" s="93"/>
      <c r="U520" s="20"/>
      <c r="V520" s="14"/>
      <c r="W520" s="14"/>
      <c r="X520" s="14"/>
      <c r="Y520" s="14"/>
      <c r="Z520" s="14"/>
      <c r="AA520" s="14"/>
      <c r="AB520" s="14"/>
      <c r="AC520" s="14"/>
      <c r="AD520" s="14"/>
      <c r="AE520" s="14"/>
      <c r="AF520" s="14"/>
      <c r="AG520" s="14"/>
      <c r="AH520" s="14"/>
      <c r="AI520" s="14"/>
      <c r="AJ520" s="14"/>
      <c r="AK520" s="14"/>
      <c r="AL520" s="14"/>
      <c r="AM520" s="14"/>
      <c r="AN520" s="14"/>
    </row>
    <row r="521" ht="15.75" customHeight="1">
      <c r="A521" s="14"/>
      <c r="B521" s="14"/>
      <c r="C521" s="14"/>
      <c r="D521" s="14"/>
      <c r="E521" s="14"/>
      <c r="F521" s="14"/>
      <c r="G521" s="14"/>
      <c r="H521" s="14"/>
      <c r="I521" s="14"/>
      <c r="J521" s="14"/>
      <c r="K521" s="14"/>
      <c r="L521" s="14"/>
      <c r="M521" s="14"/>
      <c r="N521" s="14"/>
      <c r="O521" s="14"/>
      <c r="P521" s="14"/>
      <c r="Q521" s="14"/>
      <c r="R521" s="18"/>
      <c r="S521" s="18"/>
      <c r="T521" s="93"/>
      <c r="U521" s="20"/>
      <c r="V521" s="14"/>
      <c r="W521" s="14"/>
      <c r="X521" s="14"/>
      <c r="Y521" s="14"/>
      <c r="Z521" s="14"/>
      <c r="AA521" s="14"/>
      <c r="AB521" s="14"/>
      <c r="AC521" s="14"/>
      <c r="AD521" s="14"/>
      <c r="AE521" s="14"/>
      <c r="AF521" s="14"/>
      <c r="AG521" s="14"/>
      <c r="AH521" s="14"/>
      <c r="AI521" s="14"/>
      <c r="AJ521" s="14"/>
      <c r="AK521" s="14"/>
      <c r="AL521" s="14"/>
      <c r="AM521" s="14"/>
      <c r="AN521" s="14"/>
    </row>
    <row r="522" ht="15.75" customHeight="1">
      <c r="A522" s="14"/>
      <c r="B522" s="14"/>
      <c r="C522" s="14"/>
      <c r="D522" s="14"/>
      <c r="E522" s="14"/>
      <c r="F522" s="14"/>
      <c r="G522" s="14"/>
      <c r="H522" s="14"/>
      <c r="I522" s="14"/>
      <c r="J522" s="14"/>
      <c r="K522" s="14"/>
      <c r="L522" s="14"/>
      <c r="M522" s="14"/>
      <c r="N522" s="14"/>
      <c r="O522" s="14"/>
      <c r="P522" s="14"/>
      <c r="Q522" s="14"/>
      <c r="R522" s="18"/>
      <c r="S522" s="18"/>
      <c r="T522" s="93"/>
      <c r="U522" s="20"/>
      <c r="V522" s="14"/>
      <c r="W522" s="14"/>
      <c r="X522" s="14"/>
      <c r="Y522" s="14"/>
      <c r="Z522" s="14"/>
      <c r="AA522" s="14"/>
      <c r="AB522" s="14"/>
      <c r="AC522" s="14"/>
      <c r="AD522" s="14"/>
      <c r="AE522" s="14"/>
      <c r="AF522" s="14"/>
      <c r="AG522" s="14"/>
      <c r="AH522" s="14"/>
      <c r="AI522" s="14"/>
      <c r="AJ522" s="14"/>
      <c r="AK522" s="14"/>
      <c r="AL522" s="14"/>
      <c r="AM522" s="14"/>
      <c r="AN522" s="14"/>
    </row>
    <row r="523" ht="15.75" customHeight="1">
      <c r="A523" s="14"/>
      <c r="B523" s="14"/>
      <c r="C523" s="14"/>
      <c r="D523" s="14"/>
      <c r="E523" s="14"/>
      <c r="F523" s="14"/>
      <c r="G523" s="14"/>
      <c r="H523" s="14"/>
      <c r="I523" s="14"/>
      <c r="J523" s="14"/>
      <c r="K523" s="14"/>
      <c r="L523" s="14"/>
      <c r="M523" s="14"/>
      <c r="N523" s="14"/>
      <c r="O523" s="14"/>
      <c r="P523" s="14"/>
      <c r="Q523" s="14"/>
      <c r="R523" s="18"/>
      <c r="S523" s="18"/>
      <c r="T523" s="93"/>
      <c r="U523" s="20"/>
      <c r="V523" s="14"/>
      <c r="W523" s="14"/>
      <c r="X523" s="14"/>
      <c r="Y523" s="14"/>
      <c r="Z523" s="14"/>
      <c r="AA523" s="14"/>
      <c r="AB523" s="14"/>
      <c r="AC523" s="14"/>
      <c r="AD523" s="14"/>
      <c r="AE523" s="14"/>
      <c r="AF523" s="14"/>
      <c r="AG523" s="14"/>
      <c r="AH523" s="14"/>
      <c r="AI523" s="14"/>
      <c r="AJ523" s="14"/>
      <c r="AK523" s="14"/>
      <c r="AL523" s="14"/>
      <c r="AM523" s="14"/>
      <c r="AN523" s="14"/>
    </row>
    <row r="524" ht="15.75" customHeight="1">
      <c r="A524" s="14"/>
      <c r="B524" s="14"/>
      <c r="C524" s="14"/>
      <c r="D524" s="14"/>
      <c r="E524" s="14"/>
      <c r="F524" s="14"/>
      <c r="G524" s="14"/>
      <c r="H524" s="14"/>
      <c r="I524" s="14"/>
      <c r="J524" s="14"/>
      <c r="K524" s="14"/>
      <c r="L524" s="14"/>
      <c r="M524" s="14"/>
      <c r="N524" s="14"/>
      <c r="O524" s="14"/>
      <c r="P524" s="14"/>
      <c r="Q524" s="14"/>
      <c r="R524" s="18"/>
      <c r="S524" s="18"/>
      <c r="T524" s="93"/>
      <c r="U524" s="20"/>
      <c r="V524" s="14"/>
      <c r="W524" s="14"/>
      <c r="X524" s="14"/>
      <c r="Y524" s="14"/>
      <c r="Z524" s="14"/>
      <c r="AA524" s="14"/>
      <c r="AB524" s="14"/>
      <c r="AC524" s="14"/>
      <c r="AD524" s="14"/>
      <c r="AE524" s="14"/>
      <c r="AF524" s="14"/>
      <c r="AG524" s="14"/>
      <c r="AH524" s="14"/>
      <c r="AI524" s="14"/>
      <c r="AJ524" s="14"/>
      <c r="AK524" s="14"/>
      <c r="AL524" s="14"/>
      <c r="AM524" s="14"/>
      <c r="AN524" s="14"/>
    </row>
    <row r="525" ht="15.75" customHeight="1">
      <c r="A525" s="14"/>
      <c r="B525" s="14"/>
      <c r="C525" s="14"/>
      <c r="D525" s="14"/>
      <c r="E525" s="14"/>
      <c r="F525" s="14"/>
      <c r="G525" s="14"/>
      <c r="H525" s="14"/>
      <c r="I525" s="14"/>
      <c r="J525" s="14"/>
      <c r="K525" s="14"/>
      <c r="L525" s="14"/>
      <c r="M525" s="14"/>
      <c r="N525" s="14"/>
      <c r="O525" s="14"/>
      <c r="P525" s="14"/>
      <c r="Q525" s="14"/>
      <c r="R525" s="18"/>
      <c r="S525" s="18"/>
      <c r="T525" s="93"/>
      <c r="U525" s="20"/>
      <c r="V525" s="14"/>
      <c r="W525" s="14"/>
      <c r="X525" s="14"/>
      <c r="Y525" s="14"/>
      <c r="Z525" s="14"/>
      <c r="AA525" s="14"/>
      <c r="AB525" s="14"/>
      <c r="AC525" s="14"/>
      <c r="AD525" s="14"/>
      <c r="AE525" s="14"/>
      <c r="AF525" s="14"/>
      <c r="AG525" s="14"/>
      <c r="AH525" s="14"/>
      <c r="AI525" s="14"/>
      <c r="AJ525" s="14"/>
      <c r="AK525" s="14"/>
      <c r="AL525" s="14"/>
      <c r="AM525" s="14"/>
      <c r="AN525" s="14"/>
    </row>
    <row r="526" ht="15.75" customHeight="1">
      <c r="A526" s="14"/>
      <c r="B526" s="14"/>
      <c r="C526" s="14"/>
      <c r="D526" s="14"/>
      <c r="E526" s="14"/>
      <c r="F526" s="14"/>
      <c r="G526" s="14"/>
      <c r="H526" s="14"/>
      <c r="I526" s="14"/>
      <c r="J526" s="14"/>
      <c r="K526" s="14"/>
      <c r="L526" s="14"/>
      <c r="M526" s="14"/>
      <c r="N526" s="14"/>
      <c r="O526" s="14"/>
      <c r="P526" s="14"/>
      <c r="Q526" s="14"/>
      <c r="R526" s="18"/>
      <c r="S526" s="18"/>
      <c r="T526" s="93"/>
      <c r="U526" s="20"/>
      <c r="V526" s="14"/>
      <c r="W526" s="14"/>
      <c r="X526" s="14"/>
      <c r="Y526" s="14"/>
      <c r="Z526" s="14"/>
      <c r="AA526" s="14"/>
      <c r="AB526" s="14"/>
      <c r="AC526" s="14"/>
      <c r="AD526" s="14"/>
      <c r="AE526" s="14"/>
      <c r="AF526" s="14"/>
      <c r="AG526" s="14"/>
      <c r="AH526" s="14"/>
      <c r="AI526" s="14"/>
      <c r="AJ526" s="14"/>
      <c r="AK526" s="14"/>
      <c r="AL526" s="14"/>
      <c r="AM526" s="14"/>
      <c r="AN526" s="14"/>
    </row>
    <row r="527" ht="15.75" customHeight="1">
      <c r="A527" s="14"/>
      <c r="B527" s="14"/>
      <c r="C527" s="14"/>
      <c r="D527" s="14"/>
      <c r="E527" s="14"/>
      <c r="F527" s="14"/>
      <c r="G527" s="14"/>
      <c r="H527" s="14"/>
      <c r="I527" s="14"/>
      <c r="J527" s="14"/>
      <c r="K527" s="14"/>
      <c r="L527" s="14"/>
      <c r="M527" s="14"/>
      <c r="N527" s="14"/>
      <c r="O527" s="14"/>
      <c r="P527" s="14"/>
      <c r="Q527" s="14"/>
      <c r="R527" s="18"/>
      <c r="S527" s="18"/>
      <c r="T527" s="93"/>
      <c r="U527" s="20"/>
      <c r="V527" s="14"/>
      <c r="W527" s="14"/>
      <c r="X527" s="14"/>
      <c r="Y527" s="14"/>
      <c r="Z527" s="14"/>
      <c r="AA527" s="14"/>
      <c r="AB527" s="14"/>
      <c r="AC527" s="14"/>
      <c r="AD527" s="14"/>
      <c r="AE527" s="14"/>
      <c r="AF527" s="14"/>
      <c r="AG527" s="14"/>
      <c r="AH527" s="14"/>
      <c r="AI527" s="14"/>
      <c r="AJ527" s="14"/>
      <c r="AK527" s="14"/>
      <c r="AL527" s="14"/>
      <c r="AM527" s="14"/>
      <c r="AN527" s="14"/>
    </row>
    <row r="528" ht="15.75" customHeight="1">
      <c r="A528" s="14"/>
      <c r="B528" s="14"/>
      <c r="C528" s="14"/>
      <c r="D528" s="14"/>
      <c r="E528" s="14"/>
      <c r="F528" s="14"/>
      <c r="G528" s="14"/>
      <c r="H528" s="14"/>
      <c r="I528" s="14"/>
      <c r="J528" s="14"/>
      <c r="K528" s="14"/>
      <c r="L528" s="14"/>
      <c r="M528" s="14"/>
      <c r="N528" s="14"/>
      <c r="O528" s="14"/>
      <c r="P528" s="14"/>
      <c r="Q528" s="14"/>
      <c r="R528" s="18"/>
      <c r="S528" s="18"/>
      <c r="T528" s="93"/>
      <c r="U528" s="20"/>
      <c r="V528" s="14"/>
      <c r="W528" s="14"/>
      <c r="X528" s="14"/>
      <c r="Y528" s="14"/>
      <c r="Z528" s="14"/>
      <c r="AA528" s="14"/>
      <c r="AB528" s="14"/>
      <c r="AC528" s="14"/>
      <c r="AD528" s="14"/>
      <c r="AE528" s="14"/>
      <c r="AF528" s="14"/>
      <c r="AG528" s="14"/>
      <c r="AH528" s="14"/>
      <c r="AI528" s="14"/>
      <c r="AJ528" s="14"/>
      <c r="AK528" s="14"/>
      <c r="AL528" s="14"/>
      <c r="AM528" s="14"/>
      <c r="AN528" s="14"/>
    </row>
    <row r="529" ht="15.75" customHeight="1">
      <c r="A529" s="14"/>
      <c r="B529" s="14"/>
      <c r="C529" s="14"/>
      <c r="D529" s="14"/>
      <c r="E529" s="14"/>
      <c r="F529" s="14"/>
      <c r="G529" s="14"/>
      <c r="H529" s="14"/>
      <c r="I529" s="14"/>
      <c r="J529" s="14"/>
      <c r="K529" s="14"/>
      <c r="L529" s="14"/>
      <c r="M529" s="14"/>
      <c r="N529" s="14"/>
      <c r="O529" s="14"/>
      <c r="P529" s="14"/>
      <c r="Q529" s="14"/>
      <c r="R529" s="18"/>
      <c r="S529" s="18"/>
      <c r="T529" s="93"/>
      <c r="U529" s="20"/>
      <c r="V529" s="14"/>
      <c r="W529" s="14"/>
      <c r="X529" s="14"/>
      <c r="Y529" s="14"/>
      <c r="Z529" s="14"/>
      <c r="AA529" s="14"/>
      <c r="AB529" s="14"/>
      <c r="AC529" s="14"/>
      <c r="AD529" s="14"/>
      <c r="AE529" s="14"/>
      <c r="AF529" s="14"/>
      <c r="AG529" s="14"/>
      <c r="AH529" s="14"/>
      <c r="AI529" s="14"/>
      <c r="AJ529" s="14"/>
      <c r="AK529" s="14"/>
      <c r="AL529" s="14"/>
      <c r="AM529" s="14"/>
      <c r="AN529" s="14"/>
    </row>
    <row r="530" ht="15.75" customHeight="1">
      <c r="A530" s="14"/>
      <c r="B530" s="14"/>
      <c r="C530" s="14"/>
      <c r="D530" s="14"/>
      <c r="E530" s="14"/>
      <c r="F530" s="14"/>
      <c r="G530" s="14"/>
      <c r="H530" s="14"/>
      <c r="I530" s="14"/>
      <c r="J530" s="14"/>
      <c r="K530" s="14"/>
      <c r="L530" s="14"/>
      <c r="M530" s="14"/>
      <c r="N530" s="14"/>
      <c r="O530" s="14"/>
      <c r="P530" s="14"/>
      <c r="Q530" s="14"/>
      <c r="R530" s="18"/>
      <c r="S530" s="18"/>
      <c r="T530" s="93"/>
      <c r="U530" s="20"/>
      <c r="V530" s="14"/>
      <c r="W530" s="14"/>
      <c r="X530" s="14"/>
      <c r="Y530" s="14"/>
      <c r="Z530" s="14"/>
      <c r="AA530" s="14"/>
      <c r="AB530" s="14"/>
      <c r="AC530" s="14"/>
      <c r="AD530" s="14"/>
      <c r="AE530" s="14"/>
      <c r="AF530" s="14"/>
      <c r="AG530" s="14"/>
      <c r="AH530" s="14"/>
      <c r="AI530" s="14"/>
      <c r="AJ530" s="14"/>
      <c r="AK530" s="14"/>
      <c r="AL530" s="14"/>
      <c r="AM530" s="14"/>
      <c r="AN530" s="14"/>
    </row>
    <row r="531" ht="15.75" customHeight="1">
      <c r="A531" s="14"/>
      <c r="B531" s="14"/>
      <c r="C531" s="14"/>
      <c r="D531" s="14"/>
      <c r="E531" s="14"/>
      <c r="F531" s="14"/>
      <c r="G531" s="14"/>
      <c r="H531" s="14"/>
      <c r="I531" s="14"/>
      <c r="J531" s="14"/>
      <c r="K531" s="14"/>
      <c r="L531" s="14"/>
      <c r="M531" s="14"/>
      <c r="N531" s="14"/>
      <c r="O531" s="14"/>
      <c r="P531" s="14"/>
      <c r="Q531" s="14"/>
      <c r="R531" s="18"/>
      <c r="S531" s="18"/>
      <c r="T531" s="93"/>
      <c r="U531" s="20"/>
      <c r="V531" s="14"/>
      <c r="W531" s="14"/>
      <c r="X531" s="14"/>
      <c r="Y531" s="14"/>
      <c r="Z531" s="14"/>
      <c r="AA531" s="14"/>
      <c r="AB531" s="14"/>
      <c r="AC531" s="14"/>
      <c r="AD531" s="14"/>
      <c r="AE531" s="14"/>
      <c r="AF531" s="14"/>
      <c r="AG531" s="14"/>
      <c r="AH531" s="14"/>
      <c r="AI531" s="14"/>
      <c r="AJ531" s="14"/>
      <c r="AK531" s="14"/>
      <c r="AL531" s="14"/>
      <c r="AM531" s="14"/>
      <c r="AN531" s="14"/>
    </row>
    <row r="532" ht="15.75" customHeight="1">
      <c r="A532" s="14"/>
      <c r="B532" s="14"/>
      <c r="C532" s="14"/>
      <c r="D532" s="14"/>
      <c r="E532" s="14"/>
      <c r="F532" s="14"/>
      <c r="G532" s="14"/>
      <c r="H532" s="14"/>
      <c r="I532" s="14"/>
      <c r="J532" s="14"/>
      <c r="K532" s="14"/>
      <c r="L532" s="14"/>
      <c r="M532" s="14"/>
      <c r="N532" s="14"/>
      <c r="O532" s="14"/>
      <c r="P532" s="14"/>
      <c r="Q532" s="14"/>
      <c r="R532" s="18"/>
      <c r="S532" s="18"/>
      <c r="T532" s="93"/>
      <c r="U532" s="20"/>
      <c r="V532" s="14"/>
      <c r="W532" s="14"/>
      <c r="X532" s="14"/>
      <c r="Y532" s="14"/>
      <c r="Z532" s="14"/>
      <c r="AA532" s="14"/>
      <c r="AB532" s="14"/>
      <c r="AC532" s="14"/>
      <c r="AD532" s="14"/>
      <c r="AE532" s="14"/>
      <c r="AF532" s="14"/>
      <c r="AG532" s="14"/>
      <c r="AH532" s="14"/>
      <c r="AI532" s="14"/>
      <c r="AJ532" s="14"/>
      <c r="AK532" s="14"/>
      <c r="AL532" s="14"/>
      <c r="AM532" s="14"/>
      <c r="AN532" s="14"/>
    </row>
    <row r="533" ht="15.75" customHeight="1">
      <c r="A533" s="14"/>
      <c r="B533" s="14"/>
      <c r="C533" s="14"/>
      <c r="D533" s="14"/>
      <c r="E533" s="14"/>
      <c r="F533" s="14"/>
      <c r="G533" s="14"/>
      <c r="H533" s="14"/>
      <c r="I533" s="14"/>
      <c r="J533" s="14"/>
      <c r="K533" s="14"/>
      <c r="L533" s="14"/>
      <c r="M533" s="14"/>
      <c r="N533" s="14"/>
      <c r="O533" s="14"/>
      <c r="P533" s="14"/>
      <c r="Q533" s="14"/>
      <c r="R533" s="18"/>
      <c r="S533" s="18"/>
      <c r="T533" s="93"/>
      <c r="U533" s="20"/>
      <c r="V533" s="14"/>
      <c r="W533" s="14"/>
      <c r="X533" s="14"/>
      <c r="Y533" s="14"/>
      <c r="Z533" s="14"/>
      <c r="AA533" s="14"/>
      <c r="AB533" s="14"/>
      <c r="AC533" s="14"/>
      <c r="AD533" s="14"/>
      <c r="AE533" s="14"/>
      <c r="AF533" s="14"/>
      <c r="AG533" s="14"/>
      <c r="AH533" s="14"/>
      <c r="AI533" s="14"/>
      <c r="AJ533" s="14"/>
      <c r="AK533" s="14"/>
      <c r="AL533" s="14"/>
      <c r="AM533" s="14"/>
      <c r="AN533" s="14"/>
    </row>
    <row r="534" ht="15.75" customHeight="1">
      <c r="A534" s="14"/>
      <c r="B534" s="14"/>
      <c r="C534" s="14"/>
      <c r="D534" s="14"/>
      <c r="E534" s="14"/>
      <c r="F534" s="14"/>
      <c r="G534" s="14"/>
      <c r="H534" s="14"/>
      <c r="I534" s="14"/>
      <c r="J534" s="14"/>
      <c r="K534" s="14"/>
      <c r="L534" s="14"/>
      <c r="M534" s="14"/>
      <c r="N534" s="14"/>
      <c r="O534" s="14"/>
      <c r="P534" s="14"/>
      <c r="Q534" s="14"/>
      <c r="R534" s="18"/>
      <c r="S534" s="18"/>
      <c r="T534" s="93"/>
      <c r="U534" s="20"/>
      <c r="V534" s="14"/>
      <c r="W534" s="14"/>
      <c r="X534" s="14"/>
      <c r="Y534" s="14"/>
      <c r="Z534" s="14"/>
      <c r="AA534" s="14"/>
      <c r="AB534" s="14"/>
      <c r="AC534" s="14"/>
      <c r="AD534" s="14"/>
      <c r="AE534" s="14"/>
      <c r="AF534" s="14"/>
      <c r="AG534" s="14"/>
      <c r="AH534" s="14"/>
      <c r="AI534" s="14"/>
      <c r="AJ534" s="14"/>
      <c r="AK534" s="14"/>
      <c r="AL534" s="14"/>
      <c r="AM534" s="14"/>
      <c r="AN534" s="14"/>
    </row>
    <row r="535" ht="15.75" customHeight="1">
      <c r="A535" s="14"/>
      <c r="B535" s="14"/>
      <c r="C535" s="14"/>
      <c r="D535" s="14"/>
      <c r="E535" s="14"/>
      <c r="F535" s="14"/>
      <c r="G535" s="14"/>
      <c r="H535" s="14"/>
      <c r="I535" s="14"/>
      <c r="J535" s="14"/>
      <c r="K535" s="14"/>
      <c r="L535" s="14"/>
      <c r="M535" s="14"/>
      <c r="N535" s="14"/>
      <c r="O535" s="14"/>
      <c r="P535" s="14"/>
      <c r="Q535" s="14"/>
      <c r="R535" s="18"/>
      <c r="S535" s="18"/>
      <c r="T535" s="93"/>
      <c r="U535" s="20"/>
      <c r="V535" s="14"/>
      <c r="W535" s="14"/>
      <c r="X535" s="14"/>
      <c r="Y535" s="14"/>
      <c r="Z535" s="14"/>
      <c r="AA535" s="14"/>
      <c r="AB535" s="14"/>
      <c r="AC535" s="14"/>
      <c r="AD535" s="14"/>
      <c r="AE535" s="14"/>
      <c r="AF535" s="14"/>
      <c r="AG535" s="14"/>
      <c r="AH535" s="14"/>
      <c r="AI535" s="14"/>
      <c r="AJ535" s="14"/>
      <c r="AK535" s="14"/>
      <c r="AL535" s="14"/>
      <c r="AM535" s="14"/>
      <c r="AN535" s="14"/>
    </row>
    <row r="536" ht="15.75" customHeight="1">
      <c r="A536" s="14"/>
      <c r="B536" s="14"/>
      <c r="C536" s="14"/>
      <c r="D536" s="14"/>
      <c r="E536" s="14"/>
      <c r="F536" s="14"/>
      <c r="G536" s="14"/>
      <c r="H536" s="14"/>
      <c r="I536" s="14"/>
      <c r="J536" s="14"/>
      <c r="K536" s="14"/>
      <c r="L536" s="14"/>
      <c r="M536" s="14"/>
      <c r="N536" s="14"/>
      <c r="O536" s="14"/>
      <c r="P536" s="14"/>
      <c r="Q536" s="14"/>
      <c r="R536" s="18"/>
      <c r="S536" s="18"/>
      <c r="T536" s="93"/>
      <c r="U536" s="20"/>
      <c r="V536" s="14"/>
      <c r="W536" s="14"/>
      <c r="X536" s="14"/>
      <c r="Y536" s="14"/>
      <c r="Z536" s="14"/>
      <c r="AA536" s="14"/>
      <c r="AB536" s="14"/>
      <c r="AC536" s="14"/>
      <c r="AD536" s="14"/>
      <c r="AE536" s="14"/>
      <c r="AF536" s="14"/>
      <c r="AG536" s="14"/>
      <c r="AH536" s="14"/>
      <c r="AI536" s="14"/>
      <c r="AJ536" s="14"/>
      <c r="AK536" s="14"/>
      <c r="AL536" s="14"/>
      <c r="AM536" s="14"/>
      <c r="AN536" s="14"/>
    </row>
    <row r="537" ht="15.75" customHeight="1">
      <c r="A537" s="14"/>
      <c r="B537" s="14"/>
      <c r="C537" s="14"/>
      <c r="D537" s="14"/>
      <c r="E537" s="14"/>
      <c r="F537" s="14"/>
      <c r="G537" s="14"/>
      <c r="H537" s="14"/>
      <c r="I537" s="14"/>
      <c r="J537" s="14"/>
      <c r="K537" s="14"/>
      <c r="L537" s="14"/>
      <c r="M537" s="14"/>
      <c r="N537" s="14"/>
      <c r="O537" s="14"/>
      <c r="P537" s="14"/>
      <c r="Q537" s="14"/>
      <c r="R537" s="18"/>
      <c r="S537" s="18"/>
      <c r="T537" s="93"/>
      <c r="U537" s="20"/>
      <c r="V537" s="14"/>
      <c r="W537" s="14"/>
      <c r="X537" s="14"/>
      <c r="Y537" s="14"/>
      <c r="Z537" s="14"/>
      <c r="AA537" s="14"/>
      <c r="AB537" s="14"/>
      <c r="AC537" s="14"/>
      <c r="AD537" s="14"/>
      <c r="AE537" s="14"/>
      <c r="AF537" s="14"/>
      <c r="AG537" s="14"/>
      <c r="AH537" s="14"/>
      <c r="AI537" s="14"/>
      <c r="AJ537" s="14"/>
      <c r="AK537" s="14"/>
      <c r="AL537" s="14"/>
      <c r="AM537" s="14"/>
      <c r="AN537" s="14"/>
    </row>
    <row r="538" ht="15.75" customHeight="1">
      <c r="A538" s="14"/>
      <c r="B538" s="14"/>
      <c r="C538" s="14"/>
      <c r="D538" s="14"/>
      <c r="E538" s="14"/>
      <c r="F538" s="14"/>
      <c r="G538" s="14"/>
      <c r="H538" s="14"/>
      <c r="I538" s="14"/>
      <c r="J538" s="14"/>
      <c r="K538" s="14"/>
      <c r="L538" s="14"/>
      <c r="M538" s="14"/>
      <c r="N538" s="14"/>
      <c r="O538" s="14"/>
      <c r="P538" s="14"/>
      <c r="Q538" s="14"/>
      <c r="R538" s="18"/>
      <c r="S538" s="18"/>
      <c r="T538" s="93"/>
      <c r="U538" s="20"/>
      <c r="V538" s="14"/>
      <c r="W538" s="14"/>
      <c r="X538" s="14"/>
      <c r="Y538" s="14"/>
      <c r="Z538" s="14"/>
      <c r="AA538" s="14"/>
      <c r="AB538" s="14"/>
      <c r="AC538" s="14"/>
      <c r="AD538" s="14"/>
      <c r="AE538" s="14"/>
      <c r="AF538" s="14"/>
      <c r="AG538" s="14"/>
      <c r="AH538" s="14"/>
      <c r="AI538" s="14"/>
      <c r="AJ538" s="14"/>
      <c r="AK538" s="14"/>
      <c r="AL538" s="14"/>
      <c r="AM538" s="14"/>
      <c r="AN538" s="14"/>
    </row>
    <row r="539" ht="15.75" customHeight="1">
      <c r="A539" s="14"/>
      <c r="B539" s="14"/>
      <c r="C539" s="14"/>
      <c r="D539" s="14"/>
      <c r="E539" s="14"/>
      <c r="F539" s="14"/>
      <c r="G539" s="14"/>
      <c r="H539" s="14"/>
      <c r="I539" s="14"/>
      <c r="J539" s="14"/>
      <c r="K539" s="14"/>
      <c r="L539" s="14"/>
      <c r="M539" s="14"/>
      <c r="N539" s="14"/>
      <c r="O539" s="14"/>
      <c r="P539" s="14"/>
      <c r="Q539" s="14"/>
      <c r="R539" s="18"/>
      <c r="S539" s="18"/>
      <c r="T539" s="93"/>
      <c r="U539" s="20"/>
      <c r="V539" s="14"/>
      <c r="W539" s="14"/>
      <c r="X539" s="14"/>
      <c r="Y539" s="14"/>
      <c r="Z539" s="14"/>
      <c r="AA539" s="14"/>
      <c r="AB539" s="14"/>
      <c r="AC539" s="14"/>
      <c r="AD539" s="14"/>
      <c r="AE539" s="14"/>
      <c r="AF539" s="14"/>
      <c r="AG539" s="14"/>
      <c r="AH539" s="14"/>
      <c r="AI539" s="14"/>
      <c r="AJ539" s="14"/>
      <c r="AK539" s="14"/>
      <c r="AL539" s="14"/>
      <c r="AM539" s="14"/>
      <c r="AN539" s="14"/>
    </row>
    <row r="540" ht="15.75" customHeight="1">
      <c r="A540" s="14"/>
      <c r="B540" s="14"/>
      <c r="C540" s="14"/>
      <c r="D540" s="14"/>
      <c r="E540" s="14"/>
      <c r="F540" s="14"/>
      <c r="G540" s="14"/>
      <c r="H540" s="14"/>
      <c r="I540" s="14"/>
      <c r="J540" s="14"/>
      <c r="K540" s="14"/>
      <c r="L540" s="14"/>
      <c r="M540" s="14"/>
      <c r="N540" s="14"/>
      <c r="O540" s="14"/>
      <c r="P540" s="14"/>
      <c r="Q540" s="14"/>
      <c r="R540" s="18"/>
      <c r="S540" s="18"/>
      <c r="T540" s="93"/>
      <c r="U540" s="20"/>
      <c r="V540" s="14"/>
      <c r="W540" s="14"/>
      <c r="X540" s="14"/>
      <c r="Y540" s="14"/>
      <c r="Z540" s="14"/>
      <c r="AA540" s="14"/>
      <c r="AB540" s="14"/>
      <c r="AC540" s="14"/>
      <c r="AD540" s="14"/>
      <c r="AE540" s="14"/>
      <c r="AF540" s="14"/>
      <c r="AG540" s="14"/>
      <c r="AH540" s="14"/>
      <c r="AI540" s="14"/>
      <c r="AJ540" s="14"/>
      <c r="AK540" s="14"/>
      <c r="AL540" s="14"/>
      <c r="AM540" s="14"/>
      <c r="AN540" s="14"/>
    </row>
    <row r="541" ht="15.75" customHeight="1">
      <c r="A541" s="14"/>
      <c r="B541" s="14"/>
      <c r="C541" s="14"/>
      <c r="D541" s="14"/>
      <c r="E541" s="14"/>
      <c r="F541" s="14"/>
      <c r="G541" s="14"/>
      <c r="H541" s="14"/>
      <c r="I541" s="14"/>
      <c r="J541" s="14"/>
      <c r="K541" s="14"/>
      <c r="L541" s="14"/>
      <c r="M541" s="14"/>
      <c r="N541" s="14"/>
      <c r="O541" s="14"/>
      <c r="P541" s="14"/>
      <c r="Q541" s="14"/>
      <c r="R541" s="18"/>
      <c r="S541" s="18"/>
      <c r="T541" s="93"/>
      <c r="U541" s="20"/>
      <c r="V541" s="14"/>
      <c r="W541" s="14"/>
      <c r="X541" s="14"/>
      <c r="Y541" s="14"/>
      <c r="Z541" s="14"/>
      <c r="AA541" s="14"/>
      <c r="AB541" s="14"/>
      <c r="AC541" s="14"/>
      <c r="AD541" s="14"/>
      <c r="AE541" s="14"/>
      <c r="AF541" s="14"/>
      <c r="AG541" s="14"/>
      <c r="AH541" s="14"/>
      <c r="AI541" s="14"/>
      <c r="AJ541" s="14"/>
      <c r="AK541" s="14"/>
      <c r="AL541" s="14"/>
      <c r="AM541" s="14"/>
      <c r="AN541" s="14"/>
    </row>
    <row r="542" ht="15.75" customHeight="1">
      <c r="A542" s="14"/>
      <c r="B542" s="14"/>
      <c r="C542" s="14"/>
      <c r="D542" s="14"/>
      <c r="E542" s="14"/>
      <c r="F542" s="14"/>
      <c r="G542" s="14"/>
      <c r="H542" s="14"/>
      <c r="I542" s="14"/>
      <c r="J542" s="14"/>
      <c r="K542" s="14"/>
      <c r="L542" s="14"/>
      <c r="M542" s="14"/>
      <c r="N542" s="14"/>
      <c r="O542" s="14"/>
      <c r="P542" s="14"/>
      <c r="Q542" s="14"/>
      <c r="R542" s="18"/>
      <c r="S542" s="18"/>
      <c r="T542" s="93"/>
      <c r="U542" s="20"/>
      <c r="V542" s="14"/>
      <c r="W542" s="14"/>
      <c r="X542" s="14"/>
      <c r="Y542" s="14"/>
      <c r="Z542" s="14"/>
      <c r="AA542" s="14"/>
      <c r="AB542" s="14"/>
      <c r="AC542" s="14"/>
      <c r="AD542" s="14"/>
      <c r="AE542" s="14"/>
      <c r="AF542" s="14"/>
      <c r="AG542" s="14"/>
      <c r="AH542" s="14"/>
      <c r="AI542" s="14"/>
      <c r="AJ542" s="14"/>
      <c r="AK542" s="14"/>
      <c r="AL542" s="14"/>
      <c r="AM542" s="14"/>
      <c r="AN542" s="14"/>
    </row>
    <row r="543" ht="15.75" customHeight="1">
      <c r="A543" s="14"/>
      <c r="B543" s="14"/>
      <c r="C543" s="14"/>
      <c r="D543" s="14"/>
      <c r="E543" s="14"/>
      <c r="F543" s="14"/>
      <c r="G543" s="14"/>
      <c r="H543" s="14"/>
      <c r="I543" s="14"/>
      <c r="J543" s="14"/>
      <c r="K543" s="14"/>
      <c r="L543" s="14"/>
      <c r="M543" s="14"/>
      <c r="N543" s="14"/>
      <c r="O543" s="14"/>
      <c r="P543" s="14"/>
      <c r="Q543" s="14"/>
      <c r="R543" s="18"/>
      <c r="S543" s="18"/>
      <c r="T543" s="93"/>
      <c r="U543" s="20"/>
      <c r="V543" s="14"/>
      <c r="W543" s="14"/>
      <c r="X543" s="14"/>
      <c r="Y543" s="14"/>
      <c r="Z543" s="14"/>
      <c r="AA543" s="14"/>
      <c r="AB543" s="14"/>
      <c r="AC543" s="14"/>
      <c r="AD543" s="14"/>
      <c r="AE543" s="14"/>
      <c r="AF543" s="14"/>
      <c r="AG543" s="14"/>
      <c r="AH543" s="14"/>
      <c r="AI543" s="14"/>
      <c r="AJ543" s="14"/>
      <c r="AK543" s="14"/>
      <c r="AL543" s="14"/>
      <c r="AM543" s="14"/>
      <c r="AN543" s="14"/>
    </row>
    <row r="544" ht="15.75" customHeight="1">
      <c r="A544" s="14"/>
      <c r="B544" s="14"/>
      <c r="C544" s="14"/>
      <c r="D544" s="14"/>
      <c r="E544" s="14"/>
      <c r="F544" s="14"/>
      <c r="G544" s="14"/>
      <c r="H544" s="14"/>
      <c r="I544" s="14"/>
      <c r="J544" s="14"/>
      <c r="K544" s="14"/>
      <c r="L544" s="14"/>
      <c r="M544" s="14"/>
      <c r="N544" s="14"/>
      <c r="O544" s="14"/>
      <c r="P544" s="14"/>
      <c r="Q544" s="14"/>
      <c r="R544" s="18"/>
      <c r="S544" s="18"/>
      <c r="T544" s="93"/>
      <c r="U544" s="20"/>
      <c r="V544" s="14"/>
      <c r="W544" s="14"/>
      <c r="X544" s="14"/>
      <c r="Y544" s="14"/>
      <c r="Z544" s="14"/>
      <c r="AA544" s="14"/>
      <c r="AB544" s="14"/>
      <c r="AC544" s="14"/>
      <c r="AD544" s="14"/>
      <c r="AE544" s="14"/>
      <c r="AF544" s="14"/>
      <c r="AG544" s="14"/>
      <c r="AH544" s="14"/>
      <c r="AI544" s="14"/>
      <c r="AJ544" s="14"/>
      <c r="AK544" s="14"/>
      <c r="AL544" s="14"/>
      <c r="AM544" s="14"/>
      <c r="AN544" s="14"/>
    </row>
    <row r="545" ht="15.75" customHeight="1">
      <c r="A545" s="14"/>
      <c r="B545" s="14"/>
      <c r="C545" s="14"/>
      <c r="D545" s="14"/>
      <c r="E545" s="14"/>
      <c r="F545" s="14"/>
      <c r="G545" s="14"/>
      <c r="H545" s="14"/>
      <c r="I545" s="14"/>
      <c r="J545" s="14"/>
      <c r="K545" s="14"/>
      <c r="L545" s="14"/>
      <c r="M545" s="14"/>
      <c r="N545" s="14"/>
      <c r="O545" s="14"/>
      <c r="P545" s="14"/>
      <c r="Q545" s="14"/>
      <c r="R545" s="18"/>
      <c r="S545" s="18"/>
      <c r="T545" s="93"/>
      <c r="U545" s="20"/>
      <c r="V545" s="14"/>
      <c r="W545" s="14"/>
      <c r="X545" s="14"/>
      <c r="Y545" s="14"/>
      <c r="Z545" s="14"/>
      <c r="AA545" s="14"/>
      <c r="AB545" s="14"/>
      <c r="AC545" s="14"/>
      <c r="AD545" s="14"/>
      <c r="AE545" s="14"/>
      <c r="AF545" s="14"/>
      <c r="AG545" s="14"/>
      <c r="AH545" s="14"/>
      <c r="AI545" s="14"/>
      <c r="AJ545" s="14"/>
      <c r="AK545" s="14"/>
      <c r="AL545" s="14"/>
      <c r="AM545" s="14"/>
      <c r="AN545" s="14"/>
    </row>
    <row r="546" ht="15.75" customHeight="1">
      <c r="A546" s="14"/>
      <c r="B546" s="14"/>
      <c r="C546" s="14"/>
      <c r="D546" s="14"/>
      <c r="E546" s="14"/>
      <c r="F546" s="14"/>
      <c r="G546" s="14"/>
      <c r="H546" s="14"/>
      <c r="I546" s="14"/>
      <c r="J546" s="14"/>
      <c r="K546" s="14"/>
      <c r="L546" s="14"/>
      <c r="M546" s="14"/>
      <c r="N546" s="14"/>
      <c r="O546" s="14"/>
      <c r="P546" s="14"/>
      <c r="Q546" s="14"/>
      <c r="R546" s="18"/>
      <c r="S546" s="18"/>
      <c r="T546" s="93"/>
      <c r="U546" s="20"/>
      <c r="V546" s="14"/>
      <c r="W546" s="14"/>
      <c r="X546" s="14"/>
      <c r="Y546" s="14"/>
      <c r="Z546" s="14"/>
      <c r="AA546" s="14"/>
      <c r="AB546" s="14"/>
      <c r="AC546" s="14"/>
      <c r="AD546" s="14"/>
      <c r="AE546" s="14"/>
      <c r="AF546" s="14"/>
      <c r="AG546" s="14"/>
      <c r="AH546" s="14"/>
      <c r="AI546" s="14"/>
      <c r="AJ546" s="14"/>
      <c r="AK546" s="14"/>
      <c r="AL546" s="14"/>
      <c r="AM546" s="14"/>
      <c r="AN546" s="14"/>
    </row>
    <row r="547" ht="15.75" customHeight="1">
      <c r="A547" s="14"/>
      <c r="B547" s="14"/>
      <c r="C547" s="14"/>
      <c r="D547" s="14"/>
      <c r="E547" s="14"/>
      <c r="F547" s="14"/>
      <c r="G547" s="14"/>
      <c r="H547" s="14"/>
      <c r="I547" s="14"/>
      <c r="J547" s="14"/>
      <c r="K547" s="14"/>
      <c r="L547" s="14"/>
      <c r="M547" s="14"/>
      <c r="N547" s="14"/>
      <c r="O547" s="14"/>
      <c r="P547" s="14"/>
      <c r="Q547" s="14"/>
      <c r="R547" s="18"/>
      <c r="S547" s="18"/>
      <c r="T547" s="93"/>
      <c r="U547" s="20"/>
      <c r="V547" s="14"/>
      <c r="W547" s="14"/>
      <c r="X547" s="14"/>
      <c r="Y547" s="14"/>
      <c r="Z547" s="14"/>
      <c r="AA547" s="14"/>
      <c r="AB547" s="14"/>
      <c r="AC547" s="14"/>
      <c r="AD547" s="14"/>
      <c r="AE547" s="14"/>
      <c r="AF547" s="14"/>
      <c r="AG547" s="14"/>
      <c r="AH547" s="14"/>
      <c r="AI547" s="14"/>
      <c r="AJ547" s="14"/>
      <c r="AK547" s="14"/>
      <c r="AL547" s="14"/>
      <c r="AM547" s="14"/>
      <c r="AN547" s="14"/>
    </row>
    <row r="548" ht="15.75" customHeight="1">
      <c r="A548" s="14"/>
      <c r="B548" s="14"/>
      <c r="C548" s="14"/>
      <c r="D548" s="14"/>
      <c r="E548" s="14"/>
      <c r="F548" s="14"/>
      <c r="G548" s="14"/>
      <c r="H548" s="14"/>
      <c r="I548" s="14"/>
      <c r="J548" s="14"/>
      <c r="K548" s="14"/>
      <c r="L548" s="14"/>
      <c r="M548" s="14"/>
      <c r="N548" s="14"/>
      <c r="O548" s="14"/>
      <c r="P548" s="14"/>
      <c r="Q548" s="14"/>
      <c r="R548" s="18"/>
      <c r="S548" s="18"/>
      <c r="T548" s="93"/>
      <c r="U548" s="20"/>
      <c r="V548" s="14"/>
      <c r="W548" s="14"/>
      <c r="X548" s="14"/>
      <c r="Y548" s="14"/>
      <c r="Z548" s="14"/>
      <c r="AA548" s="14"/>
      <c r="AB548" s="14"/>
      <c r="AC548" s="14"/>
      <c r="AD548" s="14"/>
      <c r="AE548" s="14"/>
      <c r="AF548" s="14"/>
      <c r="AG548" s="14"/>
      <c r="AH548" s="14"/>
      <c r="AI548" s="14"/>
      <c r="AJ548" s="14"/>
      <c r="AK548" s="14"/>
      <c r="AL548" s="14"/>
      <c r="AM548" s="14"/>
      <c r="AN548" s="14"/>
    </row>
    <row r="549" ht="15.75" customHeight="1">
      <c r="A549" s="14"/>
      <c r="B549" s="14"/>
      <c r="C549" s="14"/>
      <c r="D549" s="14"/>
      <c r="E549" s="14"/>
      <c r="F549" s="14"/>
      <c r="G549" s="14"/>
      <c r="H549" s="14"/>
      <c r="I549" s="14"/>
      <c r="J549" s="14"/>
      <c r="K549" s="14"/>
      <c r="L549" s="14"/>
      <c r="M549" s="14"/>
      <c r="N549" s="14"/>
      <c r="O549" s="14"/>
      <c r="P549" s="14"/>
      <c r="Q549" s="14"/>
      <c r="R549" s="18"/>
      <c r="S549" s="18"/>
      <c r="T549" s="93"/>
      <c r="U549" s="20"/>
      <c r="V549" s="14"/>
      <c r="W549" s="14"/>
      <c r="X549" s="14"/>
      <c r="Y549" s="14"/>
      <c r="Z549" s="14"/>
      <c r="AA549" s="14"/>
      <c r="AB549" s="14"/>
      <c r="AC549" s="14"/>
      <c r="AD549" s="14"/>
      <c r="AE549" s="14"/>
      <c r="AF549" s="14"/>
      <c r="AG549" s="14"/>
      <c r="AH549" s="14"/>
      <c r="AI549" s="14"/>
      <c r="AJ549" s="14"/>
      <c r="AK549" s="14"/>
      <c r="AL549" s="14"/>
      <c r="AM549" s="14"/>
      <c r="AN549" s="14"/>
    </row>
    <row r="550" ht="15.75" customHeight="1">
      <c r="A550" s="14"/>
      <c r="B550" s="14"/>
      <c r="C550" s="14"/>
      <c r="D550" s="14"/>
      <c r="E550" s="14"/>
      <c r="F550" s="14"/>
      <c r="G550" s="14"/>
      <c r="H550" s="14"/>
      <c r="I550" s="14"/>
      <c r="J550" s="14"/>
      <c r="K550" s="14"/>
      <c r="L550" s="14"/>
      <c r="M550" s="14"/>
      <c r="N550" s="14"/>
      <c r="O550" s="14"/>
      <c r="P550" s="14"/>
      <c r="Q550" s="14"/>
      <c r="R550" s="18"/>
      <c r="S550" s="18"/>
      <c r="T550" s="93"/>
      <c r="U550" s="20"/>
      <c r="V550" s="14"/>
      <c r="W550" s="14"/>
      <c r="X550" s="14"/>
      <c r="Y550" s="14"/>
      <c r="Z550" s="14"/>
      <c r="AA550" s="14"/>
      <c r="AB550" s="14"/>
      <c r="AC550" s="14"/>
      <c r="AD550" s="14"/>
      <c r="AE550" s="14"/>
      <c r="AF550" s="14"/>
      <c r="AG550" s="14"/>
      <c r="AH550" s="14"/>
      <c r="AI550" s="14"/>
      <c r="AJ550" s="14"/>
      <c r="AK550" s="14"/>
      <c r="AL550" s="14"/>
      <c r="AM550" s="14"/>
      <c r="AN550" s="14"/>
    </row>
    <row r="551" ht="15.75" customHeight="1">
      <c r="A551" s="14"/>
      <c r="B551" s="14"/>
      <c r="C551" s="14"/>
      <c r="D551" s="14"/>
      <c r="E551" s="14"/>
      <c r="F551" s="14"/>
      <c r="G551" s="14"/>
      <c r="H551" s="14"/>
      <c r="I551" s="14"/>
      <c r="J551" s="14"/>
      <c r="K551" s="14"/>
      <c r="L551" s="14"/>
      <c r="M551" s="14"/>
      <c r="N551" s="14"/>
      <c r="O551" s="14"/>
      <c r="P551" s="14"/>
      <c r="Q551" s="14"/>
      <c r="R551" s="18"/>
      <c r="S551" s="18"/>
      <c r="T551" s="93"/>
      <c r="U551" s="20"/>
      <c r="V551" s="14"/>
      <c r="W551" s="14"/>
      <c r="X551" s="14"/>
      <c r="Y551" s="14"/>
      <c r="Z551" s="14"/>
      <c r="AA551" s="14"/>
      <c r="AB551" s="14"/>
      <c r="AC551" s="14"/>
      <c r="AD551" s="14"/>
      <c r="AE551" s="14"/>
      <c r="AF551" s="14"/>
      <c r="AG551" s="14"/>
      <c r="AH551" s="14"/>
      <c r="AI551" s="14"/>
      <c r="AJ551" s="14"/>
      <c r="AK551" s="14"/>
      <c r="AL551" s="14"/>
      <c r="AM551" s="14"/>
      <c r="AN551" s="14"/>
    </row>
    <row r="552" ht="15.75" customHeight="1">
      <c r="A552" s="14"/>
      <c r="B552" s="14"/>
      <c r="C552" s="14"/>
      <c r="D552" s="14"/>
      <c r="E552" s="14"/>
      <c r="F552" s="14"/>
      <c r="G552" s="14"/>
      <c r="H552" s="14"/>
      <c r="I552" s="14"/>
      <c r="J552" s="14"/>
      <c r="K552" s="14"/>
      <c r="L552" s="14"/>
      <c r="M552" s="14"/>
      <c r="N552" s="14"/>
      <c r="O552" s="14"/>
      <c r="P552" s="14"/>
      <c r="Q552" s="14"/>
      <c r="R552" s="18"/>
      <c r="S552" s="18"/>
      <c r="T552" s="93"/>
      <c r="U552" s="20"/>
      <c r="V552" s="14"/>
      <c r="W552" s="14"/>
      <c r="X552" s="14"/>
      <c r="Y552" s="14"/>
      <c r="Z552" s="14"/>
      <c r="AA552" s="14"/>
      <c r="AB552" s="14"/>
      <c r="AC552" s="14"/>
      <c r="AD552" s="14"/>
      <c r="AE552" s="14"/>
      <c r="AF552" s="14"/>
      <c r="AG552" s="14"/>
      <c r="AH552" s="14"/>
      <c r="AI552" s="14"/>
      <c r="AJ552" s="14"/>
      <c r="AK552" s="14"/>
      <c r="AL552" s="14"/>
      <c r="AM552" s="14"/>
      <c r="AN552" s="14"/>
    </row>
    <row r="553" ht="15.75" customHeight="1">
      <c r="A553" s="14"/>
      <c r="B553" s="14"/>
      <c r="C553" s="14"/>
      <c r="D553" s="14"/>
      <c r="E553" s="14"/>
      <c r="F553" s="14"/>
      <c r="G553" s="14"/>
      <c r="H553" s="14"/>
      <c r="I553" s="14"/>
      <c r="J553" s="14"/>
      <c r="K553" s="14"/>
      <c r="L553" s="14"/>
      <c r="M553" s="14"/>
      <c r="N553" s="14"/>
      <c r="O553" s="14"/>
      <c r="P553" s="14"/>
      <c r="Q553" s="14"/>
      <c r="R553" s="18"/>
      <c r="S553" s="18"/>
      <c r="T553" s="93"/>
      <c r="U553" s="20"/>
      <c r="V553" s="14"/>
      <c r="W553" s="14"/>
      <c r="X553" s="14"/>
      <c r="Y553" s="14"/>
      <c r="Z553" s="14"/>
      <c r="AA553" s="14"/>
      <c r="AB553" s="14"/>
      <c r="AC553" s="14"/>
      <c r="AD553" s="14"/>
      <c r="AE553" s="14"/>
      <c r="AF553" s="14"/>
      <c r="AG553" s="14"/>
      <c r="AH553" s="14"/>
      <c r="AI553" s="14"/>
      <c r="AJ553" s="14"/>
      <c r="AK553" s="14"/>
      <c r="AL553" s="14"/>
      <c r="AM553" s="14"/>
      <c r="AN553" s="14"/>
    </row>
    <row r="554" ht="15.75" customHeight="1">
      <c r="A554" s="14"/>
      <c r="B554" s="14"/>
      <c r="C554" s="14"/>
      <c r="D554" s="14"/>
      <c r="E554" s="14"/>
      <c r="F554" s="14"/>
      <c r="G554" s="14"/>
      <c r="H554" s="14"/>
      <c r="I554" s="14"/>
      <c r="J554" s="14"/>
      <c r="K554" s="14"/>
      <c r="L554" s="14"/>
      <c r="M554" s="14"/>
      <c r="N554" s="14"/>
      <c r="O554" s="14"/>
      <c r="P554" s="14"/>
      <c r="Q554" s="14"/>
      <c r="R554" s="18"/>
      <c r="S554" s="18"/>
      <c r="T554" s="93"/>
      <c r="U554" s="20"/>
      <c r="V554" s="14"/>
      <c r="W554" s="14"/>
      <c r="X554" s="14"/>
      <c r="Y554" s="14"/>
      <c r="Z554" s="14"/>
      <c r="AA554" s="14"/>
      <c r="AB554" s="14"/>
      <c r="AC554" s="14"/>
      <c r="AD554" s="14"/>
      <c r="AE554" s="14"/>
      <c r="AF554" s="14"/>
      <c r="AG554" s="14"/>
      <c r="AH554" s="14"/>
      <c r="AI554" s="14"/>
      <c r="AJ554" s="14"/>
      <c r="AK554" s="14"/>
      <c r="AL554" s="14"/>
      <c r="AM554" s="14"/>
      <c r="AN554" s="14"/>
    </row>
    <row r="555" ht="15.75" customHeight="1">
      <c r="A555" s="14"/>
      <c r="B555" s="14"/>
      <c r="C555" s="14"/>
      <c r="D555" s="14"/>
      <c r="E555" s="14"/>
      <c r="F555" s="14"/>
      <c r="G555" s="14"/>
      <c r="H555" s="14"/>
      <c r="I555" s="14"/>
      <c r="J555" s="14"/>
      <c r="K555" s="14"/>
      <c r="L555" s="14"/>
      <c r="M555" s="14"/>
      <c r="N555" s="14"/>
      <c r="O555" s="14"/>
      <c r="P555" s="14"/>
      <c r="Q555" s="14"/>
      <c r="R555" s="18"/>
      <c r="S555" s="18"/>
      <c r="T555" s="93"/>
      <c r="U555" s="20"/>
      <c r="V555" s="14"/>
      <c r="W555" s="14"/>
      <c r="X555" s="14"/>
      <c r="Y555" s="14"/>
      <c r="Z555" s="14"/>
      <c r="AA555" s="14"/>
      <c r="AB555" s="14"/>
      <c r="AC555" s="14"/>
      <c r="AD555" s="14"/>
      <c r="AE555" s="14"/>
      <c r="AF555" s="14"/>
      <c r="AG555" s="14"/>
      <c r="AH555" s="14"/>
      <c r="AI555" s="14"/>
      <c r="AJ555" s="14"/>
      <c r="AK555" s="14"/>
      <c r="AL555" s="14"/>
      <c r="AM555" s="14"/>
      <c r="AN555" s="14"/>
    </row>
    <row r="556" ht="15.75" customHeight="1">
      <c r="A556" s="14"/>
      <c r="B556" s="14"/>
      <c r="C556" s="14"/>
      <c r="D556" s="14"/>
      <c r="E556" s="14"/>
      <c r="F556" s="14"/>
      <c r="G556" s="14"/>
      <c r="H556" s="14"/>
      <c r="I556" s="14"/>
      <c r="J556" s="14"/>
      <c r="K556" s="14"/>
      <c r="L556" s="14"/>
      <c r="M556" s="14"/>
      <c r="N556" s="14"/>
      <c r="O556" s="14"/>
      <c r="P556" s="14"/>
      <c r="Q556" s="14"/>
      <c r="R556" s="18"/>
      <c r="S556" s="18"/>
      <c r="T556" s="93"/>
      <c r="U556" s="20"/>
      <c r="V556" s="14"/>
      <c r="W556" s="14"/>
      <c r="X556" s="14"/>
      <c r="Y556" s="14"/>
      <c r="Z556" s="14"/>
      <c r="AA556" s="14"/>
      <c r="AB556" s="14"/>
      <c r="AC556" s="14"/>
      <c r="AD556" s="14"/>
      <c r="AE556" s="14"/>
      <c r="AF556" s="14"/>
      <c r="AG556" s="14"/>
      <c r="AH556" s="14"/>
      <c r="AI556" s="14"/>
      <c r="AJ556" s="14"/>
      <c r="AK556" s="14"/>
      <c r="AL556" s="14"/>
      <c r="AM556" s="14"/>
      <c r="AN556" s="14"/>
    </row>
    <row r="557" ht="15.75" customHeight="1">
      <c r="A557" s="14"/>
      <c r="B557" s="14"/>
      <c r="C557" s="14"/>
      <c r="D557" s="14"/>
      <c r="E557" s="14"/>
      <c r="F557" s="14"/>
      <c r="G557" s="14"/>
      <c r="H557" s="14"/>
      <c r="I557" s="14"/>
      <c r="J557" s="14"/>
      <c r="K557" s="14"/>
      <c r="L557" s="14"/>
      <c r="M557" s="14"/>
      <c r="N557" s="14"/>
      <c r="O557" s="14"/>
      <c r="P557" s="14"/>
      <c r="Q557" s="14"/>
      <c r="R557" s="18"/>
      <c r="S557" s="18"/>
      <c r="T557" s="93"/>
      <c r="U557" s="20"/>
      <c r="V557" s="14"/>
      <c r="W557" s="14"/>
      <c r="X557" s="14"/>
      <c r="Y557" s="14"/>
      <c r="Z557" s="14"/>
      <c r="AA557" s="14"/>
      <c r="AB557" s="14"/>
      <c r="AC557" s="14"/>
      <c r="AD557" s="14"/>
      <c r="AE557" s="14"/>
      <c r="AF557" s="14"/>
      <c r="AG557" s="14"/>
      <c r="AH557" s="14"/>
      <c r="AI557" s="14"/>
      <c r="AJ557" s="14"/>
      <c r="AK557" s="14"/>
      <c r="AL557" s="14"/>
      <c r="AM557" s="14"/>
      <c r="AN557" s="14"/>
    </row>
    <row r="558" ht="15.75" customHeight="1">
      <c r="A558" s="14"/>
      <c r="B558" s="14"/>
      <c r="C558" s="14"/>
      <c r="D558" s="14"/>
      <c r="E558" s="14"/>
      <c r="F558" s="14"/>
      <c r="G558" s="14"/>
      <c r="H558" s="14"/>
      <c r="I558" s="14"/>
      <c r="J558" s="14"/>
      <c r="K558" s="14"/>
      <c r="L558" s="14"/>
      <c r="M558" s="14"/>
      <c r="N558" s="14"/>
      <c r="O558" s="14"/>
      <c r="P558" s="14"/>
      <c r="Q558" s="14"/>
      <c r="R558" s="18"/>
      <c r="S558" s="18"/>
      <c r="T558" s="93"/>
      <c r="U558" s="20"/>
      <c r="V558" s="14"/>
      <c r="W558" s="14"/>
      <c r="X558" s="14"/>
      <c r="Y558" s="14"/>
      <c r="Z558" s="14"/>
      <c r="AA558" s="14"/>
      <c r="AB558" s="14"/>
      <c r="AC558" s="14"/>
      <c r="AD558" s="14"/>
      <c r="AE558" s="14"/>
      <c r="AF558" s="14"/>
      <c r="AG558" s="14"/>
      <c r="AH558" s="14"/>
      <c r="AI558" s="14"/>
      <c r="AJ558" s="14"/>
      <c r="AK558" s="14"/>
      <c r="AL558" s="14"/>
      <c r="AM558" s="14"/>
      <c r="AN558" s="14"/>
    </row>
    <row r="559" ht="15.75" customHeight="1">
      <c r="A559" s="14"/>
      <c r="B559" s="14"/>
      <c r="C559" s="14"/>
      <c r="D559" s="14"/>
      <c r="E559" s="14"/>
      <c r="F559" s="14"/>
      <c r="G559" s="14"/>
      <c r="H559" s="14"/>
      <c r="I559" s="14"/>
      <c r="J559" s="14"/>
      <c r="K559" s="14"/>
      <c r="L559" s="14"/>
      <c r="M559" s="14"/>
      <c r="N559" s="14"/>
      <c r="O559" s="14"/>
      <c r="P559" s="14"/>
      <c r="Q559" s="14"/>
      <c r="R559" s="18"/>
      <c r="S559" s="18"/>
      <c r="T559" s="93"/>
      <c r="U559" s="20"/>
      <c r="V559" s="14"/>
      <c r="W559" s="14"/>
      <c r="X559" s="14"/>
      <c r="Y559" s="14"/>
      <c r="Z559" s="14"/>
      <c r="AA559" s="14"/>
      <c r="AB559" s="14"/>
      <c r="AC559" s="14"/>
      <c r="AD559" s="14"/>
      <c r="AE559" s="14"/>
      <c r="AF559" s="14"/>
      <c r="AG559" s="14"/>
      <c r="AH559" s="14"/>
      <c r="AI559" s="14"/>
      <c r="AJ559" s="14"/>
      <c r="AK559" s="14"/>
      <c r="AL559" s="14"/>
      <c r="AM559" s="14"/>
      <c r="AN559" s="14"/>
    </row>
    <row r="560" ht="15.75" customHeight="1">
      <c r="A560" s="14"/>
      <c r="B560" s="14"/>
      <c r="C560" s="14"/>
      <c r="D560" s="14"/>
      <c r="E560" s="14"/>
      <c r="F560" s="14"/>
      <c r="G560" s="14"/>
      <c r="H560" s="14"/>
      <c r="I560" s="14"/>
      <c r="J560" s="14"/>
      <c r="K560" s="14"/>
      <c r="L560" s="14"/>
      <c r="M560" s="14"/>
      <c r="N560" s="14"/>
      <c r="O560" s="14"/>
      <c r="P560" s="14"/>
      <c r="Q560" s="14"/>
      <c r="R560" s="18"/>
      <c r="S560" s="18"/>
      <c r="T560" s="93"/>
      <c r="U560" s="20"/>
      <c r="V560" s="14"/>
      <c r="W560" s="14"/>
      <c r="X560" s="14"/>
      <c r="Y560" s="14"/>
      <c r="Z560" s="14"/>
      <c r="AA560" s="14"/>
      <c r="AB560" s="14"/>
      <c r="AC560" s="14"/>
      <c r="AD560" s="14"/>
      <c r="AE560" s="14"/>
      <c r="AF560" s="14"/>
      <c r="AG560" s="14"/>
      <c r="AH560" s="14"/>
      <c r="AI560" s="14"/>
      <c r="AJ560" s="14"/>
      <c r="AK560" s="14"/>
      <c r="AL560" s="14"/>
      <c r="AM560" s="14"/>
      <c r="AN560" s="14"/>
    </row>
    <row r="561" ht="15.75" customHeight="1">
      <c r="A561" s="14"/>
      <c r="B561" s="14"/>
      <c r="C561" s="14"/>
      <c r="D561" s="14"/>
      <c r="E561" s="14"/>
      <c r="F561" s="14"/>
      <c r="G561" s="14"/>
      <c r="H561" s="14"/>
      <c r="I561" s="14"/>
      <c r="J561" s="14"/>
      <c r="K561" s="14"/>
      <c r="L561" s="14"/>
      <c r="M561" s="14"/>
      <c r="N561" s="14"/>
      <c r="O561" s="14"/>
      <c r="P561" s="14"/>
      <c r="Q561" s="14"/>
      <c r="R561" s="18"/>
      <c r="S561" s="18"/>
      <c r="T561" s="93"/>
      <c r="U561" s="20"/>
      <c r="V561" s="14"/>
      <c r="W561" s="14"/>
      <c r="X561" s="14"/>
      <c r="Y561" s="14"/>
      <c r="Z561" s="14"/>
      <c r="AA561" s="14"/>
      <c r="AB561" s="14"/>
      <c r="AC561" s="14"/>
      <c r="AD561" s="14"/>
      <c r="AE561" s="14"/>
      <c r="AF561" s="14"/>
      <c r="AG561" s="14"/>
      <c r="AH561" s="14"/>
      <c r="AI561" s="14"/>
      <c r="AJ561" s="14"/>
      <c r="AK561" s="14"/>
      <c r="AL561" s="14"/>
      <c r="AM561" s="14"/>
      <c r="AN561" s="14"/>
    </row>
    <row r="562" ht="15.75" customHeight="1">
      <c r="A562" s="14"/>
      <c r="B562" s="14"/>
      <c r="C562" s="14"/>
      <c r="D562" s="14"/>
      <c r="E562" s="14"/>
      <c r="F562" s="14"/>
      <c r="G562" s="14"/>
      <c r="H562" s="14"/>
      <c r="I562" s="14"/>
      <c r="J562" s="14"/>
      <c r="K562" s="14"/>
      <c r="L562" s="14"/>
      <c r="M562" s="14"/>
      <c r="N562" s="14"/>
      <c r="O562" s="14"/>
      <c r="P562" s="14"/>
      <c r="Q562" s="14"/>
      <c r="R562" s="18"/>
      <c r="S562" s="18"/>
      <c r="T562" s="93"/>
      <c r="U562" s="20"/>
      <c r="V562" s="14"/>
      <c r="W562" s="14"/>
      <c r="X562" s="14"/>
      <c r="Y562" s="14"/>
      <c r="Z562" s="14"/>
      <c r="AA562" s="14"/>
      <c r="AB562" s="14"/>
      <c r="AC562" s="14"/>
      <c r="AD562" s="14"/>
      <c r="AE562" s="14"/>
      <c r="AF562" s="14"/>
      <c r="AG562" s="14"/>
      <c r="AH562" s="14"/>
      <c r="AI562" s="14"/>
      <c r="AJ562" s="14"/>
      <c r="AK562" s="14"/>
      <c r="AL562" s="14"/>
      <c r="AM562" s="14"/>
      <c r="AN562" s="14"/>
    </row>
    <row r="563" ht="15.75" customHeight="1">
      <c r="A563" s="14"/>
      <c r="B563" s="14"/>
      <c r="C563" s="14"/>
      <c r="D563" s="14"/>
      <c r="E563" s="14"/>
      <c r="F563" s="14"/>
      <c r="G563" s="14"/>
      <c r="H563" s="14"/>
      <c r="I563" s="14"/>
      <c r="J563" s="14"/>
      <c r="K563" s="14"/>
      <c r="L563" s="14"/>
      <c r="M563" s="14"/>
      <c r="N563" s="14"/>
      <c r="O563" s="14"/>
      <c r="P563" s="14"/>
      <c r="Q563" s="14"/>
      <c r="R563" s="18"/>
      <c r="S563" s="18"/>
      <c r="T563" s="93"/>
      <c r="U563" s="20"/>
      <c r="V563" s="14"/>
      <c r="W563" s="14"/>
      <c r="X563" s="14"/>
      <c r="Y563" s="14"/>
      <c r="Z563" s="14"/>
      <c r="AA563" s="14"/>
      <c r="AB563" s="14"/>
      <c r="AC563" s="14"/>
      <c r="AD563" s="14"/>
      <c r="AE563" s="14"/>
      <c r="AF563" s="14"/>
      <c r="AG563" s="14"/>
      <c r="AH563" s="14"/>
      <c r="AI563" s="14"/>
      <c r="AJ563" s="14"/>
      <c r="AK563" s="14"/>
      <c r="AL563" s="14"/>
      <c r="AM563" s="14"/>
      <c r="AN563" s="14"/>
    </row>
    <row r="564" ht="15.75" customHeight="1">
      <c r="A564" s="14"/>
      <c r="B564" s="14"/>
      <c r="C564" s="14"/>
      <c r="D564" s="14"/>
      <c r="E564" s="14"/>
      <c r="F564" s="14"/>
      <c r="G564" s="14"/>
      <c r="H564" s="14"/>
      <c r="I564" s="14"/>
      <c r="J564" s="14"/>
      <c r="K564" s="14"/>
      <c r="L564" s="14"/>
      <c r="M564" s="14"/>
      <c r="N564" s="14"/>
      <c r="O564" s="14"/>
      <c r="P564" s="14"/>
      <c r="Q564" s="14"/>
      <c r="R564" s="18"/>
      <c r="S564" s="18"/>
      <c r="T564" s="93"/>
      <c r="U564" s="20"/>
      <c r="V564" s="14"/>
      <c r="W564" s="14"/>
      <c r="X564" s="14"/>
      <c r="Y564" s="14"/>
      <c r="Z564" s="14"/>
      <c r="AA564" s="14"/>
      <c r="AB564" s="14"/>
      <c r="AC564" s="14"/>
      <c r="AD564" s="14"/>
      <c r="AE564" s="14"/>
      <c r="AF564" s="14"/>
      <c r="AG564" s="14"/>
      <c r="AH564" s="14"/>
      <c r="AI564" s="14"/>
      <c r="AJ564" s="14"/>
      <c r="AK564" s="14"/>
      <c r="AL564" s="14"/>
      <c r="AM564" s="14"/>
      <c r="AN564" s="14"/>
    </row>
    <row r="565" ht="15.75" customHeight="1">
      <c r="A565" s="14"/>
      <c r="B565" s="14"/>
      <c r="C565" s="14"/>
      <c r="D565" s="14"/>
      <c r="E565" s="14"/>
      <c r="F565" s="14"/>
      <c r="G565" s="14"/>
      <c r="H565" s="14"/>
      <c r="I565" s="14"/>
      <c r="J565" s="14"/>
      <c r="K565" s="14"/>
      <c r="L565" s="14"/>
      <c r="M565" s="14"/>
      <c r="N565" s="14"/>
      <c r="O565" s="14"/>
      <c r="P565" s="14"/>
      <c r="Q565" s="14"/>
      <c r="R565" s="18"/>
      <c r="S565" s="18"/>
      <c r="T565" s="93"/>
      <c r="U565" s="20"/>
      <c r="V565" s="14"/>
      <c r="W565" s="14"/>
      <c r="X565" s="14"/>
      <c r="Y565" s="14"/>
      <c r="Z565" s="14"/>
      <c r="AA565" s="14"/>
      <c r="AB565" s="14"/>
      <c r="AC565" s="14"/>
      <c r="AD565" s="14"/>
      <c r="AE565" s="14"/>
      <c r="AF565" s="14"/>
      <c r="AG565" s="14"/>
      <c r="AH565" s="14"/>
      <c r="AI565" s="14"/>
      <c r="AJ565" s="14"/>
      <c r="AK565" s="14"/>
      <c r="AL565" s="14"/>
      <c r="AM565" s="14"/>
      <c r="AN565" s="14"/>
    </row>
    <row r="566" ht="15.75" customHeight="1">
      <c r="A566" s="14"/>
      <c r="B566" s="14"/>
      <c r="C566" s="14"/>
      <c r="D566" s="14"/>
      <c r="E566" s="14"/>
      <c r="F566" s="14"/>
      <c r="G566" s="14"/>
      <c r="H566" s="14"/>
      <c r="I566" s="14"/>
      <c r="J566" s="14"/>
      <c r="K566" s="14"/>
      <c r="L566" s="14"/>
      <c r="M566" s="14"/>
      <c r="N566" s="14"/>
      <c r="O566" s="14"/>
      <c r="P566" s="14"/>
      <c r="Q566" s="14"/>
      <c r="R566" s="18"/>
      <c r="S566" s="18"/>
      <c r="T566" s="93"/>
      <c r="U566" s="20"/>
      <c r="V566" s="14"/>
      <c r="W566" s="14"/>
      <c r="X566" s="14"/>
      <c r="Y566" s="14"/>
      <c r="Z566" s="14"/>
      <c r="AA566" s="14"/>
      <c r="AB566" s="14"/>
      <c r="AC566" s="14"/>
      <c r="AD566" s="14"/>
      <c r="AE566" s="14"/>
      <c r="AF566" s="14"/>
      <c r="AG566" s="14"/>
      <c r="AH566" s="14"/>
      <c r="AI566" s="14"/>
      <c r="AJ566" s="14"/>
      <c r="AK566" s="14"/>
      <c r="AL566" s="14"/>
      <c r="AM566" s="14"/>
      <c r="AN566" s="14"/>
    </row>
    <row r="567" ht="15.75" customHeight="1">
      <c r="A567" s="14"/>
      <c r="B567" s="14"/>
      <c r="C567" s="14"/>
      <c r="D567" s="14"/>
      <c r="E567" s="14"/>
      <c r="F567" s="14"/>
      <c r="G567" s="14"/>
      <c r="H567" s="14"/>
      <c r="I567" s="14"/>
      <c r="J567" s="14"/>
      <c r="K567" s="14"/>
      <c r="L567" s="14"/>
      <c r="M567" s="14"/>
      <c r="N567" s="14"/>
      <c r="O567" s="14"/>
      <c r="P567" s="14"/>
      <c r="Q567" s="14"/>
      <c r="R567" s="18"/>
      <c r="S567" s="18"/>
      <c r="T567" s="93"/>
      <c r="U567" s="20"/>
      <c r="V567" s="14"/>
      <c r="W567" s="14"/>
      <c r="X567" s="14"/>
      <c r="Y567" s="14"/>
      <c r="Z567" s="14"/>
      <c r="AA567" s="14"/>
      <c r="AB567" s="14"/>
      <c r="AC567" s="14"/>
      <c r="AD567" s="14"/>
      <c r="AE567" s="14"/>
      <c r="AF567" s="14"/>
      <c r="AG567" s="14"/>
      <c r="AH567" s="14"/>
      <c r="AI567" s="14"/>
      <c r="AJ567" s="14"/>
      <c r="AK567" s="14"/>
      <c r="AL567" s="14"/>
      <c r="AM567" s="14"/>
      <c r="AN567" s="14"/>
    </row>
    <row r="568" ht="15.75" customHeight="1">
      <c r="A568" s="14"/>
      <c r="B568" s="14"/>
      <c r="C568" s="14"/>
      <c r="D568" s="14"/>
      <c r="E568" s="14"/>
      <c r="F568" s="14"/>
      <c r="G568" s="14"/>
      <c r="H568" s="14"/>
      <c r="I568" s="14"/>
      <c r="J568" s="14"/>
      <c r="K568" s="14"/>
      <c r="L568" s="14"/>
      <c r="M568" s="14"/>
      <c r="N568" s="14"/>
      <c r="O568" s="14"/>
      <c r="P568" s="14"/>
      <c r="Q568" s="14"/>
      <c r="R568" s="18"/>
      <c r="S568" s="18"/>
      <c r="T568" s="93"/>
      <c r="U568" s="20"/>
      <c r="V568" s="14"/>
      <c r="W568" s="14"/>
      <c r="X568" s="14"/>
      <c r="Y568" s="14"/>
      <c r="Z568" s="14"/>
      <c r="AA568" s="14"/>
      <c r="AB568" s="14"/>
      <c r="AC568" s="14"/>
      <c r="AD568" s="14"/>
      <c r="AE568" s="14"/>
      <c r="AF568" s="14"/>
      <c r="AG568" s="14"/>
      <c r="AH568" s="14"/>
      <c r="AI568" s="14"/>
      <c r="AJ568" s="14"/>
      <c r="AK568" s="14"/>
      <c r="AL568" s="14"/>
      <c r="AM568" s="14"/>
      <c r="AN568" s="14"/>
    </row>
    <row r="569" ht="15.75" customHeight="1">
      <c r="A569" s="14"/>
      <c r="B569" s="14"/>
      <c r="C569" s="14"/>
      <c r="D569" s="14"/>
      <c r="E569" s="14"/>
      <c r="F569" s="14"/>
      <c r="G569" s="14"/>
      <c r="H569" s="14"/>
      <c r="I569" s="14"/>
      <c r="J569" s="14"/>
      <c r="K569" s="14"/>
      <c r="L569" s="14"/>
      <c r="M569" s="14"/>
      <c r="N569" s="14"/>
      <c r="O569" s="14"/>
      <c r="P569" s="14"/>
      <c r="Q569" s="14"/>
      <c r="R569" s="18"/>
      <c r="S569" s="18"/>
      <c r="T569" s="93"/>
      <c r="U569" s="20"/>
      <c r="V569" s="14"/>
      <c r="W569" s="14"/>
      <c r="X569" s="14"/>
      <c r="Y569" s="14"/>
      <c r="Z569" s="14"/>
      <c r="AA569" s="14"/>
      <c r="AB569" s="14"/>
      <c r="AC569" s="14"/>
      <c r="AD569" s="14"/>
      <c r="AE569" s="14"/>
      <c r="AF569" s="14"/>
      <c r="AG569" s="14"/>
      <c r="AH569" s="14"/>
      <c r="AI569" s="14"/>
      <c r="AJ569" s="14"/>
      <c r="AK569" s="14"/>
      <c r="AL569" s="14"/>
      <c r="AM569" s="14"/>
      <c r="AN569" s="14"/>
    </row>
    <row r="570" ht="15.75" customHeight="1">
      <c r="A570" s="14"/>
      <c r="B570" s="14"/>
      <c r="C570" s="14"/>
      <c r="D570" s="14"/>
      <c r="E570" s="14"/>
      <c r="F570" s="14"/>
      <c r="G570" s="14"/>
      <c r="H570" s="14"/>
      <c r="I570" s="14"/>
      <c r="J570" s="14"/>
      <c r="K570" s="14"/>
      <c r="L570" s="14"/>
      <c r="M570" s="14"/>
      <c r="N570" s="14"/>
      <c r="O570" s="14"/>
      <c r="P570" s="14"/>
      <c r="Q570" s="14"/>
      <c r="R570" s="18"/>
      <c r="S570" s="18"/>
      <c r="T570" s="93"/>
      <c r="U570" s="20"/>
      <c r="V570" s="14"/>
      <c r="W570" s="14"/>
      <c r="X570" s="14"/>
      <c r="Y570" s="14"/>
      <c r="Z570" s="14"/>
      <c r="AA570" s="14"/>
      <c r="AB570" s="14"/>
      <c r="AC570" s="14"/>
      <c r="AD570" s="14"/>
      <c r="AE570" s="14"/>
      <c r="AF570" s="14"/>
      <c r="AG570" s="14"/>
      <c r="AH570" s="14"/>
      <c r="AI570" s="14"/>
      <c r="AJ570" s="14"/>
      <c r="AK570" s="14"/>
      <c r="AL570" s="14"/>
      <c r="AM570" s="14"/>
      <c r="AN570" s="14"/>
    </row>
    <row r="571" ht="15.75" customHeight="1">
      <c r="A571" s="14"/>
      <c r="B571" s="14"/>
      <c r="C571" s="14"/>
      <c r="D571" s="14"/>
      <c r="E571" s="14"/>
      <c r="F571" s="14"/>
      <c r="G571" s="14"/>
      <c r="H571" s="14"/>
      <c r="I571" s="14"/>
      <c r="J571" s="14"/>
      <c r="K571" s="14"/>
      <c r="L571" s="14"/>
      <c r="M571" s="14"/>
      <c r="N571" s="14"/>
      <c r="O571" s="14"/>
      <c r="P571" s="14"/>
      <c r="Q571" s="14"/>
      <c r="R571" s="18"/>
      <c r="S571" s="18"/>
      <c r="T571" s="93"/>
      <c r="U571" s="20"/>
      <c r="V571" s="14"/>
      <c r="W571" s="14"/>
      <c r="X571" s="14"/>
      <c r="Y571" s="14"/>
      <c r="Z571" s="14"/>
      <c r="AA571" s="14"/>
      <c r="AB571" s="14"/>
      <c r="AC571" s="14"/>
      <c r="AD571" s="14"/>
      <c r="AE571" s="14"/>
      <c r="AF571" s="14"/>
      <c r="AG571" s="14"/>
      <c r="AH571" s="14"/>
      <c r="AI571" s="14"/>
      <c r="AJ571" s="14"/>
      <c r="AK571" s="14"/>
      <c r="AL571" s="14"/>
      <c r="AM571" s="14"/>
      <c r="AN571" s="14"/>
    </row>
    <row r="572" ht="15.75" customHeight="1">
      <c r="A572" s="14"/>
      <c r="B572" s="14"/>
      <c r="C572" s="14"/>
      <c r="D572" s="14"/>
      <c r="E572" s="14"/>
      <c r="F572" s="14"/>
      <c r="G572" s="14"/>
      <c r="H572" s="14"/>
      <c r="I572" s="14"/>
      <c r="J572" s="14"/>
      <c r="K572" s="14"/>
      <c r="L572" s="14"/>
      <c r="M572" s="14"/>
      <c r="N572" s="14"/>
      <c r="O572" s="14"/>
      <c r="P572" s="14"/>
      <c r="Q572" s="14"/>
      <c r="R572" s="18"/>
      <c r="S572" s="18"/>
      <c r="T572" s="93"/>
      <c r="U572" s="20"/>
      <c r="V572" s="14"/>
      <c r="W572" s="14"/>
      <c r="X572" s="14"/>
      <c r="Y572" s="14"/>
      <c r="Z572" s="14"/>
      <c r="AA572" s="14"/>
      <c r="AB572" s="14"/>
      <c r="AC572" s="14"/>
      <c r="AD572" s="14"/>
      <c r="AE572" s="14"/>
      <c r="AF572" s="14"/>
      <c r="AG572" s="14"/>
      <c r="AH572" s="14"/>
      <c r="AI572" s="14"/>
      <c r="AJ572" s="14"/>
      <c r="AK572" s="14"/>
      <c r="AL572" s="14"/>
      <c r="AM572" s="14"/>
      <c r="AN572" s="14"/>
    </row>
    <row r="573" ht="15.75" customHeight="1">
      <c r="A573" s="14"/>
      <c r="B573" s="14"/>
      <c r="C573" s="14"/>
      <c r="D573" s="14"/>
      <c r="E573" s="14"/>
      <c r="F573" s="14"/>
      <c r="G573" s="14"/>
      <c r="H573" s="14"/>
      <c r="I573" s="14"/>
      <c r="J573" s="14"/>
      <c r="K573" s="14"/>
      <c r="L573" s="14"/>
      <c r="M573" s="14"/>
      <c r="N573" s="14"/>
      <c r="O573" s="14"/>
      <c r="P573" s="14"/>
      <c r="Q573" s="14"/>
      <c r="R573" s="18"/>
      <c r="S573" s="18"/>
      <c r="T573" s="93"/>
      <c r="U573" s="20"/>
      <c r="V573" s="14"/>
      <c r="W573" s="14"/>
      <c r="X573" s="14"/>
      <c r="Y573" s="14"/>
      <c r="Z573" s="14"/>
      <c r="AA573" s="14"/>
      <c r="AB573" s="14"/>
      <c r="AC573" s="14"/>
      <c r="AD573" s="14"/>
      <c r="AE573" s="14"/>
      <c r="AF573" s="14"/>
      <c r="AG573" s="14"/>
      <c r="AH573" s="14"/>
      <c r="AI573" s="14"/>
      <c r="AJ573" s="14"/>
      <c r="AK573" s="14"/>
      <c r="AL573" s="14"/>
      <c r="AM573" s="14"/>
      <c r="AN573" s="14"/>
    </row>
    <row r="574" ht="15.75" customHeight="1">
      <c r="A574" s="14"/>
      <c r="B574" s="14"/>
      <c r="C574" s="14"/>
      <c r="D574" s="14"/>
      <c r="E574" s="14"/>
      <c r="F574" s="14"/>
      <c r="G574" s="14"/>
      <c r="H574" s="14"/>
      <c r="I574" s="14"/>
      <c r="J574" s="14"/>
      <c r="K574" s="14"/>
      <c r="L574" s="14"/>
      <c r="M574" s="14"/>
      <c r="N574" s="14"/>
      <c r="O574" s="14"/>
      <c r="P574" s="14"/>
      <c r="Q574" s="14"/>
      <c r="R574" s="18"/>
      <c r="S574" s="18"/>
      <c r="T574" s="93"/>
      <c r="U574" s="20"/>
      <c r="V574" s="14"/>
      <c r="W574" s="14"/>
      <c r="X574" s="14"/>
      <c r="Y574" s="14"/>
      <c r="Z574" s="14"/>
      <c r="AA574" s="14"/>
      <c r="AB574" s="14"/>
      <c r="AC574" s="14"/>
      <c r="AD574" s="14"/>
      <c r="AE574" s="14"/>
      <c r="AF574" s="14"/>
      <c r="AG574" s="14"/>
      <c r="AH574" s="14"/>
      <c r="AI574" s="14"/>
      <c r="AJ574" s="14"/>
      <c r="AK574" s="14"/>
      <c r="AL574" s="14"/>
      <c r="AM574" s="14"/>
      <c r="AN574" s="14"/>
    </row>
    <row r="575" ht="15.75" customHeight="1">
      <c r="A575" s="14"/>
      <c r="B575" s="14"/>
      <c r="C575" s="14"/>
      <c r="D575" s="14"/>
      <c r="E575" s="14"/>
      <c r="F575" s="14"/>
      <c r="G575" s="14"/>
      <c r="H575" s="14"/>
      <c r="I575" s="14"/>
      <c r="J575" s="14"/>
      <c r="K575" s="14"/>
      <c r="L575" s="14"/>
      <c r="M575" s="14"/>
      <c r="N575" s="14"/>
      <c r="O575" s="14"/>
      <c r="P575" s="14"/>
      <c r="Q575" s="14"/>
      <c r="R575" s="18"/>
      <c r="S575" s="18"/>
      <c r="T575" s="93"/>
      <c r="U575" s="20"/>
      <c r="V575" s="14"/>
      <c r="W575" s="14"/>
      <c r="X575" s="14"/>
      <c r="Y575" s="14"/>
      <c r="Z575" s="14"/>
      <c r="AA575" s="14"/>
      <c r="AB575" s="14"/>
      <c r="AC575" s="14"/>
      <c r="AD575" s="14"/>
      <c r="AE575" s="14"/>
      <c r="AF575" s="14"/>
      <c r="AG575" s="14"/>
      <c r="AH575" s="14"/>
      <c r="AI575" s="14"/>
      <c r="AJ575" s="14"/>
      <c r="AK575" s="14"/>
      <c r="AL575" s="14"/>
      <c r="AM575" s="14"/>
      <c r="AN575" s="14"/>
    </row>
    <row r="576" ht="15.75" customHeight="1">
      <c r="A576" s="14"/>
      <c r="B576" s="14"/>
      <c r="C576" s="14"/>
      <c r="D576" s="14"/>
      <c r="E576" s="14"/>
      <c r="F576" s="14"/>
      <c r="G576" s="14"/>
      <c r="H576" s="14"/>
      <c r="I576" s="14"/>
      <c r="J576" s="14"/>
      <c r="K576" s="14"/>
      <c r="L576" s="14"/>
      <c r="M576" s="14"/>
      <c r="N576" s="14"/>
      <c r="O576" s="14"/>
      <c r="P576" s="14"/>
      <c r="Q576" s="14"/>
      <c r="R576" s="18"/>
      <c r="S576" s="18"/>
      <c r="T576" s="93"/>
      <c r="U576" s="20"/>
      <c r="V576" s="14"/>
      <c r="W576" s="14"/>
      <c r="X576" s="14"/>
      <c r="Y576" s="14"/>
      <c r="Z576" s="14"/>
      <c r="AA576" s="14"/>
      <c r="AB576" s="14"/>
      <c r="AC576" s="14"/>
      <c r="AD576" s="14"/>
      <c r="AE576" s="14"/>
      <c r="AF576" s="14"/>
      <c r="AG576" s="14"/>
      <c r="AH576" s="14"/>
      <c r="AI576" s="14"/>
      <c r="AJ576" s="14"/>
      <c r="AK576" s="14"/>
      <c r="AL576" s="14"/>
      <c r="AM576" s="14"/>
      <c r="AN576" s="14"/>
    </row>
    <row r="577" ht="15.75" customHeight="1">
      <c r="A577" s="14"/>
      <c r="B577" s="14"/>
      <c r="C577" s="14"/>
      <c r="D577" s="14"/>
      <c r="E577" s="14"/>
      <c r="F577" s="14"/>
      <c r="G577" s="14"/>
      <c r="H577" s="14"/>
      <c r="I577" s="14"/>
      <c r="J577" s="14"/>
      <c r="K577" s="14"/>
      <c r="L577" s="14"/>
      <c r="M577" s="14"/>
      <c r="N577" s="14"/>
      <c r="O577" s="14"/>
      <c r="P577" s="14"/>
      <c r="Q577" s="14"/>
      <c r="R577" s="18"/>
      <c r="S577" s="18"/>
      <c r="T577" s="93"/>
      <c r="U577" s="20"/>
      <c r="V577" s="14"/>
      <c r="W577" s="14"/>
      <c r="X577" s="14"/>
      <c r="Y577" s="14"/>
      <c r="Z577" s="14"/>
      <c r="AA577" s="14"/>
      <c r="AB577" s="14"/>
      <c r="AC577" s="14"/>
      <c r="AD577" s="14"/>
      <c r="AE577" s="14"/>
      <c r="AF577" s="14"/>
      <c r="AG577" s="14"/>
      <c r="AH577" s="14"/>
      <c r="AI577" s="14"/>
      <c r="AJ577" s="14"/>
      <c r="AK577" s="14"/>
      <c r="AL577" s="14"/>
      <c r="AM577" s="14"/>
      <c r="AN577" s="14"/>
    </row>
    <row r="578" ht="15.75" customHeight="1">
      <c r="A578" s="14"/>
      <c r="B578" s="14"/>
      <c r="C578" s="14"/>
      <c r="D578" s="14"/>
      <c r="E578" s="14"/>
      <c r="F578" s="14"/>
      <c r="G578" s="14"/>
      <c r="H578" s="14"/>
      <c r="I578" s="14"/>
      <c r="J578" s="14"/>
      <c r="K578" s="14"/>
      <c r="L578" s="14"/>
      <c r="M578" s="14"/>
      <c r="N578" s="14"/>
      <c r="O578" s="14"/>
      <c r="P578" s="14"/>
      <c r="Q578" s="14"/>
      <c r="R578" s="18"/>
      <c r="S578" s="18"/>
      <c r="T578" s="93"/>
      <c r="U578" s="20"/>
      <c r="V578" s="14"/>
      <c r="W578" s="14"/>
      <c r="X578" s="14"/>
      <c r="Y578" s="14"/>
      <c r="Z578" s="14"/>
      <c r="AA578" s="14"/>
      <c r="AB578" s="14"/>
      <c r="AC578" s="14"/>
      <c r="AD578" s="14"/>
      <c r="AE578" s="14"/>
      <c r="AF578" s="14"/>
      <c r="AG578" s="14"/>
      <c r="AH578" s="14"/>
      <c r="AI578" s="14"/>
      <c r="AJ578" s="14"/>
      <c r="AK578" s="14"/>
      <c r="AL578" s="14"/>
      <c r="AM578" s="14"/>
      <c r="AN578" s="14"/>
    </row>
    <row r="579" ht="15.75" customHeight="1">
      <c r="A579" s="14"/>
      <c r="B579" s="14"/>
      <c r="C579" s="14"/>
      <c r="D579" s="14"/>
      <c r="E579" s="14"/>
      <c r="F579" s="14"/>
      <c r="G579" s="14"/>
      <c r="H579" s="14"/>
      <c r="I579" s="14"/>
      <c r="J579" s="14"/>
      <c r="K579" s="14"/>
      <c r="L579" s="14"/>
      <c r="M579" s="14"/>
      <c r="N579" s="14"/>
      <c r="O579" s="14"/>
      <c r="P579" s="14"/>
      <c r="Q579" s="14"/>
      <c r="R579" s="18"/>
      <c r="S579" s="18"/>
      <c r="T579" s="93"/>
      <c r="U579" s="20"/>
      <c r="V579" s="14"/>
      <c r="W579" s="14"/>
      <c r="X579" s="14"/>
      <c r="Y579" s="14"/>
      <c r="Z579" s="14"/>
      <c r="AA579" s="14"/>
      <c r="AB579" s="14"/>
      <c r="AC579" s="14"/>
      <c r="AD579" s="14"/>
      <c r="AE579" s="14"/>
      <c r="AF579" s="14"/>
      <c r="AG579" s="14"/>
      <c r="AH579" s="14"/>
      <c r="AI579" s="14"/>
      <c r="AJ579" s="14"/>
      <c r="AK579" s="14"/>
      <c r="AL579" s="14"/>
      <c r="AM579" s="14"/>
      <c r="AN579" s="14"/>
    </row>
    <row r="580" ht="15.75" customHeight="1">
      <c r="A580" s="14"/>
      <c r="B580" s="14"/>
      <c r="C580" s="14"/>
      <c r="D580" s="14"/>
      <c r="E580" s="14"/>
      <c r="F580" s="14"/>
      <c r="G580" s="14"/>
      <c r="H580" s="14"/>
      <c r="I580" s="14"/>
      <c r="J580" s="14"/>
      <c r="K580" s="14"/>
      <c r="L580" s="14"/>
      <c r="M580" s="14"/>
      <c r="N580" s="14"/>
      <c r="O580" s="14"/>
      <c r="P580" s="14"/>
      <c r="Q580" s="14"/>
      <c r="R580" s="18"/>
      <c r="S580" s="18"/>
      <c r="T580" s="93"/>
      <c r="U580" s="20"/>
      <c r="V580" s="14"/>
      <c r="W580" s="14"/>
      <c r="X580" s="14"/>
      <c r="Y580" s="14"/>
      <c r="Z580" s="14"/>
      <c r="AA580" s="14"/>
      <c r="AB580" s="14"/>
      <c r="AC580" s="14"/>
      <c r="AD580" s="14"/>
      <c r="AE580" s="14"/>
      <c r="AF580" s="14"/>
      <c r="AG580" s="14"/>
      <c r="AH580" s="14"/>
      <c r="AI580" s="14"/>
      <c r="AJ580" s="14"/>
      <c r="AK580" s="14"/>
      <c r="AL580" s="14"/>
      <c r="AM580" s="14"/>
      <c r="AN580" s="14"/>
    </row>
    <row r="581" ht="15.75" customHeight="1">
      <c r="A581" s="14"/>
      <c r="B581" s="14"/>
      <c r="C581" s="14"/>
      <c r="D581" s="14"/>
      <c r="E581" s="14"/>
      <c r="F581" s="14"/>
      <c r="G581" s="14"/>
      <c r="H581" s="14"/>
      <c r="I581" s="14"/>
      <c r="J581" s="14"/>
      <c r="K581" s="14"/>
      <c r="L581" s="14"/>
      <c r="M581" s="14"/>
      <c r="N581" s="14"/>
      <c r="O581" s="14"/>
      <c r="P581" s="14"/>
      <c r="Q581" s="14"/>
      <c r="R581" s="18"/>
      <c r="S581" s="18"/>
      <c r="T581" s="93"/>
      <c r="U581" s="20"/>
      <c r="V581" s="14"/>
      <c r="W581" s="14"/>
      <c r="X581" s="14"/>
      <c r="Y581" s="14"/>
      <c r="Z581" s="14"/>
      <c r="AA581" s="14"/>
      <c r="AB581" s="14"/>
      <c r="AC581" s="14"/>
      <c r="AD581" s="14"/>
      <c r="AE581" s="14"/>
      <c r="AF581" s="14"/>
      <c r="AG581" s="14"/>
      <c r="AH581" s="14"/>
      <c r="AI581" s="14"/>
      <c r="AJ581" s="14"/>
      <c r="AK581" s="14"/>
      <c r="AL581" s="14"/>
      <c r="AM581" s="14"/>
      <c r="AN581" s="14"/>
    </row>
    <row r="582" ht="15.75" customHeight="1">
      <c r="A582" s="14"/>
      <c r="B582" s="14"/>
      <c r="C582" s="14"/>
      <c r="D582" s="14"/>
      <c r="E582" s="14"/>
      <c r="F582" s="14"/>
      <c r="G582" s="14"/>
      <c r="H582" s="14"/>
      <c r="I582" s="14"/>
      <c r="J582" s="14"/>
      <c r="K582" s="14"/>
      <c r="L582" s="14"/>
      <c r="M582" s="14"/>
      <c r="N582" s="14"/>
      <c r="O582" s="14"/>
      <c r="P582" s="14"/>
      <c r="Q582" s="14"/>
      <c r="R582" s="18"/>
      <c r="S582" s="18"/>
      <c r="T582" s="93"/>
      <c r="U582" s="20"/>
      <c r="V582" s="14"/>
      <c r="W582" s="14"/>
      <c r="X582" s="14"/>
      <c r="Y582" s="14"/>
      <c r="Z582" s="14"/>
      <c r="AA582" s="14"/>
      <c r="AB582" s="14"/>
      <c r="AC582" s="14"/>
      <c r="AD582" s="14"/>
      <c r="AE582" s="14"/>
      <c r="AF582" s="14"/>
      <c r="AG582" s="14"/>
      <c r="AH582" s="14"/>
      <c r="AI582" s="14"/>
      <c r="AJ582" s="14"/>
      <c r="AK582" s="14"/>
      <c r="AL582" s="14"/>
      <c r="AM582" s="14"/>
      <c r="AN582" s="14"/>
    </row>
    <row r="583" ht="15.75" customHeight="1">
      <c r="A583" s="14"/>
      <c r="B583" s="14"/>
      <c r="C583" s="14"/>
      <c r="D583" s="14"/>
      <c r="E583" s="14"/>
      <c r="F583" s="14"/>
      <c r="G583" s="14"/>
      <c r="H583" s="14"/>
      <c r="I583" s="14"/>
      <c r="J583" s="14"/>
      <c r="K583" s="14"/>
      <c r="L583" s="14"/>
      <c r="M583" s="14"/>
      <c r="N583" s="14"/>
      <c r="O583" s="14"/>
      <c r="P583" s="14"/>
      <c r="Q583" s="14"/>
      <c r="R583" s="18"/>
      <c r="S583" s="18"/>
      <c r="T583" s="93"/>
      <c r="U583" s="20"/>
      <c r="V583" s="14"/>
      <c r="W583" s="14"/>
      <c r="X583" s="14"/>
      <c r="Y583" s="14"/>
      <c r="Z583" s="14"/>
      <c r="AA583" s="14"/>
      <c r="AB583" s="14"/>
      <c r="AC583" s="14"/>
      <c r="AD583" s="14"/>
      <c r="AE583" s="14"/>
      <c r="AF583" s="14"/>
      <c r="AG583" s="14"/>
      <c r="AH583" s="14"/>
      <c r="AI583" s="14"/>
      <c r="AJ583" s="14"/>
      <c r="AK583" s="14"/>
      <c r="AL583" s="14"/>
      <c r="AM583" s="14"/>
      <c r="AN583" s="14"/>
    </row>
    <row r="584" ht="15.75" customHeight="1">
      <c r="A584" s="14"/>
      <c r="B584" s="14"/>
      <c r="C584" s="14"/>
      <c r="D584" s="14"/>
      <c r="E584" s="14"/>
      <c r="F584" s="14"/>
      <c r="G584" s="14"/>
      <c r="H584" s="14"/>
      <c r="I584" s="14"/>
      <c r="J584" s="14"/>
      <c r="K584" s="14"/>
      <c r="L584" s="14"/>
      <c r="M584" s="14"/>
      <c r="N584" s="14"/>
      <c r="O584" s="14"/>
      <c r="P584" s="14"/>
      <c r="Q584" s="14"/>
      <c r="R584" s="18"/>
      <c r="S584" s="18"/>
      <c r="T584" s="93"/>
      <c r="U584" s="20"/>
      <c r="V584" s="14"/>
      <c r="W584" s="14"/>
      <c r="X584" s="14"/>
      <c r="Y584" s="14"/>
      <c r="Z584" s="14"/>
      <c r="AA584" s="14"/>
      <c r="AB584" s="14"/>
      <c r="AC584" s="14"/>
      <c r="AD584" s="14"/>
      <c r="AE584" s="14"/>
      <c r="AF584" s="14"/>
      <c r="AG584" s="14"/>
      <c r="AH584" s="14"/>
      <c r="AI584" s="14"/>
      <c r="AJ584" s="14"/>
      <c r="AK584" s="14"/>
      <c r="AL584" s="14"/>
      <c r="AM584" s="14"/>
      <c r="AN584" s="14"/>
    </row>
    <row r="585" ht="15.75" customHeight="1">
      <c r="A585" s="14"/>
      <c r="B585" s="14"/>
      <c r="C585" s="14"/>
      <c r="D585" s="14"/>
      <c r="E585" s="14"/>
      <c r="F585" s="14"/>
      <c r="G585" s="14"/>
      <c r="H585" s="14"/>
      <c r="I585" s="14"/>
      <c r="J585" s="14"/>
      <c r="K585" s="14"/>
      <c r="L585" s="14"/>
      <c r="M585" s="14"/>
      <c r="N585" s="14"/>
      <c r="O585" s="14"/>
      <c r="P585" s="14"/>
      <c r="Q585" s="14"/>
      <c r="R585" s="18"/>
      <c r="S585" s="18"/>
      <c r="T585" s="93"/>
      <c r="U585" s="20"/>
      <c r="V585" s="14"/>
      <c r="W585" s="14"/>
      <c r="X585" s="14"/>
      <c r="Y585" s="14"/>
      <c r="Z585" s="14"/>
      <c r="AA585" s="14"/>
      <c r="AB585" s="14"/>
      <c r="AC585" s="14"/>
      <c r="AD585" s="14"/>
      <c r="AE585" s="14"/>
      <c r="AF585" s="14"/>
      <c r="AG585" s="14"/>
      <c r="AH585" s="14"/>
      <c r="AI585" s="14"/>
      <c r="AJ585" s="14"/>
      <c r="AK585" s="14"/>
      <c r="AL585" s="14"/>
      <c r="AM585" s="14"/>
      <c r="AN585" s="14"/>
    </row>
    <row r="586" ht="15.75" customHeight="1">
      <c r="A586" s="14"/>
      <c r="B586" s="14"/>
      <c r="C586" s="14"/>
      <c r="D586" s="14"/>
      <c r="E586" s="14"/>
      <c r="F586" s="14"/>
      <c r="G586" s="14"/>
      <c r="H586" s="14"/>
      <c r="I586" s="14"/>
      <c r="J586" s="14"/>
      <c r="K586" s="14"/>
      <c r="L586" s="14"/>
      <c r="M586" s="14"/>
      <c r="N586" s="14"/>
      <c r="O586" s="14"/>
      <c r="P586" s="14"/>
      <c r="Q586" s="14"/>
      <c r="R586" s="18"/>
      <c r="S586" s="18"/>
      <c r="T586" s="93"/>
      <c r="U586" s="20"/>
      <c r="V586" s="14"/>
      <c r="W586" s="14"/>
      <c r="X586" s="14"/>
      <c r="Y586" s="14"/>
      <c r="Z586" s="14"/>
      <c r="AA586" s="14"/>
      <c r="AB586" s="14"/>
      <c r="AC586" s="14"/>
      <c r="AD586" s="14"/>
      <c r="AE586" s="14"/>
      <c r="AF586" s="14"/>
      <c r="AG586" s="14"/>
      <c r="AH586" s="14"/>
      <c r="AI586" s="14"/>
      <c r="AJ586" s="14"/>
      <c r="AK586" s="14"/>
      <c r="AL586" s="14"/>
      <c r="AM586" s="14"/>
      <c r="AN586" s="14"/>
    </row>
    <row r="587" ht="15.75" customHeight="1">
      <c r="A587" s="14"/>
      <c r="B587" s="14"/>
      <c r="C587" s="14"/>
      <c r="D587" s="14"/>
      <c r="E587" s="14"/>
      <c r="F587" s="14"/>
      <c r="G587" s="14"/>
      <c r="H587" s="14"/>
      <c r="I587" s="14"/>
      <c r="J587" s="14"/>
      <c r="K587" s="14"/>
      <c r="L587" s="14"/>
      <c r="M587" s="14"/>
      <c r="N587" s="14"/>
      <c r="O587" s="14"/>
      <c r="P587" s="14"/>
      <c r="Q587" s="14"/>
      <c r="R587" s="18"/>
      <c r="S587" s="18"/>
      <c r="T587" s="93"/>
      <c r="U587" s="20"/>
      <c r="V587" s="14"/>
      <c r="W587" s="14"/>
      <c r="X587" s="14"/>
      <c r="Y587" s="14"/>
      <c r="Z587" s="14"/>
      <c r="AA587" s="14"/>
      <c r="AB587" s="14"/>
      <c r="AC587" s="14"/>
      <c r="AD587" s="14"/>
      <c r="AE587" s="14"/>
      <c r="AF587" s="14"/>
      <c r="AG587" s="14"/>
      <c r="AH587" s="14"/>
      <c r="AI587" s="14"/>
      <c r="AJ587" s="14"/>
      <c r="AK587" s="14"/>
      <c r="AL587" s="14"/>
      <c r="AM587" s="14"/>
      <c r="AN587" s="14"/>
    </row>
    <row r="588" ht="15.75" customHeight="1">
      <c r="A588" s="14"/>
      <c r="B588" s="14"/>
      <c r="C588" s="14"/>
      <c r="D588" s="14"/>
      <c r="E588" s="14"/>
      <c r="F588" s="14"/>
      <c r="G588" s="14"/>
      <c r="H588" s="14"/>
      <c r="I588" s="14"/>
      <c r="J588" s="14"/>
      <c r="K588" s="14"/>
      <c r="L588" s="14"/>
      <c r="M588" s="14"/>
      <c r="N588" s="14"/>
      <c r="O588" s="14"/>
      <c r="P588" s="14"/>
      <c r="Q588" s="14"/>
      <c r="R588" s="18"/>
      <c r="S588" s="18"/>
      <c r="T588" s="93"/>
      <c r="U588" s="20"/>
      <c r="V588" s="14"/>
      <c r="W588" s="14"/>
      <c r="X588" s="14"/>
      <c r="Y588" s="14"/>
      <c r="Z588" s="14"/>
      <c r="AA588" s="14"/>
      <c r="AB588" s="14"/>
      <c r="AC588" s="14"/>
      <c r="AD588" s="14"/>
      <c r="AE588" s="14"/>
      <c r="AF588" s="14"/>
      <c r="AG588" s="14"/>
      <c r="AH588" s="14"/>
      <c r="AI588" s="14"/>
      <c r="AJ588" s="14"/>
      <c r="AK588" s="14"/>
      <c r="AL588" s="14"/>
      <c r="AM588" s="14"/>
      <c r="AN588" s="14"/>
    </row>
    <row r="589" ht="15.75" customHeight="1">
      <c r="A589" s="14"/>
      <c r="B589" s="14"/>
      <c r="C589" s="14"/>
      <c r="D589" s="14"/>
      <c r="E589" s="14"/>
      <c r="F589" s="14"/>
      <c r="G589" s="14"/>
      <c r="H589" s="14"/>
      <c r="I589" s="14"/>
      <c r="J589" s="14"/>
      <c r="K589" s="14"/>
      <c r="L589" s="14"/>
      <c r="M589" s="14"/>
      <c r="N589" s="14"/>
      <c r="O589" s="14"/>
      <c r="P589" s="14"/>
      <c r="Q589" s="14"/>
      <c r="R589" s="18"/>
      <c r="S589" s="18"/>
      <c r="T589" s="93"/>
      <c r="U589" s="20"/>
      <c r="V589" s="14"/>
      <c r="W589" s="14"/>
      <c r="X589" s="14"/>
      <c r="Y589" s="14"/>
      <c r="Z589" s="14"/>
      <c r="AA589" s="14"/>
      <c r="AB589" s="14"/>
      <c r="AC589" s="14"/>
      <c r="AD589" s="14"/>
      <c r="AE589" s="14"/>
      <c r="AF589" s="14"/>
      <c r="AG589" s="14"/>
      <c r="AH589" s="14"/>
      <c r="AI589" s="14"/>
      <c r="AJ589" s="14"/>
      <c r="AK589" s="14"/>
      <c r="AL589" s="14"/>
      <c r="AM589" s="14"/>
      <c r="AN589" s="14"/>
    </row>
    <row r="590" ht="15.75" customHeight="1">
      <c r="A590" s="14"/>
      <c r="B590" s="14"/>
      <c r="C590" s="14"/>
      <c r="D590" s="14"/>
      <c r="E590" s="14"/>
      <c r="F590" s="14"/>
      <c r="G590" s="14"/>
      <c r="H590" s="14"/>
      <c r="I590" s="14"/>
      <c r="J590" s="14"/>
      <c r="K590" s="14"/>
      <c r="L590" s="14"/>
      <c r="M590" s="14"/>
      <c r="N590" s="14"/>
      <c r="O590" s="14"/>
      <c r="P590" s="14"/>
      <c r="Q590" s="14"/>
      <c r="R590" s="18"/>
      <c r="S590" s="18"/>
      <c r="T590" s="93"/>
      <c r="U590" s="20"/>
      <c r="V590" s="14"/>
      <c r="W590" s="14"/>
      <c r="X590" s="14"/>
      <c r="Y590" s="14"/>
      <c r="Z590" s="14"/>
      <c r="AA590" s="14"/>
      <c r="AB590" s="14"/>
      <c r="AC590" s="14"/>
      <c r="AD590" s="14"/>
      <c r="AE590" s="14"/>
      <c r="AF590" s="14"/>
      <c r="AG590" s="14"/>
      <c r="AH590" s="14"/>
      <c r="AI590" s="14"/>
      <c r="AJ590" s="14"/>
      <c r="AK590" s="14"/>
      <c r="AL590" s="14"/>
      <c r="AM590" s="14"/>
      <c r="AN590" s="14"/>
    </row>
    <row r="591" ht="15.75" customHeight="1">
      <c r="A591" s="14"/>
      <c r="B591" s="14"/>
      <c r="C591" s="14"/>
      <c r="D591" s="14"/>
      <c r="E591" s="14"/>
      <c r="F591" s="14"/>
      <c r="G591" s="14"/>
      <c r="H591" s="14"/>
      <c r="I591" s="14"/>
      <c r="J591" s="14"/>
      <c r="K591" s="14"/>
      <c r="L591" s="14"/>
      <c r="M591" s="14"/>
      <c r="N591" s="14"/>
      <c r="O591" s="14"/>
      <c r="P591" s="14"/>
      <c r="Q591" s="14"/>
      <c r="R591" s="18"/>
      <c r="S591" s="18"/>
      <c r="T591" s="93"/>
      <c r="U591" s="20"/>
      <c r="V591" s="14"/>
      <c r="W591" s="14"/>
      <c r="X591" s="14"/>
      <c r="Y591" s="14"/>
      <c r="Z591" s="14"/>
      <c r="AA591" s="14"/>
      <c r="AB591" s="14"/>
      <c r="AC591" s="14"/>
      <c r="AD591" s="14"/>
      <c r="AE591" s="14"/>
      <c r="AF591" s="14"/>
      <c r="AG591" s="14"/>
      <c r="AH591" s="14"/>
      <c r="AI591" s="14"/>
      <c r="AJ591" s="14"/>
      <c r="AK591" s="14"/>
      <c r="AL591" s="14"/>
      <c r="AM591" s="14"/>
      <c r="AN591" s="14"/>
    </row>
    <row r="592" ht="15.75" customHeight="1">
      <c r="A592" s="14"/>
      <c r="B592" s="14"/>
      <c r="C592" s="14"/>
      <c r="D592" s="14"/>
      <c r="E592" s="14"/>
      <c r="F592" s="14"/>
      <c r="G592" s="14"/>
      <c r="H592" s="14"/>
      <c r="I592" s="14"/>
      <c r="J592" s="14"/>
      <c r="K592" s="14"/>
      <c r="L592" s="14"/>
      <c r="M592" s="14"/>
      <c r="N592" s="14"/>
      <c r="O592" s="14"/>
      <c r="P592" s="14"/>
      <c r="Q592" s="14"/>
      <c r="R592" s="18"/>
      <c r="S592" s="18"/>
      <c r="T592" s="93"/>
      <c r="U592" s="20"/>
      <c r="V592" s="14"/>
      <c r="W592" s="14"/>
      <c r="X592" s="14"/>
      <c r="Y592" s="14"/>
      <c r="Z592" s="14"/>
      <c r="AA592" s="14"/>
      <c r="AB592" s="14"/>
      <c r="AC592" s="14"/>
      <c r="AD592" s="14"/>
      <c r="AE592" s="14"/>
      <c r="AF592" s="14"/>
      <c r="AG592" s="14"/>
      <c r="AH592" s="14"/>
      <c r="AI592" s="14"/>
      <c r="AJ592" s="14"/>
      <c r="AK592" s="14"/>
      <c r="AL592" s="14"/>
      <c r="AM592" s="14"/>
      <c r="AN592" s="14"/>
    </row>
    <row r="593" ht="15.75" customHeight="1">
      <c r="A593" s="14"/>
      <c r="B593" s="14"/>
      <c r="C593" s="14"/>
      <c r="D593" s="14"/>
      <c r="E593" s="14"/>
      <c r="F593" s="14"/>
      <c r="G593" s="14"/>
      <c r="H593" s="14"/>
      <c r="I593" s="14"/>
      <c r="J593" s="14"/>
      <c r="K593" s="14"/>
      <c r="L593" s="14"/>
      <c r="M593" s="14"/>
      <c r="N593" s="14"/>
      <c r="O593" s="14"/>
      <c r="P593" s="14"/>
      <c r="Q593" s="14"/>
      <c r="R593" s="18"/>
      <c r="S593" s="18"/>
      <c r="T593" s="93"/>
      <c r="U593" s="20"/>
      <c r="V593" s="14"/>
      <c r="W593" s="14"/>
      <c r="X593" s="14"/>
      <c r="Y593" s="14"/>
      <c r="Z593" s="14"/>
      <c r="AA593" s="14"/>
      <c r="AB593" s="14"/>
      <c r="AC593" s="14"/>
      <c r="AD593" s="14"/>
      <c r="AE593" s="14"/>
      <c r="AF593" s="14"/>
      <c r="AG593" s="14"/>
      <c r="AH593" s="14"/>
      <c r="AI593" s="14"/>
      <c r="AJ593" s="14"/>
      <c r="AK593" s="14"/>
      <c r="AL593" s="14"/>
      <c r="AM593" s="14"/>
      <c r="AN593" s="14"/>
    </row>
    <row r="594" ht="15.75" customHeight="1">
      <c r="A594" s="14"/>
      <c r="B594" s="14"/>
      <c r="C594" s="14"/>
      <c r="D594" s="14"/>
      <c r="E594" s="14"/>
      <c r="F594" s="14"/>
      <c r="G594" s="14"/>
      <c r="H594" s="14"/>
      <c r="I594" s="14"/>
      <c r="J594" s="14"/>
      <c r="K594" s="14"/>
      <c r="L594" s="14"/>
      <c r="M594" s="14"/>
      <c r="N594" s="14"/>
      <c r="O594" s="14"/>
      <c r="P594" s="14"/>
      <c r="Q594" s="14"/>
      <c r="R594" s="18"/>
      <c r="S594" s="18"/>
      <c r="T594" s="93"/>
      <c r="U594" s="20"/>
      <c r="V594" s="14"/>
      <c r="W594" s="14"/>
      <c r="X594" s="14"/>
      <c r="Y594" s="14"/>
      <c r="Z594" s="14"/>
      <c r="AA594" s="14"/>
      <c r="AB594" s="14"/>
      <c r="AC594" s="14"/>
      <c r="AD594" s="14"/>
      <c r="AE594" s="14"/>
      <c r="AF594" s="14"/>
      <c r="AG594" s="14"/>
      <c r="AH594" s="14"/>
      <c r="AI594" s="14"/>
      <c r="AJ594" s="14"/>
      <c r="AK594" s="14"/>
      <c r="AL594" s="14"/>
      <c r="AM594" s="14"/>
      <c r="AN594" s="14"/>
    </row>
    <row r="595" ht="15.75" customHeight="1">
      <c r="A595" s="14"/>
      <c r="B595" s="14"/>
      <c r="C595" s="14"/>
      <c r="D595" s="14"/>
      <c r="E595" s="14"/>
      <c r="F595" s="14"/>
      <c r="G595" s="14"/>
      <c r="H595" s="14"/>
      <c r="I595" s="14"/>
      <c r="J595" s="14"/>
      <c r="K595" s="14"/>
      <c r="L595" s="14"/>
      <c r="M595" s="14"/>
      <c r="N595" s="14"/>
      <c r="O595" s="14"/>
      <c r="P595" s="14"/>
      <c r="Q595" s="14"/>
      <c r="R595" s="18"/>
      <c r="S595" s="18"/>
      <c r="T595" s="93"/>
      <c r="U595" s="20"/>
      <c r="V595" s="14"/>
      <c r="W595" s="14"/>
      <c r="X595" s="14"/>
      <c r="Y595" s="14"/>
      <c r="Z595" s="14"/>
      <c r="AA595" s="14"/>
      <c r="AB595" s="14"/>
      <c r="AC595" s="14"/>
      <c r="AD595" s="14"/>
      <c r="AE595" s="14"/>
      <c r="AF595" s="14"/>
      <c r="AG595" s="14"/>
      <c r="AH595" s="14"/>
      <c r="AI595" s="14"/>
      <c r="AJ595" s="14"/>
      <c r="AK595" s="14"/>
      <c r="AL595" s="14"/>
      <c r="AM595" s="14"/>
      <c r="AN595" s="14"/>
    </row>
    <row r="596" ht="15.75" customHeight="1">
      <c r="A596" s="14"/>
      <c r="B596" s="14"/>
      <c r="C596" s="14"/>
      <c r="D596" s="14"/>
      <c r="E596" s="14"/>
      <c r="F596" s="14"/>
      <c r="G596" s="14"/>
      <c r="H596" s="14"/>
      <c r="I596" s="14"/>
      <c r="J596" s="14"/>
      <c r="K596" s="14"/>
      <c r="L596" s="14"/>
      <c r="M596" s="14"/>
      <c r="N596" s="14"/>
      <c r="O596" s="14"/>
      <c r="P596" s="14"/>
      <c r="Q596" s="14"/>
      <c r="R596" s="18"/>
      <c r="S596" s="18"/>
      <c r="T596" s="93"/>
      <c r="U596" s="20"/>
      <c r="V596" s="14"/>
      <c r="W596" s="14"/>
      <c r="X596" s="14"/>
      <c r="Y596" s="14"/>
      <c r="Z596" s="14"/>
      <c r="AA596" s="14"/>
      <c r="AB596" s="14"/>
      <c r="AC596" s="14"/>
      <c r="AD596" s="14"/>
      <c r="AE596" s="14"/>
      <c r="AF596" s="14"/>
      <c r="AG596" s="14"/>
      <c r="AH596" s="14"/>
      <c r="AI596" s="14"/>
      <c r="AJ596" s="14"/>
      <c r="AK596" s="14"/>
      <c r="AL596" s="14"/>
      <c r="AM596" s="14"/>
      <c r="AN596" s="14"/>
    </row>
    <row r="597" ht="15.75" customHeight="1">
      <c r="A597" s="14"/>
      <c r="B597" s="14"/>
      <c r="C597" s="14"/>
      <c r="D597" s="14"/>
      <c r="E597" s="14"/>
      <c r="F597" s="14"/>
      <c r="G597" s="14"/>
      <c r="H597" s="14"/>
      <c r="I597" s="14"/>
      <c r="J597" s="14"/>
      <c r="K597" s="14"/>
      <c r="L597" s="14"/>
      <c r="M597" s="14"/>
      <c r="N597" s="14"/>
      <c r="O597" s="14"/>
      <c r="P597" s="14"/>
      <c r="Q597" s="14"/>
      <c r="R597" s="18"/>
      <c r="S597" s="18"/>
      <c r="T597" s="93"/>
      <c r="U597" s="20"/>
      <c r="V597" s="14"/>
      <c r="W597" s="14"/>
      <c r="X597" s="14"/>
      <c r="Y597" s="14"/>
      <c r="Z597" s="14"/>
      <c r="AA597" s="14"/>
      <c r="AB597" s="14"/>
      <c r="AC597" s="14"/>
      <c r="AD597" s="14"/>
      <c r="AE597" s="14"/>
      <c r="AF597" s="14"/>
      <c r="AG597" s="14"/>
      <c r="AH597" s="14"/>
      <c r="AI597" s="14"/>
      <c r="AJ597" s="14"/>
      <c r="AK597" s="14"/>
      <c r="AL597" s="14"/>
      <c r="AM597" s="14"/>
      <c r="AN597" s="14"/>
    </row>
    <row r="598" ht="15.75" customHeight="1">
      <c r="A598" s="14"/>
      <c r="B598" s="14"/>
      <c r="C598" s="14"/>
      <c r="D598" s="14"/>
      <c r="E598" s="14"/>
      <c r="F598" s="14"/>
      <c r="G598" s="14"/>
      <c r="H598" s="14"/>
      <c r="I598" s="14"/>
      <c r="J598" s="14"/>
      <c r="K598" s="14"/>
      <c r="L598" s="14"/>
      <c r="M598" s="14"/>
      <c r="N598" s="14"/>
      <c r="O598" s="14"/>
      <c r="P598" s="14"/>
      <c r="Q598" s="14"/>
      <c r="R598" s="18"/>
      <c r="S598" s="18"/>
      <c r="T598" s="93"/>
      <c r="U598" s="20"/>
      <c r="V598" s="14"/>
      <c r="W598" s="14"/>
      <c r="X598" s="14"/>
      <c r="Y598" s="14"/>
      <c r="Z598" s="14"/>
      <c r="AA598" s="14"/>
      <c r="AB598" s="14"/>
      <c r="AC598" s="14"/>
      <c r="AD598" s="14"/>
      <c r="AE598" s="14"/>
      <c r="AF598" s="14"/>
      <c r="AG598" s="14"/>
      <c r="AH598" s="14"/>
      <c r="AI598" s="14"/>
      <c r="AJ598" s="14"/>
      <c r="AK598" s="14"/>
      <c r="AL598" s="14"/>
      <c r="AM598" s="14"/>
      <c r="AN598" s="14"/>
    </row>
    <row r="599" ht="15.75" customHeight="1">
      <c r="A599" s="14"/>
      <c r="B599" s="14"/>
      <c r="C599" s="14"/>
      <c r="D599" s="14"/>
      <c r="E599" s="14"/>
      <c r="F599" s="14"/>
      <c r="G599" s="14"/>
      <c r="H599" s="14"/>
      <c r="I599" s="14"/>
      <c r="J599" s="14"/>
      <c r="K599" s="14"/>
      <c r="L599" s="14"/>
      <c r="M599" s="14"/>
      <c r="N599" s="14"/>
      <c r="O599" s="14"/>
      <c r="P599" s="14"/>
      <c r="Q599" s="14"/>
      <c r="R599" s="18"/>
      <c r="S599" s="18"/>
      <c r="T599" s="93"/>
      <c r="U599" s="20"/>
      <c r="V599" s="14"/>
      <c r="W599" s="14"/>
      <c r="X599" s="14"/>
      <c r="Y599" s="14"/>
      <c r="Z599" s="14"/>
      <c r="AA599" s="14"/>
      <c r="AB599" s="14"/>
      <c r="AC599" s="14"/>
      <c r="AD599" s="14"/>
      <c r="AE599" s="14"/>
      <c r="AF599" s="14"/>
      <c r="AG599" s="14"/>
      <c r="AH599" s="14"/>
      <c r="AI599" s="14"/>
      <c r="AJ599" s="14"/>
      <c r="AK599" s="14"/>
      <c r="AL599" s="14"/>
      <c r="AM599" s="14"/>
      <c r="AN599" s="14"/>
    </row>
    <row r="600" ht="15.75" customHeight="1">
      <c r="A600" s="14"/>
      <c r="B600" s="14"/>
      <c r="C600" s="14"/>
      <c r="D600" s="14"/>
      <c r="E600" s="14"/>
      <c r="F600" s="14"/>
      <c r="G600" s="14"/>
      <c r="H600" s="14"/>
      <c r="I600" s="14"/>
      <c r="J600" s="14"/>
      <c r="K600" s="14"/>
      <c r="L600" s="14"/>
      <c r="M600" s="14"/>
      <c r="N600" s="14"/>
      <c r="O600" s="14"/>
      <c r="P600" s="14"/>
      <c r="Q600" s="14"/>
      <c r="R600" s="18"/>
      <c r="S600" s="18"/>
      <c r="T600" s="93"/>
      <c r="U600" s="20"/>
      <c r="V600" s="14"/>
      <c r="W600" s="14"/>
      <c r="X600" s="14"/>
      <c r="Y600" s="14"/>
      <c r="Z600" s="14"/>
      <c r="AA600" s="14"/>
      <c r="AB600" s="14"/>
      <c r="AC600" s="14"/>
      <c r="AD600" s="14"/>
      <c r="AE600" s="14"/>
      <c r="AF600" s="14"/>
      <c r="AG600" s="14"/>
      <c r="AH600" s="14"/>
      <c r="AI600" s="14"/>
      <c r="AJ600" s="14"/>
      <c r="AK600" s="14"/>
      <c r="AL600" s="14"/>
      <c r="AM600" s="14"/>
      <c r="AN600" s="14"/>
    </row>
    <row r="601" ht="15.75" customHeight="1">
      <c r="A601" s="14"/>
      <c r="B601" s="14"/>
      <c r="C601" s="14"/>
      <c r="D601" s="14"/>
      <c r="E601" s="14"/>
      <c r="F601" s="14"/>
      <c r="G601" s="14"/>
      <c r="H601" s="14"/>
      <c r="I601" s="14"/>
      <c r="J601" s="14"/>
      <c r="K601" s="14"/>
      <c r="L601" s="14"/>
      <c r="M601" s="14"/>
      <c r="N601" s="14"/>
      <c r="O601" s="14"/>
      <c r="P601" s="14"/>
      <c r="Q601" s="14"/>
      <c r="R601" s="18"/>
      <c r="S601" s="18"/>
      <c r="T601" s="93"/>
      <c r="U601" s="20"/>
      <c r="V601" s="14"/>
      <c r="W601" s="14"/>
      <c r="X601" s="14"/>
      <c r="Y601" s="14"/>
      <c r="Z601" s="14"/>
      <c r="AA601" s="14"/>
      <c r="AB601" s="14"/>
      <c r="AC601" s="14"/>
      <c r="AD601" s="14"/>
      <c r="AE601" s="14"/>
      <c r="AF601" s="14"/>
      <c r="AG601" s="14"/>
      <c r="AH601" s="14"/>
      <c r="AI601" s="14"/>
      <c r="AJ601" s="14"/>
      <c r="AK601" s="14"/>
      <c r="AL601" s="14"/>
      <c r="AM601" s="14"/>
      <c r="AN601" s="14"/>
    </row>
    <row r="602" ht="15.75" customHeight="1">
      <c r="A602" s="14"/>
      <c r="B602" s="14"/>
      <c r="C602" s="14"/>
      <c r="D602" s="14"/>
      <c r="E602" s="14"/>
      <c r="F602" s="14"/>
      <c r="G602" s="14"/>
      <c r="H602" s="14"/>
      <c r="I602" s="14"/>
      <c r="J602" s="14"/>
      <c r="K602" s="14"/>
      <c r="L602" s="14"/>
      <c r="M602" s="14"/>
      <c r="N602" s="14"/>
      <c r="O602" s="14"/>
      <c r="P602" s="14"/>
      <c r="Q602" s="14"/>
      <c r="R602" s="18"/>
      <c r="S602" s="18"/>
      <c r="T602" s="93"/>
      <c r="U602" s="20"/>
      <c r="V602" s="14"/>
      <c r="W602" s="14"/>
      <c r="X602" s="14"/>
      <c r="Y602" s="14"/>
      <c r="Z602" s="14"/>
      <c r="AA602" s="14"/>
      <c r="AB602" s="14"/>
      <c r="AC602" s="14"/>
      <c r="AD602" s="14"/>
      <c r="AE602" s="14"/>
      <c r="AF602" s="14"/>
      <c r="AG602" s="14"/>
      <c r="AH602" s="14"/>
      <c r="AI602" s="14"/>
      <c r="AJ602" s="14"/>
      <c r="AK602" s="14"/>
      <c r="AL602" s="14"/>
      <c r="AM602" s="14"/>
      <c r="AN602" s="14"/>
    </row>
    <row r="603" ht="15.75" customHeight="1">
      <c r="A603" s="14"/>
      <c r="B603" s="14"/>
      <c r="C603" s="14"/>
      <c r="D603" s="14"/>
      <c r="E603" s="14"/>
      <c r="F603" s="14"/>
      <c r="G603" s="14"/>
      <c r="H603" s="14"/>
      <c r="I603" s="14"/>
      <c r="J603" s="14"/>
      <c r="K603" s="14"/>
      <c r="L603" s="14"/>
      <c r="M603" s="14"/>
      <c r="N603" s="14"/>
      <c r="O603" s="14"/>
      <c r="P603" s="14"/>
      <c r="Q603" s="14"/>
      <c r="R603" s="18"/>
      <c r="S603" s="18"/>
      <c r="T603" s="93"/>
      <c r="U603" s="20"/>
      <c r="V603" s="14"/>
      <c r="W603" s="14"/>
      <c r="X603" s="14"/>
      <c r="Y603" s="14"/>
      <c r="Z603" s="14"/>
      <c r="AA603" s="14"/>
      <c r="AB603" s="14"/>
      <c r="AC603" s="14"/>
      <c r="AD603" s="14"/>
      <c r="AE603" s="14"/>
      <c r="AF603" s="14"/>
      <c r="AG603" s="14"/>
      <c r="AH603" s="14"/>
      <c r="AI603" s="14"/>
      <c r="AJ603" s="14"/>
      <c r="AK603" s="14"/>
      <c r="AL603" s="14"/>
      <c r="AM603" s="14"/>
      <c r="AN603" s="14"/>
    </row>
    <row r="604" ht="15.75" customHeight="1">
      <c r="A604" s="14"/>
      <c r="B604" s="14"/>
      <c r="C604" s="14"/>
      <c r="D604" s="14"/>
      <c r="E604" s="14"/>
      <c r="F604" s="14"/>
      <c r="G604" s="14"/>
      <c r="H604" s="14"/>
      <c r="I604" s="14"/>
      <c r="J604" s="14"/>
      <c r="K604" s="14"/>
      <c r="L604" s="14"/>
      <c r="M604" s="14"/>
      <c r="N604" s="14"/>
      <c r="O604" s="14"/>
      <c r="P604" s="14"/>
      <c r="Q604" s="14"/>
      <c r="R604" s="18"/>
      <c r="S604" s="18"/>
      <c r="T604" s="93"/>
      <c r="U604" s="20"/>
      <c r="V604" s="14"/>
      <c r="W604" s="14"/>
      <c r="X604" s="14"/>
      <c r="Y604" s="14"/>
      <c r="Z604" s="14"/>
      <c r="AA604" s="14"/>
      <c r="AB604" s="14"/>
      <c r="AC604" s="14"/>
      <c r="AD604" s="14"/>
      <c r="AE604" s="14"/>
      <c r="AF604" s="14"/>
      <c r="AG604" s="14"/>
      <c r="AH604" s="14"/>
      <c r="AI604" s="14"/>
      <c r="AJ604" s="14"/>
      <c r="AK604" s="14"/>
      <c r="AL604" s="14"/>
      <c r="AM604" s="14"/>
      <c r="AN604" s="14"/>
    </row>
    <row r="605" ht="15.75" customHeight="1">
      <c r="A605" s="14"/>
      <c r="B605" s="14"/>
      <c r="C605" s="14"/>
      <c r="D605" s="14"/>
      <c r="E605" s="14"/>
      <c r="F605" s="14"/>
      <c r="G605" s="14"/>
      <c r="H605" s="14"/>
      <c r="I605" s="14"/>
      <c r="J605" s="14"/>
      <c r="K605" s="14"/>
      <c r="L605" s="14"/>
      <c r="M605" s="14"/>
      <c r="N605" s="14"/>
      <c r="O605" s="14"/>
      <c r="P605" s="14"/>
      <c r="Q605" s="14"/>
      <c r="R605" s="18"/>
      <c r="S605" s="18"/>
      <c r="T605" s="93"/>
      <c r="U605" s="20"/>
      <c r="V605" s="14"/>
      <c r="W605" s="14"/>
      <c r="X605" s="14"/>
      <c r="Y605" s="14"/>
      <c r="Z605" s="14"/>
      <c r="AA605" s="14"/>
      <c r="AB605" s="14"/>
      <c r="AC605" s="14"/>
      <c r="AD605" s="14"/>
      <c r="AE605" s="14"/>
      <c r="AF605" s="14"/>
      <c r="AG605" s="14"/>
      <c r="AH605" s="14"/>
      <c r="AI605" s="14"/>
      <c r="AJ605" s="14"/>
      <c r="AK605" s="14"/>
      <c r="AL605" s="14"/>
      <c r="AM605" s="14"/>
      <c r="AN605" s="14"/>
    </row>
    <row r="606" ht="15.75" customHeight="1">
      <c r="A606" s="14"/>
      <c r="B606" s="14"/>
      <c r="C606" s="14"/>
      <c r="D606" s="14"/>
      <c r="E606" s="14"/>
      <c r="F606" s="14"/>
      <c r="G606" s="14"/>
      <c r="H606" s="14"/>
      <c r="I606" s="14"/>
      <c r="J606" s="14"/>
      <c r="K606" s="14"/>
      <c r="L606" s="14"/>
      <c r="M606" s="14"/>
      <c r="N606" s="14"/>
      <c r="O606" s="14"/>
      <c r="P606" s="14"/>
      <c r="Q606" s="14"/>
      <c r="R606" s="18"/>
      <c r="S606" s="18"/>
      <c r="T606" s="93"/>
      <c r="U606" s="20"/>
      <c r="V606" s="14"/>
      <c r="W606" s="14"/>
      <c r="X606" s="14"/>
      <c r="Y606" s="14"/>
      <c r="Z606" s="14"/>
      <c r="AA606" s="14"/>
      <c r="AB606" s="14"/>
      <c r="AC606" s="14"/>
      <c r="AD606" s="14"/>
      <c r="AE606" s="14"/>
      <c r="AF606" s="14"/>
      <c r="AG606" s="14"/>
      <c r="AH606" s="14"/>
      <c r="AI606" s="14"/>
      <c r="AJ606" s="14"/>
      <c r="AK606" s="14"/>
      <c r="AL606" s="14"/>
      <c r="AM606" s="14"/>
      <c r="AN606" s="14"/>
    </row>
    <row r="607" ht="15.75" customHeight="1">
      <c r="A607" s="14"/>
      <c r="B607" s="14"/>
      <c r="C607" s="14"/>
      <c r="D607" s="14"/>
      <c r="E607" s="14"/>
      <c r="F607" s="14"/>
      <c r="G607" s="14"/>
      <c r="H607" s="14"/>
      <c r="I607" s="14"/>
      <c r="J607" s="14"/>
      <c r="K607" s="14"/>
      <c r="L607" s="14"/>
      <c r="M607" s="14"/>
      <c r="N607" s="14"/>
      <c r="O607" s="14"/>
      <c r="P607" s="14"/>
      <c r="Q607" s="14"/>
      <c r="R607" s="18"/>
      <c r="S607" s="18"/>
      <c r="T607" s="93"/>
      <c r="U607" s="20"/>
      <c r="V607" s="14"/>
      <c r="W607" s="14"/>
      <c r="X607" s="14"/>
      <c r="Y607" s="14"/>
      <c r="Z607" s="14"/>
      <c r="AA607" s="14"/>
      <c r="AB607" s="14"/>
      <c r="AC607" s="14"/>
      <c r="AD607" s="14"/>
      <c r="AE607" s="14"/>
      <c r="AF607" s="14"/>
      <c r="AG607" s="14"/>
      <c r="AH607" s="14"/>
      <c r="AI607" s="14"/>
      <c r="AJ607" s="14"/>
      <c r="AK607" s="14"/>
      <c r="AL607" s="14"/>
      <c r="AM607" s="14"/>
      <c r="AN607" s="14"/>
    </row>
    <row r="608" ht="15.75" customHeight="1">
      <c r="A608" s="14"/>
      <c r="B608" s="14"/>
      <c r="C608" s="14"/>
      <c r="D608" s="14"/>
      <c r="E608" s="14"/>
      <c r="F608" s="14"/>
      <c r="G608" s="14"/>
      <c r="H608" s="14"/>
      <c r="I608" s="14"/>
      <c r="J608" s="14"/>
      <c r="K608" s="14"/>
      <c r="L608" s="14"/>
      <c r="M608" s="14"/>
      <c r="N608" s="14"/>
      <c r="O608" s="14"/>
      <c r="P608" s="14"/>
      <c r="Q608" s="14"/>
      <c r="R608" s="18"/>
      <c r="S608" s="18"/>
      <c r="T608" s="93"/>
      <c r="U608" s="20"/>
      <c r="V608" s="14"/>
      <c r="W608" s="14"/>
      <c r="X608" s="14"/>
      <c r="Y608" s="14"/>
      <c r="Z608" s="14"/>
      <c r="AA608" s="14"/>
      <c r="AB608" s="14"/>
      <c r="AC608" s="14"/>
      <c r="AD608" s="14"/>
      <c r="AE608" s="14"/>
      <c r="AF608" s="14"/>
      <c r="AG608" s="14"/>
      <c r="AH608" s="14"/>
      <c r="AI608" s="14"/>
      <c r="AJ608" s="14"/>
      <c r="AK608" s="14"/>
      <c r="AL608" s="14"/>
      <c r="AM608" s="14"/>
      <c r="AN608" s="14"/>
    </row>
    <row r="609" ht="15.75" customHeight="1">
      <c r="A609" s="14"/>
      <c r="B609" s="14"/>
      <c r="C609" s="14"/>
      <c r="D609" s="14"/>
      <c r="E609" s="14"/>
      <c r="F609" s="14"/>
      <c r="G609" s="14"/>
      <c r="H609" s="14"/>
      <c r="I609" s="14"/>
      <c r="J609" s="14"/>
      <c r="K609" s="14"/>
      <c r="L609" s="14"/>
      <c r="M609" s="14"/>
      <c r="N609" s="14"/>
      <c r="O609" s="14"/>
      <c r="P609" s="14"/>
      <c r="Q609" s="14"/>
      <c r="R609" s="18"/>
      <c r="S609" s="18"/>
      <c r="T609" s="93"/>
      <c r="U609" s="20"/>
      <c r="V609" s="14"/>
      <c r="W609" s="14"/>
      <c r="X609" s="14"/>
      <c r="Y609" s="14"/>
      <c r="Z609" s="14"/>
      <c r="AA609" s="14"/>
      <c r="AB609" s="14"/>
      <c r="AC609" s="14"/>
      <c r="AD609" s="14"/>
      <c r="AE609" s="14"/>
      <c r="AF609" s="14"/>
      <c r="AG609" s="14"/>
      <c r="AH609" s="14"/>
      <c r="AI609" s="14"/>
      <c r="AJ609" s="14"/>
      <c r="AK609" s="14"/>
      <c r="AL609" s="14"/>
      <c r="AM609" s="14"/>
      <c r="AN609" s="14"/>
    </row>
    <row r="610" ht="15.75" customHeight="1">
      <c r="A610" s="14"/>
      <c r="B610" s="14"/>
      <c r="C610" s="14"/>
      <c r="D610" s="14"/>
      <c r="E610" s="14"/>
      <c r="F610" s="14"/>
      <c r="G610" s="14"/>
      <c r="H610" s="14"/>
      <c r="I610" s="14"/>
      <c r="J610" s="14"/>
      <c r="K610" s="14"/>
      <c r="L610" s="14"/>
      <c r="M610" s="14"/>
      <c r="N610" s="14"/>
      <c r="O610" s="14"/>
      <c r="P610" s="14"/>
      <c r="Q610" s="14"/>
      <c r="R610" s="18"/>
      <c r="S610" s="18"/>
      <c r="T610" s="93"/>
      <c r="U610" s="20"/>
      <c r="V610" s="14"/>
      <c r="W610" s="14"/>
      <c r="X610" s="14"/>
      <c r="Y610" s="14"/>
      <c r="Z610" s="14"/>
      <c r="AA610" s="14"/>
      <c r="AB610" s="14"/>
      <c r="AC610" s="14"/>
      <c r="AD610" s="14"/>
      <c r="AE610" s="14"/>
      <c r="AF610" s="14"/>
      <c r="AG610" s="14"/>
      <c r="AH610" s="14"/>
      <c r="AI610" s="14"/>
      <c r="AJ610" s="14"/>
      <c r="AK610" s="14"/>
      <c r="AL610" s="14"/>
      <c r="AM610" s="14"/>
      <c r="AN610" s="14"/>
    </row>
    <row r="611" ht="15.75" customHeight="1">
      <c r="A611" s="14"/>
      <c r="B611" s="14"/>
      <c r="C611" s="14"/>
      <c r="D611" s="14"/>
      <c r="E611" s="14"/>
      <c r="F611" s="14"/>
      <c r="G611" s="14"/>
      <c r="H611" s="14"/>
      <c r="I611" s="14"/>
      <c r="J611" s="14"/>
      <c r="K611" s="14"/>
      <c r="L611" s="14"/>
      <c r="M611" s="14"/>
      <c r="N611" s="14"/>
      <c r="O611" s="14"/>
      <c r="P611" s="14"/>
      <c r="Q611" s="14"/>
      <c r="R611" s="18"/>
      <c r="S611" s="18"/>
      <c r="T611" s="93"/>
      <c r="U611" s="20"/>
      <c r="V611" s="14"/>
      <c r="W611" s="14"/>
      <c r="X611" s="14"/>
      <c r="Y611" s="14"/>
      <c r="Z611" s="14"/>
      <c r="AA611" s="14"/>
      <c r="AB611" s="14"/>
      <c r="AC611" s="14"/>
      <c r="AD611" s="14"/>
      <c r="AE611" s="14"/>
      <c r="AF611" s="14"/>
      <c r="AG611" s="14"/>
      <c r="AH611" s="14"/>
      <c r="AI611" s="14"/>
      <c r="AJ611" s="14"/>
      <c r="AK611" s="14"/>
      <c r="AL611" s="14"/>
      <c r="AM611" s="14"/>
      <c r="AN611" s="14"/>
    </row>
    <row r="612" ht="15.75" customHeight="1">
      <c r="A612" s="14"/>
      <c r="B612" s="14"/>
      <c r="C612" s="14"/>
      <c r="D612" s="14"/>
      <c r="E612" s="14"/>
      <c r="F612" s="14"/>
      <c r="G612" s="14"/>
      <c r="H612" s="14"/>
      <c r="I612" s="14"/>
      <c r="J612" s="14"/>
      <c r="K612" s="14"/>
      <c r="L612" s="14"/>
      <c r="M612" s="14"/>
      <c r="N612" s="14"/>
      <c r="O612" s="14"/>
      <c r="P612" s="14"/>
      <c r="Q612" s="14"/>
      <c r="R612" s="18"/>
      <c r="S612" s="18"/>
      <c r="T612" s="93"/>
      <c r="U612" s="20"/>
      <c r="V612" s="14"/>
      <c r="W612" s="14"/>
      <c r="X612" s="14"/>
      <c r="Y612" s="14"/>
      <c r="Z612" s="14"/>
      <c r="AA612" s="14"/>
      <c r="AB612" s="14"/>
      <c r="AC612" s="14"/>
      <c r="AD612" s="14"/>
      <c r="AE612" s="14"/>
      <c r="AF612" s="14"/>
      <c r="AG612" s="14"/>
      <c r="AH612" s="14"/>
      <c r="AI612" s="14"/>
      <c r="AJ612" s="14"/>
      <c r="AK612" s="14"/>
      <c r="AL612" s="14"/>
      <c r="AM612" s="14"/>
      <c r="AN612" s="14"/>
    </row>
    <row r="613" ht="15.75" customHeight="1">
      <c r="A613" s="14"/>
      <c r="B613" s="14"/>
      <c r="C613" s="14"/>
      <c r="D613" s="14"/>
      <c r="E613" s="14"/>
      <c r="F613" s="14"/>
      <c r="G613" s="14"/>
      <c r="H613" s="14"/>
      <c r="I613" s="14"/>
      <c r="J613" s="14"/>
      <c r="K613" s="14"/>
      <c r="L613" s="14"/>
      <c r="M613" s="14"/>
      <c r="N613" s="14"/>
      <c r="O613" s="14"/>
      <c r="P613" s="14"/>
      <c r="Q613" s="14"/>
      <c r="R613" s="18"/>
      <c r="S613" s="18"/>
      <c r="T613" s="93"/>
      <c r="U613" s="20"/>
      <c r="V613" s="14"/>
      <c r="W613" s="14"/>
      <c r="X613" s="14"/>
      <c r="Y613" s="14"/>
      <c r="Z613" s="14"/>
      <c r="AA613" s="14"/>
      <c r="AB613" s="14"/>
      <c r="AC613" s="14"/>
      <c r="AD613" s="14"/>
      <c r="AE613" s="14"/>
      <c r="AF613" s="14"/>
      <c r="AG613" s="14"/>
      <c r="AH613" s="14"/>
      <c r="AI613" s="14"/>
      <c r="AJ613" s="14"/>
      <c r="AK613" s="14"/>
      <c r="AL613" s="14"/>
      <c r="AM613" s="14"/>
      <c r="AN613" s="14"/>
    </row>
    <row r="614" ht="15.75" customHeight="1">
      <c r="A614" s="14"/>
      <c r="B614" s="14"/>
      <c r="C614" s="14"/>
      <c r="D614" s="14"/>
      <c r="E614" s="14"/>
      <c r="F614" s="14"/>
      <c r="G614" s="14"/>
      <c r="H614" s="14"/>
      <c r="I614" s="14"/>
      <c r="J614" s="14"/>
      <c r="K614" s="14"/>
      <c r="L614" s="14"/>
      <c r="M614" s="14"/>
      <c r="N614" s="14"/>
      <c r="O614" s="14"/>
      <c r="P614" s="14"/>
      <c r="Q614" s="14"/>
      <c r="R614" s="18"/>
      <c r="S614" s="18"/>
      <c r="T614" s="93"/>
      <c r="U614" s="20"/>
      <c r="V614" s="14"/>
      <c r="W614" s="14"/>
      <c r="X614" s="14"/>
      <c r="Y614" s="14"/>
      <c r="Z614" s="14"/>
      <c r="AA614" s="14"/>
      <c r="AB614" s="14"/>
      <c r="AC614" s="14"/>
      <c r="AD614" s="14"/>
      <c r="AE614" s="14"/>
      <c r="AF614" s="14"/>
      <c r="AG614" s="14"/>
      <c r="AH614" s="14"/>
      <c r="AI614" s="14"/>
      <c r="AJ614" s="14"/>
      <c r="AK614" s="14"/>
      <c r="AL614" s="14"/>
      <c r="AM614" s="14"/>
      <c r="AN614" s="14"/>
    </row>
    <row r="615" ht="15.75" customHeight="1">
      <c r="A615" s="14"/>
      <c r="B615" s="14"/>
      <c r="C615" s="14"/>
      <c r="D615" s="14"/>
      <c r="E615" s="14"/>
      <c r="F615" s="14"/>
      <c r="G615" s="14"/>
      <c r="H615" s="14"/>
      <c r="I615" s="14"/>
      <c r="J615" s="14"/>
      <c r="K615" s="14"/>
      <c r="L615" s="14"/>
      <c r="M615" s="14"/>
      <c r="N615" s="14"/>
      <c r="O615" s="14"/>
      <c r="P615" s="14"/>
      <c r="Q615" s="14"/>
      <c r="R615" s="18"/>
      <c r="S615" s="18"/>
      <c r="T615" s="93"/>
      <c r="U615" s="20"/>
      <c r="V615" s="14"/>
      <c r="W615" s="14"/>
      <c r="X615" s="14"/>
      <c r="Y615" s="14"/>
      <c r="Z615" s="14"/>
      <c r="AA615" s="14"/>
      <c r="AB615" s="14"/>
      <c r="AC615" s="14"/>
      <c r="AD615" s="14"/>
      <c r="AE615" s="14"/>
      <c r="AF615" s="14"/>
      <c r="AG615" s="14"/>
      <c r="AH615" s="14"/>
      <c r="AI615" s="14"/>
      <c r="AJ615" s="14"/>
      <c r="AK615" s="14"/>
      <c r="AL615" s="14"/>
      <c r="AM615" s="14"/>
      <c r="AN615" s="14"/>
    </row>
    <row r="616" ht="15.75" customHeight="1">
      <c r="A616" s="14"/>
      <c r="B616" s="14"/>
      <c r="C616" s="14"/>
      <c r="D616" s="14"/>
      <c r="E616" s="14"/>
      <c r="F616" s="14"/>
      <c r="G616" s="14"/>
      <c r="H616" s="14"/>
      <c r="I616" s="14"/>
      <c r="J616" s="14"/>
      <c r="K616" s="14"/>
      <c r="L616" s="14"/>
      <c r="M616" s="14"/>
      <c r="N616" s="14"/>
      <c r="O616" s="14"/>
      <c r="P616" s="14"/>
      <c r="Q616" s="14"/>
      <c r="R616" s="18"/>
      <c r="S616" s="18"/>
      <c r="T616" s="93"/>
      <c r="U616" s="20"/>
      <c r="V616" s="14"/>
      <c r="W616" s="14"/>
      <c r="X616" s="14"/>
      <c r="Y616" s="14"/>
      <c r="Z616" s="14"/>
      <c r="AA616" s="14"/>
      <c r="AB616" s="14"/>
      <c r="AC616" s="14"/>
      <c r="AD616" s="14"/>
      <c r="AE616" s="14"/>
      <c r="AF616" s="14"/>
      <c r="AG616" s="14"/>
      <c r="AH616" s="14"/>
      <c r="AI616" s="14"/>
      <c r="AJ616" s="14"/>
      <c r="AK616" s="14"/>
      <c r="AL616" s="14"/>
      <c r="AM616" s="14"/>
      <c r="AN616" s="14"/>
    </row>
    <row r="617" ht="15.75" customHeight="1">
      <c r="A617" s="14"/>
      <c r="B617" s="14"/>
      <c r="C617" s="14"/>
      <c r="D617" s="14"/>
      <c r="E617" s="14"/>
      <c r="F617" s="14"/>
      <c r="G617" s="14"/>
      <c r="H617" s="14"/>
      <c r="I617" s="14"/>
      <c r="J617" s="14"/>
      <c r="K617" s="14"/>
      <c r="L617" s="14"/>
      <c r="M617" s="14"/>
      <c r="N617" s="14"/>
      <c r="O617" s="14"/>
      <c r="P617" s="14"/>
      <c r="Q617" s="14"/>
      <c r="R617" s="18"/>
      <c r="S617" s="18"/>
      <c r="T617" s="93"/>
      <c r="U617" s="20"/>
      <c r="V617" s="14"/>
      <c r="W617" s="14"/>
      <c r="X617" s="14"/>
      <c r="Y617" s="14"/>
      <c r="Z617" s="14"/>
      <c r="AA617" s="14"/>
      <c r="AB617" s="14"/>
      <c r="AC617" s="14"/>
      <c r="AD617" s="14"/>
      <c r="AE617" s="14"/>
      <c r="AF617" s="14"/>
      <c r="AG617" s="14"/>
      <c r="AH617" s="14"/>
      <c r="AI617" s="14"/>
      <c r="AJ617" s="14"/>
      <c r="AK617" s="14"/>
      <c r="AL617" s="14"/>
      <c r="AM617" s="14"/>
      <c r="AN617" s="14"/>
    </row>
    <row r="618" ht="15.75" customHeight="1">
      <c r="A618" s="14"/>
      <c r="B618" s="14"/>
      <c r="C618" s="14"/>
      <c r="D618" s="14"/>
      <c r="E618" s="14"/>
      <c r="F618" s="14"/>
      <c r="G618" s="14"/>
      <c r="H618" s="14"/>
      <c r="I618" s="14"/>
      <c r="J618" s="14"/>
      <c r="K618" s="14"/>
      <c r="L618" s="14"/>
      <c r="M618" s="14"/>
      <c r="N618" s="14"/>
      <c r="O618" s="14"/>
      <c r="P618" s="14"/>
      <c r="Q618" s="14"/>
      <c r="R618" s="18"/>
      <c r="S618" s="18"/>
      <c r="T618" s="93"/>
      <c r="U618" s="20"/>
      <c r="V618" s="14"/>
      <c r="W618" s="14"/>
      <c r="X618" s="14"/>
      <c r="Y618" s="14"/>
      <c r="Z618" s="14"/>
      <c r="AA618" s="14"/>
      <c r="AB618" s="14"/>
      <c r="AC618" s="14"/>
      <c r="AD618" s="14"/>
      <c r="AE618" s="14"/>
      <c r="AF618" s="14"/>
      <c r="AG618" s="14"/>
      <c r="AH618" s="14"/>
      <c r="AI618" s="14"/>
      <c r="AJ618" s="14"/>
      <c r="AK618" s="14"/>
      <c r="AL618" s="14"/>
      <c r="AM618" s="14"/>
      <c r="AN618" s="14"/>
    </row>
    <row r="619" ht="15.75" customHeight="1">
      <c r="A619" s="14"/>
      <c r="B619" s="14"/>
      <c r="C619" s="14"/>
      <c r="D619" s="14"/>
      <c r="E619" s="14"/>
      <c r="F619" s="14"/>
      <c r="G619" s="14"/>
      <c r="H619" s="14"/>
      <c r="I619" s="14"/>
      <c r="J619" s="14"/>
      <c r="K619" s="14"/>
      <c r="L619" s="14"/>
      <c r="M619" s="14"/>
      <c r="N619" s="14"/>
      <c r="O619" s="14"/>
      <c r="P619" s="14"/>
      <c r="Q619" s="14"/>
      <c r="R619" s="18"/>
      <c r="S619" s="18"/>
      <c r="T619" s="93"/>
      <c r="U619" s="20"/>
      <c r="V619" s="14"/>
      <c r="W619" s="14"/>
      <c r="X619" s="14"/>
      <c r="Y619" s="14"/>
      <c r="Z619" s="14"/>
      <c r="AA619" s="14"/>
      <c r="AB619" s="14"/>
      <c r="AC619" s="14"/>
      <c r="AD619" s="14"/>
      <c r="AE619" s="14"/>
      <c r="AF619" s="14"/>
      <c r="AG619" s="14"/>
      <c r="AH619" s="14"/>
      <c r="AI619" s="14"/>
      <c r="AJ619" s="14"/>
      <c r="AK619" s="14"/>
      <c r="AL619" s="14"/>
      <c r="AM619" s="14"/>
      <c r="AN619" s="14"/>
    </row>
    <row r="620" ht="15.75" customHeight="1">
      <c r="A620" s="14"/>
      <c r="B620" s="14"/>
      <c r="C620" s="14"/>
      <c r="D620" s="14"/>
      <c r="E620" s="14"/>
      <c r="F620" s="14"/>
      <c r="G620" s="14"/>
      <c r="H620" s="14"/>
      <c r="I620" s="14"/>
      <c r="J620" s="14"/>
      <c r="K620" s="14"/>
      <c r="L620" s="14"/>
      <c r="M620" s="14"/>
      <c r="N620" s="14"/>
      <c r="O620" s="14"/>
      <c r="P620" s="14"/>
      <c r="Q620" s="14"/>
      <c r="R620" s="18"/>
      <c r="S620" s="18"/>
      <c r="T620" s="93"/>
      <c r="U620" s="20"/>
      <c r="V620" s="14"/>
      <c r="W620" s="14"/>
      <c r="X620" s="14"/>
      <c r="Y620" s="14"/>
      <c r="Z620" s="14"/>
      <c r="AA620" s="14"/>
      <c r="AB620" s="14"/>
      <c r="AC620" s="14"/>
      <c r="AD620" s="14"/>
      <c r="AE620" s="14"/>
      <c r="AF620" s="14"/>
      <c r="AG620" s="14"/>
      <c r="AH620" s="14"/>
      <c r="AI620" s="14"/>
      <c r="AJ620" s="14"/>
      <c r="AK620" s="14"/>
      <c r="AL620" s="14"/>
      <c r="AM620" s="14"/>
      <c r="AN620" s="14"/>
    </row>
    <row r="621" ht="15.75" customHeight="1">
      <c r="A621" s="14"/>
      <c r="B621" s="14"/>
      <c r="C621" s="14"/>
      <c r="D621" s="14"/>
      <c r="E621" s="14"/>
      <c r="F621" s="14"/>
      <c r="G621" s="14"/>
      <c r="H621" s="14"/>
      <c r="I621" s="14"/>
      <c r="J621" s="14"/>
      <c r="K621" s="14"/>
      <c r="L621" s="14"/>
      <c r="M621" s="14"/>
      <c r="N621" s="14"/>
      <c r="O621" s="14"/>
      <c r="P621" s="14"/>
      <c r="Q621" s="14"/>
      <c r="R621" s="18"/>
      <c r="S621" s="18"/>
      <c r="T621" s="93"/>
      <c r="U621" s="20"/>
      <c r="V621" s="14"/>
      <c r="W621" s="14"/>
      <c r="X621" s="14"/>
      <c r="Y621" s="14"/>
      <c r="Z621" s="14"/>
      <c r="AA621" s="14"/>
      <c r="AB621" s="14"/>
      <c r="AC621" s="14"/>
      <c r="AD621" s="14"/>
      <c r="AE621" s="14"/>
      <c r="AF621" s="14"/>
      <c r="AG621" s="14"/>
      <c r="AH621" s="14"/>
      <c r="AI621" s="14"/>
      <c r="AJ621" s="14"/>
      <c r="AK621" s="14"/>
      <c r="AL621" s="14"/>
      <c r="AM621" s="14"/>
      <c r="AN621" s="14"/>
    </row>
    <row r="622" ht="15.75" customHeight="1">
      <c r="A622" s="14"/>
      <c r="B622" s="14"/>
      <c r="C622" s="14"/>
      <c r="D622" s="14"/>
      <c r="E622" s="14"/>
      <c r="F622" s="14"/>
      <c r="G622" s="14"/>
      <c r="H622" s="14"/>
      <c r="I622" s="14"/>
      <c r="J622" s="14"/>
      <c r="K622" s="14"/>
      <c r="L622" s="14"/>
      <c r="M622" s="14"/>
      <c r="N622" s="14"/>
      <c r="O622" s="14"/>
      <c r="P622" s="14"/>
      <c r="Q622" s="14"/>
      <c r="R622" s="18"/>
      <c r="S622" s="18"/>
      <c r="T622" s="93"/>
      <c r="U622" s="20"/>
      <c r="V622" s="14"/>
      <c r="W622" s="14"/>
      <c r="X622" s="14"/>
      <c r="Y622" s="14"/>
      <c r="Z622" s="14"/>
      <c r="AA622" s="14"/>
      <c r="AB622" s="14"/>
      <c r="AC622" s="14"/>
      <c r="AD622" s="14"/>
      <c r="AE622" s="14"/>
      <c r="AF622" s="14"/>
      <c r="AG622" s="14"/>
      <c r="AH622" s="14"/>
      <c r="AI622" s="14"/>
      <c r="AJ622" s="14"/>
      <c r="AK622" s="14"/>
      <c r="AL622" s="14"/>
      <c r="AM622" s="14"/>
      <c r="AN622" s="14"/>
    </row>
    <row r="623" ht="15.75" customHeight="1">
      <c r="A623" s="14"/>
      <c r="B623" s="14"/>
      <c r="C623" s="14"/>
      <c r="D623" s="14"/>
      <c r="E623" s="14"/>
      <c r="F623" s="14"/>
      <c r="G623" s="14"/>
      <c r="H623" s="14"/>
      <c r="I623" s="14"/>
      <c r="J623" s="14"/>
      <c r="K623" s="14"/>
      <c r="L623" s="14"/>
      <c r="M623" s="14"/>
      <c r="N623" s="14"/>
      <c r="O623" s="14"/>
      <c r="P623" s="14"/>
      <c r="Q623" s="14"/>
      <c r="R623" s="18"/>
      <c r="S623" s="18"/>
      <c r="T623" s="93"/>
      <c r="U623" s="20"/>
      <c r="V623" s="14"/>
      <c r="W623" s="14"/>
      <c r="X623" s="14"/>
      <c r="Y623" s="14"/>
      <c r="Z623" s="14"/>
      <c r="AA623" s="14"/>
      <c r="AB623" s="14"/>
      <c r="AC623" s="14"/>
      <c r="AD623" s="14"/>
      <c r="AE623" s="14"/>
      <c r="AF623" s="14"/>
      <c r="AG623" s="14"/>
      <c r="AH623" s="14"/>
      <c r="AI623" s="14"/>
      <c r="AJ623" s="14"/>
      <c r="AK623" s="14"/>
      <c r="AL623" s="14"/>
      <c r="AM623" s="14"/>
      <c r="AN623" s="14"/>
    </row>
    <row r="624" ht="15.75" customHeight="1">
      <c r="A624" s="14"/>
      <c r="B624" s="14"/>
      <c r="C624" s="14"/>
      <c r="D624" s="14"/>
      <c r="E624" s="14"/>
      <c r="F624" s="14"/>
      <c r="G624" s="14"/>
      <c r="H624" s="14"/>
      <c r="I624" s="14"/>
      <c r="J624" s="14"/>
      <c r="K624" s="14"/>
      <c r="L624" s="14"/>
      <c r="M624" s="14"/>
      <c r="N624" s="14"/>
      <c r="O624" s="14"/>
      <c r="P624" s="14"/>
      <c r="Q624" s="14"/>
      <c r="R624" s="18"/>
      <c r="S624" s="18"/>
      <c r="T624" s="93"/>
      <c r="U624" s="20"/>
      <c r="V624" s="14"/>
      <c r="W624" s="14"/>
      <c r="X624" s="14"/>
      <c r="Y624" s="14"/>
      <c r="Z624" s="14"/>
      <c r="AA624" s="14"/>
      <c r="AB624" s="14"/>
      <c r="AC624" s="14"/>
      <c r="AD624" s="14"/>
      <c r="AE624" s="14"/>
      <c r="AF624" s="14"/>
      <c r="AG624" s="14"/>
      <c r="AH624" s="14"/>
      <c r="AI624" s="14"/>
      <c r="AJ624" s="14"/>
      <c r="AK624" s="14"/>
      <c r="AL624" s="14"/>
      <c r="AM624" s="14"/>
      <c r="AN624" s="14"/>
    </row>
    <row r="625" ht="15.75" customHeight="1">
      <c r="A625" s="14"/>
      <c r="B625" s="14"/>
      <c r="C625" s="14"/>
      <c r="D625" s="14"/>
      <c r="E625" s="14"/>
      <c r="F625" s="14"/>
      <c r="G625" s="14"/>
      <c r="H625" s="14"/>
      <c r="I625" s="14"/>
      <c r="J625" s="14"/>
      <c r="K625" s="14"/>
      <c r="L625" s="14"/>
      <c r="M625" s="14"/>
      <c r="N625" s="14"/>
      <c r="O625" s="14"/>
      <c r="P625" s="14"/>
      <c r="Q625" s="14"/>
      <c r="R625" s="18"/>
      <c r="S625" s="18"/>
      <c r="T625" s="93"/>
      <c r="U625" s="20"/>
      <c r="V625" s="14"/>
      <c r="W625" s="14"/>
      <c r="X625" s="14"/>
      <c r="Y625" s="14"/>
      <c r="Z625" s="14"/>
      <c r="AA625" s="14"/>
      <c r="AB625" s="14"/>
      <c r="AC625" s="14"/>
      <c r="AD625" s="14"/>
      <c r="AE625" s="14"/>
      <c r="AF625" s="14"/>
      <c r="AG625" s="14"/>
      <c r="AH625" s="14"/>
      <c r="AI625" s="14"/>
      <c r="AJ625" s="14"/>
      <c r="AK625" s="14"/>
      <c r="AL625" s="14"/>
      <c r="AM625" s="14"/>
      <c r="AN625" s="14"/>
    </row>
    <row r="626" ht="15.75" customHeight="1">
      <c r="A626" s="14"/>
      <c r="B626" s="14"/>
      <c r="C626" s="14"/>
      <c r="D626" s="14"/>
      <c r="E626" s="14"/>
      <c r="F626" s="14"/>
      <c r="G626" s="14"/>
      <c r="H626" s="14"/>
      <c r="I626" s="14"/>
      <c r="J626" s="14"/>
      <c r="K626" s="14"/>
      <c r="L626" s="14"/>
      <c r="M626" s="14"/>
      <c r="N626" s="14"/>
      <c r="O626" s="14"/>
      <c r="P626" s="14"/>
      <c r="Q626" s="14"/>
      <c r="R626" s="18"/>
      <c r="S626" s="18"/>
      <c r="T626" s="93"/>
      <c r="U626" s="20"/>
      <c r="V626" s="14"/>
      <c r="W626" s="14"/>
      <c r="X626" s="14"/>
      <c r="Y626" s="14"/>
      <c r="Z626" s="14"/>
      <c r="AA626" s="14"/>
      <c r="AB626" s="14"/>
      <c r="AC626" s="14"/>
      <c r="AD626" s="14"/>
      <c r="AE626" s="14"/>
      <c r="AF626" s="14"/>
      <c r="AG626" s="14"/>
      <c r="AH626" s="14"/>
      <c r="AI626" s="14"/>
      <c r="AJ626" s="14"/>
      <c r="AK626" s="14"/>
      <c r="AL626" s="14"/>
      <c r="AM626" s="14"/>
      <c r="AN626" s="14"/>
    </row>
    <row r="627" ht="15.75" customHeight="1">
      <c r="A627" s="14"/>
      <c r="B627" s="14"/>
      <c r="C627" s="14"/>
      <c r="D627" s="14"/>
      <c r="E627" s="14"/>
      <c r="F627" s="14"/>
      <c r="G627" s="14"/>
      <c r="H627" s="14"/>
      <c r="I627" s="14"/>
      <c r="J627" s="14"/>
      <c r="K627" s="14"/>
      <c r="L627" s="14"/>
      <c r="M627" s="14"/>
      <c r="N627" s="14"/>
      <c r="O627" s="14"/>
      <c r="P627" s="14"/>
      <c r="Q627" s="14"/>
      <c r="R627" s="18"/>
      <c r="S627" s="18"/>
      <c r="T627" s="93"/>
      <c r="U627" s="20"/>
      <c r="V627" s="14"/>
      <c r="W627" s="14"/>
      <c r="X627" s="14"/>
      <c r="Y627" s="14"/>
      <c r="Z627" s="14"/>
      <c r="AA627" s="14"/>
      <c r="AB627" s="14"/>
      <c r="AC627" s="14"/>
      <c r="AD627" s="14"/>
      <c r="AE627" s="14"/>
      <c r="AF627" s="14"/>
      <c r="AG627" s="14"/>
      <c r="AH627" s="14"/>
      <c r="AI627" s="14"/>
      <c r="AJ627" s="14"/>
      <c r="AK627" s="14"/>
      <c r="AL627" s="14"/>
      <c r="AM627" s="14"/>
      <c r="AN627" s="14"/>
    </row>
    <row r="628" ht="15.75" customHeight="1">
      <c r="A628" s="14"/>
      <c r="B628" s="14"/>
      <c r="C628" s="14"/>
      <c r="D628" s="14"/>
      <c r="E628" s="14"/>
      <c r="F628" s="14"/>
      <c r="G628" s="14"/>
      <c r="H628" s="14"/>
      <c r="I628" s="14"/>
      <c r="J628" s="14"/>
      <c r="K628" s="14"/>
      <c r="L628" s="14"/>
      <c r="M628" s="14"/>
      <c r="N628" s="14"/>
      <c r="O628" s="14"/>
      <c r="P628" s="14"/>
      <c r="Q628" s="14"/>
      <c r="R628" s="18"/>
      <c r="S628" s="18"/>
      <c r="T628" s="93"/>
      <c r="U628" s="20"/>
      <c r="V628" s="14"/>
      <c r="W628" s="14"/>
      <c r="X628" s="14"/>
      <c r="Y628" s="14"/>
      <c r="Z628" s="14"/>
      <c r="AA628" s="14"/>
      <c r="AB628" s="14"/>
      <c r="AC628" s="14"/>
      <c r="AD628" s="14"/>
      <c r="AE628" s="14"/>
      <c r="AF628" s="14"/>
      <c r="AG628" s="14"/>
      <c r="AH628" s="14"/>
      <c r="AI628" s="14"/>
      <c r="AJ628" s="14"/>
      <c r="AK628" s="14"/>
      <c r="AL628" s="14"/>
      <c r="AM628" s="14"/>
      <c r="AN628" s="14"/>
    </row>
    <row r="629" ht="15.75" customHeight="1">
      <c r="A629" s="14"/>
      <c r="B629" s="14"/>
      <c r="C629" s="14"/>
      <c r="D629" s="14"/>
      <c r="E629" s="14"/>
      <c r="F629" s="14"/>
      <c r="G629" s="14"/>
      <c r="H629" s="14"/>
      <c r="I629" s="14"/>
      <c r="J629" s="14"/>
      <c r="K629" s="14"/>
      <c r="L629" s="14"/>
      <c r="M629" s="14"/>
      <c r="N629" s="14"/>
      <c r="O629" s="14"/>
      <c r="P629" s="14"/>
      <c r="Q629" s="14"/>
      <c r="R629" s="18"/>
      <c r="S629" s="18"/>
      <c r="T629" s="93"/>
      <c r="U629" s="20"/>
      <c r="V629" s="14"/>
      <c r="W629" s="14"/>
      <c r="X629" s="14"/>
      <c r="Y629" s="14"/>
      <c r="Z629" s="14"/>
      <c r="AA629" s="14"/>
      <c r="AB629" s="14"/>
      <c r="AC629" s="14"/>
      <c r="AD629" s="14"/>
      <c r="AE629" s="14"/>
      <c r="AF629" s="14"/>
      <c r="AG629" s="14"/>
      <c r="AH629" s="14"/>
      <c r="AI629" s="14"/>
      <c r="AJ629" s="14"/>
      <c r="AK629" s="14"/>
      <c r="AL629" s="14"/>
      <c r="AM629" s="14"/>
      <c r="AN629" s="14"/>
    </row>
    <row r="630" ht="15.75" customHeight="1">
      <c r="A630" s="14"/>
      <c r="B630" s="14"/>
      <c r="C630" s="14"/>
      <c r="D630" s="14"/>
      <c r="E630" s="14"/>
      <c r="F630" s="14"/>
      <c r="G630" s="14"/>
      <c r="H630" s="14"/>
      <c r="I630" s="14"/>
      <c r="J630" s="14"/>
      <c r="K630" s="14"/>
      <c r="L630" s="14"/>
      <c r="M630" s="14"/>
      <c r="N630" s="14"/>
      <c r="O630" s="14"/>
      <c r="P630" s="14"/>
      <c r="Q630" s="14"/>
      <c r="R630" s="18"/>
      <c r="S630" s="18"/>
      <c r="T630" s="93"/>
      <c r="U630" s="20"/>
      <c r="V630" s="14"/>
      <c r="W630" s="14"/>
      <c r="X630" s="14"/>
      <c r="Y630" s="14"/>
      <c r="Z630" s="14"/>
      <c r="AA630" s="14"/>
      <c r="AB630" s="14"/>
      <c r="AC630" s="14"/>
      <c r="AD630" s="14"/>
      <c r="AE630" s="14"/>
      <c r="AF630" s="14"/>
      <c r="AG630" s="14"/>
      <c r="AH630" s="14"/>
      <c r="AI630" s="14"/>
      <c r="AJ630" s="14"/>
      <c r="AK630" s="14"/>
      <c r="AL630" s="14"/>
      <c r="AM630" s="14"/>
      <c r="AN630" s="14"/>
    </row>
    <row r="631" ht="15.75" customHeight="1">
      <c r="A631" s="14"/>
      <c r="B631" s="14"/>
      <c r="C631" s="14"/>
      <c r="D631" s="14"/>
      <c r="E631" s="14"/>
      <c r="F631" s="14"/>
      <c r="G631" s="14"/>
      <c r="H631" s="14"/>
      <c r="I631" s="14"/>
      <c r="J631" s="14"/>
      <c r="K631" s="14"/>
      <c r="L631" s="14"/>
      <c r="M631" s="14"/>
      <c r="N631" s="14"/>
      <c r="O631" s="14"/>
      <c r="P631" s="14"/>
      <c r="Q631" s="14"/>
      <c r="R631" s="18"/>
      <c r="S631" s="18"/>
      <c r="T631" s="93"/>
      <c r="U631" s="20"/>
      <c r="V631" s="14"/>
      <c r="W631" s="14"/>
      <c r="X631" s="14"/>
      <c r="Y631" s="14"/>
      <c r="Z631" s="14"/>
      <c r="AA631" s="14"/>
      <c r="AB631" s="14"/>
      <c r="AC631" s="14"/>
      <c r="AD631" s="14"/>
      <c r="AE631" s="14"/>
      <c r="AF631" s="14"/>
      <c r="AG631" s="14"/>
      <c r="AH631" s="14"/>
      <c r="AI631" s="14"/>
      <c r="AJ631" s="14"/>
      <c r="AK631" s="14"/>
      <c r="AL631" s="14"/>
      <c r="AM631" s="14"/>
      <c r="AN631" s="14"/>
    </row>
    <row r="632" ht="15.75" customHeight="1">
      <c r="A632" s="14"/>
      <c r="B632" s="14"/>
      <c r="C632" s="14"/>
      <c r="D632" s="14"/>
      <c r="E632" s="14"/>
      <c r="F632" s="14"/>
      <c r="G632" s="14"/>
      <c r="H632" s="14"/>
      <c r="I632" s="14"/>
      <c r="J632" s="14"/>
      <c r="K632" s="14"/>
      <c r="L632" s="14"/>
      <c r="M632" s="14"/>
      <c r="N632" s="14"/>
      <c r="O632" s="14"/>
      <c r="P632" s="14"/>
      <c r="Q632" s="14"/>
      <c r="R632" s="18"/>
      <c r="S632" s="18"/>
      <c r="T632" s="93"/>
      <c r="U632" s="20"/>
      <c r="V632" s="14"/>
      <c r="W632" s="14"/>
      <c r="X632" s="14"/>
      <c r="Y632" s="14"/>
      <c r="Z632" s="14"/>
      <c r="AA632" s="14"/>
      <c r="AB632" s="14"/>
      <c r="AC632" s="14"/>
      <c r="AD632" s="14"/>
      <c r="AE632" s="14"/>
      <c r="AF632" s="14"/>
      <c r="AG632" s="14"/>
      <c r="AH632" s="14"/>
      <c r="AI632" s="14"/>
      <c r="AJ632" s="14"/>
      <c r="AK632" s="14"/>
      <c r="AL632" s="14"/>
      <c r="AM632" s="14"/>
      <c r="AN632" s="14"/>
    </row>
    <row r="633" ht="15.75" customHeight="1">
      <c r="A633" s="14"/>
      <c r="B633" s="14"/>
      <c r="C633" s="14"/>
      <c r="D633" s="14"/>
      <c r="E633" s="14"/>
      <c r="F633" s="14"/>
      <c r="G633" s="14"/>
      <c r="H633" s="14"/>
      <c r="I633" s="14"/>
      <c r="J633" s="14"/>
      <c r="K633" s="14"/>
      <c r="L633" s="14"/>
      <c r="M633" s="14"/>
      <c r="N633" s="14"/>
      <c r="O633" s="14"/>
      <c r="P633" s="14"/>
      <c r="Q633" s="14"/>
      <c r="R633" s="18"/>
      <c r="S633" s="18"/>
      <c r="T633" s="93"/>
      <c r="U633" s="20"/>
      <c r="V633" s="14"/>
      <c r="W633" s="14"/>
      <c r="X633" s="14"/>
      <c r="Y633" s="14"/>
      <c r="Z633" s="14"/>
      <c r="AA633" s="14"/>
      <c r="AB633" s="14"/>
      <c r="AC633" s="14"/>
      <c r="AD633" s="14"/>
      <c r="AE633" s="14"/>
      <c r="AF633" s="14"/>
      <c r="AG633" s="14"/>
      <c r="AH633" s="14"/>
      <c r="AI633" s="14"/>
      <c r="AJ633" s="14"/>
      <c r="AK633" s="14"/>
      <c r="AL633" s="14"/>
      <c r="AM633" s="14"/>
      <c r="AN633" s="14"/>
    </row>
    <row r="634" ht="15.75" customHeight="1">
      <c r="A634" s="14"/>
      <c r="B634" s="14"/>
      <c r="C634" s="14"/>
      <c r="D634" s="14"/>
      <c r="E634" s="14"/>
      <c r="F634" s="14"/>
      <c r="G634" s="14"/>
      <c r="H634" s="14"/>
      <c r="I634" s="14"/>
      <c r="J634" s="14"/>
      <c r="K634" s="14"/>
      <c r="L634" s="14"/>
      <c r="M634" s="14"/>
      <c r="N634" s="14"/>
      <c r="O634" s="14"/>
      <c r="P634" s="14"/>
      <c r="Q634" s="14"/>
      <c r="R634" s="18"/>
      <c r="S634" s="18"/>
      <c r="T634" s="93"/>
      <c r="U634" s="20"/>
      <c r="V634" s="14"/>
      <c r="W634" s="14"/>
      <c r="X634" s="14"/>
      <c r="Y634" s="14"/>
      <c r="Z634" s="14"/>
      <c r="AA634" s="14"/>
      <c r="AB634" s="14"/>
      <c r="AC634" s="14"/>
      <c r="AD634" s="14"/>
      <c r="AE634" s="14"/>
      <c r="AF634" s="14"/>
      <c r="AG634" s="14"/>
      <c r="AH634" s="14"/>
      <c r="AI634" s="14"/>
      <c r="AJ634" s="14"/>
      <c r="AK634" s="14"/>
      <c r="AL634" s="14"/>
      <c r="AM634" s="14"/>
      <c r="AN634" s="14"/>
    </row>
    <row r="635" ht="15.75" customHeight="1">
      <c r="A635" s="14"/>
      <c r="B635" s="14"/>
      <c r="C635" s="14"/>
      <c r="D635" s="14"/>
      <c r="E635" s="14"/>
      <c r="F635" s="14"/>
      <c r="G635" s="14"/>
      <c r="H635" s="14"/>
      <c r="I635" s="14"/>
      <c r="J635" s="14"/>
      <c r="K635" s="14"/>
      <c r="L635" s="14"/>
      <c r="M635" s="14"/>
      <c r="N635" s="14"/>
      <c r="O635" s="14"/>
      <c r="P635" s="14"/>
      <c r="Q635" s="14"/>
      <c r="R635" s="18"/>
      <c r="S635" s="18"/>
      <c r="T635" s="93"/>
      <c r="U635" s="20"/>
      <c r="V635" s="14"/>
      <c r="W635" s="14"/>
      <c r="X635" s="14"/>
      <c r="Y635" s="14"/>
      <c r="Z635" s="14"/>
      <c r="AA635" s="14"/>
      <c r="AB635" s="14"/>
      <c r="AC635" s="14"/>
      <c r="AD635" s="14"/>
      <c r="AE635" s="14"/>
      <c r="AF635" s="14"/>
      <c r="AG635" s="14"/>
      <c r="AH635" s="14"/>
      <c r="AI635" s="14"/>
      <c r="AJ635" s="14"/>
      <c r="AK635" s="14"/>
      <c r="AL635" s="14"/>
      <c r="AM635" s="14"/>
      <c r="AN635" s="14"/>
    </row>
    <row r="636" ht="15.75" customHeight="1">
      <c r="A636" s="14"/>
      <c r="B636" s="14"/>
      <c r="C636" s="14"/>
      <c r="D636" s="14"/>
      <c r="E636" s="14"/>
      <c r="F636" s="14"/>
      <c r="G636" s="14"/>
      <c r="H636" s="14"/>
      <c r="I636" s="14"/>
      <c r="J636" s="14"/>
      <c r="K636" s="14"/>
      <c r="L636" s="14"/>
      <c r="M636" s="14"/>
      <c r="N636" s="14"/>
      <c r="O636" s="14"/>
      <c r="P636" s="14"/>
      <c r="Q636" s="14"/>
      <c r="R636" s="18"/>
      <c r="S636" s="18"/>
      <c r="T636" s="93"/>
      <c r="U636" s="20"/>
      <c r="V636" s="14"/>
      <c r="W636" s="14"/>
      <c r="X636" s="14"/>
      <c r="Y636" s="14"/>
      <c r="Z636" s="14"/>
      <c r="AA636" s="14"/>
      <c r="AB636" s="14"/>
      <c r="AC636" s="14"/>
      <c r="AD636" s="14"/>
      <c r="AE636" s="14"/>
      <c r="AF636" s="14"/>
      <c r="AG636" s="14"/>
      <c r="AH636" s="14"/>
      <c r="AI636" s="14"/>
      <c r="AJ636" s="14"/>
      <c r="AK636" s="14"/>
      <c r="AL636" s="14"/>
      <c r="AM636" s="14"/>
      <c r="AN636" s="14"/>
    </row>
    <row r="637" ht="15.75" customHeight="1">
      <c r="A637" s="14"/>
      <c r="B637" s="14"/>
      <c r="C637" s="14"/>
      <c r="D637" s="14"/>
      <c r="E637" s="14"/>
      <c r="F637" s="14"/>
      <c r="G637" s="14"/>
      <c r="H637" s="14"/>
      <c r="I637" s="14"/>
      <c r="J637" s="14"/>
      <c r="K637" s="14"/>
      <c r="L637" s="14"/>
      <c r="M637" s="14"/>
      <c r="N637" s="14"/>
      <c r="O637" s="14"/>
      <c r="P637" s="14"/>
      <c r="Q637" s="14"/>
      <c r="R637" s="18"/>
      <c r="S637" s="18"/>
      <c r="T637" s="93"/>
      <c r="U637" s="20"/>
      <c r="V637" s="14"/>
      <c r="W637" s="14"/>
      <c r="X637" s="14"/>
      <c r="Y637" s="14"/>
      <c r="Z637" s="14"/>
      <c r="AA637" s="14"/>
      <c r="AB637" s="14"/>
      <c r="AC637" s="14"/>
      <c r="AD637" s="14"/>
      <c r="AE637" s="14"/>
      <c r="AF637" s="14"/>
      <c r="AG637" s="14"/>
      <c r="AH637" s="14"/>
      <c r="AI637" s="14"/>
      <c r="AJ637" s="14"/>
      <c r="AK637" s="14"/>
      <c r="AL637" s="14"/>
      <c r="AM637" s="14"/>
      <c r="AN637" s="14"/>
    </row>
    <row r="638" ht="15.75" customHeight="1">
      <c r="A638" s="14"/>
      <c r="B638" s="14"/>
      <c r="C638" s="14"/>
      <c r="D638" s="14"/>
      <c r="E638" s="14"/>
      <c r="F638" s="14"/>
      <c r="G638" s="14"/>
      <c r="H638" s="14"/>
      <c r="I638" s="14"/>
      <c r="J638" s="14"/>
      <c r="K638" s="14"/>
      <c r="L638" s="14"/>
      <c r="M638" s="14"/>
      <c r="N638" s="14"/>
      <c r="O638" s="14"/>
      <c r="P638" s="14"/>
      <c r="Q638" s="14"/>
      <c r="R638" s="18"/>
      <c r="S638" s="18"/>
      <c r="T638" s="93"/>
      <c r="U638" s="20"/>
      <c r="V638" s="14"/>
      <c r="W638" s="14"/>
      <c r="X638" s="14"/>
      <c r="Y638" s="14"/>
      <c r="Z638" s="14"/>
      <c r="AA638" s="14"/>
      <c r="AB638" s="14"/>
      <c r="AC638" s="14"/>
      <c r="AD638" s="14"/>
      <c r="AE638" s="14"/>
      <c r="AF638" s="14"/>
      <c r="AG638" s="14"/>
      <c r="AH638" s="14"/>
      <c r="AI638" s="14"/>
      <c r="AJ638" s="14"/>
      <c r="AK638" s="14"/>
      <c r="AL638" s="14"/>
      <c r="AM638" s="14"/>
      <c r="AN638" s="14"/>
    </row>
    <row r="639" ht="15.75" customHeight="1">
      <c r="A639" s="14"/>
      <c r="B639" s="14"/>
      <c r="C639" s="14"/>
      <c r="D639" s="14"/>
      <c r="E639" s="14"/>
      <c r="F639" s="14"/>
      <c r="G639" s="14"/>
      <c r="H639" s="14"/>
      <c r="I639" s="14"/>
      <c r="J639" s="14"/>
      <c r="K639" s="14"/>
      <c r="L639" s="14"/>
      <c r="M639" s="14"/>
      <c r="N639" s="14"/>
      <c r="O639" s="14"/>
      <c r="P639" s="14"/>
      <c r="Q639" s="14"/>
      <c r="R639" s="18"/>
      <c r="S639" s="18"/>
      <c r="T639" s="93"/>
      <c r="U639" s="20"/>
      <c r="V639" s="14"/>
      <c r="W639" s="14"/>
      <c r="X639" s="14"/>
      <c r="Y639" s="14"/>
      <c r="Z639" s="14"/>
      <c r="AA639" s="14"/>
      <c r="AB639" s="14"/>
      <c r="AC639" s="14"/>
      <c r="AD639" s="14"/>
      <c r="AE639" s="14"/>
      <c r="AF639" s="14"/>
      <c r="AG639" s="14"/>
      <c r="AH639" s="14"/>
      <c r="AI639" s="14"/>
      <c r="AJ639" s="14"/>
      <c r="AK639" s="14"/>
      <c r="AL639" s="14"/>
      <c r="AM639" s="14"/>
      <c r="AN639" s="14"/>
    </row>
    <row r="640" ht="15.75" customHeight="1">
      <c r="A640" s="14"/>
      <c r="B640" s="14"/>
      <c r="C640" s="14"/>
      <c r="D640" s="14"/>
      <c r="E640" s="14"/>
      <c r="F640" s="14"/>
      <c r="G640" s="14"/>
      <c r="H640" s="14"/>
      <c r="I640" s="14"/>
      <c r="J640" s="14"/>
      <c r="K640" s="14"/>
      <c r="L640" s="14"/>
      <c r="M640" s="14"/>
      <c r="N640" s="14"/>
      <c r="O640" s="14"/>
      <c r="P640" s="14"/>
      <c r="Q640" s="14"/>
      <c r="R640" s="18"/>
      <c r="S640" s="18"/>
      <c r="T640" s="93"/>
      <c r="U640" s="20"/>
      <c r="V640" s="14"/>
      <c r="W640" s="14"/>
      <c r="X640" s="14"/>
      <c r="Y640" s="14"/>
      <c r="Z640" s="14"/>
      <c r="AA640" s="14"/>
      <c r="AB640" s="14"/>
      <c r="AC640" s="14"/>
      <c r="AD640" s="14"/>
      <c r="AE640" s="14"/>
      <c r="AF640" s="14"/>
      <c r="AG640" s="14"/>
      <c r="AH640" s="14"/>
      <c r="AI640" s="14"/>
      <c r="AJ640" s="14"/>
      <c r="AK640" s="14"/>
      <c r="AL640" s="14"/>
      <c r="AM640" s="14"/>
      <c r="AN640" s="14"/>
    </row>
    <row r="641" ht="15.75" customHeight="1">
      <c r="A641" s="14"/>
      <c r="B641" s="14"/>
      <c r="C641" s="14"/>
      <c r="D641" s="14"/>
      <c r="E641" s="14"/>
      <c r="F641" s="14"/>
      <c r="G641" s="14"/>
      <c r="H641" s="14"/>
      <c r="I641" s="14"/>
      <c r="J641" s="14"/>
      <c r="K641" s="14"/>
      <c r="L641" s="14"/>
      <c r="M641" s="14"/>
      <c r="N641" s="14"/>
      <c r="O641" s="14"/>
      <c r="P641" s="14"/>
      <c r="Q641" s="14"/>
      <c r="R641" s="18"/>
      <c r="S641" s="18"/>
      <c r="T641" s="93"/>
      <c r="U641" s="20"/>
      <c r="V641" s="14"/>
      <c r="W641" s="14"/>
      <c r="X641" s="14"/>
      <c r="Y641" s="14"/>
      <c r="Z641" s="14"/>
      <c r="AA641" s="14"/>
      <c r="AB641" s="14"/>
      <c r="AC641" s="14"/>
      <c r="AD641" s="14"/>
      <c r="AE641" s="14"/>
      <c r="AF641" s="14"/>
      <c r="AG641" s="14"/>
      <c r="AH641" s="14"/>
      <c r="AI641" s="14"/>
      <c r="AJ641" s="14"/>
      <c r="AK641" s="14"/>
      <c r="AL641" s="14"/>
      <c r="AM641" s="14"/>
      <c r="AN641" s="14"/>
    </row>
    <row r="642" ht="15.75" customHeight="1">
      <c r="A642" s="14"/>
      <c r="B642" s="14"/>
      <c r="C642" s="14"/>
      <c r="D642" s="14"/>
      <c r="E642" s="14"/>
      <c r="F642" s="14"/>
      <c r="G642" s="14"/>
      <c r="H642" s="14"/>
      <c r="I642" s="14"/>
      <c r="J642" s="14"/>
      <c r="K642" s="14"/>
      <c r="L642" s="14"/>
      <c r="M642" s="14"/>
      <c r="N642" s="14"/>
      <c r="O642" s="14"/>
      <c r="P642" s="14"/>
      <c r="Q642" s="14"/>
      <c r="R642" s="18"/>
      <c r="S642" s="18"/>
      <c r="T642" s="93"/>
      <c r="U642" s="20"/>
      <c r="V642" s="14"/>
      <c r="W642" s="14"/>
      <c r="X642" s="14"/>
      <c r="Y642" s="14"/>
      <c r="Z642" s="14"/>
      <c r="AA642" s="14"/>
      <c r="AB642" s="14"/>
      <c r="AC642" s="14"/>
      <c r="AD642" s="14"/>
      <c r="AE642" s="14"/>
      <c r="AF642" s="14"/>
      <c r="AG642" s="14"/>
      <c r="AH642" s="14"/>
      <c r="AI642" s="14"/>
      <c r="AJ642" s="14"/>
      <c r="AK642" s="14"/>
      <c r="AL642" s="14"/>
      <c r="AM642" s="14"/>
      <c r="AN642" s="14"/>
    </row>
    <row r="643" ht="15.75" customHeight="1">
      <c r="A643" s="14"/>
      <c r="B643" s="14"/>
      <c r="C643" s="14"/>
      <c r="D643" s="14"/>
      <c r="E643" s="14"/>
      <c r="F643" s="14"/>
      <c r="G643" s="14"/>
      <c r="H643" s="14"/>
      <c r="I643" s="14"/>
      <c r="J643" s="14"/>
      <c r="K643" s="14"/>
      <c r="L643" s="14"/>
      <c r="M643" s="14"/>
      <c r="N643" s="14"/>
      <c r="O643" s="14"/>
      <c r="P643" s="14"/>
      <c r="Q643" s="14"/>
      <c r="R643" s="18"/>
      <c r="S643" s="18"/>
      <c r="T643" s="93"/>
      <c r="U643" s="20"/>
      <c r="V643" s="14"/>
      <c r="W643" s="14"/>
      <c r="X643" s="14"/>
      <c r="Y643" s="14"/>
      <c r="Z643" s="14"/>
      <c r="AA643" s="14"/>
      <c r="AB643" s="14"/>
      <c r="AC643" s="14"/>
      <c r="AD643" s="14"/>
      <c r="AE643" s="14"/>
      <c r="AF643" s="14"/>
      <c r="AG643" s="14"/>
      <c r="AH643" s="14"/>
      <c r="AI643" s="14"/>
      <c r="AJ643" s="14"/>
      <c r="AK643" s="14"/>
      <c r="AL643" s="14"/>
      <c r="AM643" s="14"/>
      <c r="AN643" s="14"/>
    </row>
    <row r="644" ht="15.75" customHeight="1">
      <c r="A644" s="14"/>
      <c r="B644" s="14"/>
      <c r="C644" s="14"/>
      <c r="D644" s="14"/>
      <c r="E644" s="14"/>
      <c r="F644" s="14"/>
      <c r="G644" s="14"/>
      <c r="H644" s="14"/>
      <c r="I644" s="14"/>
      <c r="J644" s="14"/>
      <c r="K644" s="14"/>
      <c r="L644" s="14"/>
      <c r="M644" s="14"/>
      <c r="N644" s="14"/>
      <c r="O644" s="14"/>
      <c r="P644" s="14"/>
      <c r="Q644" s="14"/>
      <c r="R644" s="18"/>
      <c r="S644" s="18"/>
      <c r="T644" s="93"/>
      <c r="U644" s="20"/>
      <c r="V644" s="14"/>
      <c r="W644" s="14"/>
      <c r="X644" s="14"/>
      <c r="Y644" s="14"/>
      <c r="Z644" s="14"/>
      <c r="AA644" s="14"/>
      <c r="AB644" s="14"/>
      <c r="AC644" s="14"/>
      <c r="AD644" s="14"/>
      <c r="AE644" s="14"/>
      <c r="AF644" s="14"/>
      <c r="AG644" s="14"/>
      <c r="AH644" s="14"/>
      <c r="AI644" s="14"/>
      <c r="AJ644" s="14"/>
      <c r="AK644" s="14"/>
      <c r="AL644" s="14"/>
      <c r="AM644" s="14"/>
      <c r="AN644" s="14"/>
    </row>
    <row r="645" ht="15.75" customHeight="1">
      <c r="A645" s="14"/>
      <c r="B645" s="14"/>
      <c r="C645" s="14"/>
      <c r="D645" s="14"/>
      <c r="E645" s="14"/>
      <c r="F645" s="14"/>
      <c r="G645" s="14"/>
      <c r="H645" s="14"/>
      <c r="I645" s="14"/>
      <c r="J645" s="14"/>
      <c r="K645" s="14"/>
      <c r="L645" s="14"/>
      <c r="M645" s="14"/>
      <c r="N645" s="14"/>
      <c r="O645" s="14"/>
      <c r="P645" s="14"/>
      <c r="Q645" s="14"/>
      <c r="R645" s="18"/>
      <c r="S645" s="18"/>
      <c r="T645" s="93"/>
      <c r="U645" s="20"/>
      <c r="V645" s="14"/>
      <c r="W645" s="14"/>
      <c r="X645" s="14"/>
      <c r="Y645" s="14"/>
      <c r="Z645" s="14"/>
      <c r="AA645" s="14"/>
      <c r="AB645" s="14"/>
      <c r="AC645" s="14"/>
      <c r="AD645" s="14"/>
      <c r="AE645" s="14"/>
      <c r="AF645" s="14"/>
      <c r="AG645" s="14"/>
      <c r="AH645" s="14"/>
      <c r="AI645" s="14"/>
      <c r="AJ645" s="14"/>
      <c r="AK645" s="14"/>
      <c r="AL645" s="14"/>
      <c r="AM645" s="14"/>
      <c r="AN645" s="14"/>
    </row>
    <row r="646" ht="15.75" customHeight="1">
      <c r="A646" s="14"/>
      <c r="B646" s="14"/>
      <c r="C646" s="14"/>
      <c r="D646" s="14"/>
      <c r="E646" s="14"/>
      <c r="F646" s="14"/>
      <c r="G646" s="14"/>
      <c r="H646" s="14"/>
      <c r="I646" s="14"/>
      <c r="J646" s="14"/>
      <c r="K646" s="14"/>
      <c r="L646" s="14"/>
      <c r="M646" s="14"/>
      <c r="N646" s="14"/>
      <c r="O646" s="14"/>
      <c r="P646" s="14"/>
      <c r="Q646" s="14"/>
      <c r="R646" s="18"/>
      <c r="S646" s="18"/>
      <c r="T646" s="93"/>
      <c r="U646" s="20"/>
      <c r="V646" s="14"/>
      <c r="W646" s="14"/>
      <c r="X646" s="14"/>
      <c r="Y646" s="14"/>
      <c r="Z646" s="14"/>
      <c r="AA646" s="14"/>
      <c r="AB646" s="14"/>
      <c r="AC646" s="14"/>
      <c r="AD646" s="14"/>
      <c r="AE646" s="14"/>
      <c r="AF646" s="14"/>
      <c r="AG646" s="14"/>
      <c r="AH646" s="14"/>
      <c r="AI646" s="14"/>
      <c r="AJ646" s="14"/>
      <c r="AK646" s="14"/>
      <c r="AL646" s="14"/>
      <c r="AM646" s="14"/>
      <c r="AN646" s="14"/>
    </row>
    <row r="647" ht="15.75" customHeight="1">
      <c r="A647" s="14"/>
      <c r="B647" s="14"/>
      <c r="C647" s="14"/>
      <c r="D647" s="14"/>
      <c r="E647" s="14"/>
      <c r="F647" s="14"/>
      <c r="G647" s="14"/>
      <c r="H647" s="14"/>
      <c r="I647" s="14"/>
      <c r="J647" s="14"/>
      <c r="K647" s="14"/>
      <c r="L647" s="14"/>
      <c r="M647" s="14"/>
      <c r="N647" s="14"/>
      <c r="O647" s="14"/>
      <c r="P647" s="14"/>
      <c r="Q647" s="14"/>
      <c r="R647" s="18"/>
      <c r="S647" s="18"/>
      <c r="T647" s="93"/>
      <c r="U647" s="20"/>
      <c r="V647" s="14"/>
      <c r="W647" s="14"/>
      <c r="X647" s="14"/>
      <c r="Y647" s="14"/>
      <c r="Z647" s="14"/>
      <c r="AA647" s="14"/>
      <c r="AB647" s="14"/>
      <c r="AC647" s="14"/>
      <c r="AD647" s="14"/>
      <c r="AE647" s="14"/>
      <c r="AF647" s="14"/>
      <c r="AG647" s="14"/>
      <c r="AH647" s="14"/>
      <c r="AI647" s="14"/>
      <c r="AJ647" s="14"/>
      <c r="AK647" s="14"/>
      <c r="AL647" s="14"/>
      <c r="AM647" s="14"/>
      <c r="AN647" s="14"/>
    </row>
    <row r="648" ht="15.75" customHeight="1">
      <c r="A648" s="14"/>
      <c r="B648" s="14"/>
      <c r="C648" s="14"/>
      <c r="D648" s="14"/>
      <c r="E648" s="14"/>
      <c r="F648" s="14"/>
      <c r="G648" s="14"/>
      <c r="H648" s="14"/>
      <c r="I648" s="14"/>
      <c r="J648" s="14"/>
      <c r="K648" s="14"/>
      <c r="L648" s="14"/>
      <c r="M648" s="14"/>
      <c r="N648" s="14"/>
      <c r="O648" s="14"/>
      <c r="P648" s="14"/>
      <c r="Q648" s="14"/>
      <c r="R648" s="18"/>
      <c r="S648" s="18"/>
      <c r="T648" s="93"/>
      <c r="U648" s="20"/>
      <c r="V648" s="14"/>
      <c r="W648" s="14"/>
      <c r="X648" s="14"/>
      <c r="Y648" s="14"/>
      <c r="Z648" s="14"/>
      <c r="AA648" s="14"/>
      <c r="AB648" s="14"/>
      <c r="AC648" s="14"/>
      <c r="AD648" s="14"/>
      <c r="AE648" s="14"/>
      <c r="AF648" s="14"/>
      <c r="AG648" s="14"/>
      <c r="AH648" s="14"/>
      <c r="AI648" s="14"/>
      <c r="AJ648" s="14"/>
      <c r="AK648" s="14"/>
      <c r="AL648" s="14"/>
      <c r="AM648" s="14"/>
      <c r="AN648" s="14"/>
    </row>
    <row r="649" ht="15.75" customHeight="1">
      <c r="A649" s="14"/>
      <c r="B649" s="14"/>
      <c r="C649" s="14"/>
      <c r="D649" s="14"/>
      <c r="E649" s="14"/>
      <c r="F649" s="14"/>
      <c r="G649" s="14"/>
      <c r="H649" s="14"/>
      <c r="I649" s="14"/>
      <c r="J649" s="14"/>
      <c r="K649" s="14"/>
      <c r="L649" s="14"/>
      <c r="M649" s="14"/>
      <c r="N649" s="14"/>
      <c r="O649" s="14"/>
      <c r="P649" s="14"/>
      <c r="Q649" s="14"/>
      <c r="R649" s="18"/>
      <c r="S649" s="18"/>
      <c r="T649" s="93"/>
      <c r="U649" s="20"/>
      <c r="V649" s="14"/>
      <c r="W649" s="14"/>
      <c r="X649" s="14"/>
      <c r="Y649" s="14"/>
      <c r="Z649" s="14"/>
      <c r="AA649" s="14"/>
      <c r="AB649" s="14"/>
      <c r="AC649" s="14"/>
      <c r="AD649" s="14"/>
      <c r="AE649" s="14"/>
      <c r="AF649" s="14"/>
      <c r="AG649" s="14"/>
      <c r="AH649" s="14"/>
      <c r="AI649" s="14"/>
      <c r="AJ649" s="14"/>
      <c r="AK649" s="14"/>
      <c r="AL649" s="14"/>
      <c r="AM649" s="14"/>
      <c r="AN649" s="14"/>
    </row>
    <row r="650" ht="15.75" customHeight="1">
      <c r="A650" s="14"/>
      <c r="B650" s="14"/>
      <c r="C650" s="14"/>
      <c r="D650" s="14"/>
      <c r="E650" s="14"/>
      <c r="F650" s="14"/>
      <c r="G650" s="14"/>
      <c r="H650" s="14"/>
      <c r="I650" s="14"/>
      <c r="J650" s="14"/>
      <c r="K650" s="14"/>
      <c r="L650" s="14"/>
      <c r="M650" s="14"/>
      <c r="N650" s="14"/>
      <c r="O650" s="14"/>
      <c r="P650" s="14"/>
      <c r="Q650" s="14"/>
      <c r="R650" s="18"/>
      <c r="S650" s="18"/>
      <c r="T650" s="93"/>
      <c r="U650" s="20"/>
      <c r="V650" s="14"/>
      <c r="W650" s="14"/>
      <c r="X650" s="14"/>
      <c r="Y650" s="14"/>
      <c r="Z650" s="14"/>
      <c r="AA650" s="14"/>
      <c r="AB650" s="14"/>
      <c r="AC650" s="14"/>
      <c r="AD650" s="14"/>
      <c r="AE650" s="14"/>
      <c r="AF650" s="14"/>
      <c r="AG650" s="14"/>
      <c r="AH650" s="14"/>
      <c r="AI650" s="14"/>
      <c r="AJ650" s="14"/>
      <c r="AK650" s="14"/>
      <c r="AL650" s="14"/>
      <c r="AM650" s="14"/>
      <c r="AN650" s="14"/>
    </row>
    <row r="651" ht="15.75" customHeight="1">
      <c r="A651" s="14"/>
      <c r="B651" s="14"/>
      <c r="C651" s="14"/>
      <c r="D651" s="14"/>
      <c r="E651" s="14"/>
      <c r="F651" s="14"/>
      <c r="G651" s="14"/>
      <c r="H651" s="14"/>
      <c r="I651" s="14"/>
      <c r="J651" s="14"/>
      <c r="K651" s="14"/>
      <c r="L651" s="14"/>
      <c r="M651" s="14"/>
      <c r="N651" s="14"/>
      <c r="O651" s="14"/>
      <c r="P651" s="14"/>
      <c r="Q651" s="14"/>
      <c r="R651" s="18"/>
      <c r="S651" s="18"/>
      <c r="T651" s="93"/>
      <c r="U651" s="20"/>
      <c r="V651" s="14"/>
      <c r="W651" s="14"/>
      <c r="X651" s="14"/>
      <c r="Y651" s="14"/>
      <c r="Z651" s="14"/>
      <c r="AA651" s="14"/>
      <c r="AB651" s="14"/>
      <c r="AC651" s="14"/>
      <c r="AD651" s="14"/>
      <c r="AE651" s="14"/>
      <c r="AF651" s="14"/>
      <c r="AG651" s="14"/>
      <c r="AH651" s="14"/>
      <c r="AI651" s="14"/>
      <c r="AJ651" s="14"/>
      <c r="AK651" s="14"/>
      <c r="AL651" s="14"/>
      <c r="AM651" s="14"/>
      <c r="AN651" s="14"/>
    </row>
    <row r="652" ht="15.75" customHeight="1">
      <c r="A652" s="14"/>
      <c r="B652" s="14"/>
      <c r="C652" s="14"/>
      <c r="D652" s="14"/>
      <c r="E652" s="14"/>
      <c r="F652" s="14"/>
      <c r="G652" s="14"/>
      <c r="H652" s="14"/>
      <c r="I652" s="14"/>
      <c r="J652" s="14"/>
      <c r="K652" s="14"/>
      <c r="L652" s="14"/>
      <c r="M652" s="14"/>
      <c r="N652" s="14"/>
      <c r="O652" s="14"/>
      <c r="P652" s="14"/>
      <c r="Q652" s="14"/>
      <c r="R652" s="18"/>
      <c r="S652" s="18"/>
      <c r="T652" s="93"/>
      <c r="U652" s="20"/>
      <c r="V652" s="14"/>
      <c r="W652" s="14"/>
      <c r="X652" s="14"/>
      <c r="Y652" s="14"/>
      <c r="Z652" s="14"/>
      <c r="AA652" s="14"/>
      <c r="AB652" s="14"/>
      <c r="AC652" s="14"/>
      <c r="AD652" s="14"/>
      <c r="AE652" s="14"/>
      <c r="AF652" s="14"/>
      <c r="AG652" s="14"/>
      <c r="AH652" s="14"/>
      <c r="AI652" s="14"/>
      <c r="AJ652" s="14"/>
      <c r="AK652" s="14"/>
      <c r="AL652" s="14"/>
      <c r="AM652" s="14"/>
      <c r="AN652" s="14"/>
    </row>
    <row r="653" ht="15.75" customHeight="1">
      <c r="A653" s="14"/>
      <c r="B653" s="14"/>
      <c r="C653" s="14"/>
      <c r="D653" s="14"/>
      <c r="E653" s="14"/>
      <c r="F653" s="14"/>
      <c r="G653" s="14"/>
      <c r="H653" s="14"/>
      <c r="I653" s="14"/>
      <c r="J653" s="14"/>
      <c r="K653" s="14"/>
      <c r="L653" s="14"/>
      <c r="M653" s="14"/>
      <c r="N653" s="14"/>
      <c r="O653" s="14"/>
      <c r="P653" s="14"/>
      <c r="Q653" s="14"/>
      <c r="R653" s="18"/>
      <c r="S653" s="18"/>
      <c r="T653" s="93"/>
      <c r="U653" s="20"/>
      <c r="V653" s="14"/>
      <c r="W653" s="14"/>
      <c r="X653" s="14"/>
      <c r="Y653" s="14"/>
      <c r="Z653" s="14"/>
      <c r="AA653" s="14"/>
      <c r="AB653" s="14"/>
      <c r="AC653" s="14"/>
      <c r="AD653" s="14"/>
      <c r="AE653" s="14"/>
      <c r="AF653" s="14"/>
      <c r="AG653" s="14"/>
      <c r="AH653" s="14"/>
      <c r="AI653" s="14"/>
      <c r="AJ653" s="14"/>
      <c r="AK653" s="14"/>
      <c r="AL653" s="14"/>
      <c r="AM653" s="14"/>
      <c r="AN653" s="14"/>
    </row>
    <row r="654" ht="15.75" customHeight="1">
      <c r="A654" s="14"/>
      <c r="B654" s="14"/>
      <c r="C654" s="14"/>
      <c r="D654" s="14"/>
      <c r="E654" s="14"/>
      <c r="F654" s="14"/>
      <c r="G654" s="14"/>
      <c r="H654" s="14"/>
      <c r="I654" s="14"/>
      <c r="J654" s="14"/>
      <c r="K654" s="14"/>
      <c r="L654" s="14"/>
      <c r="M654" s="14"/>
      <c r="N654" s="14"/>
      <c r="O654" s="14"/>
      <c r="P654" s="14"/>
      <c r="Q654" s="14"/>
      <c r="R654" s="18"/>
      <c r="S654" s="18"/>
      <c r="T654" s="93"/>
      <c r="U654" s="20"/>
      <c r="V654" s="14"/>
      <c r="W654" s="14"/>
      <c r="X654" s="14"/>
      <c r="Y654" s="14"/>
      <c r="Z654" s="14"/>
      <c r="AA654" s="14"/>
      <c r="AB654" s="14"/>
      <c r="AC654" s="14"/>
      <c r="AD654" s="14"/>
      <c r="AE654" s="14"/>
      <c r="AF654" s="14"/>
      <c r="AG654" s="14"/>
      <c r="AH654" s="14"/>
      <c r="AI654" s="14"/>
      <c r="AJ654" s="14"/>
      <c r="AK654" s="14"/>
      <c r="AL654" s="14"/>
      <c r="AM654" s="14"/>
      <c r="AN654" s="14"/>
    </row>
    <row r="655" ht="15.75" customHeight="1">
      <c r="A655" s="14"/>
      <c r="B655" s="14"/>
      <c r="C655" s="14"/>
      <c r="D655" s="14"/>
      <c r="E655" s="14"/>
      <c r="F655" s="14"/>
      <c r="G655" s="14"/>
      <c r="H655" s="14"/>
      <c r="I655" s="14"/>
      <c r="J655" s="14"/>
      <c r="K655" s="14"/>
      <c r="L655" s="14"/>
      <c r="M655" s="14"/>
      <c r="N655" s="14"/>
      <c r="O655" s="14"/>
      <c r="P655" s="14"/>
      <c r="Q655" s="14"/>
      <c r="R655" s="18"/>
      <c r="S655" s="18"/>
      <c r="T655" s="93"/>
      <c r="U655" s="20"/>
      <c r="V655" s="14"/>
      <c r="W655" s="14"/>
      <c r="X655" s="14"/>
      <c r="Y655" s="14"/>
      <c r="Z655" s="14"/>
      <c r="AA655" s="14"/>
      <c r="AB655" s="14"/>
      <c r="AC655" s="14"/>
      <c r="AD655" s="14"/>
      <c r="AE655" s="14"/>
      <c r="AF655" s="14"/>
      <c r="AG655" s="14"/>
      <c r="AH655" s="14"/>
      <c r="AI655" s="14"/>
      <c r="AJ655" s="14"/>
      <c r="AK655" s="14"/>
      <c r="AL655" s="14"/>
      <c r="AM655" s="14"/>
      <c r="AN655" s="14"/>
    </row>
    <row r="656" ht="15.75" customHeight="1">
      <c r="A656" s="14"/>
      <c r="B656" s="14"/>
      <c r="C656" s="14"/>
      <c r="D656" s="14"/>
      <c r="E656" s="14"/>
      <c r="F656" s="14"/>
      <c r="G656" s="14"/>
      <c r="H656" s="14"/>
      <c r="I656" s="14"/>
      <c r="J656" s="14"/>
      <c r="K656" s="14"/>
      <c r="L656" s="14"/>
      <c r="M656" s="14"/>
      <c r="N656" s="14"/>
      <c r="O656" s="14"/>
      <c r="P656" s="14"/>
      <c r="Q656" s="14"/>
      <c r="R656" s="18"/>
      <c r="S656" s="18"/>
      <c r="T656" s="93"/>
      <c r="U656" s="20"/>
      <c r="V656" s="14"/>
      <c r="W656" s="14"/>
      <c r="X656" s="14"/>
      <c r="Y656" s="14"/>
      <c r="Z656" s="14"/>
      <c r="AA656" s="14"/>
      <c r="AB656" s="14"/>
      <c r="AC656" s="14"/>
      <c r="AD656" s="14"/>
      <c r="AE656" s="14"/>
      <c r="AF656" s="14"/>
      <c r="AG656" s="14"/>
      <c r="AH656" s="14"/>
      <c r="AI656" s="14"/>
      <c r="AJ656" s="14"/>
      <c r="AK656" s="14"/>
      <c r="AL656" s="14"/>
      <c r="AM656" s="14"/>
      <c r="AN656" s="14"/>
    </row>
    <row r="657" ht="15.75" customHeight="1">
      <c r="A657" s="14"/>
      <c r="B657" s="14"/>
      <c r="C657" s="14"/>
      <c r="D657" s="14"/>
      <c r="E657" s="14"/>
      <c r="F657" s="14"/>
      <c r="G657" s="14"/>
      <c r="H657" s="14"/>
      <c r="I657" s="14"/>
      <c r="J657" s="14"/>
      <c r="K657" s="14"/>
      <c r="L657" s="14"/>
      <c r="M657" s="14"/>
      <c r="N657" s="14"/>
      <c r="O657" s="14"/>
      <c r="P657" s="14"/>
      <c r="Q657" s="14"/>
      <c r="R657" s="18"/>
      <c r="S657" s="18"/>
      <c r="T657" s="93"/>
      <c r="U657" s="20"/>
      <c r="V657" s="14"/>
      <c r="W657" s="14"/>
      <c r="X657" s="14"/>
      <c r="Y657" s="14"/>
      <c r="Z657" s="14"/>
      <c r="AA657" s="14"/>
      <c r="AB657" s="14"/>
      <c r="AC657" s="14"/>
      <c r="AD657" s="14"/>
      <c r="AE657" s="14"/>
      <c r="AF657" s="14"/>
      <c r="AG657" s="14"/>
      <c r="AH657" s="14"/>
      <c r="AI657" s="14"/>
      <c r="AJ657" s="14"/>
      <c r="AK657" s="14"/>
      <c r="AL657" s="14"/>
      <c r="AM657" s="14"/>
      <c r="AN657" s="14"/>
    </row>
    <row r="658" ht="15.75" customHeight="1">
      <c r="A658" s="14"/>
      <c r="B658" s="14"/>
      <c r="C658" s="14"/>
      <c r="D658" s="14"/>
      <c r="E658" s="14"/>
      <c r="F658" s="14"/>
      <c r="G658" s="14"/>
      <c r="H658" s="14"/>
      <c r="I658" s="14"/>
      <c r="J658" s="14"/>
      <c r="K658" s="14"/>
      <c r="L658" s="14"/>
      <c r="M658" s="14"/>
      <c r="N658" s="14"/>
      <c r="O658" s="14"/>
      <c r="P658" s="14"/>
      <c r="Q658" s="14"/>
      <c r="R658" s="18"/>
      <c r="S658" s="18"/>
      <c r="T658" s="93"/>
      <c r="U658" s="20"/>
      <c r="V658" s="14"/>
      <c r="W658" s="14"/>
      <c r="X658" s="14"/>
      <c r="Y658" s="14"/>
      <c r="Z658" s="14"/>
      <c r="AA658" s="14"/>
      <c r="AB658" s="14"/>
      <c r="AC658" s="14"/>
      <c r="AD658" s="14"/>
      <c r="AE658" s="14"/>
      <c r="AF658" s="14"/>
      <c r="AG658" s="14"/>
      <c r="AH658" s="14"/>
      <c r="AI658" s="14"/>
      <c r="AJ658" s="14"/>
      <c r="AK658" s="14"/>
      <c r="AL658" s="14"/>
      <c r="AM658" s="14"/>
      <c r="AN658" s="14"/>
    </row>
    <row r="659" ht="15.75" customHeight="1">
      <c r="A659" s="14"/>
      <c r="B659" s="14"/>
      <c r="C659" s="14"/>
      <c r="D659" s="14"/>
      <c r="E659" s="14"/>
      <c r="F659" s="14"/>
      <c r="G659" s="14"/>
      <c r="H659" s="14"/>
      <c r="I659" s="14"/>
      <c r="J659" s="14"/>
      <c r="K659" s="14"/>
      <c r="L659" s="14"/>
      <c r="M659" s="14"/>
      <c r="N659" s="14"/>
      <c r="O659" s="14"/>
      <c r="P659" s="14"/>
      <c r="Q659" s="14"/>
      <c r="R659" s="18"/>
      <c r="S659" s="18"/>
      <c r="T659" s="93"/>
      <c r="U659" s="20"/>
      <c r="V659" s="14"/>
      <c r="W659" s="14"/>
      <c r="X659" s="14"/>
      <c r="Y659" s="14"/>
      <c r="Z659" s="14"/>
      <c r="AA659" s="14"/>
      <c r="AB659" s="14"/>
      <c r="AC659" s="14"/>
      <c r="AD659" s="14"/>
      <c r="AE659" s="14"/>
      <c r="AF659" s="14"/>
      <c r="AG659" s="14"/>
      <c r="AH659" s="14"/>
      <c r="AI659" s="14"/>
      <c r="AJ659" s="14"/>
      <c r="AK659" s="14"/>
      <c r="AL659" s="14"/>
      <c r="AM659" s="14"/>
      <c r="AN659" s="14"/>
    </row>
    <row r="660" ht="15.75" customHeight="1">
      <c r="A660" s="14"/>
      <c r="B660" s="14"/>
      <c r="C660" s="14"/>
      <c r="D660" s="14"/>
      <c r="E660" s="14"/>
      <c r="F660" s="14"/>
      <c r="G660" s="14"/>
      <c r="H660" s="14"/>
      <c r="I660" s="14"/>
      <c r="J660" s="14"/>
      <c r="K660" s="14"/>
      <c r="L660" s="14"/>
      <c r="M660" s="14"/>
      <c r="N660" s="14"/>
      <c r="O660" s="14"/>
      <c r="P660" s="14"/>
      <c r="Q660" s="14"/>
      <c r="R660" s="18"/>
      <c r="S660" s="18"/>
      <c r="T660" s="93"/>
      <c r="U660" s="20"/>
      <c r="V660" s="14"/>
      <c r="W660" s="14"/>
      <c r="X660" s="14"/>
      <c r="Y660" s="14"/>
      <c r="Z660" s="14"/>
      <c r="AA660" s="14"/>
      <c r="AB660" s="14"/>
      <c r="AC660" s="14"/>
      <c r="AD660" s="14"/>
      <c r="AE660" s="14"/>
      <c r="AF660" s="14"/>
      <c r="AG660" s="14"/>
      <c r="AH660" s="14"/>
      <c r="AI660" s="14"/>
      <c r="AJ660" s="14"/>
      <c r="AK660" s="14"/>
      <c r="AL660" s="14"/>
      <c r="AM660" s="14"/>
      <c r="AN660" s="14"/>
    </row>
    <row r="661" ht="15.75" customHeight="1">
      <c r="A661" s="14"/>
      <c r="B661" s="14"/>
      <c r="C661" s="14"/>
      <c r="D661" s="14"/>
      <c r="E661" s="14"/>
      <c r="F661" s="14"/>
      <c r="G661" s="14"/>
      <c r="H661" s="14"/>
      <c r="I661" s="14"/>
      <c r="J661" s="14"/>
      <c r="K661" s="14"/>
      <c r="L661" s="14"/>
      <c r="M661" s="14"/>
      <c r="N661" s="14"/>
      <c r="O661" s="14"/>
      <c r="P661" s="14"/>
      <c r="Q661" s="14"/>
      <c r="R661" s="18"/>
      <c r="S661" s="18"/>
      <c r="T661" s="93"/>
      <c r="U661" s="20"/>
      <c r="V661" s="14"/>
      <c r="W661" s="14"/>
      <c r="X661" s="14"/>
      <c r="Y661" s="14"/>
      <c r="Z661" s="14"/>
      <c r="AA661" s="14"/>
      <c r="AB661" s="14"/>
      <c r="AC661" s="14"/>
      <c r="AD661" s="14"/>
      <c r="AE661" s="14"/>
      <c r="AF661" s="14"/>
      <c r="AG661" s="14"/>
      <c r="AH661" s="14"/>
      <c r="AI661" s="14"/>
      <c r="AJ661" s="14"/>
      <c r="AK661" s="14"/>
      <c r="AL661" s="14"/>
      <c r="AM661" s="14"/>
      <c r="AN661" s="14"/>
    </row>
    <row r="662" ht="15.75" customHeight="1">
      <c r="A662" s="14"/>
      <c r="B662" s="14"/>
      <c r="C662" s="14"/>
      <c r="D662" s="14"/>
      <c r="E662" s="14"/>
      <c r="F662" s="14"/>
      <c r="G662" s="14"/>
      <c r="H662" s="14"/>
      <c r="I662" s="14"/>
      <c r="J662" s="14"/>
      <c r="K662" s="14"/>
      <c r="L662" s="14"/>
      <c r="M662" s="14"/>
      <c r="N662" s="14"/>
      <c r="O662" s="14"/>
      <c r="P662" s="14"/>
      <c r="Q662" s="14"/>
      <c r="R662" s="18"/>
      <c r="S662" s="18"/>
      <c r="T662" s="93"/>
      <c r="U662" s="20"/>
      <c r="V662" s="14"/>
      <c r="W662" s="14"/>
      <c r="X662" s="14"/>
      <c r="Y662" s="14"/>
      <c r="Z662" s="14"/>
      <c r="AA662" s="14"/>
      <c r="AB662" s="14"/>
      <c r="AC662" s="14"/>
      <c r="AD662" s="14"/>
      <c r="AE662" s="14"/>
      <c r="AF662" s="14"/>
      <c r="AG662" s="14"/>
      <c r="AH662" s="14"/>
      <c r="AI662" s="14"/>
      <c r="AJ662" s="14"/>
      <c r="AK662" s="14"/>
      <c r="AL662" s="14"/>
      <c r="AM662" s="14"/>
      <c r="AN662" s="14"/>
    </row>
    <row r="663" ht="15.75" customHeight="1">
      <c r="A663" s="14"/>
      <c r="B663" s="14"/>
      <c r="C663" s="14"/>
      <c r="D663" s="14"/>
      <c r="E663" s="14"/>
      <c r="F663" s="14"/>
      <c r="G663" s="14"/>
      <c r="H663" s="14"/>
      <c r="I663" s="14"/>
      <c r="J663" s="14"/>
      <c r="K663" s="14"/>
      <c r="L663" s="14"/>
      <c r="M663" s="14"/>
      <c r="N663" s="14"/>
      <c r="O663" s="14"/>
      <c r="P663" s="14"/>
      <c r="Q663" s="14"/>
      <c r="R663" s="18"/>
      <c r="S663" s="18"/>
      <c r="T663" s="93"/>
      <c r="U663" s="20"/>
      <c r="V663" s="14"/>
      <c r="W663" s="14"/>
      <c r="X663" s="14"/>
      <c r="Y663" s="14"/>
      <c r="Z663" s="14"/>
      <c r="AA663" s="14"/>
      <c r="AB663" s="14"/>
      <c r="AC663" s="14"/>
      <c r="AD663" s="14"/>
      <c r="AE663" s="14"/>
      <c r="AF663" s="14"/>
      <c r="AG663" s="14"/>
      <c r="AH663" s="14"/>
      <c r="AI663" s="14"/>
      <c r="AJ663" s="14"/>
      <c r="AK663" s="14"/>
      <c r="AL663" s="14"/>
      <c r="AM663" s="14"/>
      <c r="AN663" s="14"/>
    </row>
    <row r="664" ht="15.75" customHeight="1">
      <c r="A664" s="14"/>
      <c r="B664" s="14"/>
      <c r="C664" s="14"/>
      <c r="D664" s="14"/>
      <c r="E664" s="14"/>
      <c r="F664" s="14"/>
      <c r="G664" s="14"/>
      <c r="H664" s="14"/>
      <c r="I664" s="14"/>
      <c r="J664" s="14"/>
      <c r="K664" s="14"/>
      <c r="L664" s="14"/>
      <c r="M664" s="14"/>
      <c r="N664" s="14"/>
      <c r="O664" s="14"/>
      <c r="P664" s="14"/>
      <c r="Q664" s="14"/>
      <c r="R664" s="18"/>
      <c r="S664" s="18"/>
      <c r="T664" s="93"/>
      <c r="U664" s="20"/>
      <c r="V664" s="14"/>
      <c r="W664" s="14"/>
      <c r="X664" s="14"/>
      <c r="Y664" s="14"/>
      <c r="Z664" s="14"/>
      <c r="AA664" s="14"/>
      <c r="AB664" s="14"/>
      <c r="AC664" s="14"/>
      <c r="AD664" s="14"/>
      <c r="AE664" s="14"/>
      <c r="AF664" s="14"/>
      <c r="AG664" s="14"/>
      <c r="AH664" s="14"/>
      <c r="AI664" s="14"/>
      <c r="AJ664" s="14"/>
      <c r="AK664" s="14"/>
      <c r="AL664" s="14"/>
      <c r="AM664" s="14"/>
      <c r="AN664" s="14"/>
    </row>
    <row r="665" ht="15.75" customHeight="1">
      <c r="A665" s="14"/>
      <c r="B665" s="14"/>
      <c r="C665" s="14"/>
      <c r="D665" s="14"/>
      <c r="E665" s="14"/>
      <c r="F665" s="14"/>
      <c r="G665" s="14"/>
      <c r="H665" s="14"/>
      <c r="I665" s="14"/>
      <c r="J665" s="14"/>
      <c r="K665" s="14"/>
      <c r="L665" s="14"/>
      <c r="M665" s="14"/>
      <c r="N665" s="14"/>
      <c r="O665" s="14"/>
      <c r="P665" s="14"/>
      <c r="Q665" s="14"/>
      <c r="R665" s="18"/>
      <c r="S665" s="18"/>
      <c r="T665" s="93"/>
      <c r="U665" s="20"/>
      <c r="V665" s="14"/>
      <c r="W665" s="14"/>
      <c r="X665" s="14"/>
      <c r="Y665" s="14"/>
      <c r="Z665" s="14"/>
      <c r="AA665" s="14"/>
      <c r="AB665" s="14"/>
      <c r="AC665" s="14"/>
      <c r="AD665" s="14"/>
      <c r="AE665" s="14"/>
      <c r="AF665" s="14"/>
      <c r="AG665" s="14"/>
      <c r="AH665" s="14"/>
      <c r="AI665" s="14"/>
      <c r="AJ665" s="14"/>
      <c r="AK665" s="14"/>
      <c r="AL665" s="14"/>
      <c r="AM665" s="14"/>
      <c r="AN665" s="14"/>
    </row>
    <row r="666" ht="15.75" customHeight="1">
      <c r="A666" s="14"/>
      <c r="B666" s="14"/>
      <c r="C666" s="14"/>
      <c r="D666" s="14"/>
      <c r="E666" s="14"/>
      <c r="F666" s="14"/>
      <c r="G666" s="14"/>
      <c r="H666" s="14"/>
      <c r="I666" s="14"/>
      <c r="J666" s="14"/>
      <c r="K666" s="14"/>
      <c r="L666" s="14"/>
      <c r="M666" s="14"/>
      <c r="N666" s="14"/>
      <c r="O666" s="14"/>
      <c r="P666" s="14"/>
      <c r="Q666" s="14"/>
      <c r="R666" s="18"/>
      <c r="S666" s="18"/>
      <c r="T666" s="93"/>
      <c r="U666" s="20"/>
      <c r="V666" s="14"/>
      <c r="W666" s="14"/>
      <c r="X666" s="14"/>
      <c r="Y666" s="14"/>
      <c r="Z666" s="14"/>
      <c r="AA666" s="14"/>
      <c r="AB666" s="14"/>
      <c r="AC666" s="14"/>
      <c r="AD666" s="14"/>
      <c r="AE666" s="14"/>
      <c r="AF666" s="14"/>
      <c r="AG666" s="14"/>
      <c r="AH666" s="14"/>
      <c r="AI666" s="14"/>
      <c r="AJ666" s="14"/>
      <c r="AK666" s="14"/>
      <c r="AL666" s="14"/>
      <c r="AM666" s="14"/>
      <c r="AN666" s="14"/>
    </row>
    <row r="667" ht="15.75" customHeight="1">
      <c r="A667" s="14"/>
      <c r="B667" s="14"/>
      <c r="C667" s="14"/>
      <c r="D667" s="14"/>
      <c r="E667" s="14"/>
      <c r="F667" s="14"/>
      <c r="G667" s="14"/>
      <c r="H667" s="14"/>
      <c r="I667" s="14"/>
      <c r="J667" s="14"/>
      <c r="K667" s="14"/>
      <c r="L667" s="14"/>
      <c r="M667" s="14"/>
      <c r="N667" s="14"/>
      <c r="O667" s="14"/>
      <c r="P667" s="14"/>
      <c r="Q667" s="14"/>
      <c r="R667" s="18"/>
      <c r="S667" s="18"/>
      <c r="T667" s="93"/>
      <c r="U667" s="20"/>
      <c r="V667" s="14"/>
      <c r="W667" s="14"/>
      <c r="X667" s="14"/>
      <c r="Y667" s="14"/>
      <c r="Z667" s="14"/>
      <c r="AA667" s="14"/>
      <c r="AB667" s="14"/>
      <c r="AC667" s="14"/>
      <c r="AD667" s="14"/>
      <c r="AE667" s="14"/>
      <c r="AF667" s="14"/>
      <c r="AG667" s="14"/>
      <c r="AH667" s="14"/>
      <c r="AI667" s="14"/>
      <c r="AJ667" s="14"/>
      <c r="AK667" s="14"/>
      <c r="AL667" s="14"/>
      <c r="AM667" s="14"/>
      <c r="AN667" s="14"/>
    </row>
    <row r="668" ht="15.75" customHeight="1">
      <c r="A668" s="14"/>
      <c r="B668" s="14"/>
      <c r="C668" s="14"/>
      <c r="D668" s="14"/>
      <c r="E668" s="14"/>
      <c r="F668" s="14"/>
      <c r="G668" s="14"/>
      <c r="H668" s="14"/>
      <c r="I668" s="14"/>
      <c r="J668" s="14"/>
      <c r="K668" s="14"/>
      <c r="L668" s="14"/>
      <c r="M668" s="14"/>
      <c r="N668" s="14"/>
      <c r="O668" s="14"/>
      <c r="P668" s="14"/>
      <c r="Q668" s="14"/>
      <c r="R668" s="18"/>
      <c r="S668" s="18"/>
      <c r="T668" s="93"/>
      <c r="U668" s="20"/>
      <c r="V668" s="14"/>
      <c r="W668" s="14"/>
      <c r="X668" s="14"/>
      <c r="Y668" s="14"/>
      <c r="Z668" s="14"/>
      <c r="AA668" s="14"/>
      <c r="AB668" s="14"/>
      <c r="AC668" s="14"/>
      <c r="AD668" s="14"/>
      <c r="AE668" s="14"/>
      <c r="AF668" s="14"/>
      <c r="AG668" s="14"/>
      <c r="AH668" s="14"/>
      <c r="AI668" s="14"/>
      <c r="AJ668" s="14"/>
      <c r="AK668" s="14"/>
      <c r="AL668" s="14"/>
      <c r="AM668" s="14"/>
      <c r="AN668" s="14"/>
    </row>
    <row r="669" ht="15.75" customHeight="1">
      <c r="A669" s="14"/>
      <c r="B669" s="14"/>
      <c r="C669" s="14"/>
      <c r="D669" s="14"/>
      <c r="E669" s="14"/>
      <c r="F669" s="14"/>
      <c r="G669" s="14"/>
      <c r="H669" s="14"/>
      <c r="I669" s="14"/>
      <c r="J669" s="14"/>
      <c r="K669" s="14"/>
      <c r="L669" s="14"/>
      <c r="M669" s="14"/>
      <c r="N669" s="14"/>
      <c r="O669" s="14"/>
      <c r="P669" s="14"/>
      <c r="Q669" s="14"/>
      <c r="R669" s="18"/>
      <c r="S669" s="18"/>
      <c r="T669" s="93"/>
      <c r="U669" s="20"/>
      <c r="V669" s="14"/>
      <c r="W669" s="14"/>
      <c r="X669" s="14"/>
      <c r="Y669" s="14"/>
      <c r="Z669" s="14"/>
      <c r="AA669" s="14"/>
      <c r="AB669" s="14"/>
      <c r="AC669" s="14"/>
      <c r="AD669" s="14"/>
      <c r="AE669" s="14"/>
      <c r="AF669" s="14"/>
      <c r="AG669" s="14"/>
      <c r="AH669" s="14"/>
      <c r="AI669" s="14"/>
      <c r="AJ669" s="14"/>
      <c r="AK669" s="14"/>
      <c r="AL669" s="14"/>
      <c r="AM669" s="14"/>
      <c r="AN669" s="14"/>
    </row>
    <row r="670" ht="15.75" customHeight="1">
      <c r="A670" s="14"/>
      <c r="B670" s="14"/>
      <c r="C670" s="14"/>
      <c r="D670" s="14"/>
      <c r="E670" s="14"/>
      <c r="F670" s="14"/>
      <c r="G670" s="14"/>
      <c r="H670" s="14"/>
      <c r="I670" s="14"/>
      <c r="J670" s="14"/>
      <c r="K670" s="14"/>
      <c r="L670" s="14"/>
      <c r="M670" s="14"/>
      <c r="N670" s="14"/>
      <c r="O670" s="14"/>
      <c r="P670" s="14"/>
      <c r="Q670" s="14"/>
      <c r="R670" s="18"/>
      <c r="S670" s="18"/>
      <c r="T670" s="93"/>
      <c r="U670" s="20"/>
      <c r="V670" s="14"/>
      <c r="W670" s="14"/>
      <c r="X670" s="14"/>
      <c r="Y670" s="14"/>
      <c r="Z670" s="14"/>
      <c r="AA670" s="14"/>
      <c r="AB670" s="14"/>
      <c r="AC670" s="14"/>
      <c r="AD670" s="14"/>
      <c r="AE670" s="14"/>
      <c r="AF670" s="14"/>
      <c r="AG670" s="14"/>
      <c r="AH670" s="14"/>
      <c r="AI670" s="14"/>
      <c r="AJ670" s="14"/>
      <c r="AK670" s="14"/>
      <c r="AL670" s="14"/>
      <c r="AM670" s="14"/>
      <c r="AN670" s="14"/>
    </row>
    <row r="671" ht="15.75" customHeight="1">
      <c r="A671" s="14"/>
      <c r="B671" s="14"/>
      <c r="C671" s="14"/>
      <c r="D671" s="14"/>
      <c r="E671" s="14"/>
      <c r="F671" s="14"/>
      <c r="G671" s="14"/>
      <c r="H671" s="14"/>
      <c r="I671" s="14"/>
      <c r="J671" s="14"/>
      <c r="K671" s="14"/>
      <c r="L671" s="14"/>
      <c r="M671" s="14"/>
      <c r="N671" s="14"/>
      <c r="O671" s="14"/>
      <c r="P671" s="14"/>
      <c r="Q671" s="14"/>
      <c r="R671" s="18"/>
      <c r="S671" s="18"/>
      <c r="T671" s="93"/>
      <c r="U671" s="20"/>
      <c r="V671" s="14"/>
      <c r="W671" s="14"/>
      <c r="X671" s="14"/>
      <c r="Y671" s="14"/>
      <c r="Z671" s="14"/>
      <c r="AA671" s="14"/>
      <c r="AB671" s="14"/>
      <c r="AC671" s="14"/>
      <c r="AD671" s="14"/>
      <c r="AE671" s="14"/>
      <c r="AF671" s="14"/>
      <c r="AG671" s="14"/>
      <c r="AH671" s="14"/>
      <c r="AI671" s="14"/>
      <c r="AJ671" s="14"/>
      <c r="AK671" s="14"/>
      <c r="AL671" s="14"/>
      <c r="AM671" s="14"/>
      <c r="AN671" s="14"/>
    </row>
    <row r="672" ht="15.75" customHeight="1">
      <c r="A672" s="14"/>
      <c r="B672" s="14"/>
      <c r="C672" s="14"/>
      <c r="D672" s="14"/>
      <c r="E672" s="14"/>
      <c r="F672" s="14"/>
      <c r="G672" s="14"/>
      <c r="H672" s="14"/>
      <c r="I672" s="14"/>
      <c r="J672" s="14"/>
      <c r="K672" s="14"/>
      <c r="L672" s="14"/>
      <c r="M672" s="14"/>
      <c r="N672" s="14"/>
      <c r="O672" s="14"/>
      <c r="P672" s="14"/>
      <c r="Q672" s="14"/>
      <c r="R672" s="18"/>
      <c r="S672" s="18"/>
      <c r="T672" s="93"/>
      <c r="U672" s="20"/>
      <c r="V672" s="14"/>
      <c r="W672" s="14"/>
      <c r="X672" s="14"/>
      <c r="Y672" s="14"/>
      <c r="Z672" s="14"/>
      <c r="AA672" s="14"/>
      <c r="AB672" s="14"/>
      <c r="AC672" s="14"/>
      <c r="AD672" s="14"/>
      <c r="AE672" s="14"/>
      <c r="AF672" s="14"/>
      <c r="AG672" s="14"/>
      <c r="AH672" s="14"/>
      <c r="AI672" s="14"/>
      <c r="AJ672" s="14"/>
      <c r="AK672" s="14"/>
      <c r="AL672" s="14"/>
      <c r="AM672" s="14"/>
      <c r="AN672" s="14"/>
    </row>
    <row r="673" ht="15.75" customHeight="1">
      <c r="A673" s="14"/>
      <c r="B673" s="14"/>
      <c r="C673" s="14"/>
      <c r="D673" s="14"/>
      <c r="E673" s="14"/>
      <c r="F673" s="14"/>
      <c r="G673" s="14"/>
      <c r="H673" s="14"/>
      <c r="I673" s="14"/>
      <c r="J673" s="14"/>
      <c r="K673" s="14"/>
      <c r="L673" s="14"/>
      <c r="M673" s="14"/>
      <c r="N673" s="14"/>
      <c r="O673" s="14"/>
      <c r="P673" s="14"/>
      <c r="Q673" s="14"/>
      <c r="R673" s="18"/>
      <c r="S673" s="18"/>
      <c r="T673" s="93"/>
      <c r="U673" s="20"/>
      <c r="V673" s="14"/>
      <c r="W673" s="14"/>
      <c r="X673" s="14"/>
      <c r="Y673" s="14"/>
      <c r="Z673" s="14"/>
      <c r="AA673" s="14"/>
      <c r="AB673" s="14"/>
      <c r="AC673" s="14"/>
      <c r="AD673" s="14"/>
      <c r="AE673" s="14"/>
      <c r="AF673" s="14"/>
      <c r="AG673" s="14"/>
      <c r="AH673" s="14"/>
      <c r="AI673" s="14"/>
      <c r="AJ673" s="14"/>
      <c r="AK673" s="14"/>
      <c r="AL673" s="14"/>
      <c r="AM673" s="14"/>
      <c r="AN673" s="14"/>
    </row>
    <row r="674" ht="15.75" customHeight="1">
      <c r="A674" s="14"/>
      <c r="B674" s="14"/>
      <c r="C674" s="14"/>
      <c r="D674" s="14"/>
      <c r="E674" s="14"/>
      <c r="F674" s="14"/>
      <c r="G674" s="14"/>
      <c r="H674" s="14"/>
      <c r="I674" s="14"/>
      <c r="J674" s="14"/>
      <c r="K674" s="14"/>
      <c r="L674" s="14"/>
      <c r="M674" s="14"/>
      <c r="N674" s="14"/>
      <c r="O674" s="14"/>
      <c r="P674" s="14"/>
      <c r="Q674" s="14"/>
      <c r="R674" s="18"/>
      <c r="S674" s="18"/>
      <c r="T674" s="93"/>
      <c r="U674" s="20"/>
      <c r="V674" s="14"/>
      <c r="W674" s="14"/>
      <c r="X674" s="14"/>
      <c r="Y674" s="14"/>
      <c r="Z674" s="14"/>
      <c r="AA674" s="14"/>
      <c r="AB674" s="14"/>
      <c r="AC674" s="14"/>
      <c r="AD674" s="14"/>
      <c r="AE674" s="14"/>
      <c r="AF674" s="14"/>
      <c r="AG674" s="14"/>
      <c r="AH674" s="14"/>
      <c r="AI674" s="14"/>
      <c r="AJ674" s="14"/>
      <c r="AK674" s="14"/>
      <c r="AL674" s="14"/>
      <c r="AM674" s="14"/>
      <c r="AN674" s="14"/>
    </row>
    <row r="675" ht="15.75" customHeight="1">
      <c r="A675" s="14"/>
      <c r="B675" s="14"/>
      <c r="C675" s="14"/>
      <c r="D675" s="14"/>
      <c r="E675" s="14"/>
      <c r="F675" s="14"/>
      <c r="G675" s="14"/>
      <c r="H675" s="14"/>
      <c r="I675" s="14"/>
      <c r="J675" s="14"/>
      <c r="K675" s="14"/>
      <c r="L675" s="14"/>
      <c r="M675" s="14"/>
      <c r="N675" s="14"/>
      <c r="O675" s="14"/>
      <c r="P675" s="14"/>
      <c r="Q675" s="14"/>
      <c r="R675" s="18"/>
      <c r="S675" s="18"/>
      <c r="T675" s="93"/>
      <c r="U675" s="20"/>
      <c r="V675" s="14"/>
      <c r="W675" s="14"/>
      <c r="X675" s="14"/>
      <c r="Y675" s="14"/>
      <c r="Z675" s="14"/>
      <c r="AA675" s="14"/>
      <c r="AB675" s="14"/>
      <c r="AC675" s="14"/>
      <c r="AD675" s="14"/>
      <c r="AE675" s="14"/>
      <c r="AF675" s="14"/>
      <c r="AG675" s="14"/>
      <c r="AH675" s="14"/>
      <c r="AI675" s="14"/>
      <c r="AJ675" s="14"/>
      <c r="AK675" s="14"/>
      <c r="AL675" s="14"/>
      <c r="AM675" s="14"/>
      <c r="AN675" s="14"/>
    </row>
    <row r="676" ht="15.75" customHeight="1">
      <c r="A676" s="14"/>
      <c r="B676" s="14"/>
      <c r="C676" s="14"/>
      <c r="D676" s="14"/>
      <c r="E676" s="14"/>
      <c r="F676" s="14"/>
      <c r="G676" s="14"/>
      <c r="H676" s="14"/>
      <c r="I676" s="14"/>
      <c r="J676" s="14"/>
      <c r="K676" s="14"/>
      <c r="L676" s="14"/>
      <c r="M676" s="14"/>
      <c r="N676" s="14"/>
      <c r="O676" s="14"/>
      <c r="P676" s="14"/>
      <c r="Q676" s="14"/>
      <c r="R676" s="18"/>
      <c r="S676" s="18"/>
      <c r="T676" s="93"/>
      <c r="U676" s="20"/>
      <c r="V676" s="14"/>
      <c r="W676" s="14"/>
      <c r="X676" s="14"/>
      <c r="Y676" s="14"/>
      <c r="Z676" s="14"/>
      <c r="AA676" s="14"/>
      <c r="AB676" s="14"/>
      <c r="AC676" s="14"/>
      <c r="AD676" s="14"/>
      <c r="AE676" s="14"/>
      <c r="AF676" s="14"/>
      <c r="AG676" s="14"/>
      <c r="AH676" s="14"/>
      <c r="AI676" s="14"/>
      <c r="AJ676" s="14"/>
      <c r="AK676" s="14"/>
      <c r="AL676" s="14"/>
      <c r="AM676" s="14"/>
      <c r="AN676" s="14"/>
    </row>
    <row r="677" ht="15.75" customHeight="1">
      <c r="A677" s="14"/>
      <c r="B677" s="14"/>
      <c r="C677" s="14"/>
      <c r="D677" s="14"/>
      <c r="E677" s="14"/>
      <c r="F677" s="14"/>
      <c r="G677" s="14"/>
      <c r="H677" s="14"/>
      <c r="I677" s="14"/>
      <c r="J677" s="14"/>
      <c r="K677" s="14"/>
      <c r="L677" s="14"/>
      <c r="M677" s="14"/>
      <c r="N677" s="14"/>
      <c r="O677" s="14"/>
      <c r="P677" s="14"/>
      <c r="Q677" s="14"/>
      <c r="R677" s="18"/>
      <c r="S677" s="18"/>
      <c r="T677" s="93"/>
      <c r="U677" s="20"/>
      <c r="V677" s="14"/>
      <c r="W677" s="14"/>
      <c r="X677" s="14"/>
      <c r="Y677" s="14"/>
      <c r="Z677" s="14"/>
      <c r="AA677" s="14"/>
      <c r="AB677" s="14"/>
      <c r="AC677" s="14"/>
      <c r="AD677" s="14"/>
      <c r="AE677" s="14"/>
      <c r="AF677" s="14"/>
      <c r="AG677" s="14"/>
      <c r="AH677" s="14"/>
      <c r="AI677" s="14"/>
      <c r="AJ677" s="14"/>
      <c r="AK677" s="14"/>
      <c r="AL677" s="14"/>
      <c r="AM677" s="14"/>
      <c r="AN677" s="14"/>
    </row>
    <row r="678" ht="15.75" customHeight="1">
      <c r="A678" s="14"/>
      <c r="B678" s="14"/>
      <c r="C678" s="14"/>
      <c r="D678" s="14"/>
      <c r="E678" s="14"/>
      <c r="F678" s="14"/>
      <c r="G678" s="14"/>
      <c r="H678" s="14"/>
      <c r="I678" s="14"/>
      <c r="J678" s="14"/>
      <c r="K678" s="14"/>
      <c r="L678" s="14"/>
      <c r="M678" s="14"/>
      <c r="N678" s="14"/>
      <c r="O678" s="14"/>
      <c r="P678" s="14"/>
      <c r="Q678" s="14"/>
      <c r="R678" s="18"/>
      <c r="S678" s="18"/>
      <c r="T678" s="93"/>
      <c r="U678" s="20"/>
      <c r="V678" s="14"/>
      <c r="W678" s="14"/>
      <c r="X678" s="14"/>
      <c r="Y678" s="14"/>
      <c r="Z678" s="14"/>
      <c r="AA678" s="14"/>
      <c r="AB678" s="14"/>
      <c r="AC678" s="14"/>
      <c r="AD678" s="14"/>
      <c r="AE678" s="14"/>
      <c r="AF678" s="14"/>
      <c r="AG678" s="14"/>
      <c r="AH678" s="14"/>
      <c r="AI678" s="14"/>
      <c r="AJ678" s="14"/>
      <c r="AK678" s="14"/>
      <c r="AL678" s="14"/>
      <c r="AM678" s="14"/>
      <c r="AN678" s="14"/>
    </row>
    <row r="679" ht="15.75" customHeight="1">
      <c r="A679" s="14"/>
      <c r="B679" s="14"/>
      <c r="C679" s="14"/>
      <c r="D679" s="14"/>
      <c r="E679" s="14"/>
      <c r="F679" s="14"/>
      <c r="G679" s="14"/>
      <c r="H679" s="14"/>
      <c r="I679" s="14"/>
      <c r="J679" s="14"/>
      <c r="K679" s="14"/>
      <c r="L679" s="14"/>
      <c r="M679" s="14"/>
      <c r="N679" s="14"/>
      <c r="O679" s="14"/>
      <c r="P679" s="14"/>
      <c r="Q679" s="14"/>
      <c r="R679" s="18"/>
      <c r="S679" s="18"/>
      <c r="T679" s="93"/>
      <c r="U679" s="20"/>
      <c r="V679" s="14"/>
      <c r="W679" s="14"/>
      <c r="X679" s="14"/>
      <c r="Y679" s="14"/>
      <c r="Z679" s="14"/>
      <c r="AA679" s="14"/>
      <c r="AB679" s="14"/>
      <c r="AC679" s="14"/>
      <c r="AD679" s="14"/>
      <c r="AE679" s="14"/>
      <c r="AF679" s="14"/>
      <c r="AG679" s="14"/>
      <c r="AH679" s="14"/>
      <c r="AI679" s="14"/>
      <c r="AJ679" s="14"/>
      <c r="AK679" s="14"/>
      <c r="AL679" s="14"/>
      <c r="AM679" s="14"/>
      <c r="AN679" s="14"/>
    </row>
    <row r="680" ht="15.75" customHeight="1">
      <c r="A680" s="14"/>
      <c r="B680" s="14"/>
      <c r="C680" s="14"/>
      <c r="D680" s="14"/>
      <c r="E680" s="14"/>
      <c r="F680" s="14"/>
      <c r="G680" s="14"/>
      <c r="H680" s="14"/>
      <c r="I680" s="14"/>
      <c r="J680" s="14"/>
      <c r="K680" s="14"/>
      <c r="L680" s="14"/>
      <c r="M680" s="14"/>
      <c r="N680" s="14"/>
      <c r="O680" s="14"/>
      <c r="P680" s="14"/>
      <c r="Q680" s="14"/>
      <c r="R680" s="18"/>
      <c r="S680" s="18"/>
      <c r="T680" s="93"/>
      <c r="U680" s="20"/>
      <c r="V680" s="14"/>
      <c r="W680" s="14"/>
      <c r="X680" s="14"/>
      <c r="Y680" s="14"/>
      <c r="Z680" s="14"/>
      <c r="AA680" s="14"/>
      <c r="AB680" s="14"/>
      <c r="AC680" s="14"/>
      <c r="AD680" s="14"/>
      <c r="AE680" s="14"/>
      <c r="AF680" s="14"/>
      <c r="AG680" s="14"/>
      <c r="AH680" s="14"/>
      <c r="AI680" s="14"/>
      <c r="AJ680" s="14"/>
      <c r="AK680" s="14"/>
      <c r="AL680" s="14"/>
      <c r="AM680" s="14"/>
      <c r="AN680" s="14"/>
    </row>
    <row r="681" ht="15.75" customHeight="1">
      <c r="A681" s="14"/>
      <c r="B681" s="14"/>
      <c r="C681" s="14"/>
      <c r="D681" s="14"/>
      <c r="E681" s="14"/>
      <c r="F681" s="14"/>
      <c r="G681" s="14"/>
      <c r="H681" s="14"/>
      <c r="I681" s="14"/>
      <c r="J681" s="14"/>
      <c r="K681" s="14"/>
      <c r="L681" s="14"/>
      <c r="M681" s="14"/>
      <c r="N681" s="14"/>
      <c r="O681" s="14"/>
      <c r="P681" s="14"/>
      <c r="Q681" s="14"/>
      <c r="R681" s="18"/>
      <c r="S681" s="18"/>
      <c r="T681" s="93"/>
      <c r="U681" s="20"/>
      <c r="V681" s="14"/>
      <c r="W681" s="14"/>
      <c r="X681" s="14"/>
      <c r="Y681" s="14"/>
      <c r="Z681" s="14"/>
      <c r="AA681" s="14"/>
      <c r="AB681" s="14"/>
      <c r="AC681" s="14"/>
      <c r="AD681" s="14"/>
      <c r="AE681" s="14"/>
      <c r="AF681" s="14"/>
      <c r="AG681" s="14"/>
      <c r="AH681" s="14"/>
      <c r="AI681" s="14"/>
      <c r="AJ681" s="14"/>
      <c r="AK681" s="14"/>
      <c r="AL681" s="14"/>
      <c r="AM681" s="14"/>
      <c r="AN681" s="14"/>
    </row>
    <row r="682" ht="15.75" customHeight="1">
      <c r="A682" s="14"/>
      <c r="B682" s="14"/>
      <c r="C682" s="14"/>
      <c r="D682" s="14"/>
      <c r="E682" s="14"/>
      <c r="F682" s="14"/>
      <c r="G682" s="14"/>
      <c r="H682" s="14"/>
      <c r="I682" s="14"/>
      <c r="J682" s="14"/>
      <c r="K682" s="14"/>
      <c r="L682" s="14"/>
      <c r="M682" s="14"/>
      <c r="N682" s="14"/>
      <c r="O682" s="14"/>
      <c r="P682" s="14"/>
      <c r="Q682" s="14"/>
      <c r="R682" s="18"/>
      <c r="S682" s="18"/>
      <c r="T682" s="93"/>
      <c r="U682" s="20"/>
      <c r="V682" s="14"/>
      <c r="W682" s="14"/>
      <c r="X682" s="14"/>
      <c r="Y682" s="14"/>
      <c r="Z682" s="14"/>
      <c r="AA682" s="14"/>
      <c r="AB682" s="14"/>
      <c r="AC682" s="14"/>
      <c r="AD682" s="14"/>
      <c r="AE682" s="14"/>
      <c r="AF682" s="14"/>
      <c r="AG682" s="14"/>
      <c r="AH682" s="14"/>
      <c r="AI682" s="14"/>
      <c r="AJ682" s="14"/>
      <c r="AK682" s="14"/>
      <c r="AL682" s="14"/>
      <c r="AM682" s="14"/>
      <c r="AN682" s="14"/>
    </row>
    <row r="683" ht="15.75" customHeight="1">
      <c r="A683" s="14"/>
      <c r="B683" s="14"/>
      <c r="C683" s="14"/>
      <c r="D683" s="14"/>
      <c r="E683" s="14"/>
      <c r="F683" s="14"/>
      <c r="G683" s="14"/>
      <c r="H683" s="14"/>
      <c r="I683" s="14"/>
      <c r="J683" s="14"/>
      <c r="K683" s="14"/>
      <c r="L683" s="14"/>
      <c r="M683" s="14"/>
      <c r="N683" s="14"/>
      <c r="O683" s="14"/>
      <c r="P683" s="14"/>
      <c r="Q683" s="14"/>
      <c r="R683" s="18"/>
      <c r="S683" s="18"/>
      <c r="T683" s="93"/>
      <c r="U683" s="20"/>
      <c r="V683" s="14"/>
      <c r="W683" s="14"/>
      <c r="X683" s="14"/>
      <c r="Y683" s="14"/>
      <c r="Z683" s="14"/>
      <c r="AA683" s="14"/>
      <c r="AB683" s="14"/>
      <c r="AC683" s="14"/>
      <c r="AD683" s="14"/>
      <c r="AE683" s="14"/>
      <c r="AF683" s="14"/>
      <c r="AG683" s="14"/>
      <c r="AH683" s="14"/>
      <c r="AI683" s="14"/>
      <c r="AJ683" s="14"/>
      <c r="AK683" s="14"/>
      <c r="AL683" s="14"/>
      <c r="AM683" s="14"/>
      <c r="AN683" s="14"/>
    </row>
    <row r="684" ht="15.75" customHeight="1">
      <c r="A684" s="14"/>
      <c r="B684" s="14"/>
      <c r="C684" s="14"/>
      <c r="D684" s="14"/>
      <c r="E684" s="14"/>
      <c r="F684" s="14"/>
      <c r="G684" s="14"/>
      <c r="H684" s="14"/>
      <c r="I684" s="14"/>
      <c r="J684" s="14"/>
      <c r="K684" s="14"/>
      <c r="L684" s="14"/>
      <c r="M684" s="14"/>
      <c r="N684" s="14"/>
      <c r="O684" s="14"/>
      <c r="P684" s="14"/>
      <c r="Q684" s="14"/>
      <c r="R684" s="18"/>
      <c r="S684" s="18"/>
      <c r="T684" s="93"/>
      <c r="U684" s="20"/>
      <c r="V684" s="14"/>
      <c r="W684" s="14"/>
      <c r="X684" s="14"/>
      <c r="Y684" s="14"/>
      <c r="Z684" s="14"/>
      <c r="AA684" s="14"/>
      <c r="AB684" s="14"/>
      <c r="AC684" s="14"/>
      <c r="AD684" s="14"/>
      <c r="AE684" s="14"/>
      <c r="AF684" s="14"/>
      <c r="AG684" s="14"/>
      <c r="AH684" s="14"/>
      <c r="AI684" s="14"/>
      <c r="AJ684" s="14"/>
      <c r="AK684" s="14"/>
      <c r="AL684" s="14"/>
      <c r="AM684" s="14"/>
      <c r="AN684" s="14"/>
    </row>
    <row r="685" ht="15.75" customHeight="1">
      <c r="A685" s="14"/>
      <c r="B685" s="14"/>
      <c r="C685" s="14"/>
      <c r="D685" s="14"/>
      <c r="E685" s="14"/>
      <c r="F685" s="14"/>
      <c r="G685" s="14"/>
      <c r="H685" s="14"/>
      <c r="I685" s="14"/>
      <c r="J685" s="14"/>
      <c r="K685" s="14"/>
      <c r="L685" s="14"/>
      <c r="M685" s="14"/>
      <c r="N685" s="14"/>
      <c r="O685" s="14"/>
      <c r="P685" s="14"/>
      <c r="Q685" s="14"/>
      <c r="R685" s="18"/>
      <c r="S685" s="18"/>
      <c r="T685" s="93"/>
      <c r="U685" s="20"/>
      <c r="V685" s="14"/>
      <c r="W685" s="14"/>
      <c r="X685" s="14"/>
      <c r="Y685" s="14"/>
      <c r="Z685" s="14"/>
      <c r="AA685" s="14"/>
      <c r="AB685" s="14"/>
      <c r="AC685" s="14"/>
      <c r="AD685" s="14"/>
      <c r="AE685" s="14"/>
      <c r="AF685" s="14"/>
      <c r="AG685" s="14"/>
      <c r="AH685" s="14"/>
      <c r="AI685" s="14"/>
      <c r="AJ685" s="14"/>
      <c r="AK685" s="14"/>
      <c r="AL685" s="14"/>
      <c r="AM685" s="14"/>
      <c r="AN685" s="14"/>
    </row>
    <row r="686" ht="15.75" customHeight="1">
      <c r="A686" s="14"/>
      <c r="B686" s="14"/>
      <c r="C686" s="14"/>
      <c r="D686" s="14"/>
      <c r="E686" s="14"/>
      <c r="F686" s="14"/>
      <c r="G686" s="14"/>
      <c r="H686" s="14"/>
      <c r="I686" s="14"/>
      <c r="J686" s="14"/>
      <c r="K686" s="14"/>
      <c r="L686" s="14"/>
      <c r="M686" s="14"/>
      <c r="N686" s="14"/>
      <c r="O686" s="14"/>
      <c r="P686" s="14"/>
      <c r="Q686" s="14"/>
      <c r="R686" s="18"/>
      <c r="S686" s="18"/>
      <c r="T686" s="93"/>
      <c r="U686" s="20"/>
      <c r="V686" s="14"/>
      <c r="W686" s="14"/>
      <c r="X686" s="14"/>
      <c r="Y686" s="14"/>
      <c r="Z686" s="14"/>
      <c r="AA686" s="14"/>
      <c r="AB686" s="14"/>
      <c r="AC686" s="14"/>
      <c r="AD686" s="14"/>
      <c r="AE686" s="14"/>
      <c r="AF686" s="14"/>
      <c r="AG686" s="14"/>
      <c r="AH686" s="14"/>
      <c r="AI686" s="14"/>
      <c r="AJ686" s="14"/>
      <c r="AK686" s="14"/>
      <c r="AL686" s="14"/>
      <c r="AM686" s="14"/>
      <c r="AN686" s="14"/>
    </row>
    <row r="687" ht="15.75" customHeight="1">
      <c r="A687" s="14"/>
      <c r="B687" s="14"/>
      <c r="C687" s="14"/>
      <c r="D687" s="14"/>
      <c r="E687" s="14"/>
      <c r="F687" s="14"/>
      <c r="G687" s="14"/>
      <c r="H687" s="14"/>
      <c r="I687" s="14"/>
      <c r="J687" s="14"/>
      <c r="K687" s="14"/>
      <c r="L687" s="14"/>
      <c r="M687" s="14"/>
      <c r="N687" s="14"/>
      <c r="O687" s="14"/>
      <c r="P687" s="14"/>
      <c r="Q687" s="14"/>
      <c r="R687" s="18"/>
      <c r="S687" s="18"/>
      <c r="T687" s="93"/>
      <c r="U687" s="20"/>
      <c r="V687" s="14"/>
      <c r="W687" s="14"/>
      <c r="X687" s="14"/>
      <c r="Y687" s="14"/>
      <c r="Z687" s="14"/>
      <c r="AA687" s="14"/>
      <c r="AB687" s="14"/>
      <c r="AC687" s="14"/>
      <c r="AD687" s="14"/>
      <c r="AE687" s="14"/>
      <c r="AF687" s="14"/>
      <c r="AG687" s="14"/>
      <c r="AH687" s="14"/>
      <c r="AI687" s="14"/>
      <c r="AJ687" s="14"/>
      <c r="AK687" s="14"/>
      <c r="AL687" s="14"/>
      <c r="AM687" s="14"/>
      <c r="AN687" s="14"/>
    </row>
    <row r="688" ht="15.75" customHeight="1">
      <c r="A688" s="14"/>
      <c r="B688" s="14"/>
      <c r="C688" s="14"/>
      <c r="D688" s="14"/>
      <c r="E688" s="14"/>
      <c r="F688" s="14"/>
      <c r="G688" s="14"/>
      <c r="H688" s="14"/>
      <c r="I688" s="14"/>
      <c r="J688" s="14"/>
      <c r="K688" s="14"/>
      <c r="L688" s="14"/>
      <c r="M688" s="14"/>
      <c r="N688" s="14"/>
      <c r="O688" s="14"/>
      <c r="P688" s="14"/>
      <c r="Q688" s="14"/>
      <c r="R688" s="18"/>
      <c r="S688" s="18"/>
      <c r="T688" s="93"/>
      <c r="U688" s="20"/>
      <c r="V688" s="14"/>
      <c r="W688" s="14"/>
      <c r="X688" s="14"/>
      <c r="Y688" s="14"/>
      <c r="Z688" s="14"/>
      <c r="AA688" s="14"/>
      <c r="AB688" s="14"/>
      <c r="AC688" s="14"/>
      <c r="AD688" s="14"/>
      <c r="AE688" s="14"/>
      <c r="AF688" s="14"/>
      <c r="AG688" s="14"/>
      <c r="AH688" s="14"/>
      <c r="AI688" s="14"/>
      <c r="AJ688" s="14"/>
      <c r="AK688" s="14"/>
      <c r="AL688" s="14"/>
      <c r="AM688" s="14"/>
      <c r="AN688" s="14"/>
    </row>
    <row r="689" ht="15.75" customHeight="1">
      <c r="A689" s="14"/>
      <c r="B689" s="14"/>
      <c r="C689" s="14"/>
      <c r="D689" s="14"/>
      <c r="E689" s="14"/>
      <c r="F689" s="14"/>
      <c r="G689" s="14"/>
      <c r="H689" s="14"/>
      <c r="I689" s="14"/>
      <c r="J689" s="14"/>
      <c r="K689" s="14"/>
      <c r="L689" s="14"/>
      <c r="M689" s="14"/>
      <c r="N689" s="14"/>
      <c r="O689" s="14"/>
      <c r="P689" s="14"/>
      <c r="Q689" s="14"/>
      <c r="R689" s="18"/>
      <c r="S689" s="18"/>
      <c r="T689" s="93"/>
      <c r="U689" s="20"/>
      <c r="V689" s="14"/>
      <c r="W689" s="14"/>
      <c r="X689" s="14"/>
      <c r="Y689" s="14"/>
      <c r="Z689" s="14"/>
      <c r="AA689" s="14"/>
      <c r="AB689" s="14"/>
      <c r="AC689" s="14"/>
      <c r="AD689" s="14"/>
      <c r="AE689" s="14"/>
      <c r="AF689" s="14"/>
      <c r="AG689" s="14"/>
      <c r="AH689" s="14"/>
      <c r="AI689" s="14"/>
      <c r="AJ689" s="14"/>
      <c r="AK689" s="14"/>
      <c r="AL689" s="14"/>
      <c r="AM689" s="14"/>
      <c r="AN689" s="14"/>
    </row>
    <row r="690" ht="15.75" customHeight="1">
      <c r="A690" s="14"/>
      <c r="B690" s="14"/>
      <c r="C690" s="14"/>
      <c r="D690" s="14"/>
      <c r="E690" s="14"/>
      <c r="F690" s="14"/>
      <c r="G690" s="14"/>
      <c r="H690" s="14"/>
      <c r="I690" s="14"/>
      <c r="J690" s="14"/>
      <c r="K690" s="14"/>
      <c r="L690" s="14"/>
      <c r="M690" s="14"/>
      <c r="N690" s="14"/>
      <c r="O690" s="14"/>
      <c r="P690" s="14"/>
      <c r="Q690" s="14"/>
      <c r="R690" s="18"/>
      <c r="S690" s="18"/>
      <c r="T690" s="93"/>
      <c r="U690" s="20"/>
      <c r="V690" s="14"/>
      <c r="W690" s="14"/>
      <c r="X690" s="14"/>
      <c r="Y690" s="14"/>
      <c r="Z690" s="14"/>
      <c r="AA690" s="14"/>
      <c r="AB690" s="14"/>
      <c r="AC690" s="14"/>
      <c r="AD690" s="14"/>
      <c r="AE690" s="14"/>
      <c r="AF690" s="14"/>
      <c r="AG690" s="14"/>
      <c r="AH690" s="14"/>
      <c r="AI690" s="14"/>
      <c r="AJ690" s="14"/>
      <c r="AK690" s="14"/>
      <c r="AL690" s="14"/>
      <c r="AM690" s="14"/>
      <c r="AN690" s="14"/>
    </row>
    <row r="691" ht="15.75" customHeight="1">
      <c r="A691" s="14"/>
      <c r="B691" s="14"/>
      <c r="C691" s="14"/>
      <c r="D691" s="14"/>
      <c r="E691" s="14"/>
      <c r="F691" s="14"/>
      <c r="G691" s="14"/>
      <c r="H691" s="14"/>
      <c r="I691" s="14"/>
      <c r="J691" s="14"/>
      <c r="K691" s="14"/>
      <c r="L691" s="14"/>
      <c r="M691" s="14"/>
      <c r="N691" s="14"/>
      <c r="O691" s="14"/>
      <c r="P691" s="14"/>
      <c r="Q691" s="14"/>
      <c r="R691" s="18"/>
      <c r="S691" s="18"/>
      <c r="T691" s="93"/>
      <c r="U691" s="20"/>
      <c r="V691" s="14"/>
      <c r="W691" s="14"/>
      <c r="X691" s="14"/>
      <c r="Y691" s="14"/>
      <c r="Z691" s="14"/>
      <c r="AA691" s="14"/>
      <c r="AB691" s="14"/>
      <c r="AC691" s="14"/>
      <c r="AD691" s="14"/>
      <c r="AE691" s="14"/>
      <c r="AF691" s="14"/>
      <c r="AG691" s="14"/>
      <c r="AH691" s="14"/>
      <c r="AI691" s="14"/>
      <c r="AJ691" s="14"/>
      <c r="AK691" s="14"/>
      <c r="AL691" s="14"/>
      <c r="AM691" s="14"/>
      <c r="AN691" s="14"/>
    </row>
    <row r="692" ht="15.75" customHeight="1">
      <c r="A692" s="14"/>
      <c r="B692" s="14"/>
      <c r="C692" s="14"/>
      <c r="D692" s="14"/>
      <c r="E692" s="14"/>
      <c r="F692" s="14"/>
      <c r="G692" s="14"/>
      <c r="H692" s="14"/>
      <c r="I692" s="14"/>
      <c r="J692" s="14"/>
      <c r="K692" s="14"/>
      <c r="L692" s="14"/>
      <c r="M692" s="14"/>
      <c r="N692" s="14"/>
      <c r="O692" s="14"/>
      <c r="P692" s="14"/>
      <c r="Q692" s="14"/>
      <c r="R692" s="18"/>
      <c r="S692" s="18"/>
      <c r="T692" s="93"/>
      <c r="U692" s="20"/>
      <c r="V692" s="14"/>
      <c r="W692" s="14"/>
      <c r="X692" s="14"/>
      <c r="Y692" s="14"/>
      <c r="Z692" s="14"/>
      <c r="AA692" s="14"/>
      <c r="AB692" s="14"/>
      <c r="AC692" s="14"/>
      <c r="AD692" s="14"/>
      <c r="AE692" s="14"/>
      <c r="AF692" s="14"/>
      <c r="AG692" s="14"/>
      <c r="AH692" s="14"/>
      <c r="AI692" s="14"/>
      <c r="AJ692" s="14"/>
      <c r="AK692" s="14"/>
      <c r="AL692" s="14"/>
      <c r="AM692" s="14"/>
      <c r="AN692" s="14"/>
    </row>
    <row r="693" ht="15.75" customHeight="1">
      <c r="A693" s="14"/>
      <c r="B693" s="14"/>
      <c r="C693" s="14"/>
      <c r="D693" s="14"/>
      <c r="E693" s="14"/>
      <c r="F693" s="14"/>
      <c r="G693" s="14"/>
      <c r="H693" s="14"/>
      <c r="I693" s="14"/>
      <c r="J693" s="14"/>
      <c r="K693" s="14"/>
      <c r="L693" s="14"/>
      <c r="M693" s="14"/>
      <c r="N693" s="14"/>
      <c r="O693" s="14"/>
      <c r="P693" s="14"/>
      <c r="Q693" s="14"/>
      <c r="R693" s="18"/>
      <c r="S693" s="18"/>
      <c r="T693" s="93"/>
      <c r="U693" s="20"/>
      <c r="V693" s="14"/>
      <c r="W693" s="14"/>
      <c r="X693" s="14"/>
      <c r="Y693" s="14"/>
      <c r="Z693" s="14"/>
      <c r="AA693" s="14"/>
      <c r="AB693" s="14"/>
      <c r="AC693" s="14"/>
      <c r="AD693" s="14"/>
      <c r="AE693" s="14"/>
      <c r="AF693" s="14"/>
      <c r="AG693" s="14"/>
      <c r="AH693" s="14"/>
      <c r="AI693" s="14"/>
      <c r="AJ693" s="14"/>
      <c r="AK693" s="14"/>
      <c r="AL693" s="14"/>
      <c r="AM693" s="14"/>
      <c r="AN693" s="14"/>
    </row>
    <row r="694" ht="15.75" customHeight="1">
      <c r="A694" s="14"/>
      <c r="B694" s="14"/>
      <c r="C694" s="14"/>
      <c r="D694" s="14"/>
      <c r="E694" s="14"/>
      <c r="F694" s="14"/>
      <c r="G694" s="14"/>
      <c r="H694" s="14"/>
      <c r="I694" s="14"/>
      <c r="J694" s="14"/>
      <c r="K694" s="14"/>
      <c r="L694" s="14"/>
      <c r="M694" s="14"/>
      <c r="N694" s="14"/>
      <c r="O694" s="14"/>
      <c r="P694" s="14"/>
      <c r="Q694" s="14"/>
      <c r="R694" s="18"/>
      <c r="S694" s="18"/>
      <c r="T694" s="93"/>
      <c r="U694" s="20"/>
      <c r="V694" s="14"/>
      <c r="W694" s="14"/>
      <c r="X694" s="14"/>
      <c r="Y694" s="14"/>
      <c r="Z694" s="14"/>
      <c r="AA694" s="14"/>
      <c r="AB694" s="14"/>
      <c r="AC694" s="14"/>
      <c r="AD694" s="14"/>
      <c r="AE694" s="14"/>
      <c r="AF694" s="14"/>
      <c r="AG694" s="14"/>
      <c r="AH694" s="14"/>
      <c r="AI694" s="14"/>
      <c r="AJ694" s="14"/>
      <c r="AK694" s="14"/>
      <c r="AL694" s="14"/>
      <c r="AM694" s="14"/>
      <c r="AN694" s="14"/>
    </row>
    <row r="695" ht="15.75" customHeight="1">
      <c r="A695" s="14"/>
      <c r="B695" s="14"/>
      <c r="C695" s="14"/>
      <c r="D695" s="14"/>
      <c r="E695" s="14"/>
      <c r="F695" s="14"/>
      <c r="G695" s="14"/>
      <c r="H695" s="14"/>
      <c r="I695" s="14"/>
      <c r="J695" s="14"/>
      <c r="K695" s="14"/>
      <c r="L695" s="14"/>
      <c r="M695" s="14"/>
      <c r="N695" s="14"/>
      <c r="O695" s="14"/>
      <c r="P695" s="14"/>
      <c r="Q695" s="14"/>
      <c r="R695" s="18"/>
      <c r="S695" s="18"/>
      <c r="T695" s="93"/>
      <c r="U695" s="20"/>
      <c r="V695" s="14"/>
      <c r="W695" s="14"/>
      <c r="X695" s="14"/>
      <c r="Y695" s="14"/>
      <c r="Z695" s="14"/>
      <c r="AA695" s="14"/>
      <c r="AB695" s="14"/>
      <c r="AC695" s="14"/>
      <c r="AD695" s="14"/>
      <c r="AE695" s="14"/>
      <c r="AF695" s="14"/>
      <c r="AG695" s="14"/>
      <c r="AH695" s="14"/>
      <c r="AI695" s="14"/>
      <c r="AJ695" s="14"/>
      <c r="AK695" s="14"/>
      <c r="AL695" s="14"/>
      <c r="AM695" s="14"/>
      <c r="AN695" s="14"/>
    </row>
    <row r="696" ht="15.75" customHeight="1">
      <c r="A696" s="14"/>
      <c r="B696" s="14"/>
      <c r="C696" s="14"/>
      <c r="D696" s="14"/>
      <c r="E696" s="14"/>
      <c r="F696" s="14"/>
      <c r="G696" s="14"/>
      <c r="H696" s="14"/>
      <c r="I696" s="14"/>
      <c r="J696" s="14"/>
      <c r="K696" s="14"/>
      <c r="L696" s="14"/>
      <c r="M696" s="14"/>
      <c r="N696" s="14"/>
      <c r="O696" s="14"/>
      <c r="P696" s="14"/>
      <c r="Q696" s="14"/>
      <c r="R696" s="18"/>
      <c r="S696" s="18"/>
      <c r="T696" s="93"/>
      <c r="U696" s="20"/>
      <c r="V696" s="14"/>
      <c r="W696" s="14"/>
      <c r="X696" s="14"/>
      <c r="Y696" s="14"/>
      <c r="Z696" s="14"/>
      <c r="AA696" s="14"/>
      <c r="AB696" s="14"/>
      <c r="AC696" s="14"/>
      <c r="AD696" s="14"/>
      <c r="AE696" s="14"/>
      <c r="AF696" s="14"/>
      <c r="AG696" s="14"/>
      <c r="AH696" s="14"/>
      <c r="AI696" s="14"/>
      <c r="AJ696" s="14"/>
      <c r="AK696" s="14"/>
      <c r="AL696" s="14"/>
      <c r="AM696" s="14"/>
      <c r="AN696" s="14"/>
    </row>
    <row r="697" ht="15.75" customHeight="1">
      <c r="A697" s="14"/>
      <c r="B697" s="14"/>
      <c r="C697" s="14"/>
      <c r="D697" s="14"/>
      <c r="E697" s="14"/>
      <c r="F697" s="14"/>
      <c r="G697" s="14"/>
      <c r="H697" s="14"/>
      <c r="I697" s="14"/>
      <c r="J697" s="14"/>
      <c r="K697" s="14"/>
      <c r="L697" s="14"/>
      <c r="M697" s="14"/>
      <c r="N697" s="14"/>
      <c r="O697" s="14"/>
      <c r="P697" s="14"/>
      <c r="Q697" s="14"/>
      <c r="R697" s="18"/>
      <c r="S697" s="18"/>
      <c r="T697" s="93"/>
      <c r="U697" s="20"/>
      <c r="V697" s="14"/>
      <c r="W697" s="14"/>
      <c r="X697" s="14"/>
      <c r="Y697" s="14"/>
      <c r="Z697" s="14"/>
      <c r="AA697" s="14"/>
      <c r="AB697" s="14"/>
      <c r="AC697" s="14"/>
      <c r="AD697" s="14"/>
      <c r="AE697" s="14"/>
      <c r="AF697" s="14"/>
      <c r="AG697" s="14"/>
      <c r="AH697" s="14"/>
      <c r="AI697" s="14"/>
      <c r="AJ697" s="14"/>
      <c r="AK697" s="14"/>
      <c r="AL697" s="14"/>
      <c r="AM697" s="14"/>
      <c r="AN697" s="14"/>
    </row>
    <row r="698" ht="15.75" customHeight="1">
      <c r="A698" s="14"/>
      <c r="B698" s="14"/>
      <c r="C698" s="14"/>
      <c r="D698" s="14"/>
      <c r="E698" s="14"/>
      <c r="F698" s="14"/>
      <c r="G698" s="14"/>
      <c r="H698" s="14"/>
      <c r="I698" s="14"/>
      <c r="J698" s="14"/>
      <c r="K698" s="14"/>
      <c r="L698" s="14"/>
      <c r="M698" s="14"/>
      <c r="N698" s="14"/>
      <c r="O698" s="14"/>
      <c r="P698" s="14"/>
      <c r="Q698" s="14"/>
      <c r="R698" s="18"/>
      <c r="S698" s="18"/>
      <c r="T698" s="93"/>
      <c r="U698" s="20"/>
      <c r="V698" s="14"/>
      <c r="W698" s="14"/>
      <c r="X698" s="14"/>
      <c r="Y698" s="14"/>
      <c r="Z698" s="14"/>
      <c r="AA698" s="14"/>
      <c r="AB698" s="14"/>
      <c r="AC698" s="14"/>
      <c r="AD698" s="14"/>
      <c r="AE698" s="14"/>
      <c r="AF698" s="14"/>
      <c r="AG698" s="14"/>
      <c r="AH698" s="14"/>
      <c r="AI698" s="14"/>
      <c r="AJ698" s="14"/>
      <c r="AK698" s="14"/>
      <c r="AL698" s="14"/>
      <c r="AM698" s="14"/>
      <c r="AN698" s="14"/>
    </row>
    <row r="699" ht="15.75" customHeight="1">
      <c r="A699" s="14"/>
      <c r="B699" s="14"/>
      <c r="C699" s="14"/>
      <c r="D699" s="14"/>
      <c r="E699" s="14"/>
      <c r="F699" s="14"/>
      <c r="G699" s="14"/>
      <c r="H699" s="14"/>
      <c r="I699" s="14"/>
      <c r="J699" s="14"/>
      <c r="K699" s="14"/>
      <c r="L699" s="14"/>
      <c r="M699" s="14"/>
      <c r="N699" s="14"/>
      <c r="O699" s="14"/>
      <c r="P699" s="14"/>
      <c r="Q699" s="14"/>
      <c r="R699" s="18"/>
      <c r="S699" s="18"/>
      <c r="T699" s="93"/>
      <c r="U699" s="20"/>
      <c r="V699" s="14"/>
      <c r="W699" s="14"/>
      <c r="X699" s="14"/>
      <c r="Y699" s="14"/>
      <c r="Z699" s="14"/>
      <c r="AA699" s="14"/>
      <c r="AB699" s="14"/>
      <c r="AC699" s="14"/>
      <c r="AD699" s="14"/>
      <c r="AE699" s="14"/>
      <c r="AF699" s="14"/>
      <c r="AG699" s="14"/>
      <c r="AH699" s="14"/>
      <c r="AI699" s="14"/>
      <c r="AJ699" s="14"/>
      <c r="AK699" s="14"/>
      <c r="AL699" s="14"/>
      <c r="AM699" s="14"/>
      <c r="AN699" s="14"/>
    </row>
    <row r="700" ht="15.75" customHeight="1">
      <c r="A700" s="14"/>
      <c r="B700" s="14"/>
      <c r="C700" s="14"/>
      <c r="D700" s="14"/>
      <c r="E700" s="14"/>
      <c r="F700" s="14"/>
      <c r="G700" s="14"/>
      <c r="H700" s="14"/>
      <c r="I700" s="14"/>
      <c r="J700" s="14"/>
      <c r="K700" s="14"/>
      <c r="L700" s="14"/>
      <c r="M700" s="14"/>
      <c r="N700" s="14"/>
      <c r="O700" s="14"/>
      <c r="P700" s="14"/>
      <c r="Q700" s="14"/>
      <c r="R700" s="18"/>
      <c r="S700" s="18"/>
      <c r="T700" s="93"/>
      <c r="U700" s="20"/>
      <c r="V700" s="14"/>
      <c r="W700" s="14"/>
      <c r="X700" s="14"/>
      <c r="Y700" s="14"/>
      <c r="Z700" s="14"/>
      <c r="AA700" s="14"/>
      <c r="AB700" s="14"/>
      <c r="AC700" s="14"/>
      <c r="AD700" s="14"/>
      <c r="AE700" s="14"/>
      <c r="AF700" s="14"/>
      <c r="AG700" s="14"/>
      <c r="AH700" s="14"/>
      <c r="AI700" s="14"/>
      <c r="AJ700" s="14"/>
      <c r="AK700" s="14"/>
      <c r="AL700" s="14"/>
      <c r="AM700" s="14"/>
      <c r="AN700" s="14"/>
    </row>
    <row r="701" ht="15.75" customHeight="1">
      <c r="A701" s="14"/>
      <c r="B701" s="14"/>
      <c r="C701" s="14"/>
      <c r="D701" s="14"/>
      <c r="E701" s="14"/>
      <c r="F701" s="14"/>
      <c r="G701" s="14"/>
      <c r="H701" s="14"/>
      <c r="I701" s="14"/>
      <c r="J701" s="14"/>
      <c r="K701" s="14"/>
      <c r="L701" s="14"/>
      <c r="M701" s="14"/>
      <c r="N701" s="14"/>
      <c r="O701" s="14"/>
      <c r="P701" s="14"/>
      <c r="Q701" s="14"/>
      <c r="R701" s="18"/>
      <c r="S701" s="18"/>
      <c r="T701" s="93"/>
      <c r="U701" s="20"/>
      <c r="V701" s="14"/>
      <c r="W701" s="14"/>
      <c r="X701" s="14"/>
      <c r="Y701" s="14"/>
      <c r="Z701" s="14"/>
      <c r="AA701" s="14"/>
      <c r="AB701" s="14"/>
      <c r="AC701" s="14"/>
      <c r="AD701" s="14"/>
      <c r="AE701" s="14"/>
      <c r="AF701" s="14"/>
      <c r="AG701" s="14"/>
      <c r="AH701" s="14"/>
      <c r="AI701" s="14"/>
      <c r="AJ701" s="14"/>
      <c r="AK701" s="14"/>
      <c r="AL701" s="14"/>
      <c r="AM701" s="14"/>
      <c r="AN701" s="14"/>
    </row>
    <row r="702" ht="15.75" customHeight="1">
      <c r="A702" s="14"/>
      <c r="B702" s="14"/>
      <c r="C702" s="14"/>
      <c r="D702" s="14"/>
      <c r="E702" s="14"/>
      <c r="F702" s="14"/>
      <c r="G702" s="14"/>
      <c r="H702" s="14"/>
      <c r="I702" s="14"/>
      <c r="J702" s="14"/>
      <c r="K702" s="14"/>
      <c r="L702" s="14"/>
      <c r="M702" s="14"/>
      <c r="N702" s="14"/>
      <c r="O702" s="14"/>
      <c r="P702" s="14"/>
      <c r="Q702" s="14"/>
      <c r="R702" s="18"/>
      <c r="S702" s="18"/>
      <c r="T702" s="93"/>
      <c r="U702" s="20"/>
      <c r="V702" s="14"/>
      <c r="W702" s="14"/>
      <c r="X702" s="14"/>
      <c r="Y702" s="14"/>
      <c r="Z702" s="14"/>
      <c r="AA702" s="14"/>
      <c r="AB702" s="14"/>
      <c r="AC702" s="14"/>
      <c r="AD702" s="14"/>
      <c r="AE702" s="14"/>
      <c r="AF702" s="14"/>
      <c r="AG702" s="14"/>
      <c r="AH702" s="14"/>
      <c r="AI702" s="14"/>
      <c r="AJ702" s="14"/>
      <c r="AK702" s="14"/>
      <c r="AL702" s="14"/>
      <c r="AM702" s="14"/>
      <c r="AN702" s="14"/>
    </row>
    <row r="703" ht="15.75" customHeight="1">
      <c r="A703" s="14"/>
      <c r="B703" s="14"/>
      <c r="C703" s="14"/>
      <c r="D703" s="14"/>
      <c r="E703" s="14"/>
      <c r="F703" s="14"/>
      <c r="G703" s="14"/>
      <c r="H703" s="14"/>
      <c r="I703" s="14"/>
      <c r="J703" s="14"/>
      <c r="K703" s="14"/>
      <c r="L703" s="14"/>
      <c r="M703" s="14"/>
      <c r="N703" s="14"/>
      <c r="O703" s="14"/>
      <c r="P703" s="14"/>
      <c r="Q703" s="14"/>
      <c r="R703" s="18"/>
      <c r="S703" s="18"/>
      <c r="T703" s="93"/>
      <c r="U703" s="20"/>
      <c r="V703" s="14"/>
      <c r="W703" s="14"/>
      <c r="X703" s="14"/>
      <c r="Y703" s="14"/>
      <c r="Z703" s="14"/>
      <c r="AA703" s="14"/>
      <c r="AB703" s="14"/>
      <c r="AC703" s="14"/>
      <c r="AD703" s="14"/>
      <c r="AE703" s="14"/>
      <c r="AF703" s="14"/>
      <c r="AG703" s="14"/>
      <c r="AH703" s="14"/>
      <c r="AI703" s="14"/>
      <c r="AJ703" s="14"/>
      <c r="AK703" s="14"/>
      <c r="AL703" s="14"/>
      <c r="AM703" s="14"/>
      <c r="AN703" s="14"/>
    </row>
    <row r="704" ht="15.75" customHeight="1">
      <c r="A704" s="14"/>
      <c r="B704" s="14"/>
      <c r="C704" s="14"/>
      <c r="D704" s="14"/>
      <c r="E704" s="14"/>
      <c r="F704" s="14"/>
      <c r="G704" s="14"/>
      <c r="H704" s="14"/>
      <c r="I704" s="14"/>
      <c r="J704" s="14"/>
      <c r="K704" s="14"/>
      <c r="L704" s="14"/>
      <c r="M704" s="14"/>
      <c r="N704" s="14"/>
      <c r="O704" s="14"/>
      <c r="P704" s="14"/>
      <c r="Q704" s="14"/>
      <c r="R704" s="18"/>
      <c r="S704" s="18"/>
      <c r="T704" s="93"/>
      <c r="U704" s="20"/>
      <c r="V704" s="14"/>
      <c r="W704" s="14"/>
      <c r="X704" s="14"/>
      <c r="Y704" s="14"/>
      <c r="Z704" s="14"/>
      <c r="AA704" s="14"/>
      <c r="AB704" s="14"/>
      <c r="AC704" s="14"/>
      <c r="AD704" s="14"/>
      <c r="AE704" s="14"/>
      <c r="AF704" s="14"/>
      <c r="AG704" s="14"/>
      <c r="AH704" s="14"/>
      <c r="AI704" s="14"/>
      <c r="AJ704" s="14"/>
      <c r="AK704" s="14"/>
      <c r="AL704" s="14"/>
      <c r="AM704" s="14"/>
      <c r="AN704" s="14"/>
    </row>
    <row r="705" ht="15.75" customHeight="1">
      <c r="A705" s="14"/>
      <c r="B705" s="14"/>
      <c r="C705" s="14"/>
      <c r="D705" s="14"/>
      <c r="E705" s="14"/>
      <c r="F705" s="14"/>
      <c r="G705" s="14"/>
      <c r="H705" s="14"/>
      <c r="I705" s="14"/>
      <c r="J705" s="14"/>
      <c r="K705" s="14"/>
      <c r="L705" s="14"/>
      <c r="M705" s="14"/>
      <c r="N705" s="14"/>
      <c r="O705" s="14"/>
      <c r="P705" s="14"/>
      <c r="Q705" s="14"/>
      <c r="R705" s="18"/>
      <c r="S705" s="18"/>
      <c r="T705" s="93"/>
      <c r="U705" s="20"/>
      <c r="V705" s="14"/>
      <c r="W705" s="14"/>
      <c r="X705" s="14"/>
      <c r="Y705" s="14"/>
      <c r="Z705" s="14"/>
      <c r="AA705" s="14"/>
      <c r="AB705" s="14"/>
      <c r="AC705" s="14"/>
      <c r="AD705" s="14"/>
      <c r="AE705" s="14"/>
      <c r="AF705" s="14"/>
      <c r="AG705" s="14"/>
      <c r="AH705" s="14"/>
      <c r="AI705" s="14"/>
      <c r="AJ705" s="14"/>
      <c r="AK705" s="14"/>
      <c r="AL705" s="14"/>
      <c r="AM705" s="14"/>
      <c r="AN705" s="14"/>
    </row>
    <row r="706" ht="15.75" customHeight="1">
      <c r="A706" s="14"/>
      <c r="B706" s="14"/>
      <c r="C706" s="14"/>
      <c r="D706" s="14"/>
      <c r="E706" s="14"/>
      <c r="F706" s="14"/>
      <c r="G706" s="14"/>
      <c r="H706" s="14"/>
      <c r="I706" s="14"/>
      <c r="J706" s="14"/>
      <c r="K706" s="14"/>
      <c r="L706" s="14"/>
      <c r="M706" s="14"/>
      <c r="N706" s="14"/>
      <c r="O706" s="14"/>
      <c r="P706" s="14"/>
      <c r="Q706" s="14"/>
      <c r="R706" s="18"/>
      <c r="S706" s="18"/>
      <c r="T706" s="93"/>
      <c r="U706" s="20"/>
      <c r="V706" s="14"/>
      <c r="W706" s="14"/>
      <c r="X706" s="14"/>
      <c r="Y706" s="14"/>
      <c r="Z706" s="14"/>
      <c r="AA706" s="14"/>
      <c r="AB706" s="14"/>
      <c r="AC706" s="14"/>
      <c r="AD706" s="14"/>
      <c r="AE706" s="14"/>
      <c r="AF706" s="14"/>
      <c r="AG706" s="14"/>
      <c r="AH706" s="14"/>
      <c r="AI706" s="14"/>
      <c r="AJ706" s="14"/>
      <c r="AK706" s="14"/>
      <c r="AL706" s="14"/>
      <c r="AM706" s="14"/>
      <c r="AN706" s="14"/>
    </row>
    <row r="707" ht="15.75" customHeight="1">
      <c r="A707" s="14"/>
      <c r="B707" s="14"/>
      <c r="C707" s="14"/>
      <c r="D707" s="14"/>
      <c r="E707" s="14"/>
      <c r="F707" s="14"/>
      <c r="G707" s="14"/>
      <c r="H707" s="14"/>
      <c r="I707" s="14"/>
      <c r="J707" s="14"/>
      <c r="K707" s="14"/>
      <c r="L707" s="14"/>
      <c r="M707" s="14"/>
      <c r="N707" s="14"/>
      <c r="O707" s="14"/>
      <c r="P707" s="14"/>
      <c r="Q707" s="14"/>
      <c r="R707" s="18"/>
      <c r="S707" s="18"/>
      <c r="T707" s="93"/>
      <c r="U707" s="20"/>
      <c r="V707" s="14"/>
      <c r="W707" s="14"/>
      <c r="X707" s="14"/>
      <c r="Y707" s="14"/>
      <c r="Z707" s="14"/>
      <c r="AA707" s="14"/>
      <c r="AB707" s="14"/>
      <c r="AC707" s="14"/>
      <c r="AD707" s="14"/>
      <c r="AE707" s="14"/>
      <c r="AF707" s="14"/>
      <c r="AG707" s="14"/>
      <c r="AH707" s="14"/>
      <c r="AI707" s="14"/>
      <c r="AJ707" s="14"/>
      <c r="AK707" s="14"/>
      <c r="AL707" s="14"/>
      <c r="AM707" s="14"/>
      <c r="AN707" s="14"/>
    </row>
    <row r="708" ht="15.75" customHeight="1">
      <c r="A708" s="14"/>
      <c r="B708" s="14"/>
      <c r="C708" s="14"/>
      <c r="D708" s="14"/>
      <c r="E708" s="14"/>
      <c r="F708" s="14"/>
      <c r="G708" s="14"/>
      <c r="H708" s="14"/>
      <c r="I708" s="14"/>
      <c r="J708" s="14"/>
      <c r="K708" s="14"/>
      <c r="L708" s="14"/>
      <c r="M708" s="14"/>
      <c r="N708" s="14"/>
      <c r="O708" s="14"/>
      <c r="P708" s="14"/>
      <c r="Q708" s="14"/>
      <c r="R708" s="18"/>
      <c r="S708" s="18"/>
      <c r="T708" s="93"/>
      <c r="U708" s="20"/>
      <c r="V708" s="14"/>
      <c r="W708" s="14"/>
      <c r="X708" s="14"/>
      <c r="Y708" s="14"/>
      <c r="Z708" s="14"/>
      <c r="AA708" s="14"/>
      <c r="AB708" s="14"/>
      <c r="AC708" s="14"/>
      <c r="AD708" s="14"/>
      <c r="AE708" s="14"/>
      <c r="AF708" s="14"/>
      <c r="AG708" s="14"/>
      <c r="AH708" s="14"/>
      <c r="AI708" s="14"/>
      <c r="AJ708" s="14"/>
      <c r="AK708" s="14"/>
      <c r="AL708" s="14"/>
      <c r="AM708" s="14"/>
      <c r="AN708" s="14"/>
    </row>
    <row r="709" ht="15.75" customHeight="1">
      <c r="A709" s="14"/>
      <c r="B709" s="14"/>
      <c r="C709" s="14"/>
      <c r="D709" s="14"/>
      <c r="E709" s="14"/>
      <c r="F709" s="14"/>
      <c r="G709" s="14"/>
      <c r="H709" s="14"/>
      <c r="I709" s="14"/>
      <c r="J709" s="14"/>
      <c r="K709" s="14"/>
      <c r="L709" s="14"/>
      <c r="M709" s="14"/>
      <c r="N709" s="14"/>
      <c r="O709" s="14"/>
      <c r="P709" s="14"/>
      <c r="Q709" s="14"/>
      <c r="R709" s="18"/>
      <c r="S709" s="18"/>
      <c r="T709" s="93"/>
      <c r="U709" s="20"/>
      <c r="V709" s="14"/>
      <c r="W709" s="14"/>
      <c r="X709" s="14"/>
      <c r="Y709" s="14"/>
      <c r="Z709" s="14"/>
      <c r="AA709" s="14"/>
      <c r="AB709" s="14"/>
      <c r="AC709" s="14"/>
      <c r="AD709" s="14"/>
      <c r="AE709" s="14"/>
      <c r="AF709" s="14"/>
      <c r="AG709" s="14"/>
      <c r="AH709" s="14"/>
      <c r="AI709" s="14"/>
      <c r="AJ709" s="14"/>
      <c r="AK709" s="14"/>
      <c r="AL709" s="14"/>
      <c r="AM709" s="14"/>
      <c r="AN709" s="14"/>
    </row>
    <row r="710" ht="15.75" customHeight="1">
      <c r="A710" s="14"/>
      <c r="B710" s="14"/>
      <c r="C710" s="14"/>
      <c r="D710" s="14"/>
      <c r="E710" s="14"/>
      <c r="F710" s="14"/>
      <c r="G710" s="14"/>
      <c r="H710" s="14"/>
      <c r="I710" s="14"/>
      <c r="J710" s="14"/>
      <c r="K710" s="14"/>
      <c r="L710" s="14"/>
      <c r="M710" s="14"/>
      <c r="N710" s="14"/>
      <c r="O710" s="14"/>
      <c r="P710" s="14"/>
      <c r="Q710" s="14"/>
      <c r="R710" s="18"/>
      <c r="S710" s="18"/>
      <c r="T710" s="93"/>
      <c r="U710" s="20"/>
      <c r="V710" s="14"/>
      <c r="W710" s="14"/>
      <c r="X710" s="14"/>
      <c r="Y710" s="14"/>
      <c r="Z710" s="14"/>
      <c r="AA710" s="14"/>
      <c r="AB710" s="14"/>
      <c r="AC710" s="14"/>
      <c r="AD710" s="14"/>
      <c r="AE710" s="14"/>
      <c r="AF710" s="14"/>
      <c r="AG710" s="14"/>
      <c r="AH710" s="14"/>
      <c r="AI710" s="14"/>
      <c r="AJ710" s="14"/>
      <c r="AK710" s="14"/>
      <c r="AL710" s="14"/>
      <c r="AM710" s="14"/>
      <c r="AN710" s="14"/>
    </row>
    <row r="711" ht="15.75" customHeight="1">
      <c r="A711" s="14"/>
      <c r="B711" s="14"/>
      <c r="C711" s="14"/>
      <c r="D711" s="14"/>
      <c r="E711" s="14"/>
      <c r="F711" s="14"/>
      <c r="G711" s="14"/>
      <c r="H711" s="14"/>
      <c r="I711" s="14"/>
      <c r="J711" s="14"/>
      <c r="K711" s="14"/>
      <c r="L711" s="14"/>
      <c r="M711" s="14"/>
      <c r="N711" s="14"/>
      <c r="O711" s="14"/>
      <c r="P711" s="14"/>
      <c r="Q711" s="14"/>
      <c r="R711" s="18"/>
      <c r="S711" s="18"/>
      <c r="T711" s="93"/>
      <c r="U711" s="20"/>
      <c r="V711" s="14"/>
      <c r="W711" s="14"/>
      <c r="X711" s="14"/>
      <c r="Y711" s="14"/>
      <c r="Z711" s="14"/>
      <c r="AA711" s="14"/>
      <c r="AB711" s="14"/>
      <c r="AC711" s="14"/>
      <c r="AD711" s="14"/>
      <c r="AE711" s="14"/>
      <c r="AF711" s="14"/>
      <c r="AG711" s="14"/>
      <c r="AH711" s="14"/>
      <c r="AI711" s="14"/>
      <c r="AJ711" s="14"/>
      <c r="AK711" s="14"/>
      <c r="AL711" s="14"/>
      <c r="AM711" s="14"/>
      <c r="AN711" s="14"/>
    </row>
    <row r="712" ht="15.75" customHeight="1">
      <c r="A712" s="14"/>
      <c r="B712" s="14"/>
      <c r="C712" s="14"/>
      <c r="D712" s="14"/>
      <c r="E712" s="14"/>
      <c r="F712" s="14"/>
      <c r="G712" s="14"/>
      <c r="H712" s="14"/>
      <c r="I712" s="14"/>
      <c r="J712" s="14"/>
      <c r="K712" s="14"/>
      <c r="L712" s="14"/>
      <c r="M712" s="14"/>
      <c r="N712" s="14"/>
      <c r="O712" s="14"/>
      <c r="P712" s="14"/>
      <c r="Q712" s="14"/>
      <c r="R712" s="18"/>
      <c r="S712" s="18"/>
      <c r="T712" s="93"/>
      <c r="U712" s="20"/>
      <c r="V712" s="14"/>
      <c r="W712" s="14"/>
      <c r="X712" s="14"/>
      <c r="Y712" s="14"/>
      <c r="Z712" s="14"/>
      <c r="AA712" s="14"/>
      <c r="AB712" s="14"/>
      <c r="AC712" s="14"/>
      <c r="AD712" s="14"/>
      <c r="AE712" s="14"/>
      <c r="AF712" s="14"/>
      <c r="AG712" s="14"/>
      <c r="AH712" s="14"/>
      <c r="AI712" s="14"/>
      <c r="AJ712" s="14"/>
      <c r="AK712" s="14"/>
      <c r="AL712" s="14"/>
      <c r="AM712" s="14"/>
      <c r="AN712" s="14"/>
    </row>
    <row r="713" ht="15.75" customHeight="1">
      <c r="A713" s="14"/>
      <c r="B713" s="14"/>
      <c r="C713" s="14"/>
      <c r="D713" s="14"/>
      <c r="E713" s="14"/>
      <c r="F713" s="14"/>
      <c r="G713" s="14"/>
      <c r="H713" s="14"/>
      <c r="I713" s="14"/>
      <c r="J713" s="14"/>
      <c r="K713" s="14"/>
      <c r="L713" s="14"/>
      <c r="M713" s="14"/>
      <c r="N713" s="14"/>
      <c r="O713" s="14"/>
      <c r="P713" s="14"/>
      <c r="Q713" s="14"/>
      <c r="R713" s="18"/>
      <c r="S713" s="18"/>
      <c r="T713" s="93"/>
      <c r="U713" s="20"/>
      <c r="V713" s="14"/>
      <c r="W713" s="14"/>
      <c r="X713" s="14"/>
      <c r="Y713" s="14"/>
      <c r="Z713" s="14"/>
      <c r="AA713" s="14"/>
      <c r="AB713" s="14"/>
      <c r="AC713" s="14"/>
      <c r="AD713" s="14"/>
      <c r="AE713" s="14"/>
      <c r="AF713" s="14"/>
      <c r="AG713" s="14"/>
      <c r="AH713" s="14"/>
      <c r="AI713" s="14"/>
      <c r="AJ713" s="14"/>
      <c r="AK713" s="14"/>
      <c r="AL713" s="14"/>
      <c r="AM713" s="14"/>
      <c r="AN713" s="14"/>
    </row>
    <row r="714" ht="15.75" customHeight="1">
      <c r="A714" s="14"/>
      <c r="B714" s="14"/>
      <c r="C714" s="14"/>
      <c r="D714" s="14"/>
      <c r="E714" s="14"/>
      <c r="F714" s="14"/>
      <c r="G714" s="14"/>
      <c r="H714" s="14"/>
      <c r="I714" s="14"/>
      <c r="J714" s="14"/>
      <c r="K714" s="14"/>
      <c r="L714" s="14"/>
      <c r="M714" s="14"/>
      <c r="N714" s="14"/>
      <c r="O714" s="14"/>
      <c r="P714" s="14"/>
      <c r="Q714" s="14"/>
      <c r="R714" s="18"/>
      <c r="S714" s="18"/>
      <c r="T714" s="93"/>
      <c r="U714" s="20"/>
      <c r="V714" s="14"/>
      <c r="W714" s="14"/>
      <c r="X714" s="14"/>
      <c r="Y714" s="14"/>
      <c r="Z714" s="14"/>
      <c r="AA714" s="14"/>
      <c r="AB714" s="14"/>
      <c r="AC714" s="14"/>
      <c r="AD714" s="14"/>
      <c r="AE714" s="14"/>
      <c r="AF714" s="14"/>
      <c r="AG714" s="14"/>
      <c r="AH714" s="14"/>
      <c r="AI714" s="14"/>
      <c r="AJ714" s="14"/>
      <c r="AK714" s="14"/>
      <c r="AL714" s="14"/>
      <c r="AM714" s="14"/>
      <c r="AN714" s="14"/>
    </row>
    <row r="715" ht="15.75" customHeight="1">
      <c r="A715" s="14"/>
      <c r="B715" s="14"/>
      <c r="C715" s="14"/>
      <c r="D715" s="14"/>
      <c r="E715" s="14"/>
      <c r="F715" s="14"/>
      <c r="G715" s="14"/>
      <c r="H715" s="14"/>
      <c r="I715" s="14"/>
      <c r="J715" s="14"/>
      <c r="K715" s="14"/>
      <c r="L715" s="14"/>
      <c r="M715" s="14"/>
      <c r="N715" s="14"/>
      <c r="O715" s="14"/>
      <c r="P715" s="14"/>
      <c r="Q715" s="14"/>
      <c r="R715" s="18"/>
      <c r="S715" s="18"/>
      <c r="T715" s="93"/>
      <c r="U715" s="20"/>
      <c r="V715" s="14"/>
      <c r="W715" s="14"/>
      <c r="X715" s="14"/>
      <c r="Y715" s="14"/>
      <c r="Z715" s="14"/>
      <c r="AA715" s="14"/>
      <c r="AB715" s="14"/>
      <c r="AC715" s="14"/>
      <c r="AD715" s="14"/>
      <c r="AE715" s="14"/>
      <c r="AF715" s="14"/>
      <c r="AG715" s="14"/>
      <c r="AH715" s="14"/>
      <c r="AI715" s="14"/>
      <c r="AJ715" s="14"/>
      <c r="AK715" s="14"/>
      <c r="AL715" s="14"/>
      <c r="AM715" s="14"/>
      <c r="AN715" s="14"/>
    </row>
    <row r="716" ht="15.75" customHeight="1">
      <c r="A716" s="14"/>
      <c r="B716" s="14"/>
      <c r="C716" s="14"/>
      <c r="D716" s="14"/>
      <c r="E716" s="14"/>
      <c r="F716" s="14"/>
      <c r="G716" s="14"/>
      <c r="H716" s="14"/>
      <c r="I716" s="14"/>
      <c r="J716" s="14"/>
      <c r="K716" s="14"/>
      <c r="L716" s="14"/>
      <c r="M716" s="14"/>
      <c r="N716" s="14"/>
      <c r="O716" s="14"/>
      <c r="P716" s="14"/>
      <c r="Q716" s="14"/>
      <c r="R716" s="18"/>
      <c r="S716" s="18"/>
      <c r="T716" s="93"/>
      <c r="U716" s="20"/>
      <c r="V716" s="14"/>
      <c r="W716" s="14"/>
      <c r="X716" s="14"/>
      <c r="Y716" s="14"/>
      <c r="Z716" s="14"/>
      <c r="AA716" s="14"/>
      <c r="AB716" s="14"/>
      <c r="AC716" s="14"/>
      <c r="AD716" s="14"/>
      <c r="AE716" s="14"/>
      <c r="AF716" s="14"/>
      <c r="AG716" s="14"/>
      <c r="AH716" s="14"/>
      <c r="AI716" s="14"/>
      <c r="AJ716" s="14"/>
      <c r="AK716" s="14"/>
      <c r="AL716" s="14"/>
      <c r="AM716" s="14"/>
      <c r="AN716" s="14"/>
    </row>
    <row r="717" ht="15.75" customHeight="1">
      <c r="A717" s="14"/>
      <c r="B717" s="14"/>
      <c r="C717" s="14"/>
      <c r="D717" s="14"/>
      <c r="E717" s="14"/>
      <c r="F717" s="14"/>
      <c r="G717" s="14"/>
      <c r="H717" s="14"/>
      <c r="I717" s="14"/>
      <c r="J717" s="14"/>
      <c r="K717" s="14"/>
      <c r="L717" s="14"/>
      <c r="M717" s="14"/>
      <c r="N717" s="14"/>
      <c r="O717" s="14"/>
      <c r="P717" s="14"/>
      <c r="Q717" s="14"/>
      <c r="R717" s="18"/>
      <c r="S717" s="18"/>
      <c r="T717" s="93"/>
      <c r="U717" s="20"/>
      <c r="V717" s="14"/>
      <c r="W717" s="14"/>
      <c r="X717" s="14"/>
      <c r="Y717" s="14"/>
      <c r="Z717" s="14"/>
      <c r="AA717" s="14"/>
      <c r="AB717" s="14"/>
      <c r="AC717" s="14"/>
      <c r="AD717" s="14"/>
      <c r="AE717" s="14"/>
      <c r="AF717" s="14"/>
      <c r="AG717" s="14"/>
      <c r="AH717" s="14"/>
      <c r="AI717" s="14"/>
      <c r="AJ717" s="14"/>
      <c r="AK717" s="14"/>
      <c r="AL717" s="14"/>
      <c r="AM717" s="14"/>
      <c r="AN717" s="14"/>
    </row>
    <row r="718" ht="15.75" customHeight="1">
      <c r="A718" s="14"/>
      <c r="B718" s="14"/>
      <c r="C718" s="14"/>
      <c r="D718" s="14"/>
      <c r="E718" s="14"/>
      <c r="F718" s="14"/>
      <c r="G718" s="14"/>
      <c r="H718" s="14"/>
      <c r="I718" s="14"/>
      <c r="J718" s="14"/>
      <c r="K718" s="14"/>
      <c r="L718" s="14"/>
      <c r="M718" s="14"/>
      <c r="N718" s="14"/>
      <c r="O718" s="14"/>
      <c r="P718" s="14"/>
      <c r="Q718" s="14"/>
      <c r="R718" s="18"/>
      <c r="S718" s="18"/>
      <c r="T718" s="93"/>
      <c r="U718" s="20"/>
      <c r="V718" s="14"/>
      <c r="W718" s="14"/>
      <c r="X718" s="14"/>
      <c r="Y718" s="14"/>
      <c r="Z718" s="14"/>
      <c r="AA718" s="14"/>
      <c r="AB718" s="14"/>
      <c r="AC718" s="14"/>
      <c r="AD718" s="14"/>
      <c r="AE718" s="14"/>
      <c r="AF718" s="14"/>
      <c r="AG718" s="14"/>
      <c r="AH718" s="14"/>
      <c r="AI718" s="14"/>
      <c r="AJ718" s="14"/>
      <c r="AK718" s="14"/>
      <c r="AL718" s="14"/>
      <c r="AM718" s="14"/>
      <c r="AN718" s="14"/>
    </row>
    <row r="719" ht="15.75" customHeight="1">
      <c r="A719" s="14"/>
      <c r="B719" s="14"/>
      <c r="C719" s="14"/>
      <c r="D719" s="14"/>
      <c r="E719" s="14"/>
      <c r="F719" s="14"/>
      <c r="G719" s="14"/>
      <c r="H719" s="14"/>
      <c r="I719" s="14"/>
      <c r="J719" s="14"/>
      <c r="K719" s="14"/>
      <c r="L719" s="14"/>
      <c r="M719" s="14"/>
      <c r="N719" s="14"/>
      <c r="O719" s="14"/>
      <c r="P719" s="14"/>
      <c r="Q719" s="14"/>
      <c r="R719" s="18"/>
      <c r="S719" s="18"/>
      <c r="T719" s="93"/>
      <c r="U719" s="20"/>
      <c r="V719" s="14"/>
      <c r="W719" s="14"/>
      <c r="X719" s="14"/>
      <c r="Y719" s="14"/>
      <c r="Z719" s="14"/>
      <c r="AA719" s="14"/>
      <c r="AB719" s="14"/>
      <c r="AC719" s="14"/>
      <c r="AD719" s="14"/>
      <c r="AE719" s="14"/>
      <c r="AF719" s="14"/>
      <c r="AG719" s="14"/>
      <c r="AH719" s="14"/>
      <c r="AI719" s="14"/>
      <c r="AJ719" s="14"/>
      <c r="AK719" s="14"/>
      <c r="AL719" s="14"/>
      <c r="AM719" s="14"/>
      <c r="AN719" s="14"/>
    </row>
    <row r="720" ht="15.75" customHeight="1">
      <c r="A720" s="14"/>
      <c r="B720" s="14"/>
      <c r="C720" s="14"/>
      <c r="D720" s="14"/>
      <c r="E720" s="14"/>
      <c r="F720" s="14"/>
      <c r="G720" s="14"/>
      <c r="H720" s="14"/>
      <c r="I720" s="14"/>
      <c r="J720" s="14"/>
      <c r="K720" s="14"/>
      <c r="L720" s="14"/>
      <c r="M720" s="14"/>
      <c r="N720" s="14"/>
      <c r="O720" s="14"/>
      <c r="P720" s="14"/>
      <c r="Q720" s="14"/>
      <c r="R720" s="18"/>
      <c r="S720" s="18"/>
      <c r="T720" s="93"/>
      <c r="U720" s="20"/>
      <c r="V720" s="14"/>
      <c r="W720" s="14"/>
      <c r="X720" s="14"/>
      <c r="Y720" s="14"/>
      <c r="Z720" s="14"/>
      <c r="AA720" s="14"/>
      <c r="AB720" s="14"/>
      <c r="AC720" s="14"/>
      <c r="AD720" s="14"/>
      <c r="AE720" s="14"/>
      <c r="AF720" s="14"/>
      <c r="AG720" s="14"/>
      <c r="AH720" s="14"/>
      <c r="AI720" s="14"/>
      <c r="AJ720" s="14"/>
      <c r="AK720" s="14"/>
      <c r="AL720" s="14"/>
      <c r="AM720" s="14"/>
      <c r="AN720" s="14"/>
    </row>
    <row r="721" ht="15.75" customHeight="1">
      <c r="A721" s="14"/>
      <c r="B721" s="14"/>
      <c r="C721" s="14"/>
      <c r="D721" s="14"/>
      <c r="E721" s="14"/>
      <c r="F721" s="14"/>
      <c r="G721" s="14"/>
      <c r="H721" s="14"/>
      <c r="I721" s="14"/>
      <c r="J721" s="14"/>
      <c r="K721" s="14"/>
      <c r="L721" s="14"/>
      <c r="M721" s="14"/>
      <c r="N721" s="14"/>
      <c r="O721" s="14"/>
      <c r="P721" s="14"/>
      <c r="Q721" s="14"/>
      <c r="R721" s="18"/>
      <c r="S721" s="18"/>
      <c r="T721" s="93"/>
      <c r="U721" s="20"/>
      <c r="V721" s="14"/>
      <c r="W721" s="14"/>
      <c r="X721" s="14"/>
      <c r="Y721" s="14"/>
      <c r="Z721" s="14"/>
      <c r="AA721" s="14"/>
      <c r="AB721" s="14"/>
      <c r="AC721" s="14"/>
      <c r="AD721" s="14"/>
      <c r="AE721" s="14"/>
      <c r="AF721" s="14"/>
      <c r="AG721" s="14"/>
      <c r="AH721" s="14"/>
      <c r="AI721" s="14"/>
      <c r="AJ721" s="14"/>
      <c r="AK721" s="14"/>
      <c r="AL721" s="14"/>
      <c r="AM721" s="14"/>
      <c r="AN721" s="14"/>
    </row>
    <row r="722" ht="15.75" customHeight="1">
      <c r="A722" s="14"/>
      <c r="B722" s="14"/>
      <c r="C722" s="14"/>
      <c r="D722" s="14"/>
      <c r="E722" s="14"/>
      <c r="F722" s="14"/>
      <c r="G722" s="14"/>
      <c r="H722" s="14"/>
      <c r="I722" s="14"/>
      <c r="J722" s="14"/>
      <c r="K722" s="14"/>
      <c r="L722" s="14"/>
      <c r="M722" s="14"/>
      <c r="N722" s="14"/>
      <c r="O722" s="14"/>
      <c r="P722" s="14"/>
      <c r="Q722" s="14"/>
      <c r="R722" s="18"/>
      <c r="S722" s="18"/>
      <c r="T722" s="93"/>
      <c r="U722" s="20"/>
      <c r="V722" s="14"/>
      <c r="W722" s="14"/>
      <c r="X722" s="14"/>
      <c r="Y722" s="14"/>
      <c r="Z722" s="14"/>
      <c r="AA722" s="14"/>
      <c r="AB722" s="14"/>
      <c r="AC722" s="14"/>
      <c r="AD722" s="14"/>
      <c r="AE722" s="14"/>
      <c r="AF722" s="14"/>
      <c r="AG722" s="14"/>
      <c r="AH722" s="14"/>
      <c r="AI722" s="14"/>
      <c r="AJ722" s="14"/>
      <c r="AK722" s="14"/>
      <c r="AL722" s="14"/>
      <c r="AM722" s="14"/>
      <c r="AN722" s="14"/>
    </row>
    <row r="723" ht="15.75" customHeight="1">
      <c r="A723" s="14"/>
      <c r="B723" s="14"/>
      <c r="C723" s="14"/>
      <c r="D723" s="14"/>
      <c r="E723" s="14"/>
      <c r="F723" s="14"/>
      <c r="G723" s="14"/>
      <c r="H723" s="14"/>
      <c r="I723" s="14"/>
      <c r="J723" s="14"/>
      <c r="K723" s="14"/>
      <c r="L723" s="14"/>
      <c r="M723" s="14"/>
      <c r="N723" s="14"/>
      <c r="O723" s="14"/>
      <c r="P723" s="14"/>
      <c r="Q723" s="14"/>
      <c r="R723" s="18"/>
      <c r="S723" s="18"/>
      <c r="T723" s="93"/>
      <c r="U723" s="20"/>
      <c r="V723" s="14"/>
      <c r="W723" s="14"/>
      <c r="X723" s="14"/>
      <c r="Y723" s="14"/>
      <c r="Z723" s="14"/>
      <c r="AA723" s="14"/>
      <c r="AB723" s="14"/>
      <c r="AC723" s="14"/>
      <c r="AD723" s="14"/>
      <c r="AE723" s="14"/>
      <c r="AF723" s="14"/>
      <c r="AG723" s="14"/>
      <c r="AH723" s="14"/>
      <c r="AI723" s="14"/>
      <c r="AJ723" s="14"/>
      <c r="AK723" s="14"/>
      <c r="AL723" s="14"/>
      <c r="AM723" s="14"/>
      <c r="AN723" s="14"/>
    </row>
    <row r="724" ht="15.75" customHeight="1">
      <c r="A724" s="14"/>
      <c r="B724" s="14"/>
      <c r="C724" s="14"/>
      <c r="D724" s="14"/>
      <c r="E724" s="14"/>
      <c r="F724" s="14"/>
      <c r="G724" s="14"/>
      <c r="H724" s="14"/>
      <c r="I724" s="14"/>
      <c r="J724" s="14"/>
      <c r="K724" s="14"/>
      <c r="L724" s="14"/>
      <c r="M724" s="14"/>
      <c r="N724" s="14"/>
      <c r="O724" s="14"/>
      <c r="P724" s="14"/>
      <c r="Q724" s="14"/>
      <c r="R724" s="18"/>
      <c r="S724" s="18"/>
      <c r="T724" s="93"/>
      <c r="U724" s="20"/>
      <c r="V724" s="14"/>
      <c r="W724" s="14"/>
      <c r="X724" s="14"/>
      <c r="Y724" s="14"/>
      <c r="Z724" s="14"/>
      <c r="AA724" s="14"/>
      <c r="AB724" s="14"/>
      <c r="AC724" s="14"/>
      <c r="AD724" s="14"/>
      <c r="AE724" s="14"/>
      <c r="AF724" s="14"/>
      <c r="AG724" s="14"/>
      <c r="AH724" s="14"/>
      <c r="AI724" s="14"/>
      <c r="AJ724" s="14"/>
      <c r="AK724" s="14"/>
      <c r="AL724" s="14"/>
      <c r="AM724" s="14"/>
      <c r="AN724" s="14"/>
    </row>
    <row r="725" ht="15.75" customHeight="1">
      <c r="A725" s="14"/>
      <c r="B725" s="14"/>
      <c r="C725" s="14"/>
      <c r="D725" s="14"/>
      <c r="E725" s="14"/>
      <c r="F725" s="14"/>
      <c r="G725" s="14"/>
      <c r="H725" s="14"/>
      <c r="I725" s="14"/>
      <c r="J725" s="14"/>
      <c r="K725" s="14"/>
      <c r="L725" s="14"/>
      <c r="M725" s="14"/>
      <c r="N725" s="14"/>
      <c r="O725" s="14"/>
      <c r="P725" s="14"/>
      <c r="Q725" s="14"/>
      <c r="R725" s="18"/>
      <c r="S725" s="18"/>
      <c r="T725" s="93"/>
      <c r="U725" s="20"/>
      <c r="V725" s="14"/>
      <c r="W725" s="14"/>
      <c r="X725" s="14"/>
      <c r="Y725" s="14"/>
      <c r="Z725" s="14"/>
      <c r="AA725" s="14"/>
      <c r="AB725" s="14"/>
      <c r="AC725" s="14"/>
      <c r="AD725" s="14"/>
      <c r="AE725" s="14"/>
      <c r="AF725" s="14"/>
      <c r="AG725" s="14"/>
      <c r="AH725" s="14"/>
      <c r="AI725" s="14"/>
      <c r="AJ725" s="14"/>
      <c r="AK725" s="14"/>
      <c r="AL725" s="14"/>
      <c r="AM725" s="14"/>
      <c r="AN725" s="14"/>
    </row>
    <row r="726" ht="15.75" customHeight="1">
      <c r="A726" s="14"/>
      <c r="B726" s="14"/>
      <c r="C726" s="14"/>
      <c r="D726" s="14"/>
      <c r="E726" s="14"/>
      <c r="F726" s="14"/>
      <c r="G726" s="14"/>
      <c r="H726" s="14"/>
      <c r="I726" s="14"/>
      <c r="J726" s="14"/>
      <c r="K726" s="14"/>
      <c r="L726" s="14"/>
      <c r="M726" s="14"/>
      <c r="N726" s="14"/>
      <c r="O726" s="14"/>
      <c r="P726" s="14"/>
      <c r="Q726" s="14"/>
      <c r="R726" s="18"/>
      <c r="S726" s="18"/>
      <c r="T726" s="93"/>
      <c r="U726" s="20"/>
      <c r="V726" s="14"/>
      <c r="W726" s="14"/>
      <c r="X726" s="14"/>
      <c r="Y726" s="14"/>
      <c r="Z726" s="14"/>
      <c r="AA726" s="14"/>
      <c r="AB726" s="14"/>
      <c r="AC726" s="14"/>
      <c r="AD726" s="14"/>
      <c r="AE726" s="14"/>
      <c r="AF726" s="14"/>
      <c r="AG726" s="14"/>
      <c r="AH726" s="14"/>
      <c r="AI726" s="14"/>
      <c r="AJ726" s="14"/>
      <c r="AK726" s="14"/>
      <c r="AL726" s="14"/>
      <c r="AM726" s="14"/>
      <c r="AN726" s="14"/>
    </row>
    <row r="727" ht="15.75" customHeight="1">
      <c r="A727" s="14"/>
      <c r="B727" s="14"/>
      <c r="C727" s="14"/>
      <c r="D727" s="14"/>
      <c r="E727" s="14"/>
      <c r="F727" s="14"/>
      <c r="G727" s="14"/>
      <c r="H727" s="14"/>
      <c r="I727" s="14"/>
      <c r="J727" s="14"/>
      <c r="K727" s="14"/>
      <c r="L727" s="14"/>
      <c r="M727" s="14"/>
      <c r="N727" s="14"/>
      <c r="O727" s="14"/>
      <c r="P727" s="14"/>
      <c r="Q727" s="14"/>
      <c r="R727" s="18"/>
      <c r="S727" s="18"/>
      <c r="T727" s="93"/>
      <c r="U727" s="20"/>
      <c r="V727" s="14"/>
      <c r="W727" s="14"/>
      <c r="X727" s="14"/>
      <c r="Y727" s="14"/>
      <c r="Z727" s="14"/>
      <c r="AA727" s="14"/>
      <c r="AB727" s="14"/>
      <c r="AC727" s="14"/>
      <c r="AD727" s="14"/>
      <c r="AE727" s="14"/>
      <c r="AF727" s="14"/>
      <c r="AG727" s="14"/>
      <c r="AH727" s="14"/>
      <c r="AI727" s="14"/>
      <c r="AJ727" s="14"/>
      <c r="AK727" s="14"/>
      <c r="AL727" s="14"/>
      <c r="AM727" s="14"/>
      <c r="AN727" s="14"/>
    </row>
    <row r="728" ht="15.75" customHeight="1">
      <c r="A728" s="14"/>
      <c r="B728" s="14"/>
      <c r="C728" s="14"/>
      <c r="D728" s="14"/>
      <c r="E728" s="14"/>
      <c r="F728" s="14"/>
      <c r="G728" s="14"/>
      <c r="H728" s="14"/>
      <c r="I728" s="14"/>
      <c r="J728" s="14"/>
      <c r="K728" s="14"/>
      <c r="L728" s="14"/>
      <c r="M728" s="14"/>
      <c r="N728" s="14"/>
      <c r="O728" s="14"/>
      <c r="P728" s="14"/>
      <c r="Q728" s="14"/>
      <c r="R728" s="18"/>
      <c r="S728" s="18"/>
      <c r="T728" s="93"/>
      <c r="U728" s="20"/>
      <c r="V728" s="14"/>
      <c r="W728" s="14"/>
      <c r="X728" s="14"/>
      <c r="Y728" s="14"/>
      <c r="Z728" s="14"/>
      <c r="AA728" s="14"/>
      <c r="AB728" s="14"/>
      <c r="AC728" s="14"/>
      <c r="AD728" s="14"/>
      <c r="AE728" s="14"/>
      <c r="AF728" s="14"/>
      <c r="AG728" s="14"/>
      <c r="AH728" s="14"/>
      <c r="AI728" s="14"/>
      <c r="AJ728" s="14"/>
      <c r="AK728" s="14"/>
      <c r="AL728" s="14"/>
      <c r="AM728" s="14"/>
      <c r="AN728" s="14"/>
    </row>
    <row r="729" ht="15.75" customHeight="1">
      <c r="A729" s="14"/>
      <c r="B729" s="14"/>
      <c r="C729" s="14"/>
      <c r="D729" s="14"/>
      <c r="E729" s="14"/>
      <c r="F729" s="14"/>
      <c r="G729" s="14"/>
      <c r="H729" s="14"/>
      <c r="I729" s="14"/>
      <c r="J729" s="14"/>
      <c r="K729" s="14"/>
      <c r="L729" s="14"/>
      <c r="M729" s="14"/>
      <c r="N729" s="14"/>
      <c r="O729" s="14"/>
      <c r="P729" s="14"/>
      <c r="Q729" s="14"/>
      <c r="R729" s="18"/>
      <c r="S729" s="18"/>
      <c r="T729" s="93"/>
      <c r="U729" s="20"/>
      <c r="V729" s="14"/>
      <c r="W729" s="14"/>
      <c r="X729" s="14"/>
      <c r="Y729" s="14"/>
      <c r="Z729" s="14"/>
      <c r="AA729" s="14"/>
      <c r="AB729" s="14"/>
      <c r="AC729" s="14"/>
      <c r="AD729" s="14"/>
      <c r="AE729" s="14"/>
      <c r="AF729" s="14"/>
      <c r="AG729" s="14"/>
      <c r="AH729" s="14"/>
      <c r="AI729" s="14"/>
      <c r="AJ729" s="14"/>
      <c r="AK729" s="14"/>
      <c r="AL729" s="14"/>
      <c r="AM729" s="14"/>
      <c r="AN729" s="14"/>
    </row>
    <row r="730" ht="15.75" customHeight="1">
      <c r="A730" s="14"/>
      <c r="B730" s="14"/>
      <c r="C730" s="14"/>
      <c r="D730" s="14"/>
      <c r="E730" s="14"/>
      <c r="F730" s="14"/>
      <c r="G730" s="14"/>
      <c r="H730" s="14"/>
      <c r="I730" s="14"/>
      <c r="J730" s="14"/>
      <c r="K730" s="14"/>
      <c r="L730" s="14"/>
      <c r="M730" s="14"/>
      <c r="N730" s="14"/>
      <c r="O730" s="14"/>
      <c r="P730" s="14"/>
      <c r="Q730" s="14"/>
      <c r="R730" s="18"/>
      <c r="S730" s="18"/>
      <c r="T730" s="93"/>
      <c r="U730" s="20"/>
      <c r="V730" s="14"/>
      <c r="W730" s="14"/>
      <c r="X730" s="14"/>
      <c r="Y730" s="14"/>
      <c r="Z730" s="14"/>
      <c r="AA730" s="14"/>
      <c r="AB730" s="14"/>
      <c r="AC730" s="14"/>
      <c r="AD730" s="14"/>
      <c r="AE730" s="14"/>
      <c r="AF730" s="14"/>
      <c r="AG730" s="14"/>
      <c r="AH730" s="14"/>
      <c r="AI730" s="14"/>
      <c r="AJ730" s="14"/>
      <c r="AK730" s="14"/>
      <c r="AL730" s="14"/>
      <c r="AM730" s="14"/>
      <c r="AN730" s="14"/>
    </row>
    <row r="731" ht="15.75" customHeight="1">
      <c r="A731" s="14"/>
      <c r="B731" s="14"/>
      <c r="C731" s="14"/>
      <c r="D731" s="14"/>
      <c r="E731" s="14"/>
      <c r="F731" s="14"/>
      <c r="G731" s="14"/>
      <c r="H731" s="14"/>
      <c r="I731" s="14"/>
      <c r="J731" s="14"/>
      <c r="K731" s="14"/>
      <c r="L731" s="14"/>
      <c r="M731" s="14"/>
      <c r="N731" s="14"/>
      <c r="O731" s="14"/>
      <c r="P731" s="14"/>
      <c r="Q731" s="14"/>
      <c r="R731" s="18"/>
      <c r="S731" s="18"/>
      <c r="T731" s="93"/>
      <c r="U731" s="20"/>
      <c r="V731" s="14"/>
      <c r="W731" s="14"/>
      <c r="X731" s="14"/>
      <c r="Y731" s="14"/>
      <c r="Z731" s="14"/>
      <c r="AA731" s="14"/>
      <c r="AB731" s="14"/>
      <c r="AC731" s="14"/>
      <c r="AD731" s="14"/>
      <c r="AE731" s="14"/>
      <c r="AF731" s="14"/>
      <c r="AG731" s="14"/>
      <c r="AH731" s="14"/>
      <c r="AI731" s="14"/>
      <c r="AJ731" s="14"/>
      <c r="AK731" s="14"/>
      <c r="AL731" s="14"/>
      <c r="AM731" s="14"/>
      <c r="AN731" s="14"/>
    </row>
    <row r="732" ht="15.75" customHeight="1">
      <c r="A732" s="14"/>
      <c r="B732" s="14"/>
      <c r="C732" s="14"/>
      <c r="D732" s="14"/>
      <c r="E732" s="14"/>
      <c r="F732" s="14"/>
      <c r="G732" s="14"/>
      <c r="H732" s="14"/>
      <c r="I732" s="14"/>
      <c r="J732" s="14"/>
      <c r="K732" s="14"/>
      <c r="L732" s="14"/>
      <c r="M732" s="14"/>
      <c r="N732" s="14"/>
      <c r="O732" s="14"/>
      <c r="P732" s="14"/>
      <c r="Q732" s="14"/>
      <c r="R732" s="18"/>
      <c r="S732" s="18"/>
      <c r="T732" s="93"/>
      <c r="U732" s="20"/>
      <c r="V732" s="14"/>
      <c r="W732" s="14"/>
      <c r="X732" s="14"/>
      <c r="Y732" s="14"/>
      <c r="Z732" s="14"/>
      <c r="AA732" s="14"/>
      <c r="AB732" s="14"/>
      <c r="AC732" s="14"/>
      <c r="AD732" s="14"/>
      <c r="AE732" s="14"/>
      <c r="AF732" s="14"/>
      <c r="AG732" s="14"/>
      <c r="AH732" s="14"/>
      <c r="AI732" s="14"/>
      <c r="AJ732" s="14"/>
      <c r="AK732" s="14"/>
      <c r="AL732" s="14"/>
      <c r="AM732" s="14"/>
      <c r="AN732" s="14"/>
    </row>
    <row r="733" ht="15.75" customHeight="1">
      <c r="A733" s="14"/>
      <c r="B733" s="14"/>
      <c r="C733" s="14"/>
      <c r="D733" s="14"/>
      <c r="E733" s="14"/>
      <c r="F733" s="14"/>
      <c r="G733" s="14"/>
      <c r="H733" s="14"/>
      <c r="I733" s="14"/>
      <c r="J733" s="14"/>
      <c r="K733" s="14"/>
      <c r="L733" s="14"/>
      <c r="M733" s="14"/>
      <c r="N733" s="14"/>
      <c r="O733" s="14"/>
      <c r="P733" s="14"/>
      <c r="Q733" s="14"/>
      <c r="R733" s="18"/>
      <c r="S733" s="18"/>
      <c r="T733" s="93"/>
      <c r="U733" s="20"/>
      <c r="V733" s="14"/>
      <c r="W733" s="14"/>
      <c r="X733" s="14"/>
      <c r="Y733" s="14"/>
      <c r="Z733" s="14"/>
      <c r="AA733" s="14"/>
      <c r="AB733" s="14"/>
      <c r="AC733" s="14"/>
      <c r="AD733" s="14"/>
      <c r="AE733" s="14"/>
      <c r="AF733" s="14"/>
      <c r="AG733" s="14"/>
      <c r="AH733" s="14"/>
      <c r="AI733" s="14"/>
      <c r="AJ733" s="14"/>
      <c r="AK733" s="14"/>
      <c r="AL733" s="14"/>
      <c r="AM733" s="14"/>
      <c r="AN733" s="14"/>
    </row>
    <row r="734" ht="15.75" customHeight="1">
      <c r="A734" s="14"/>
      <c r="B734" s="14"/>
      <c r="C734" s="14"/>
      <c r="D734" s="14"/>
      <c r="E734" s="14"/>
      <c r="F734" s="14"/>
      <c r="G734" s="14"/>
      <c r="H734" s="14"/>
      <c r="I734" s="14"/>
      <c r="J734" s="14"/>
      <c r="K734" s="14"/>
      <c r="L734" s="14"/>
      <c r="M734" s="14"/>
      <c r="N734" s="14"/>
      <c r="O734" s="14"/>
      <c r="P734" s="14"/>
      <c r="Q734" s="14"/>
      <c r="R734" s="18"/>
      <c r="S734" s="18"/>
      <c r="T734" s="93"/>
      <c r="U734" s="20"/>
      <c r="V734" s="14"/>
      <c r="W734" s="14"/>
      <c r="X734" s="14"/>
      <c r="Y734" s="14"/>
      <c r="Z734" s="14"/>
      <c r="AA734" s="14"/>
      <c r="AB734" s="14"/>
      <c r="AC734" s="14"/>
      <c r="AD734" s="14"/>
      <c r="AE734" s="14"/>
      <c r="AF734" s="14"/>
      <c r="AG734" s="14"/>
      <c r="AH734" s="14"/>
      <c r="AI734" s="14"/>
      <c r="AJ734" s="14"/>
      <c r="AK734" s="14"/>
      <c r="AL734" s="14"/>
      <c r="AM734" s="14"/>
      <c r="AN734" s="14"/>
    </row>
    <row r="735" ht="15.75" customHeight="1">
      <c r="A735" s="14"/>
      <c r="B735" s="14"/>
      <c r="C735" s="14"/>
      <c r="D735" s="14"/>
      <c r="E735" s="14"/>
      <c r="F735" s="14"/>
      <c r="G735" s="14"/>
      <c r="H735" s="14"/>
      <c r="I735" s="14"/>
      <c r="J735" s="14"/>
      <c r="K735" s="14"/>
      <c r="L735" s="14"/>
      <c r="M735" s="14"/>
      <c r="N735" s="14"/>
      <c r="O735" s="14"/>
      <c r="P735" s="14"/>
      <c r="Q735" s="14"/>
      <c r="R735" s="18"/>
      <c r="S735" s="18"/>
      <c r="T735" s="93"/>
      <c r="U735" s="20"/>
      <c r="V735" s="14"/>
      <c r="W735" s="14"/>
      <c r="X735" s="14"/>
      <c r="Y735" s="14"/>
      <c r="Z735" s="14"/>
      <c r="AA735" s="14"/>
      <c r="AB735" s="14"/>
      <c r="AC735" s="14"/>
      <c r="AD735" s="14"/>
      <c r="AE735" s="14"/>
      <c r="AF735" s="14"/>
      <c r="AG735" s="14"/>
      <c r="AH735" s="14"/>
      <c r="AI735" s="14"/>
      <c r="AJ735" s="14"/>
      <c r="AK735" s="14"/>
      <c r="AL735" s="14"/>
      <c r="AM735" s="14"/>
      <c r="AN735" s="14"/>
    </row>
    <row r="736" ht="15.75" customHeight="1">
      <c r="A736" s="14"/>
      <c r="B736" s="14"/>
      <c r="C736" s="14"/>
      <c r="D736" s="14"/>
      <c r="E736" s="14"/>
      <c r="F736" s="14"/>
      <c r="G736" s="14"/>
      <c r="H736" s="14"/>
      <c r="I736" s="14"/>
      <c r="J736" s="14"/>
      <c r="K736" s="14"/>
      <c r="L736" s="14"/>
      <c r="M736" s="14"/>
      <c r="N736" s="14"/>
      <c r="O736" s="14"/>
      <c r="P736" s="14"/>
      <c r="Q736" s="14"/>
      <c r="R736" s="18"/>
      <c r="S736" s="18"/>
      <c r="T736" s="93"/>
      <c r="U736" s="20"/>
      <c r="V736" s="14"/>
      <c r="W736" s="14"/>
      <c r="X736" s="14"/>
      <c r="Y736" s="14"/>
      <c r="Z736" s="14"/>
      <c r="AA736" s="14"/>
      <c r="AB736" s="14"/>
      <c r="AC736" s="14"/>
      <c r="AD736" s="14"/>
      <c r="AE736" s="14"/>
      <c r="AF736" s="14"/>
      <c r="AG736" s="14"/>
      <c r="AH736" s="14"/>
      <c r="AI736" s="14"/>
      <c r="AJ736" s="14"/>
      <c r="AK736" s="14"/>
      <c r="AL736" s="14"/>
      <c r="AM736" s="14"/>
      <c r="AN736" s="14"/>
    </row>
    <row r="737" ht="15.75" customHeight="1">
      <c r="A737" s="14"/>
      <c r="B737" s="14"/>
      <c r="C737" s="14"/>
      <c r="D737" s="14"/>
      <c r="E737" s="14"/>
      <c r="F737" s="14"/>
      <c r="G737" s="14"/>
      <c r="H737" s="14"/>
      <c r="I737" s="14"/>
      <c r="J737" s="14"/>
      <c r="K737" s="14"/>
      <c r="L737" s="14"/>
      <c r="M737" s="14"/>
      <c r="N737" s="14"/>
      <c r="O737" s="14"/>
      <c r="P737" s="14"/>
      <c r="Q737" s="14"/>
      <c r="R737" s="18"/>
      <c r="S737" s="18"/>
      <c r="T737" s="93"/>
      <c r="U737" s="20"/>
      <c r="V737" s="14"/>
      <c r="W737" s="14"/>
      <c r="X737" s="14"/>
      <c r="Y737" s="14"/>
      <c r="Z737" s="14"/>
      <c r="AA737" s="14"/>
      <c r="AB737" s="14"/>
      <c r="AC737" s="14"/>
      <c r="AD737" s="14"/>
      <c r="AE737" s="14"/>
      <c r="AF737" s="14"/>
      <c r="AG737" s="14"/>
      <c r="AH737" s="14"/>
      <c r="AI737" s="14"/>
      <c r="AJ737" s="14"/>
      <c r="AK737" s="14"/>
      <c r="AL737" s="14"/>
      <c r="AM737" s="14"/>
      <c r="AN737" s="14"/>
    </row>
    <row r="738" ht="15.75" customHeight="1">
      <c r="A738" s="14"/>
      <c r="B738" s="14"/>
      <c r="C738" s="14"/>
      <c r="D738" s="14"/>
      <c r="E738" s="14"/>
      <c r="F738" s="14"/>
      <c r="G738" s="14"/>
      <c r="H738" s="14"/>
      <c r="I738" s="14"/>
      <c r="J738" s="14"/>
      <c r="K738" s="14"/>
      <c r="L738" s="14"/>
      <c r="M738" s="14"/>
      <c r="N738" s="14"/>
      <c r="O738" s="14"/>
      <c r="P738" s="14"/>
      <c r="Q738" s="14"/>
      <c r="R738" s="18"/>
      <c r="S738" s="18"/>
      <c r="T738" s="93"/>
      <c r="U738" s="20"/>
      <c r="V738" s="14"/>
      <c r="W738" s="14"/>
      <c r="X738" s="14"/>
      <c r="Y738" s="14"/>
      <c r="Z738" s="14"/>
      <c r="AA738" s="14"/>
      <c r="AB738" s="14"/>
      <c r="AC738" s="14"/>
      <c r="AD738" s="14"/>
      <c r="AE738" s="14"/>
      <c r="AF738" s="14"/>
      <c r="AG738" s="14"/>
      <c r="AH738" s="14"/>
      <c r="AI738" s="14"/>
      <c r="AJ738" s="14"/>
      <c r="AK738" s="14"/>
      <c r="AL738" s="14"/>
      <c r="AM738" s="14"/>
      <c r="AN738" s="14"/>
    </row>
    <row r="739" ht="15.75" customHeight="1">
      <c r="A739" s="14"/>
      <c r="B739" s="14"/>
      <c r="C739" s="14"/>
      <c r="D739" s="14"/>
      <c r="E739" s="14"/>
      <c r="F739" s="14"/>
      <c r="G739" s="14"/>
      <c r="H739" s="14"/>
      <c r="I739" s="14"/>
      <c r="J739" s="14"/>
      <c r="K739" s="14"/>
      <c r="L739" s="14"/>
      <c r="M739" s="14"/>
      <c r="N739" s="14"/>
      <c r="O739" s="14"/>
      <c r="P739" s="14"/>
      <c r="Q739" s="14"/>
      <c r="R739" s="18"/>
      <c r="S739" s="18"/>
      <c r="T739" s="93"/>
      <c r="U739" s="20"/>
      <c r="V739" s="14"/>
      <c r="W739" s="14"/>
      <c r="X739" s="14"/>
      <c r="Y739" s="14"/>
      <c r="Z739" s="14"/>
      <c r="AA739" s="14"/>
      <c r="AB739" s="14"/>
      <c r="AC739" s="14"/>
      <c r="AD739" s="14"/>
      <c r="AE739" s="14"/>
      <c r="AF739" s="14"/>
      <c r="AG739" s="14"/>
      <c r="AH739" s="14"/>
      <c r="AI739" s="14"/>
      <c r="AJ739" s="14"/>
      <c r="AK739" s="14"/>
      <c r="AL739" s="14"/>
      <c r="AM739" s="14"/>
      <c r="AN739" s="14"/>
    </row>
    <row r="740" ht="15.75" customHeight="1">
      <c r="A740" s="14"/>
      <c r="B740" s="14"/>
      <c r="C740" s="14"/>
      <c r="D740" s="14"/>
      <c r="E740" s="14"/>
      <c r="F740" s="14"/>
      <c r="G740" s="14"/>
      <c r="H740" s="14"/>
      <c r="I740" s="14"/>
      <c r="J740" s="14"/>
      <c r="K740" s="14"/>
      <c r="L740" s="14"/>
      <c r="M740" s="14"/>
      <c r="N740" s="14"/>
      <c r="O740" s="14"/>
      <c r="P740" s="14"/>
      <c r="Q740" s="14"/>
      <c r="R740" s="18"/>
      <c r="S740" s="18"/>
      <c r="T740" s="93"/>
      <c r="U740" s="20"/>
      <c r="V740" s="14"/>
      <c r="W740" s="14"/>
      <c r="X740" s="14"/>
      <c r="Y740" s="14"/>
      <c r="Z740" s="14"/>
      <c r="AA740" s="14"/>
      <c r="AB740" s="14"/>
      <c r="AC740" s="14"/>
      <c r="AD740" s="14"/>
      <c r="AE740" s="14"/>
      <c r="AF740" s="14"/>
      <c r="AG740" s="14"/>
      <c r="AH740" s="14"/>
      <c r="AI740" s="14"/>
      <c r="AJ740" s="14"/>
      <c r="AK740" s="14"/>
      <c r="AL740" s="14"/>
      <c r="AM740" s="14"/>
      <c r="AN740" s="14"/>
    </row>
    <row r="741" ht="15.75" customHeight="1">
      <c r="A741" s="14"/>
      <c r="B741" s="14"/>
      <c r="C741" s="14"/>
      <c r="D741" s="14"/>
      <c r="E741" s="14"/>
      <c r="F741" s="14"/>
      <c r="G741" s="14"/>
      <c r="H741" s="14"/>
      <c r="I741" s="14"/>
      <c r="J741" s="14"/>
      <c r="K741" s="14"/>
      <c r="L741" s="14"/>
      <c r="M741" s="14"/>
      <c r="N741" s="14"/>
      <c r="O741" s="14"/>
      <c r="P741" s="14"/>
      <c r="Q741" s="14"/>
      <c r="R741" s="18"/>
      <c r="S741" s="18"/>
      <c r="T741" s="93"/>
      <c r="U741" s="20"/>
      <c r="V741" s="14"/>
      <c r="W741" s="14"/>
      <c r="X741" s="14"/>
      <c r="Y741" s="14"/>
      <c r="Z741" s="14"/>
      <c r="AA741" s="14"/>
      <c r="AB741" s="14"/>
      <c r="AC741" s="14"/>
      <c r="AD741" s="14"/>
      <c r="AE741" s="14"/>
      <c r="AF741" s="14"/>
      <c r="AG741" s="14"/>
      <c r="AH741" s="14"/>
      <c r="AI741" s="14"/>
      <c r="AJ741" s="14"/>
      <c r="AK741" s="14"/>
      <c r="AL741" s="14"/>
      <c r="AM741" s="14"/>
      <c r="AN741" s="14"/>
    </row>
    <row r="742" ht="15.75" customHeight="1">
      <c r="A742" s="14"/>
      <c r="B742" s="14"/>
      <c r="C742" s="14"/>
      <c r="D742" s="14"/>
      <c r="E742" s="14"/>
      <c r="F742" s="14"/>
      <c r="G742" s="14"/>
      <c r="H742" s="14"/>
      <c r="I742" s="14"/>
      <c r="J742" s="14"/>
      <c r="K742" s="14"/>
      <c r="L742" s="14"/>
      <c r="M742" s="14"/>
      <c r="N742" s="14"/>
      <c r="O742" s="14"/>
      <c r="P742" s="14"/>
      <c r="Q742" s="14"/>
      <c r="R742" s="18"/>
      <c r="S742" s="18"/>
      <c r="T742" s="93"/>
      <c r="U742" s="20"/>
      <c r="V742" s="14"/>
      <c r="W742" s="14"/>
      <c r="X742" s="14"/>
      <c r="Y742" s="14"/>
      <c r="Z742" s="14"/>
      <c r="AA742" s="14"/>
      <c r="AB742" s="14"/>
      <c r="AC742" s="14"/>
      <c r="AD742" s="14"/>
      <c r="AE742" s="14"/>
      <c r="AF742" s="14"/>
      <c r="AG742" s="14"/>
      <c r="AH742" s="14"/>
      <c r="AI742" s="14"/>
      <c r="AJ742" s="14"/>
      <c r="AK742" s="14"/>
      <c r="AL742" s="14"/>
      <c r="AM742" s="14"/>
      <c r="AN742" s="14"/>
    </row>
    <row r="743" ht="15.75" customHeight="1">
      <c r="A743" s="14"/>
      <c r="B743" s="14"/>
      <c r="C743" s="14"/>
      <c r="D743" s="14"/>
      <c r="E743" s="14"/>
      <c r="F743" s="14"/>
      <c r="G743" s="14"/>
      <c r="H743" s="14"/>
      <c r="I743" s="14"/>
      <c r="J743" s="14"/>
      <c r="K743" s="14"/>
      <c r="L743" s="14"/>
      <c r="M743" s="14"/>
      <c r="N743" s="14"/>
      <c r="O743" s="14"/>
      <c r="P743" s="14"/>
      <c r="Q743" s="14"/>
      <c r="R743" s="18"/>
      <c r="S743" s="18"/>
      <c r="T743" s="93"/>
      <c r="U743" s="20"/>
      <c r="V743" s="14"/>
      <c r="W743" s="14"/>
      <c r="X743" s="14"/>
      <c r="Y743" s="14"/>
      <c r="Z743" s="14"/>
      <c r="AA743" s="14"/>
      <c r="AB743" s="14"/>
      <c r="AC743" s="14"/>
      <c r="AD743" s="14"/>
      <c r="AE743" s="14"/>
      <c r="AF743" s="14"/>
      <c r="AG743" s="14"/>
      <c r="AH743" s="14"/>
      <c r="AI743" s="14"/>
      <c r="AJ743" s="14"/>
      <c r="AK743" s="14"/>
      <c r="AL743" s="14"/>
      <c r="AM743" s="14"/>
      <c r="AN743" s="14"/>
    </row>
    <row r="744" ht="15.75" customHeight="1">
      <c r="A744" s="14"/>
      <c r="B744" s="14"/>
      <c r="C744" s="14"/>
      <c r="D744" s="14"/>
      <c r="E744" s="14"/>
      <c r="F744" s="14"/>
      <c r="G744" s="14"/>
      <c r="H744" s="14"/>
      <c r="I744" s="14"/>
      <c r="J744" s="14"/>
      <c r="K744" s="14"/>
      <c r="L744" s="14"/>
      <c r="M744" s="14"/>
      <c r="N744" s="14"/>
      <c r="O744" s="14"/>
      <c r="P744" s="14"/>
      <c r="Q744" s="14"/>
      <c r="R744" s="18"/>
      <c r="S744" s="18"/>
      <c r="T744" s="93"/>
      <c r="U744" s="20"/>
      <c r="V744" s="14"/>
      <c r="W744" s="14"/>
      <c r="X744" s="14"/>
      <c r="Y744" s="14"/>
      <c r="Z744" s="14"/>
      <c r="AA744" s="14"/>
      <c r="AB744" s="14"/>
      <c r="AC744" s="14"/>
      <c r="AD744" s="14"/>
      <c r="AE744" s="14"/>
      <c r="AF744" s="14"/>
      <c r="AG744" s="14"/>
      <c r="AH744" s="14"/>
      <c r="AI744" s="14"/>
      <c r="AJ744" s="14"/>
      <c r="AK744" s="14"/>
      <c r="AL744" s="14"/>
      <c r="AM744" s="14"/>
      <c r="AN744" s="14"/>
    </row>
    <row r="745" ht="15.75" customHeight="1">
      <c r="A745" s="14"/>
      <c r="B745" s="14"/>
      <c r="C745" s="14"/>
      <c r="D745" s="14"/>
      <c r="E745" s="14"/>
      <c r="F745" s="14"/>
      <c r="G745" s="14"/>
      <c r="H745" s="14"/>
      <c r="I745" s="14"/>
      <c r="J745" s="14"/>
      <c r="K745" s="14"/>
      <c r="L745" s="14"/>
      <c r="M745" s="14"/>
      <c r="N745" s="14"/>
      <c r="O745" s="14"/>
      <c r="P745" s="14"/>
      <c r="Q745" s="14"/>
      <c r="R745" s="18"/>
      <c r="S745" s="18"/>
      <c r="T745" s="93"/>
      <c r="U745" s="20"/>
      <c r="V745" s="14"/>
      <c r="W745" s="14"/>
      <c r="X745" s="14"/>
      <c r="Y745" s="14"/>
      <c r="Z745" s="14"/>
      <c r="AA745" s="14"/>
      <c r="AB745" s="14"/>
      <c r="AC745" s="14"/>
      <c r="AD745" s="14"/>
      <c r="AE745" s="14"/>
      <c r="AF745" s="14"/>
      <c r="AG745" s="14"/>
      <c r="AH745" s="14"/>
      <c r="AI745" s="14"/>
      <c r="AJ745" s="14"/>
      <c r="AK745" s="14"/>
      <c r="AL745" s="14"/>
      <c r="AM745" s="14"/>
      <c r="AN745" s="14"/>
    </row>
    <row r="746" ht="15.75" customHeight="1">
      <c r="A746" s="14"/>
      <c r="B746" s="14"/>
      <c r="C746" s="14"/>
      <c r="D746" s="14"/>
      <c r="E746" s="14"/>
      <c r="F746" s="14"/>
      <c r="G746" s="14"/>
      <c r="H746" s="14"/>
      <c r="I746" s="14"/>
      <c r="J746" s="14"/>
      <c r="K746" s="14"/>
      <c r="L746" s="14"/>
      <c r="M746" s="14"/>
      <c r="N746" s="14"/>
      <c r="O746" s="14"/>
      <c r="P746" s="14"/>
      <c r="Q746" s="14"/>
      <c r="R746" s="18"/>
      <c r="S746" s="18"/>
      <c r="T746" s="93"/>
      <c r="U746" s="20"/>
      <c r="V746" s="14"/>
      <c r="W746" s="14"/>
      <c r="X746" s="14"/>
      <c r="Y746" s="14"/>
      <c r="Z746" s="14"/>
      <c r="AA746" s="14"/>
      <c r="AB746" s="14"/>
      <c r="AC746" s="14"/>
      <c r="AD746" s="14"/>
      <c r="AE746" s="14"/>
      <c r="AF746" s="14"/>
      <c r="AG746" s="14"/>
      <c r="AH746" s="14"/>
      <c r="AI746" s="14"/>
      <c r="AJ746" s="14"/>
      <c r="AK746" s="14"/>
      <c r="AL746" s="14"/>
      <c r="AM746" s="14"/>
      <c r="AN746" s="14"/>
    </row>
    <row r="747" ht="15.75" customHeight="1">
      <c r="A747" s="14"/>
      <c r="B747" s="14"/>
      <c r="C747" s="14"/>
      <c r="D747" s="14"/>
      <c r="E747" s="14"/>
      <c r="F747" s="14"/>
      <c r="G747" s="14"/>
      <c r="H747" s="14"/>
      <c r="I747" s="14"/>
      <c r="J747" s="14"/>
      <c r="K747" s="14"/>
      <c r="L747" s="14"/>
      <c r="M747" s="14"/>
      <c r="N747" s="14"/>
      <c r="O747" s="14"/>
      <c r="P747" s="14"/>
      <c r="Q747" s="14"/>
      <c r="R747" s="18"/>
      <c r="S747" s="18"/>
      <c r="T747" s="93"/>
      <c r="U747" s="20"/>
      <c r="V747" s="14"/>
      <c r="W747" s="14"/>
      <c r="X747" s="14"/>
      <c r="Y747" s="14"/>
      <c r="Z747" s="14"/>
      <c r="AA747" s="14"/>
      <c r="AB747" s="14"/>
      <c r="AC747" s="14"/>
      <c r="AD747" s="14"/>
      <c r="AE747" s="14"/>
      <c r="AF747" s="14"/>
      <c r="AG747" s="14"/>
      <c r="AH747" s="14"/>
      <c r="AI747" s="14"/>
      <c r="AJ747" s="14"/>
      <c r="AK747" s="14"/>
      <c r="AL747" s="14"/>
      <c r="AM747" s="14"/>
      <c r="AN747" s="14"/>
    </row>
    <row r="748" ht="15.75" customHeight="1">
      <c r="A748" s="14"/>
      <c r="B748" s="14"/>
      <c r="C748" s="14"/>
      <c r="D748" s="14"/>
      <c r="E748" s="14"/>
      <c r="F748" s="14"/>
      <c r="G748" s="14"/>
      <c r="H748" s="14"/>
      <c r="I748" s="14"/>
      <c r="J748" s="14"/>
      <c r="K748" s="14"/>
      <c r="L748" s="14"/>
      <c r="M748" s="14"/>
      <c r="N748" s="14"/>
      <c r="O748" s="14"/>
      <c r="P748" s="14"/>
      <c r="Q748" s="14"/>
      <c r="R748" s="18"/>
      <c r="S748" s="18"/>
      <c r="T748" s="93"/>
      <c r="U748" s="20"/>
      <c r="V748" s="14"/>
      <c r="W748" s="14"/>
      <c r="X748" s="14"/>
      <c r="Y748" s="14"/>
      <c r="Z748" s="14"/>
      <c r="AA748" s="14"/>
      <c r="AB748" s="14"/>
      <c r="AC748" s="14"/>
      <c r="AD748" s="14"/>
      <c r="AE748" s="14"/>
      <c r="AF748" s="14"/>
      <c r="AG748" s="14"/>
      <c r="AH748" s="14"/>
      <c r="AI748" s="14"/>
      <c r="AJ748" s="14"/>
      <c r="AK748" s="14"/>
      <c r="AL748" s="14"/>
      <c r="AM748" s="14"/>
      <c r="AN748" s="14"/>
    </row>
    <row r="749" ht="15.75" customHeight="1">
      <c r="A749" s="14"/>
      <c r="B749" s="14"/>
      <c r="C749" s="14"/>
      <c r="D749" s="14"/>
      <c r="E749" s="14"/>
      <c r="F749" s="14"/>
      <c r="G749" s="14"/>
      <c r="H749" s="14"/>
      <c r="I749" s="14"/>
      <c r="J749" s="14"/>
      <c r="K749" s="14"/>
      <c r="L749" s="14"/>
      <c r="M749" s="14"/>
      <c r="N749" s="14"/>
      <c r="O749" s="14"/>
      <c r="P749" s="14"/>
      <c r="Q749" s="14"/>
      <c r="R749" s="18"/>
      <c r="S749" s="18"/>
      <c r="T749" s="93"/>
      <c r="U749" s="20"/>
      <c r="V749" s="14"/>
      <c r="W749" s="14"/>
      <c r="X749" s="14"/>
      <c r="Y749" s="14"/>
      <c r="Z749" s="14"/>
      <c r="AA749" s="14"/>
      <c r="AB749" s="14"/>
      <c r="AC749" s="14"/>
      <c r="AD749" s="14"/>
      <c r="AE749" s="14"/>
      <c r="AF749" s="14"/>
      <c r="AG749" s="14"/>
      <c r="AH749" s="14"/>
      <c r="AI749" s="14"/>
      <c r="AJ749" s="14"/>
      <c r="AK749" s="14"/>
      <c r="AL749" s="14"/>
      <c r="AM749" s="14"/>
      <c r="AN749" s="14"/>
    </row>
    <row r="750" ht="15.75" customHeight="1">
      <c r="A750" s="14"/>
      <c r="B750" s="14"/>
      <c r="C750" s="14"/>
      <c r="D750" s="14"/>
      <c r="E750" s="14"/>
      <c r="F750" s="14"/>
      <c r="G750" s="14"/>
      <c r="H750" s="14"/>
      <c r="I750" s="14"/>
      <c r="J750" s="14"/>
      <c r="K750" s="14"/>
      <c r="L750" s="14"/>
      <c r="M750" s="14"/>
      <c r="N750" s="14"/>
      <c r="O750" s="14"/>
      <c r="P750" s="14"/>
      <c r="Q750" s="14"/>
      <c r="R750" s="18"/>
      <c r="S750" s="18"/>
      <c r="T750" s="93"/>
      <c r="U750" s="20"/>
      <c r="V750" s="14"/>
      <c r="W750" s="14"/>
      <c r="X750" s="14"/>
      <c r="Y750" s="14"/>
      <c r="Z750" s="14"/>
      <c r="AA750" s="14"/>
      <c r="AB750" s="14"/>
      <c r="AC750" s="14"/>
      <c r="AD750" s="14"/>
      <c r="AE750" s="14"/>
      <c r="AF750" s="14"/>
      <c r="AG750" s="14"/>
      <c r="AH750" s="14"/>
      <c r="AI750" s="14"/>
      <c r="AJ750" s="14"/>
      <c r="AK750" s="14"/>
      <c r="AL750" s="14"/>
      <c r="AM750" s="14"/>
      <c r="AN750" s="14"/>
    </row>
    <row r="751" ht="15.75" customHeight="1">
      <c r="A751" s="14"/>
      <c r="B751" s="14"/>
      <c r="C751" s="14"/>
      <c r="D751" s="14"/>
      <c r="E751" s="14"/>
      <c r="F751" s="14"/>
      <c r="G751" s="14"/>
      <c r="H751" s="14"/>
      <c r="I751" s="14"/>
      <c r="J751" s="14"/>
      <c r="K751" s="14"/>
      <c r="L751" s="14"/>
      <c r="M751" s="14"/>
      <c r="N751" s="14"/>
      <c r="O751" s="14"/>
      <c r="P751" s="14"/>
      <c r="Q751" s="14"/>
      <c r="R751" s="18"/>
      <c r="S751" s="18"/>
      <c r="T751" s="93"/>
      <c r="U751" s="20"/>
      <c r="V751" s="14"/>
      <c r="W751" s="14"/>
      <c r="X751" s="14"/>
      <c r="Y751" s="14"/>
      <c r="Z751" s="14"/>
      <c r="AA751" s="14"/>
      <c r="AB751" s="14"/>
      <c r="AC751" s="14"/>
      <c r="AD751" s="14"/>
      <c r="AE751" s="14"/>
      <c r="AF751" s="14"/>
      <c r="AG751" s="14"/>
      <c r="AH751" s="14"/>
      <c r="AI751" s="14"/>
      <c r="AJ751" s="14"/>
      <c r="AK751" s="14"/>
      <c r="AL751" s="14"/>
      <c r="AM751" s="14"/>
      <c r="AN751" s="14"/>
    </row>
    <row r="752" ht="15.75" customHeight="1">
      <c r="A752" s="14"/>
      <c r="B752" s="14"/>
      <c r="C752" s="14"/>
      <c r="D752" s="14"/>
      <c r="E752" s="14"/>
      <c r="F752" s="14"/>
      <c r="G752" s="14"/>
      <c r="H752" s="14"/>
      <c r="I752" s="14"/>
      <c r="J752" s="14"/>
      <c r="K752" s="14"/>
      <c r="L752" s="14"/>
      <c r="M752" s="14"/>
      <c r="N752" s="14"/>
      <c r="O752" s="14"/>
      <c r="P752" s="14"/>
      <c r="Q752" s="14"/>
      <c r="R752" s="18"/>
      <c r="S752" s="18"/>
      <c r="T752" s="93"/>
      <c r="U752" s="20"/>
      <c r="V752" s="14"/>
      <c r="W752" s="14"/>
      <c r="X752" s="14"/>
      <c r="Y752" s="14"/>
      <c r="Z752" s="14"/>
      <c r="AA752" s="14"/>
      <c r="AB752" s="14"/>
      <c r="AC752" s="14"/>
      <c r="AD752" s="14"/>
      <c r="AE752" s="14"/>
      <c r="AF752" s="14"/>
      <c r="AG752" s="14"/>
      <c r="AH752" s="14"/>
      <c r="AI752" s="14"/>
      <c r="AJ752" s="14"/>
      <c r="AK752" s="14"/>
      <c r="AL752" s="14"/>
      <c r="AM752" s="14"/>
      <c r="AN752" s="14"/>
    </row>
    <row r="753" ht="15.75" customHeight="1">
      <c r="A753" s="14"/>
      <c r="B753" s="14"/>
      <c r="C753" s="14"/>
      <c r="D753" s="14"/>
      <c r="E753" s="14"/>
      <c r="F753" s="14"/>
      <c r="G753" s="14"/>
      <c r="H753" s="14"/>
      <c r="I753" s="14"/>
      <c r="J753" s="14"/>
      <c r="K753" s="14"/>
      <c r="L753" s="14"/>
      <c r="M753" s="14"/>
      <c r="N753" s="14"/>
      <c r="O753" s="14"/>
      <c r="P753" s="14"/>
      <c r="Q753" s="14"/>
      <c r="R753" s="18"/>
      <c r="S753" s="18"/>
      <c r="T753" s="93"/>
      <c r="U753" s="20"/>
      <c r="V753" s="14"/>
      <c r="W753" s="14"/>
      <c r="X753" s="14"/>
      <c r="Y753" s="14"/>
      <c r="Z753" s="14"/>
      <c r="AA753" s="14"/>
      <c r="AB753" s="14"/>
      <c r="AC753" s="14"/>
      <c r="AD753" s="14"/>
      <c r="AE753" s="14"/>
      <c r="AF753" s="14"/>
      <c r="AG753" s="14"/>
      <c r="AH753" s="14"/>
      <c r="AI753" s="14"/>
      <c r="AJ753" s="14"/>
      <c r="AK753" s="14"/>
      <c r="AL753" s="14"/>
      <c r="AM753" s="14"/>
      <c r="AN753" s="14"/>
    </row>
    <row r="754" ht="15.75" customHeight="1">
      <c r="A754" s="14"/>
      <c r="B754" s="14"/>
      <c r="C754" s="14"/>
      <c r="D754" s="14"/>
      <c r="E754" s="14"/>
      <c r="F754" s="14"/>
      <c r="G754" s="14"/>
      <c r="H754" s="14"/>
      <c r="I754" s="14"/>
      <c r="J754" s="14"/>
      <c r="K754" s="14"/>
      <c r="L754" s="14"/>
      <c r="M754" s="14"/>
      <c r="N754" s="14"/>
      <c r="O754" s="14"/>
      <c r="P754" s="14"/>
      <c r="Q754" s="14"/>
      <c r="R754" s="18"/>
      <c r="S754" s="18"/>
      <c r="T754" s="93"/>
      <c r="U754" s="20"/>
      <c r="V754" s="14"/>
      <c r="W754" s="14"/>
      <c r="X754" s="14"/>
      <c r="Y754" s="14"/>
      <c r="Z754" s="14"/>
      <c r="AA754" s="14"/>
      <c r="AB754" s="14"/>
      <c r="AC754" s="14"/>
      <c r="AD754" s="14"/>
      <c r="AE754" s="14"/>
      <c r="AF754" s="14"/>
      <c r="AG754" s="14"/>
      <c r="AH754" s="14"/>
      <c r="AI754" s="14"/>
      <c r="AJ754" s="14"/>
      <c r="AK754" s="14"/>
      <c r="AL754" s="14"/>
      <c r="AM754" s="14"/>
      <c r="AN754" s="14"/>
    </row>
    <row r="755" ht="15.75" customHeight="1">
      <c r="A755" s="14"/>
      <c r="B755" s="14"/>
      <c r="C755" s="14"/>
      <c r="D755" s="14"/>
      <c r="E755" s="14"/>
      <c r="F755" s="14"/>
      <c r="G755" s="14"/>
      <c r="H755" s="14"/>
      <c r="I755" s="14"/>
      <c r="J755" s="14"/>
      <c r="K755" s="14"/>
      <c r="L755" s="14"/>
      <c r="M755" s="14"/>
      <c r="N755" s="14"/>
      <c r="O755" s="14"/>
      <c r="P755" s="14"/>
      <c r="Q755" s="14"/>
      <c r="R755" s="18"/>
      <c r="S755" s="18"/>
      <c r="T755" s="93"/>
      <c r="U755" s="20"/>
      <c r="V755" s="14"/>
      <c r="W755" s="14"/>
      <c r="X755" s="14"/>
      <c r="Y755" s="14"/>
      <c r="Z755" s="14"/>
      <c r="AA755" s="14"/>
      <c r="AB755" s="14"/>
      <c r="AC755" s="14"/>
      <c r="AD755" s="14"/>
      <c r="AE755" s="14"/>
      <c r="AF755" s="14"/>
      <c r="AG755" s="14"/>
      <c r="AH755" s="14"/>
      <c r="AI755" s="14"/>
      <c r="AJ755" s="14"/>
      <c r="AK755" s="14"/>
      <c r="AL755" s="14"/>
      <c r="AM755" s="14"/>
      <c r="AN755" s="14"/>
    </row>
    <row r="756" ht="15.75" customHeight="1">
      <c r="A756" s="14"/>
      <c r="B756" s="14"/>
      <c r="C756" s="14"/>
      <c r="D756" s="14"/>
      <c r="E756" s="14"/>
      <c r="F756" s="14"/>
      <c r="G756" s="14"/>
      <c r="H756" s="14"/>
      <c r="I756" s="14"/>
      <c r="J756" s="14"/>
      <c r="K756" s="14"/>
      <c r="L756" s="14"/>
      <c r="M756" s="14"/>
      <c r="N756" s="14"/>
      <c r="O756" s="14"/>
      <c r="P756" s="14"/>
      <c r="Q756" s="14"/>
      <c r="R756" s="18"/>
      <c r="S756" s="18"/>
      <c r="T756" s="93"/>
      <c r="U756" s="20"/>
      <c r="V756" s="14"/>
      <c r="W756" s="14"/>
      <c r="X756" s="14"/>
      <c r="Y756" s="14"/>
      <c r="Z756" s="14"/>
      <c r="AA756" s="14"/>
      <c r="AB756" s="14"/>
      <c r="AC756" s="14"/>
      <c r="AD756" s="14"/>
      <c r="AE756" s="14"/>
      <c r="AF756" s="14"/>
      <c r="AG756" s="14"/>
      <c r="AH756" s="14"/>
      <c r="AI756" s="14"/>
      <c r="AJ756" s="14"/>
      <c r="AK756" s="14"/>
      <c r="AL756" s="14"/>
      <c r="AM756" s="14"/>
      <c r="AN756" s="14"/>
    </row>
    <row r="757" ht="15.75" customHeight="1">
      <c r="A757" s="14"/>
      <c r="B757" s="14"/>
      <c r="C757" s="14"/>
      <c r="D757" s="14"/>
      <c r="E757" s="14"/>
      <c r="F757" s="14"/>
      <c r="G757" s="14"/>
      <c r="H757" s="14"/>
      <c r="I757" s="14"/>
      <c r="J757" s="14"/>
      <c r="K757" s="14"/>
      <c r="L757" s="14"/>
      <c r="M757" s="14"/>
      <c r="N757" s="14"/>
      <c r="O757" s="14"/>
      <c r="P757" s="14"/>
      <c r="Q757" s="14"/>
      <c r="R757" s="18"/>
      <c r="S757" s="18"/>
      <c r="T757" s="93"/>
      <c r="U757" s="20"/>
      <c r="V757" s="14"/>
      <c r="W757" s="14"/>
      <c r="X757" s="14"/>
      <c r="Y757" s="14"/>
      <c r="Z757" s="14"/>
      <c r="AA757" s="14"/>
      <c r="AB757" s="14"/>
      <c r="AC757" s="14"/>
      <c r="AD757" s="14"/>
      <c r="AE757" s="14"/>
      <c r="AF757" s="14"/>
      <c r="AG757" s="14"/>
      <c r="AH757" s="14"/>
      <c r="AI757" s="14"/>
      <c r="AJ757" s="14"/>
      <c r="AK757" s="14"/>
      <c r="AL757" s="14"/>
      <c r="AM757" s="14"/>
      <c r="AN757" s="14"/>
    </row>
    <row r="758" ht="15.75" customHeight="1">
      <c r="A758" s="14"/>
      <c r="B758" s="14"/>
      <c r="C758" s="14"/>
      <c r="D758" s="14"/>
      <c r="E758" s="14"/>
      <c r="F758" s="14"/>
      <c r="G758" s="14"/>
      <c r="H758" s="14"/>
      <c r="I758" s="14"/>
      <c r="J758" s="14"/>
      <c r="K758" s="14"/>
      <c r="L758" s="14"/>
      <c r="M758" s="14"/>
      <c r="N758" s="14"/>
      <c r="O758" s="14"/>
      <c r="P758" s="14"/>
      <c r="Q758" s="14"/>
      <c r="R758" s="18"/>
      <c r="S758" s="18"/>
      <c r="T758" s="93"/>
      <c r="U758" s="20"/>
      <c r="V758" s="14"/>
      <c r="W758" s="14"/>
      <c r="X758" s="14"/>
      <c r="Y758" s="14"/>
      <c r="Z758" s="14"/>
      <c r="AA758" s="14"/>
      <c r="AB758" s="14"/>
      <c r="AC758" s="14"/>
      <c r="AD758" s="14"/>
      <c r="AE758" s="14"/>
      <c r="AF758" s="14"/>
      <c r="AG758" s="14"/>
      <c r="AH758" s="14"/>
      <c r="AI758" s="14"/>
      <c r="AJ758" s="14"/>
      <c r="AK758" s="14"/>
      <c r="AL758" s="14"/>
      <c r="AM758" s="14"/>
      <c r="AN758" s="14"/>
    </row>
    <row r="759" ht="15.75" customHeight="1">
      <c r="A759" s="14"/>
      <c r="B759" s="14"/>
      <c r="C759" s="14"/>
      <c r="D759" s="14"/>
      <c r="E759" s="14"/>
      <c r="F759" s="14"/>
      <c r="G759" s="14"/>
      <c r="H759" s="14"/>
      <c r="I759" s="14"/>
      <c r="J759" s="14"/>
      <c r="K759" s="14"/>
      <c r="L759" s="14"/>
      <c r="M759" s="14"/>
      <c r="N759" s="14"/>
      <c r="O759" s="14"/>
      <c r="P759" s="14"/>
      <c r="Q759" s="14"/>
      <c r="R759" s="18"/>
      <c r="S759" s="18"/>
      <c r="T759" s="93"/>
      <c r="U759" s="20"/>
      <c r="V759" s="14"/>
      <c r="W759" s="14"/>
      <c r="X759" s="14"/>
      <c r="Y759" s="14"/>
      <c r="Z759" s="14"/>
      <c r="AA759" s="14"/>
      <c r="AB759" s="14"/>
      <c r="AC759" s="14"/>
      <c r="AD759" s="14"/>
      <c r="AE759" s="14"/>
      <c r="AF759" s="14"/>
      <c r="AG759" s="14"/>
      <c r="AH759" s="14"/>
      <c r="AI759" s="14"/>
      <c r="AJ759" s="14"/>
      <c r="AK759" s="14"/>
      <c r="AL759" s="14"/>
      <c r="AM759" s="14"/>
      <c r="AN759" s="14"/>
    </row>
    <row r="760" ht="15.75" customHeight="1">
      <c r="A760" s="14"/>
      <c r="B760" s="14"/>
      <c r="C760" s="14"/>
      <c r="D760" s="14"/>
      <c r="E760" s="14"/>
      <c r="F760" s="14"/>
      <c r="G760" s="14"/>
      <c r="H760" s="14"/>
      <c r="I760" s="14"/>
      <c r="J760" s="14"/>
      <c r="K760" s="14"/>
      <c r="L760" s="14"/>
      <c r="M760" s="14"/>
      <c r="N760" s="14"/>
      <c r="O760" s="14"/>
      <c r="P760" s="14"/>
      <c r="Q760" s="14"/>
      <c r="R760" s="18"/>
      <c r="S760" s="18"/>
      <c r="T760" s="93"/>
      <c r="U760" s="20"/>
      <c r="V760" s="14"/>
      <c r="W760" s="14"/>
      <c r="X760" s="14"/>
      <c r="Y760" s="14"/>
      <c r="Z760" s="14"/>
      <c r="AA760" s="14"/>
      <c r="AB760" s="14"/>
      <c r="AC760" s="14"/>
      <c r="AD760" s="14"/>
      <c r="AE760" s="14"/>
      <c r="AF760" s="14"/>
      <c r="AG760" s="14"/>
      <c r="AH760" s="14"/>
      <c r="AI760" s="14"/>
      <c r="AJ760" s="14"/>
      <c r="AK760" s="14"/>
      <c r="AL760" s="14"/>
      <c r="AM760" s="14"/>
      <c r="AN760" s="14"/>
    </row>
    <row r="761" ht="15.75" customHeight="1">
      <c r="A761" s="14"/>
      <c r="B761" s="14"/>
      <c r="C761" s="14"/>
      <c r="D761" s="14"/>
      <c r="E761" s="14"/>
      <c r="F761" s="14"/>
      <c r="G761" s="14"/>
      <c r="H761" s="14"/>
      <c r="I761" s="14"/>
      <c r="J761" s="14"/>
      <c r="K761" s="14"/>
      <c r="L761" s="14"/>
      <c r="M761" s="14"/>
      <c r="N761" s="14"/>
      <c r="O761" s="14"/>
      <c r="P761" s="14"/>
      <c r="Q761" s="14"/>
      <c r="R761" s="18"/>
      <c r="S761" s="18"/>
      <c r="T761" s="93"/>
      <c r="U761" s="20"/>
      <c r="V761" s="14"/>
      <c r="W761" s="14"/>
      <c r="X761" s="14"/>
      <c r="Y761" s="14"/>
      <c r="Z761" s="14"/>
      <c r="AA761" s="14"/>
      <c r="AB761" s="14"/>
      <c r="AC761" s="14"/>
      <c r="AD761" s="14"/>
      <c r="AE761" s="14"/>
      <c r="AF761" s="14"/>
      <c r="AG761" s="14"/>
      <c r="AH761" s="14"/>
      <c r="AI761" s="14"/>
      <c r="AJ761" s="14"/>
      <c r="AK761" s="14"/>
      <c r="AL761" s="14"/>
      <c r="AM761" s="14"/>
      <c r="AN761" s="14"/>
    </row>
    <row r="762" ht="15.75" customHeight="1">
      <c r="A762" s="14"/>
      <c r="B762" s="14"/>
      <c r="C762" s="14"/>
      <c r="D762" s="14"/>
      <c r="E762" s="14"/>
      <c r="F762" s="14"/>
      <c r="G762" s="14"/>
      <c r="H762" s="14"/>
      <c r="I762" s="14"/>
      <c r="J762" s="14"/>
      <c r="K762" s="14"/>
      <c r="L762" s="14"/>
      <c r="M762" s="14"/>
      <c r="N762" s="14"/>
      <c r="O762" s="14"/>
      <c r="P762" s="14"/>
      <c r="Q762" s="14"/>
      <c r="R762" s="18"/>
      <c r="S762" s="18"/>
      <c r="T762" s="93"/>
      <c r="U762" s="20"/>
      <c r="V762" s="14"/>
      <c r="W762" s="14"/>
      <c r="X762" s="14"/>
      <c r="Y762" s="14"/>
      <c r="Z762" s="14"/>
      <c r="AA762" s="14"/>
      <c r="AB762" s="14"/>
      <c r="AC762" s="14"/>
      <c r="AD762" s="14"/>
      <c r="AE762" s="14"/>
      <c r="AF762" s="14"/>
      <c r="AG762" s="14"/>
      <c r="AH762" s="14"/>
      <c r="AI762" s="14"/>
      <c r="AJ762" s="14"/>
      <c r="AK762" s="14"/>
      <c r="AL762" s="14"/>
      <c r="AM762" s="14"/>
      <c r="AN762" s="14"/>
    </row>
    <row r="763" ht="15.75" customHeight="1">
      <c r="A763" s="14"/>
      <c r="B763" s="14"/>
      <c r="C763" s="14"/>
      <c r="D763" s="14"/>
      <c r="E763" s="14"/>
      <c r="F763" s="14"/>
      <c r="G763" s="14"/>
      <c r="H763" s="14"/>
      <c r="I763" s="14"/>
      <c r="J763" s="14"/>
      <c r="K763" s="14"/>
      <c r="L763" s="14"/>
      <c r="M763" s="14"/>
      <c r="N763" s="14"/>
      <c r="O763" s="14"/>
      <c r="P763" s="14"/>
      <c r="Q763" s="14"/>
      <c r="R763" s="18"/>
      <c r="S763" s="18"/>
      <c r="T763" s="93"/>
      <c r="U763" s="20"/>
      <c r="V763" s="14"/>
      <c r="W763" s="14"/>
      <c r="X763" s="14"/>
      <c r="Y763" s="14"/>
      <c r="Z763" s="14"/>
      <c r="AA763" s="14"/>
      <c r="AB763" s="14"/>
      <c r="AC763" s="14"/>
      <c r="AD763" s="14"/>
      <c r="AE763" s="14"/>
      <c r="AF763" s="14"/>
      <c r="AG763" s="14"/>
      <c r="AH763" s="14"/>
      <c r="AI763" s="14"/>
      <c r="AJ763" s="14"/>
      <c r="AK763" s="14"/>
      <c r="AL763" s="14"/>
      <c r="AM763" s="14"/>
      <c r="AN763" s="14"/>
    </row>
    <row r="764" ht="15.75" customHeight="1">
      <c r="A764" s="14"/>
      <c r="B764" s="14"/>
      <c r="C764" s="14"/>
      <c r="D764" s="14"/>
      <c r="E764" s="14"/>
      <c r="F764" s="14"/>
      <c r="G764" s="14"/>
      <c r="H764" s="14"/>
      <c r="I764" s="14"/>
      <c r="J764" s="14"/>
      <c r="K764" s="14"/>
      <c r="L764" s="14"/>
      <c r="M764" s="14"/>
      <c r="N764" s="14"/>
      <c r="O764" s="14"/>
      <c r="P764" s="14"/>
      <c r="Q764" s="14"/>
      <c r="R764" s="18"/>
      <c r="S764" s="18"/>
      <c r="T764" s="93"/>
      <c r="U764" s="20"/>
      <c r="V764" s="14"/>
      <c r="W764" s="14"/>
      <c r="X764" s="14"/>
      <c r="Y764" s="14"/>
      <c r="Z764" s="14"/>
      <c r="AA764" s="14"/>
      <c r="AB764" s="14"/>
      <c r="AC764" s="14"/>
      <c r="AD764" s="14"/>
      <c r="AE764" s="14"/>
      <c r="AF764" s="14"/>
      <c r="AG764" s="14"/>
      <c r="AH764" s="14"/>
      <c r="AI764" s="14"/>
      <c r="AJ764" s="14"/>
      <c r="AK764" s="14"/>
      <c r="AL764" s="14"/>
      <c r="AM764" s="14"/>
      <c r="AN764" s="14"/>
    </row>
    <row r="765" ht="15.75" customHeight="1">
      <c r="A765" s="14"/>
      <c r="B765" s="14"/>
      <c r="C765" s="14"/>
      <c r="D765" s="14"/>
      <c r="E765" s="14"/>
      <c r="F765" s="14"/>
      <c r="G765" s="14"/>
      <c r="H765" s="14"/>
      <c r="I765" s="14"/>
      <c r="J765" s="14"/>
      <c r="K765" s="14"/>
      <c r="L765" s="14"/>
      <c r="M765" s="14"/>
      <c r="N765" s="14"/>
      <c r="O765" s="14"/>
      <c r="P765" s="14"/>
      <c r="Q765" s="14"/>
      <c r="R765" s="18"/>
      <c r="S765" s="18"/>
      <c r="T765" s="93"/>
      <c r="U765" s="20"/>
      <c r="V765" s="14"/>
      <c r="W765" s="14"/>
      <c r="X765" s="14"/>
      <c r="Y765" s="14"/>
      <c r="Z765" s="14"/>
      <c r="AA765" s="14"/>
      <c r="AB765" s="14"/>
      <c r="AC765" s="14"/>
      <c r="AD765" s="14"/>
      <c r="AE765" s="14"/>
      <c r="AF765" s="14"/>
      <c r="AG765" s="14"/>
      <c r="AH765" s="14"/>
      <c r="AI765" s="14"/>
      <c r="AJ765" s="14"/>
      <c r="AK765" s="14"/>
      <c r="AL765" s="14"/>
      <c r="AM765" s="14"/>
      <c r="AN765" s="14"/>
    </row>
    <row r="766" ht="15.75" customHeight="1">
      <c r="A766" s="14"/>
      <c r="B766" s="14"/>
      <c r="C766" s="14"/>
      <c r="D766" s="14"/>
      <c r="E766" s="14"/>
      <c r="F766" s="14"/>
      <c r="G766" s="14"/>
      <c r="H766" s="14"/>
      <c r="I766" s="14"/>
      <c r="J766" s="14"/>
      <c r="K766" s="14"/>
      <c r="L766" s="14"/>
      <c r="M766" s="14"/>
      <c r="N766" s="14"/>
      <c r="O766" s="14"/>
      <c r="P766" s="14"/>
      <c r="Q766" s="14"/>
      <c r="R766" s="18"/>
      <c r="S766" s="18"/>
      <c r="T766" s="93"/>
      <c r="U766" s="20"/>
      <c r="V766" s="14"/>
      <c r="W766" s="14"/>
      <c r="X766" s="14"/>
      <c r="Y766" s="14"/>
      <c r="Z766" s="14"/>
      <c r="AA766" s="14"/>
      <c r="AB766" s="14"/>
      <c r="AC766" s="14"/>
      <c r="AD766" s="14"/>
      <c r="AE766" s="14"/>
      <c r="AF766" s="14"/>
      <c r="AG766" s="14"/>
      <c r="AH766" s="14"/>
      <c r="AI766" s="14"/>
      <c r="AJ766" s="14"/>
      <c r="AK766" s="14"/>
      <c r="AL766" s="14"/>
      <c r="AM766" s="14"/>
      <c r="AN766" s="14"/>
    </row>
    <row r="767" ht="15.75" customHeight="1">
      <c r="A767" s="14"/>
      <c r="B767" s="14"/>
      <c r="C767" s="14"/>
      <c r="D767" s="14"/>
      <c r="E767" s="14"/>
      <c r="F767" s="14"/>
      <c r="G767" s="14"/>
      <c r="H767" s="14"/>
      <c r="I767" s="14"/>
      <c r="J767" s="14"/>
      <c r="K767" s="14"/>
      <c r="L767" s="14"/>
      <c r="M767" s="14"/>
      <c r="N767" s="14"/>
      <c r="O767" s="14"/>
      <c r="P767" s="14"/>
      <c r="Q767" s="14"/>
      <c r="R767" s="18"/>
      <c r="S767" s="18"/>
      <c r="T767" s="93"/>
      <c r="U767" s="20"/>
      <c r="V767" s="14"/>
      <c r="W767" s="14"/>
      <c r="X767" s="14"/>
      <c r="Y767" s="14"/>
      <c r="Z767" s="14"/>
      <c r="AA767" s="14"/>
      <c r="AB767" s="14"/>
      <c r="AC767" s="14"/>
      <c r="AD767" s="14"/>
      <c r="AE767" s="14"/>
      <c r="AF767" s="14"/>
      <c r="AG767" s="14"/>
      <c r="AH767" s="14"/>
      <c r="AI767" s="14"/>
      <c r="AJ767" s="14"/>
      <c r="AK767" s="14"/>
      <c r="AL767" s="14"/>
      <c r="AM767" s="14"/>
      <c r="AN767" s="14"/>
    </row>
    <row r="768" ht="15.75" customHeight="1">
      <c r="A768" s="14"/>
      <c r="B768" s="14"/>
      <c r="C768" s="14"/>
      <c r="D768" s="14"/>
      <c r="E768" s="14"/>
      <c r="F768" s="14"/>
      <c r="G768" s="14"/>
      <c r="H768" s="14"/>
      <c r="I768" s="14"/>
      <c r="J768" s="14"/>
      <c r="K768" s="14"/>
      <c r="L768" s="14"/>
      <c r="M768" s="14"/>
      <c r="N768" s="14"/>
      <c r="O768" s="14"/>
      <c r="P768" s="14"/>
      <c r="Q768" s="14"/>
      <c r="R768" s="18"/>
      <c r="S768" s="18"/>
      <c r="T768" s="93"/>
      <c r="U768" s="20"/>
      <c r="V768" s="14"/>
      <c r="W768" s="14"/>
      <c r="X768" s="14"/>
      <c r="Y768" s="14"/>
      <c r="Z768" s="14"/>
      <c r="AA768" s="14"/>
      <c r="AB768" s="14"/>
      <c r="AC768" s="14"/>
      <c r="AD768" s="14"/>
      <c r="AE768" s="14"/>
      <c r="AF768" s="14"/>
      <c r="AG768" s="14"/>
      <c r="AH768" s="14"/>
      <c r="AI768" s="14"/>
      <c r="AJ768" s="14"/>
      <c r="AK768" s="14"/>
      <c r="AL768" s="14"/>
      <c r="AM768" s="14"/>
      <c r="AN768" s="14"/>
    </row>
    <row r="769" ht="15.75" customHeight="1">
      <c r="A769" s="14"/>
      <c r="B769" s="14"/>
      <c r="C769" s="14"/>
      <c r="D769" s="14"/>
      <c r="E769" s="14"/>
      <c r="F769" s="14"/>
      <c r="G769" s="14"/>
      <c r="H769" s="14"/>
      <c r="I769" s="14"/>
      <c r="J769" s="14"/>
      <c r="K769" s="14"/>
      <c r="L769" s="14"/>
      <c r="M769" s="14"/>
      <c r="N769" s="14"/>
      <c r="O769" s="14"/>
      <c r="P769" s="14"/>
      <c r="Q769" s="14"/>
      <c r="R769" s="18"/>
      <c r="S769" s="18"/>
      <c r="T769" s="93"/>
      <c r="U769" s="20"/>
      <c r="V769" s="14"/>
      <c r="W769" s="14"/>
      <c r="X769" s="14"/>
      <c r="Y769" s="14"/>
      <c r="Z769" s="14"/>
      <c r="AA769" s="14"/>
      <c r="AB769" s="14"/>
      <c r="AC769" s="14"/>
      <c r="AD769" s="14"/>
      <c r="AE769" s="14"/>
      <c r="AF769" s="14"/>
      <c r="AG769" s="14"/>
      <c r="AH769" s="14"/>
      <c r="AI769" s="14"/>
      <c r="AJ769" s="14"/>
      <c r="AK769" s="14"/>
      <c r="AL769" s="14"/>
      <c r="AM769" s="14"/>
      <c r="AN769" s="14"/>
    </row>
    <row r="770" ht="15.75" customHeight="1">
      <c r="A770" s="14"/>
      <c r="B770" s="14"/>
      <c r="C770" s="14"/>
      <c r="D770" s="14"/>
      <c r="E770" s="14"/>
      <c r="F770" s="14"/>
      <c r="G770" s="14"/>
      <c r="H770" s="14"/>
      <c r="I770" s="14"/>
      <c r="J770" s="14"/>
      <c r="K770" s="14"/>
      <c r="L770" s="14"/>
      <c r="M770" s="14"/>
      <c r="N770" s="14"/>
      <c r="O770" s="14"/>
      <c r="P770" s="14"/>
      <c r="Q770" s="14"/>
      <c r="R770" s="18"/>
      <c r="S770" s="18"/>
      <c r="T770" s="93"/>
      <c r="U770" s="20"/>
      <c r="V770" s="14"/>
      <c r="W770" s="14"/>
      <c r="X770" s="14"/>
      <c r="Y770" s="14"/>
      <c r="Z770" s="14"/>
      <c r="AA770" s="14"/>
      <c r="AB770" s="14"/>
      <c r="AC770" s="14"/>
      <c r="AD770" s="14"/>
      <c r="AE770" s="14"/>
      <c r="AF770" s="14"/>
      <c r="AG770" s="14"/>
      <c r="AH770" s="14"/>
      <c r="AI770" s="14"/>
      <c r="AJ770" s="14"/>
      <c r="AK770" s="14"/>
      <c r="AL770" s="14"/>
      <c r="AM770" s="14"/>
      <c r="AN770" s="14"/>
    </row>
    <row r="771" ht="15.75" customHeight="1">
      <c r="A771" s="14"/>
      <c r="B771" s="14"/>
      <c r="C771" s="14"/>
      <c r="D771" s="14"/>
      <c r="E771" s="14"/>
      <c r="F771" s="14"/>
      <c r="G771" s="14"/>
      <c r="H771" s="14"/>
      <c r="I771" s="14"/>
      <c r="J771" s="14"/>
      <c r="K771" s="14"/>
      <c r="L771" s="14"/>
      <c r="M771" s="14"/>
      <c r="N771" s="14"/>
      <c r="O771" s="14"/>
      <c r="P771" s="14"/>
      <c r="Q771" s="14"/>
      <c r="R771" s="18"/>
      <c r="S771" s="18"/>
      <c r="T771" s="93"/>
      <c r="U771" s="20"/>
      <c r="V771" s="14"/>
      <c r="W771" s="14"/>
      <c r="X771" s="14"/>
      <c r="Y771" s="14"/>
      <c r="Z771" s="14"/>
      <c r="AA771" s="14"/>
      <c r="AB771" s="14"/>
      <c r="AC771" s="14"/>
      <c r="AD771" s="14"/>
      <c r="AE771" s="14"/>
      <c r="AF771" s="14"/>
      <c r="AG771" s="14"/>
      <c r="AH771" s="14"/>
      <c r="AI771" s="14"/>
      <c r="AJ771" s="14"/>
      <c r="AK771" s="14"/>
      <c r="AL771" s="14"/>
      <c r="AM771" s="14"/>
      <c r="AN771" s="14"/>
    </row>
    <row r="772" ht="15.75" customHeight="1">
      <c r="A772" s="14"/>
      <c r="B772" s="14"/>
      <c r="C772" s="14"/>
      <c r="D772" s="14"/>
      <c r="E772" s="14"/>
      <c r="F772" s="14"/>
      <c r="G772" s="14"/>
      <c r="H772" s="14"/>
      <c r="I772" s="14"/>
      <c r="J772" s="14"/>
      <c r="K772" s="14"/>
      <c r="L772" s="14"/>
      <c r="M772" s="14"/>
      <c r="N772" s="14"/>
      <c r="O772" s="14"/>
      <c r="P772" s="14"/>
      <c r="Q772" s="14"/>
      <c r="R772" s="18"/>
      <c r="S772" s="18"/>
      <c r="T772" s="93"/>
      <c r="U772" s="20"/>
      <c r="V772" s="14"/>
      <c r="W772" s="14"/>
      <c r="X772" s="14"/>
      <c r="Y772" s="14"/>
      <c r="Z772" s="14"/>
      <c r="AA772" s="14"/>
      <c r="AB772" s="14"/>
      <c r="AC772" s="14"/>
      <c r="AD772" s="14"/>
      <c r="AE772" s="14"/>
      <c r="AF772" s="14"/>
      <c r="AG772" s="14"/>
      <c r="AH772" s="14"/>
      <c r="AI772" s="14"/>
      <c r="AJ772" s="14"/>
      <c r="AK772" s="14"/>
      <c r="AL772" s="14"/>
      <c r="AM772" s="14"/>
      <c r="AN772" s="14"/>
    </row>
    <row r="773" ht="15.75" customHeight="1">
      <c r="A773" s="14"/>
      <c r="B773" s="14"/>
      <c r="C773" s="14"/>
      <c r="D773" s="14"/>
      <c r="E773" s="14"/>
      <c r="F773" s="14"/>
      <c r="G773" s="14"/>
      <c r="H773" s="14"/>
      <c r="I773" s="14"/>
      <c r="J773" s="14"/>
      <c r="K773" s="14"/>
      <c r="L773" s="14"/>
      <c r="M773" s="14"/>
      <c r="N773" s="14"/>
      <c r="O773" s="14"/>
      <c r="P773" s="14"/>
      <c r="Q773" s="14"/>
      <c r="R773" s="18"/>
      <c r="S773" s="18"/>
      <c r="T773" s="93"/>
      <c r="U773" s="20"/>
      <c r="V773" s="14"/>
      <c r="W773" s="14"/>
      <c r="X773" s="14"/>
      <c r="Y773" s="14"/>
      <c r="Z773" s="14"/>
      <c r="AA773" s="14"/>
      <c r="AB773" s="14"/>
      <c r="AC773" s="14"/>
      <c r="AD773" s="14"/>
      <c r="AE773" s="14"/>
      <c r="AF773" s="14"/>
      <c r="AG773" s="14"/>
      <c r="AH773" s="14"/>
      <c r="AI773" s="14"/>
      <c r="AJ773" s="14"/>
      <c r="AK773" s="14"/>
      <c r="AL773" s="14"/>
      <c r="AM773" s="14"/>
      <c r="AN773" s="14"/>
    </row>
    <row r="774" ht="15.75" customHeight="1">
      <c r="A774" s="14"/>
      <c r="B774" s="14"/>
      <c r="C774" s="14"/>
      <c r="D774" s="14"/>
      <c r="E774" s="14"/>
      <c r="F774" s="14"/>
      <c r="G774" s="14"/>
      <c r="H774" s="14"/>
      <c r="I774" s="14"/>
      <c r="J774" s="14"/>
      <c r="K774" s="14"/>
      <c r="L774" s="14"/>
      <c r="M774" s="14"/>
      <c r="N774" s="14"/>
      <c r="O774" s="14"/>
      <c r="P774" s="14"/>
      <c r="Q774" s="14"/>
      <c r="R774" s="18"/>
      <c r="S774" s="18"/>
      <c r="T774" s="93"/>
      <c r="U774" s="20"/>
      <c r="V774" s="14"/>
      <c r="W774" s="14"/>
      <c r="X774" s="14"/>
      <c r="Y774" s="14"/>
      <c r="Z774" s="14"/>
      <c r="AA774" s="14"/>
      <c r="AB774" s="14"/>
      <c r="AC774" s="14"/>
      <c r="AD774" s="14"/>
      <c r="AE774" s="14"/>
      <c r="AF774" s="14"/>
      <c r="AG774" s="14"/>
      <c r="AH774" s="14"/>
      <c r="AI774" s="14"/>
      <c r="AJ774" s="14"/>
      <c r="AK774" s="14"/>
      <c r="AL774" s="14"/>
      <c r="AM774" s="14"/>
      <c r="AN774" s="14"/>
    </row>
    <row r="775" ht="15.75" customHeight="1">
      <c r="A775" s="14"/>
      <c r="B775" s="14"/>
      <c r="C775" s="14"/>
      <c r="D775" s="14"/>
      <c r="E775" s="14"/>
      <c r="F775" s="14"/>
      <c r="G775" s="14"/>
      <c r="H775" s="14"/>
      <c r="I775" s="14"/>
      <c r="J775" s="14"/>
      <c r="K775" s="14"/>
      <c r="L775" s="14"/>
      <c r="M775" s="14"/>
      <c r="N775" s="14"/>
      <c r="O775" s="14"/>
      <c r="P775" s="14"/>
      <c r="Q775" s="14"/>
      <c r="R775" s="18"/>
      <c r="S775" s="18"/>
      <c r="T775" s="93"/>
      <c r="U775" s="20"/>
      <c r="V775" s="14"/>
      <c r="W775" s="14"/>
      <c r="X775" s="14"/>
      <c r="Y775" s="14"/>
      <c r="Z775" s="14"/>
      <c r="AA775" s="14"/>
      <c r="AB775" s="14"/>
      <c r="AC775" s="14"/>
      <c r="AD775" s="14"/>
      <c r="AE775" s="14"/>
      <c r="AF775" s="14"/>
      <c r="AG775" s="14"/>
      <c r="AH775" s="14"/>
      <c r="AI775" s="14"/>
      <c r="AJ775" s="14"/>
      <c r="AK775" s="14"/>
      <c r="AL775" s="14"/>
      <c r="AM775" s="14"/>
      <c r="AN775" s="14"/>
    </row>
    <row r="776" ht="15.75" customHeight="1">
      <c r="A776" s="14"/>
      <c r="B776" s="14"/>
      <c r="C776" s="14"/>
      <c r="D776" s="14"/>
      <c r="E776" s="14"/>
      <c r="F776" s="14"/>
      <c r="G776" s="14"/>
      <c r="H776" s="14"/>
      <c r="I776" s="14"/>
      <c r="J776" s="14"/>
      <c r="K776" s="14"/>
      <c r="L776" s="14"/>
      <c r="M776" s="14"/>
      <c r="N776" s="14"/>
      <c r="O776" s="14"/>
      <c r="P776" s="14"/>
      <c r="Q776" s="14"/>
      <c r="R776" s="18"/>
      <c r="S776" s="18"/>
      <c r="T776" s="93"/>
      <c r="U776" s="20"/>
      <c r="V776" s="14"/>
      <c r="W776" s="14"/>
      <c r="X776" s="14"/>
      <c r="Y776" s="14"/>
      <c r="Z776" s="14"/>
      <c r="AA776" s="14"/>
      <c r="AB776" s="14"/>
      <c r="AC776" s="14"/>
      <c r="AD776" s="14"/>
      <c r="AE776" s="14"/>
      <c r="AF776" s="14"/>
      <c r="AG776" s="14"/>
      <c r="AH776" s="14"/>
      <c r="AI776" s="14"/>
      <c r="AJ776" s="14"/>
      <c r="AK776" s="14"/>
      <c r="AL776" s="14"/>
      <c r="AM776" s="14"/>
      <c r="AN776" s="14"/>
    </row>
    <row r="777" ht="15.75" customHeight="1">
      <c r="A777" s="14"/>
      <c r="B777" s="14"/>
      <c r="C777" s="14"/>
      <c r="D777" s="14"/>
      <c r="E777" s="14"/>
      <c r="F777" s="14"/>
      <c r="G777" s="14"/>
      <c r="H777" s="14"/>
      <c r="I777" s="14"/>
      <c r="J777" s="14"/>
      <c r="K777" s="14"/>
      <c r="L777" s="14"/>
      <c r="M777" s="14"/>
      <c r="N777" s="14"/>
      <c r="O777" s="14"/>
      <c r="P777" s="14"/>
      <c r="Q777" s="14"/>
      <c r="R777" s="18"/>
      <c r="S777" s="18"/>
      <c r="T777" s="93"/>
      <c r="U777" s="20"/>
      <c r="V777" s="14"/>
      <c r="W777" s="14"/>
      <c r="X777" s="14"/>
      <c r="Y777" s="14"/>
      <c r="Z777" s="14"/>
      <c r="AA777" s="14"/>
      <c r="AB777" s="14"/>
      <c r="AC777" s="14"/>
      <c r="AD777" s="14"/>
      <c r="AE777" s="14"/>
      <c r="AF777" s="14"/>
      <c r="AG777" s="14"/>
      <c r="AH777" s="14"/>
      <c r="AI777" s="14"/>
      <c r="AJ777" s="14"/>
      <c r="AK777" s="14"/>
      <c r="AL777" s="14"/>
      <c r="AM777" s="14"/>
      <c r="AN777" s="14"/>
    </row>
    <row r="778" ht="15.75" customHeight="1">
      <c r="A778" s="14"/>
      <c r="B778" s="14"/>
      <c r="C778" s="14"/>
      <c r="D778" s="14"/>
      <c r="E778" s="14"/>
      <c r="F778" s="14"/>
      <c r="G778" s="14"/>
      <c r="H778" s="14"/>
      <c r="I778" s="14"/>
      <c r="J778" s="14"/>
      <c r="K778" s="14"/>
      <c r="L778" s="14"/>
      <c r="M778" s="14"/>
      <c r="N778" s="14"/>
      <c r="O778" s="14"/>
      <c r="P778" s="14"/>
      <c r="Q778" s="14"/>
      <c r="R778" s="18"/>
      <c r="S778" s="18"/>
      <c r="T778" s="93"/>
      <c r="U778" s="20"/>
      <c r="V778" s="14"/>
      <c r="W778" s="14"/>
      <c r="X778" s="14"/>
      <c r="Y778" s="14"/>
      <c r="Z778" s="14"/>
      <c r="AA778" s="14"/>
      <c r="AB778" s="14"/>
      <c r="AC778" s="14"/>
      <c r="AD778" s="14"/>
      <c r="AE778" s="14"/>
      <c r="AF778" s="14"/>
      <c r="AG778" s="14"/>
      <c r="AH778" s="14"/>
      <c r="AI778" s="14"/>
      <c r="AJ778" s="14"/>
      <c r="AK778" s="14"/>
      <c r="AL778" s="14"/>
      <c r="AM778" s="14"/>
      <c r="AN778" s="14"/>
    </row>
    <row r="779" ht="15.75" customHeight="1">
      <c r="A779" s="14"/>
      <c r="B779" s="14"/>
      <c r="C779" s="14"/>
      <c r="D779" s="14"/>
      <c r="E779" s="14"/>
      <c r="F779" s="14"/>
      <c r="G779" s="14"/>
      <c r="H779" s="14"/>
      <c r="I779" s="14"/>
      <c r="J779" s="14"/>
      <c r="K779" s="14"/>
      <c r="L779" s="14"/>
      <c r="M779" s="14"/>
      <c r="N779" s="14"/>
      <c r="O779" s="14"/>
      <c r="P779" s="14"/>
      <c r="Q779" s="14"/>
      <c r="R779" s="18"/>
      <c r="S779" s="18"/>
      <c r="T779" s="93"/>
      <c r="U779" s="20"/>
      <c r="V779" s="14"/>
      <c r="W779" s="14"/>
      <c r="X779" s="14"/>
      <c r="Y779" s="14"/>
      <c r="Z779" s="14"/>
      <c r="AA779" s="14"/>
      <c r="AB779" s="14"/>
      <c r="AC779" s="14"/>
      <c r="AD779" s="14"/>
      <c r="AE779" s="14"/>
      <c r="AF779" s="14"/>
      <c r="AG779" s="14"/>
      <c r="AH779" s="14"/>
      <c r="AI779" s="14"/>
      <c r="AJ779" s="14"/>
      <c r="AK779" s="14"/>
      <c r="AL779" s="14"/>
      <c r="AM779" s="14"/>
      <c r="AN779" s="14"/>
    </row>
    <row r="780" ht="15.75" customHeight="1">
      <c r="A780" s="14"/>
      <c r="B780" s="14"/>
      <c r="C780" s="14"/>
      <c r="D780" s="14"/>
      <c r="E780" s="14"/>
      <c r="F780" s="14"/>
      <c r="G780" s="14"/>
      <c r="H780" s="14"/>
      <c r="I780" s="14"/>
      <c r="J780" s="14"/>
      <c r="K780" s="14"/>
      <c r="L780" s="14"/>
      <c r="M780" s="14"/>
      <c r="N780" s="14"/>
      <c r="O780" s="14"/>
      <c r="P780" s="14"/>
      <c r="Q780" s="14"/>
      <c r="R780" s="18"/>
      <c r="S780" s="18"/>
      <c r="T780" s="93"/>
      <c r="U780" s="20"/>
      <c r="V780" s="14"/>
      <c r="W780" s="14"/>
      <c r="X780" s="14"/>
      <c r="Y780" s="14"/>
      <c r="Z780" s="14"/>
      <c r="AA780" s="14"/>
      <c r="AB780" s="14"/>
      <c r="AC780" s="14"/>
      <c r="AD780" s="14"/>
      <c r="AE780" s="14"/>
      <c r="AF780" s="14"/>
      <c r="AG780" s="14"/>
      <c r="AH780" s="14"/>
      <c r="AI780" s="14"/>
      <c r="AJ780" s="14"/>
      <c r="AK780" s="14"/>
      <c r="AL780" s="14"/>
      <c r="AM780" s="14"/>
      <c r="AN780" s="14"/>
    </row>
    <row r="781" ht="15.75" customHeight="1">
      <c r="A781" s="14"/>
      <c r="B781" s="14"/>
      <c r="C781" s="14"/>
      <c r="D781" s="14"/>
      <c r="E781" s="14"/>
      <c r="F781" s="14"/>
      <c r="G781" s="14"/>
      <c r="H781" s="14"/>
      <c r="I781" s="14"/>
      <c r="J781" s="14"/>
      <c r="K781" s="14"/>
      <c r="L781" s="14"/>
      <c r="M781" s="14"/>
      <c r="N781" s="14"/>
      <c r="O781" s="14"/>
      <c r="P781" s="14"/>
      <c r="Q781" s="14"/>
      <c r="R781" s="18"/>
      <c r="S781" s="18"/>
      <c r="T781" s="93"/>
      <c r="U781" s="20"/>
      <c r="V781" s="14"/>
      <c r="W781" s="14"/>
      <c r="X781" s="14"/>
      <c r="Y781" s="14"/>
      <c r="Z781" s="14"/>
      <c r="AA781" s="14"/>
      <c r="AB781" s="14"/>
      <c r="AC781" s="14"/>
      <c r="AD781" s="14"/>
      <c r="AE781" s="14"/>
      <c r="AF781" s="14"/>
      <c r="AG781" s="14"/>
      <c r="AH781" s="14"/>
      <c r="AI781" s="14"/>
      <c r="AJ781" s="14"/>
      <c r="AK781" s="14"/>
      <c r="AL781" s="14"/>
      <c r="AM781" s="14"/>
      <c r="AN781" s="14"/>
    </row>
    <row r="782" ht="15.75" customHeight="1">
      <c r="A782" s="14"/>
      <c r="B782" s="14"/>
      <c r="C782" s="14"/>
      <c r="D782" s="14"/>
      <c r="E782" s="14"/>
      <c r="F782" s="14"/>
      <c r="G782" s="14"/>
      <c r="H782" s="14"/>
      <c r="I782" s="14"/>
      <c r="J782" s="14"/>
      <c r="K782" s="14"/>
      <c r="L782" s="14"/>
      <c r="M782" s="14"/>
      <c r="N782" s="14"/>
      <c r="O782" s="14"/>
      <c r="P782" s="14"/>
      <c r="Q782" s="14"/>
      <c r="R782" s="18"/>
      <c r="S782" s="18"/>
      <c r="T782" s="93"/>
      <c r="U782" s="20"/>
      <c r="V782" s="14"/>
      <c r="W782" s="14"/>
      <c r="X782" s="14"/>
      <c r="Y782" s="14"/>
      <c r="Z782" s="14"/>
      <c r="AA782" s="14"/>
      <c r="AB782" s="14"/>
      <c r="AC782" s="14"/>
      <c r="AD782" s="14"/>
      <c r="AE782" s="14"/>
      <c r="AF782" s="14"/>
      <c r="AG782" s="14"/>
      <c r="AH782" s="14"/>
      <c r="AI782" s="14"/>
      <c r="AJ782" s="14"/>
      <c r="AK782" s="14"/>
      <c r="AL782" s="14"/>
      <c r="AM782" s="14"/>
      <c r="AN782" s="14"/>
    </row>
    <row r="783" ht="15.75" customHeight="1">
      <c r="A783" s="14"/>
      <c r="B783" s="14"/>
      <c r="C783" s="14"/>
      <c r="D783" s="14"/>
      <c r="E783" s="14"/>
      <c r="F783" s="14"/>
      <c r="G783" s="14"/>
      <c r="H783" s="14"/>
      <c r="I783" s="14"/>
      <c r="J783" s="14"/>
      <c r="K783" s="14"/>
      <c r="L783" s="14"/>
      <c r="M783" s="14"/>
      <c r="N783" s="14"/>
      <c r="O783" s="14"/>
      <c r="P783" s="14"/>
      <c r="Q783" s="14"/>
      <c r="R783" s="18"/>
      <c r="S783" s="18"/>
      <c r="T783" s="93"/>
      <c r="U783" s="20"/>
      <c r="V783" s="14"/>
      <c r="W783" s="14"/>
      <c r="X783" s="14"/>
      <c r="Y783" s="14"/>
      <c r="Z783" s="14"/>
      <c r="AA783" s="14"/>
      <c r="AB783" s="14"/>
      <c r="AC783" s="14"/>
      <c r="AD783" s="14"/>
      <c r="AE783" s="14"/>
      <c r="AF783" s="14"/>
      <c r="AG783" s="14"/>
      <c r="AH783" s="14"/>
      <c r="AI783" s="14"/>
      <c r="AJ783" s="14"/>
      <c r="AK783" s="14"/>
      <c r="AL783" s="14"/>
      <c r="AM783" s="14"/>
      <c r="AN783" s="14"/>
    </row>
    <row r="784" ht="15.75" customHeight="1">
      <c r="A784" s="14"/>
      <c r="B784" s="14"/>
      <c r="C784" s="14"/>
      <c r="D784" s="14"/>
      <c r="E784" s="14"/>
      <c r="F784" s="14"/>
      <c r="G784" s="14"/>
      <c r="H784" s="14"/>
      <c r="I784" s="14"/>
      <c r="J784" s="14"/>
      <c r="K784" s="14"/>
      <c r="L784" s="14"/>
      <c r="M784" s="14"/>
      <c r="N784" s="14"/>
      <c r="O784" s="14"/>
      <c r="P784" s="14"/>
      <c r="Q784" s="14"/>
      <c r="R784" s="18"/>
      <c r="S784" s="18"/>
      <c r="T784" s="93"/>
      <c r="U784" s="20"/>
      <c r="V784" s="14"/>
      <c r="W784" s="14"/>
      <c r="X784" s="14"/>
      <c r="Y784" s="14"/>
      <c r="Z784" s="14"/>
      <c r="AA784" s="14"/>
      <c r="AB784" s="14"/>
      <c r="AC784" s="14"/>
      <c r="AD784" s="14"/>
      <c r="AE784" s="14"/>
      <c r="AF784" s="14"/>
      <c r="AG784" s="14"/>
      <c r="AH784" s="14"/>
      <c r="AI784" s="14"/>
      <c r="AJ784" s="14"/>
      <c r="AK784" s="14"/>
      <c r="AL784" s="14"/>
      <c r="AM784" s="14"/>
      <c r="AN784" s="14"/>
    </row>
    <row r="785" ht="15.75" customHeight="1">
      <c r="A785" s="14"/>
      <c r="B785" s="14"/>
      <c r="C785" s="14"/>
      <c r="D785" s="14"/>
      <c r="E785" s="14"/>
      <c r="F785" s="14"/>
      <c r="G785" s="14"/>
      <c r="H785" s="14"/>
      <c r="I785" s="14"/>
      <c r="J785" s="14"/>
      <c r="K785" s="14"/>
      <c r="L785" s="14"/>
      <c r="M785" s="14"/>
      <c r="N785" s="14"/>
      <c r="O785" s="14"/>
      <c r="P785" s="14"/>
      <c r="Q785" s="14"/>
      <c r="R785" s="18"/>
      <c r="S785" s="18"/>
      <c r="T785" s="93"/>
      <c r="U785" s="20"/>
      <c r="V785" s="14"/>
      <c r="W785" s="14"/>
      <c r="X785" s="14"/>
      <c r="Y785" s="14"/>
      <c r="Z785" s="14"/>
      <c r="AA785" s="14"/>
      <c r="AB785" s="14"/>
      <c r="AC785" s="14"/>
      <c r="AD785" s="14"/>
      <c r="AE785" s="14"/>
      <c r="AF785" s="14"/>
      <c r="AG785" s="14"/>
      <c r="AH785" s="14"/>
      <c r="AI785" s="14"/>
      <c r="AJ785" s="14"/>
      <c r="AK785" s="14"/>
      <c r="AL785" s="14"/>
      <c r="AM785" s="14"/>
      <c r="AN785" s="14"/>
    </row>
    <row r="786" ht="15.75" customHeight="1">
      <c r="A786" s="14"/>
      <c r="B786" s="14"/>
      <c r="C786" s="14"/>
      <c r="D786" s="14"/>
      <c r="E786" s="14"/>
      <c r="F786" s="14"/>
      <c r="G786" s="14"/>
      <c r="H786" s="14"/>
      <c r="I786" s="14"/>
      <c r="J786" s="14"/>
      <c r="K786" s="14"/>
      <c r="L786" s="14"/>
      <c r="M786" s="14"/>
      <c r="N786" s="14"/>
      <c r="O786" s="14"/>
      <c r="P786" s="14"/>
      <c r="Q786" s="14"/>
      <c r="R786" s="18"/>
      <c r="S786" s="18"/>
      <c r="T786" s="93"/>
      <c r="U786" s="20"/>
      <c r="V786" s="14"/>
      <c r="W786" s="14"/>
      <c r="X786" s="14"/>
      <c r="Y786" s="14"/>
      <c r="Z786" s="14"/>
      <c r="AA786" s="14"/>
      <c r="AB786" s="14"/>
      <c r="AC786" s="14"/>
      <c r="AD786" s="14"/>
      <c r="AE786" s="14"/>
      <c r="AF786" s="14"/>
      <c r="AG786" s="14"/>
      <c r="AH786" s="14"/>
      <c r="AI786" s="14"/>
      <c r="AJ786" s="14"/>
      <c r="AK786" s="14"/>
      <c r="AL786" s="14"/>
      <c r="AM786" s="14"/>
      <c r="AN786" s="14"/>
    </row>
    <row r="787" ht="15.75" customHeight="1">
      <c r="A787" s="14"/>
      <c r="B787" s="14"/>
      <c r="C787" s="14"/>
      <c r="D787" s="14"/>
      <c r="E787" s="14"/>
      <c r="F787" s="14"/>
      <c r="G787" s="14"/>
      <c r="H787" s="14"/>
      <c r="I787" s="14"/>
      <c r="J787" s="14"/>
      <c r="K787" s="14"/>
      <c r="L787" s="14"/>
      <c r="M787" s="14"/>
      <c r="N787" s="14"/>
      <c r="O787" s="14"/>
      <c r="P787" s="14"/>
      <c r="Q787" s="14"/>
      <c r="R787" s="18"/>
      <c r="S787" s="18"/>
      <c r="T787" s="93"/>
      <c r="U787" s="20"/>
      <c r="V787" s="14"/>
      <c r="W787" s="14"/>
      <c r="X787" s="14"/>
      <c r="Y787" s="14"/>
      <c r="Z787" s="14"/>
      <c r="AA787" s="14"/>
      <c r="AB787" s="14"/>
      <c r="AC787" s="14"/>
      <c r="AD787" s="14"/>
      <c r="AE787" s="14"/>
      <c r="AF787" s="14"/>
      <c r="AG787" s="14"/>
      <c r="AH787" s="14"/>
      <c r="AI787" s="14"/>
      <c r="AJ787" s="14"/>
      <c r="AK787" s="14"/>
      <c r="AL787" s="14"/>
      <c r="AM787" s="14"/>
      <c r="AN787" s="14"/>
    </row>
    <row r="788" ht="15.75" customHeight="1">
      <c r="A788" s="14"/>
      <c r="B788" s="14"/>
      <c r="C788" s="14"/>
      <c r="D788" s="14"/>
      <c r="E788" s="14"/>
      <c r="F788" s="14"/>
      <c r="G788" s="14"/>
      <c r="H788" s="14"/>
      <c r="I788" s="14"/>
      <c r="J788" s="14"/>
      <c r="K788" s="14"/>
      <c r="L788" s="14"/>
      <c r="M788" s="14"/>
      <c r="N788" s="14"/>
      <c r="O788" s="14"/>
      <c r="P788" s="14"/>
      <c r="Q788" s="14"/>
      <c r="R788" s="18"/>
      <c r="S788" s="18"/>
      <c r="T788" s="93"/>
      <c r="U788" s="20"/>
      <c r="V788" s="14"/>
      <c r="W788" s="14"/>
      <c r="X788" s="14"/>
      <c r="Y788" s="14"/>
      <c r="Z788" s="14"/>
      <c r="AA788" s="14"/>
      <c r="AB788" s="14"/>
      <c r="AC788" s="14"/>
      <c r="AD788" s="14"/>
      <c r="AE788" s="14"/>
      <c r="AF788" s="14"/>
      <c r="AG788" s="14"/>
      <c r="AH788" s="14"/>
      <c r="AI788" s="14"/>
      <c r="AJ788" s="14"/>
      <c r="AK788" s="14"/>
      <c r="AL788" s="14"/>
      <c r="AM788" s="14"/>
      <c r="AN788" s="14"/>
    </row>
    <row r="789" ht="15.75" customHeight="1">
      <c r="A789" s="14"/>
      <c r="B789" s="14"/>
      <c r="C789" s="14"/>
      <c r="D789" s="14"/>
      <c r="E789" s="14"/>
      <c r="F789" s="14"/>
      <c r="G789" s="14"/>
      <c r="H789" s="14"/>
      <c r="I789" s="14"/>
      <c r="J789" s="14"/>
      <c r="K789" s="14"/>
      <c r="L789" s="14"/>
      <c r="M789" s="14"/>
      <c r="N789" s="14"/>
      <c r="O789" s="14"/>
      <c r="P789" s="14"/>
      <c r="Q789" s="14"/>
      <c r="R789" s="18"/>
      <c r="S789" s="18"/>
      <c r="T789" s="93"/>
      <c r="U789" s="20"/>
      <c r="V789" s="14"/>
      <c r="W789" s="14"/>
      <c r="X789" s="14"/>
      <c r="Y789" s="14"/>
      <c r="Z789" s="14"/>
      <c r="AA789" s="14"/>
      <c r="AB789" s="14"/>
      <c r="AC789" s="14"/>
      <c r="AD789" s="14"/>
      <c r="AE789" s="14"/>
      <c r="AF789" s="14"/>
      <c r="AG789" s="14"/>
      <c r="AH789" s="14"/>
      <c r="AI789" s="14"/>
      <c r="AJ789" s="14"/>
      <c r="AK789" s="14"/>
      <c r="AL789" s="14"/>
      <c r="AM789" s="14"/>
      <c r="AN789" s="14"/>
    </row>
    <row r="790" ht="15.75" customHeight="1">
      <c r="A790" s="14"/>
      <c r="B790" s="14"/>
      <c r="C790" s="14"/>
      <c r="D790" s="14"/>
      <c r="E790" s="14"/>
      <c r="F790" s="14"/>
      <c r="G790" s="14"/>
      <c r="H790" s="14"/>
      <c r="I790" s="14"/>
      <c r="J790" s="14"/>
      <c r="K790" s="14"/>
      <c r="L790" s="14"/>
      <c r="M790" s="14"/>
      <c r="N790" s="14"/>
      <c r="O790" s="14"/>
      <c r="P790" s="14"/>
      <c r="Q790" s="14"/>
      <c r="R790" s="18"/>
      <c r="S790" s="18"/>
      <c r="T790" s="93"/>
      <c r="U790" s="20"/>
      <c r="V790" s="14"/>
      <c r="W790" s="14"/>
      <c r="X790" s="14"/>
      <c r="Y790" s="14"/>
      <c r="Z790" s="14"/>
      <c r="AA790" s="14"/>
      <c r="AB790" s="14"/>
      <c r="AC790" s="14"/>
      <c r="AD790" s="14"/>
      <c r="AE790" s="14"/>
      <c r="AF790" s="14"/>
      <c r="AG790" s="14"/>
      <c r="AH790" s="14"/>
      <c r="AI790" s="14"/>
      <c r="AJ790" s="14"/>
      <c r="AK790" s="14"/>
      <c r="AL790" s="14"/>
      <c r="AM790" s="14"/>
      <c r="AN790" s="14"/>
    </row>
    <row r="791" ht="15.75" customHeight="1">
      <c r="A791" s="14"/>
      <c r="B791" s="14"/>
      <c r="C791" s="14"/>
      <c r="D791" s="14"/>
      <c r="E791" s="14"/>
      <c r="F791" s="14"/>
      <c r="G791" s="14"/>
      <c r="H791" s="14"/>
      <c r="I791" s="14"/>
      <c r="J791" s="14"/>
      <c r="K791" s="14"/>
      <c r="L791" s="14"/>
      <c r="M791" s="14"/>
      <c r="N791" s="14"/>
      <c r="O791" s="14"/>
      <c r="P791" s="14"/>
      <c r="Q791" s="14"/>
      <c r="R791" s="18"/>
      <c r="S791" s="18"/>
      <c r="T791" s="93"/>
      <c r="U791" s="20"/>
      <c r="V791" s="14"/>
      <c r="W791" s="14"/>
      <c r="X791" s="14"/>
      <c r="Y791" s="14"/>
      <c r="Z791" s="14"/>
      <c r="AA791" s="14"/>
      <c r="AB791" s="14"/>
      <c r="AC791" s="14"/>
      <c r="AD791" s="14"/>
      <c r="AE791" s="14"/>
      <c r="AF791" s="14"/>
      <c r="AG791" s="14"/>
      <c r="AH791" s="14"/>
      <c r="AI791" s="14"/>
      <c r="AJ791" s="14"/>
      <c r="AK791" s="14"/>
      <c r="AL791" s="14"/>
      <c r="AM791" s="14"/>
      <c r="AN791" s="14"/>
    </row>
    <row r="792" ht="15.75" customHeight="1">
      <c r="A792" s="14"/>
      <c r="B792" s="14"/>
      <c r="C792" s="14"/>
      <c r="D792" s="14"/>
      <c r="E792" s="14"/>
      <c r="F792" s="14"/>
      <c r="G792" s="14"/>
      <c r="H792" s="14"/>
      <c r="I792" s="14"/>
      <c r="J792" s="14"/>
      <c r="K792" s="14"/>
      <c r="L792" s="14"/>
      <c r="M792" s="14"/>
      <c r="N792" s="14"/>
      <c r="O792" s="14"/>
      <c r="P792" s="14"/>
      <c r="Q792" s="14"/>
      <c r="R792" s="18"/>
      <c r="S792" s="18"/>
      <c r="T792" s="93"/>
      <c r="U792" s="20"/>
      <c r="V792" s="14"/>
      <c r="W792" s="14"/>
      <c r="X792" s="14"/>
      <c r="Y792" s="14"/>
      <c r="Z792" s="14"/>
      <c r="AA792" s="14"/>
      <c r="AB792" s="14"/>
      <c r="AC792" s="14"/>
      <c r="AD792" s="14"/>
      <c r="AE792" s="14"/>
      <c r="AF792" s="14"/>
      <c r="AG792" s="14"/>
      <c r="AH792" s="14"/>
      <c r="AI792" s="14"/>
      <c r="AJ792" s="14"/>
      <c r="AK792" s="14"/>
      <c r="AL792" s="14"/>
      <c r="AM792" s="14"/>
      <c r="AN792" s="14"/>
    </row>
    <row r="793" ht="15.75" customHeight="1">
      <c r="A793" s="14"/>
      <c r="B793" s="14"/>
      <c r="C793" s="14"/>
      <c r="D793" s="14"/>
      <c r="E793" s="14"/>
      <c r="F793" s="14"/>
      <c r="G793" s="14"/>
      <c r="H793" s="14"/>
      <c r="I793" s="14"/>
      <c r="J793" s="14"/>
      <c r="K793" s="14"/>
      <c r="L793" s="14"/>
      <c r="M793" s="14"/>
      <c r="N793" s="14"/>
      <c r="O793" s="14"/>
      <c r="P793" s="14"/>
      <c r="Q793" s="14"/>
      <c r="R793" s="18"/>
      <c r="S793" s="18"/>
      <c r="T793" s="93"/>
      <c r="U793" s="20"/>
      <c r="V793" s="14"/>
      <c r="W793" s="14"/>
      <c r="X793" s="14"/>
      <c r="Y793" s="14"/>
      <c r="Z793" s="14"/>
      <c r="AA793" s="14"/>
      <c r="AB793" s="14"/>
      <c r="AC793" s="14"/>
      <c r="AD793" s="14"/>
      <c r="AE793" s="14"/>
      <c r="AF793" s="14"/>
      <c r="AG793" s="14"/>
      <c r="AH793" s="14"/>
      <c r="AI793" s="14"/>
      <c r="AJ793" s="14"/>
      <c r="AK793" s="14"/>
      <c r="AL793" s="14"/>
      <c r="AM793" s="14"/>
      <c r="AN793" s="14"/>
    </row>
    <row r="794" ht="15.75" customHeight="1">
      <c r="A794" s="14"/>
      <c r="B794" s="14"/>
      <c r="C794" s="14"/>
      <c r="D794" s="14"/>
      <c r="E794" s="14"/>
      <c r="F794" s="14"/>
      <c r="G794" s="14"/>
      <c r="H794" s="14"/>
      <c r="I794" s="14"/>
      <c r="J794" s="14"/>
      <c r="K794" s="14"/>
      <c r="L794" s="14"/>
      <c r="M794" s="14"/>
      <c r="N794" s="14"/>
      <c r="O794" s="14"/>
      <c r="P794" s="14"/>
      <c r="Q794" s="14"/>
      <c r="R794" s="18"/>
      <c r="S794" s="18"/>
      <c r="T794" s="93"/>
      <c r="U794" s="20"/>
      <c r="V794" s="14"/>
      <c r="W794" s="14"/>
      <c r="X794" s="14"/>
      <c r="Y794" s="14"/>
      <c r="Z794" s="14"/>
      <c r="AA794" s="14"/>
      <c r="AB794" s="14"/>
      <c r="AC794" s="14"/>
      <c r="AD794" s="14"/>
      <c r="AE794" s="14"/>
      <c r="AF794" s="14"/>
      <c r="AG794" s="14"/>
      <c r="AH794" s="14"/>
      <c r="AI794" s="14"/>
      <c r="AJ794" s="14"/>
      <c r="AK794" s="14"/>
      <c r="AL794" s="14"/>
      <c r="AM794" s="14"/>
      <c r="AN794" s="14"/>
    </row>
    <row r="795" ht="15.75" customHeight="1">
      <c r="A795" s="14"/>
      <c r="B795" s="14"/>
      <c r="C795" s="14"/>
      <c r="D795" s="14"/>
      <c r="E795" s="14"/>
      <c r="F795" s="14"/>
      <c r="G795" s="14"/>
      <c r="H795" s="14"/>
      <c r="I795" s="14"/>
      <c r="J795" s="14"/>
      <c r="K795" s="14"/>
      <c r="L795" s="14"/>
      <c r="M795" s="14"/>
      <c r="N795" s="14"/>
      <c r="O795" s="14"/>
      <c r="P795" s="14"/>
      <c r="Q795" s="14"/>
      <c r="R795" s="18"/>
      <c r="S795" s="18"/>
      <c r="T795" s="93"/>
      <c r="U795" s="20"/>
      <c r="V795" s="14"/>
      <c r="W795" s="14"/>
      <c r="X795" s="14"/>
      <c r="Y795" s="14"/>
      <c r="Z795" s="14"/>
      <c r="AA795" s="14"/>
      <c r="AB795" s="14"/>
      <c r="AC795" s="14"/>
      <c r="AD795" s="14"/>
      <c r="AE795" s="14"/>
      <c r="AF795" s="14"/>
      <c r="AG795" s="14"/>
      <c r="AH795" s="14"/>
      <c r="AI795" s="14"/>
      <c r="AJ795" s="14"/>
      <c r="AK795" s="14"/>
      <c r="AL795" s="14"/>
      <c r="AM795" s="14"/>
      <c r="AN795" s="14"/>
    </row>
    <row r="796" ht="15.75" customHeight="1">
      <c r="A796" s="14"/>
      <c r="B796" s="14"/>
      <c r="C796" s="14"/>
      <c r="D796" s="14"/>
      <c r="E796" s="14"/>
      <c r="F796" s="14"/>
      <c r="G796" s="14"/>
      <c r="H796" s="14"/>
      <c r="I796" s="14"/>
      <c r="J796" s="14"/>
      <c r="K796" s="14"/>
      <c r="L796" s="14"/>
      <c r="M796" s="14"/>
      <c r="N796" s="14"/>
      <c r="O796" s="14"/>
      <c r="P796" s="14"/>
      <c r="Q796" s="14"/>
      <c r="R796" s="18"/>
      <c r="S796" s="18"/>
      <c r="T796" s="93"/>
      <c r="U796" s="20"/>
      <c r="V796" s="14"/>
      <c r="W796" s="14"/>
      <c r="X796" s="14"/>
      <c r="Y796" s="14"/>
      <c r="Z796" s="14"/>
      <c r="AA796" s="14"/>
      <c r="AB796" s="14"/>
      <c r="AC796" s="14"/>
      <c r="AD796" s="14"/>
      <c r="AE796" s="14"/>
      <c r="AF796" s="14"/>
      <c r="AG796" s="14"/>
      <c r="AH796" s="14"/>
      <c r="AI796" s="14"/>
      <c r="AJ796" s="14"/>
      <c r="AK796" s="14"/>
      <c r="AL796" s="14"/>
      <c r="AM796" s="14"/>
      <c r="AN796" s="14"/>
    </row>
    <row r="797" ht="15.75" customHeight="1">
      <c r="A797" s="14"/>
      <c r="B797" s="14"/>
      <c r="C797" s="14"/>
      <c r="D797" s="14"/>
      <c r="E797" s="14"/>
      <c r="F797" s="14"/>
      <c r="G797" s="14"/>
      <c r="H797" s="14"/>
      <c r="I797" s="14"/>
      <c r="J797" s="14"/>
      <c r="K797" s="14"/>
      <c r="L797" s="14"/>
      <c r="M797" s="14"/>
      <c r="N797" s="14"/>
      <c r="O797" s="14"/>
      <c r="P797" s="14"/>
      <c r="Q797" s="14"/>
      <c r="R797" s="18"/>
      <c r="S797" s="18"/>
      <c r="T797" s="93"/>
      <c r="U797" s="20"/>
      <c r="V797" s="14"/>
      <c r="W797" s="14"/>
      <c r="X797" s="14"/>
      <c r="Y797" s="14"/>
      <c r="Z797" s="14"/>
      <c r="AA797" s="14"/>
      <c r="AB797" s="14"/>
      <c r="AC797" s="14"/>
      <c r="AD797" s="14"/>
      <c r="AE797" s="14"/>
      <c r="AF797" s="14"/>
      <c r="AG797" s="14"/>
      <c r="AH797" s="14"/>
      <c r="AI797" s="14"/>
      <c r="AJ797" s="14"/>
      <c r="AK797" s="14"/>
      <c r="AL797" s="14"/>
      <c r="AM797" s="14"/>
      <c r="AN797" s="14"/>
    </row>
    <row r="798" ht="15.75" customHeight="1">
      <c r="A798" s="14"/>
      <c r="B798" s="14"/>
      <c r="C798" s="14"/>
      <c r="D798" s="14"/>
      <c r="E798" s="14"/>
      <c r="F798" s="14"/>
      <c r="G798" s="14"/>
      <c r="H798" s="14"/>
      <c r="I798" s="14"/>
      <c r="J798" s="14"/>
      <c r="K798" s="14"/>
      <c r="L798" s="14"/>
      <c r="M798" s="14"/>
      <c r="N798" s="14"/>
      <c r="O798" s="14"/>
      <c r="P798" s="14"/>
      <c r="Q798" s="14"/>
      <c r="R798" s="18"/>
      <c r="S798" s="18"/>
      <c r="T798" s="93"/>
      <c r="U798" s="20"/>
      <c r="V798" s="14"/>
      <c r="W798" s="14"/>
      <c r="X798" s="14"/>
      <c r="Y798" s="14"/>
      <c r="Z798" s="14"/>
      <c r="AA798" s="14"/>
      <c r="AB798" s="14"/>
      <c r="AC798" s="14"/>
      <c r="AD798" s="14"/>
      <c r="AE798" s="14"/>
      <c r="AF798" s="14"/>
      <c r="AG798" s="14"/>
      <c r="AH798" s="14"/>
      <c r="AI798" s="14"/>
      <c r="AJ798" s="14"/>
      <c r="AK798" s="14"/>
      <c r="AL798" s="14"/>
      <c r="AM798" s="14"/>
      <c r="AN798" s="14"/>
    </row>
    <row r="799" ht="15.75" customHeight="1">
      <c r="A799" s="14"/>
      <c r="B799" s="14"/>
      <c r="C799" s="14"/>
      <c r="D799" s="14"/>
      <c r="E799" s="14"/>
      <c r="F799" s="14"/>
      <c r="G799" s="14"/>
      <c r="H799" s="14"/>
      <c r="I799" s="14"/>
      <c r="J799" s="14"/>
      <c r="K799" s="14"/>
      <c r="L799" s="14"/>
      <c r="M799" s="14"/>
      <c r="N799" s="14"/>
      <c r="O799" s="14"/>
      <c r="P799" s="14"/>
      <c r="Q799" s="14"/>
      <c r="R799" s="18"/>
      <c r="S799" s="18"/>
      <c r="T799" s="93"/>
      <c r="U799" s="20"/>
      <c r="V799" s="14"/>
      <c r="W799" s="14"/>
      <c r="X799" s="14"/>
      <c r="Y799" s="14"/>
      <c r="Z799" s="14"/>
      <c r="AA799" s="14"/>
      <c r="AB799" s="14"/>
      <c r="AC799" s="14"/>
      <c r="AD799" s="14"/>
      <c r="AE799" s="14"/>
      <c r="AF799" s="14"/>
      <c r="AG799" s="14"/>
      <c r="AH799" s="14"/>
      <c r="AI799" s="14"/>
      <c r="AJ799" s="14"/>
      <c r="AK799" s="14"/>
      <c r="AL799" s="14"/>
      <c r="AM799" s="14"/>
      <c r="AN799" s="14"/>
    </row>
    <row r="800" ht="15.75" customHeight="1">
      <c r="A800" s="14"/>
      <c r="B800" s="14"/>
      <c r="C800" s="14"/>
      <c r="D800" s="14"/>
      <c r="E800" s="14"/>
      <c r="F800" s="14"/>
      <c r="G800" s="14"/>
      <c r="H800" s="14"/>
      <c r="I800" s="14"/>
      <c r="J800" s="14"/>
      <c r="K800" s="14"/>
      <c r="L800" s="14"/>
      <c r="M800" s="14"/>
      <c r="N800" s="14"/>
      <c r="O800" s="14"/>
      <c r="P800" s="14"/>
      <c r="Q800" s="14"/>
      <c r="R800" s="18"/>
      <c r="S800" s="18"/>
      <c r="T800" s="93"/>
      <c r="U800" s="20"/>
      <c r="V800" s="14"/>
      <c r="W800" s="14"/>
      <c r="X800" s="14"/>
      <c r="Y800" s="14"/>
      <c r="Z800" s="14"/>
      <c r="AA800" s="14"/>
      <c r="AB800" s="14"/>
      <c r="AC800" s="14"/>
      <c r="AD800" s="14"/>
      <c r="AE800" s="14"/>
      <c r="AF800" s="14"/>
      <c r="AG800" s="14"/>
      <c r="AH800" s="14"/>
      <c r="AI800" s="14"/>
      <c r="AJ800" s="14"/>
      <c r="AK800" s="14"/>
      <c r="AL800" s="14"/>
      <c r="AM800" s="14"/>
      <c r="AN800" s="14"/>
    </row>
    <row r="801" ht="15.75" customHeight="1">
      <c r="A801" s="14"/>
      <c r="B801" s="14"/>
      <c r="C801" s="14"/>
      <c r="D801" s="14"/>
      <c r="E801" s="14"/>
      <c r="F801" s="14"/>
      <c r="G801" s="14"/>
      <c r="H801" s="14"/>
      <c r="I801" s="14"/>
      <c r="J801" s="14"/>
      <c r="K801" s="14"/>
      <c r="L801" s="14"/>
      <c r="M801" s="14"/>
      <c r="N801" s="14"/>
      <c r="O801" s="14"/>
      <c r="P801" s="14"/>
      <c r="Q801" s="14"/>
      <c r="R801" s="18"/>
      <c r="S801" s="18"/>
      <c r="T801" s="93"/>
      <c r="U801" s="20"/>
      <c r="V801" s="14"/>
      <c r="W801" s="14"/>
      <c r="X801" s="14"/>
      <c r="Y801" s="14"/>
      <c r="Z801" s="14"/>
      <c r="AA801" s="14"/>
      <c r="AB801" s="14"/>
      <c r="AC801" s="14"/>
      <c r="AD801" s="14"/>
      <c r="AE801" s="14"/>
      <c r="AF801" s="14"/>
      <c r="AG801" s="14"/>
      <c r="AH801" s="14"/>
      <c r="AI801" s="14"/>
      <c r="AJ801" s="14"/>
      <c r="AK801" s="14"/>
      <c r="AL801" s="14"/>
      <c r="AM801" s="14"/>
      <c r="AN801" s="14"/>
    </row>
    <row r="802" ht="15.75" customHeight="1">
      <c r="A802" s="14"/>
      <c r="B802" s="14"/>
      <c r="C802" s="14"/>
      <c r="D802" s="14"/>
      <c r="E802" s="14"/>
      <c r="F802" s="14"/>
      <c r="G802" s="14"/>
      <c r="H802" s="14"/>
      <c r="I802" s="14"/>
      <c r="J802" s="14"/>
      <c r="K802" s="14"/>
      <c r="L802" s="14"/>
      <c r="M802" s="14"/>
      <c r="N802" s="14"/>
      <c r="O802" s="14"/>
      <c r="P802" s="14"/>
      <c r="Q802" s="14"/>
      <c r="R802" s="18"/>
      <c r="S802" s="18"/>
      <c r="T802" s="93"/>
      <c r="U802" s="20"/>
      <c r="V802" s="14"/>
      <c r="W802" s="14"/>
      <c r="X802" s="14"/>
      <c r="Y802" s="14"/>
      <c r="Z802" s="14"/>
      <c r="AA802" s="14"/>
      <c r="AB802" s="14"/>
      <c r="AC802" s="14"/>
      <c r="AD802" s="14"/>
      <c r="AE802" s="14"/>
      <c r="AF802" s="14"/>
      <c r="AG802" s="14"/>
      <c r="AH802" s="14"/>
      <c r="AI802" s="14"/>
      <c r="AJ802" s="14"/>
      <c r="AK802" s="14"/>
      <c r="AL802" s="14"/>
      <c r="AM802" s="14"/>
      <c r="AN802" s="14"/>
    </row>
    <row r="803" ht="15.75" customHeight="1">
      <c r="A803" s="14"/>
      <c r="B803" s="14"/>
      <c r="C803" s="14"/>
      <c r="D803" s="14"/>
      <c r="E803" s="14"/>
      <c r="F803" s="14"/>
      <c r="G803" s="14"/>
      <c r="H803" s="14"/>
      <c r="I803" s="14"/>
      <c r="J803" s="14"/>
      <c r="K803" s="14"/>
      <c r="L803" s="14"/>
      <c r="M803" s="14"/>
      <c r="N803" s="14"/>
      <c r="O803" s="14"/>
      <c r="P803" s="14"/>
      <c r="Q803" s="14"/>
      <c r="R803" s="18"/>
      <c r="S803" s="18"/>
      <c r="T803" s="93"/>
      <c r="U803" s="20"/>
      <c r="V803" s="14"/>
      <c r="W803" s="14"/>
      <c r="X803" s="14"/>
      <c r="Y803" s="14"/>
      <c r="Z803" s="14"/>
      <c r="AA803" s="14"/>
      <c r="AB803" s="14"/>
      <c r="AC803" s="14"/>
      <c r="AD803" s="14"/>
      <c r="AE803" s="14"/>
      <c r="AF803" s="14"/>
      <c r="AG803" s="14"/>
      <c r="AH803" s="14"/>
      <c r="AI803" s="14"/>
      <c r="AJ803" s="14"/>
      <c r="AK803" s="14"/>
      <c r="AL803" s="14"/>
      <c r="AM803" s="14"/>
      <c r="AN803" s="14"/>
    </row>
    <row r="804" ht="15.75" customHeight="1">
      <c r="A804" s="14"/>
      <c r="B804" s="14"/>
      <c r="C804" s="14"/>
      <c r="D804" s="14"/>
      <c r="E804" s="14"/>
      <c r="F804" s="14"/>
      <c r="G804" s="14"/>
      <c r="H804" s="14"/>
      <c r="I804" s="14"/>
      <c r="J804" s="14"/>
      <c r="K804" s="14"/>
      <c r="L804" s="14"/>
      <c r="M804" s="14"/>
      <c r="N804" s="14"/>
      <c r="O804" s="14"/>
      <c r="P804" s="14"/>
      <c r="Q804" s="14"/>
      <c r="R804" s="18"/>
      <c r="S804" s="18"/>
      <c r="T804" s="93"/>
      <c r="U804" s="20"/>
      <c r="V804" s="14"/>
      <c r="W804" s="14"/>
      <c r="X804" s="14"/>
      <c r="Y804" s="14"/>
      <c r="Z804" s="14"/>
      <c r="AA804" s="14"/>
      <c r="AB804" s="14"/>
      <c r="AC804" s="14"/>
      <c r="AD804" s="14"/>
      <c r="AE804" s="14"/>
      <c r="AF804" s="14"/>
      <c r="AG804" s="14"/>
      <c r="AH804" s="14"/>
      <c r="AI804" s="14"/>
      <c r="AJ804" s="14"/>
      <c r="AK804" s="14"/>
      <c r="AL804" s="14"/>
      <c r="AM804" s="14"/>
      <c r="AN804" s="14"/>
    </row>
    <row r="805" ht="15.75" customHeight="1">
      <c r="A805" s="14"/>
      <c r="B805" s="14"/>
      <c r="C805" s="14"/>
      <c r="D805" s="14"/>
      <c r="E805" s="14"/>
      <c r="F805" s="14"/>
      <c r="G805" s="14"/>
      <c r="H805" s="14"/>
      <c r="I805" s="14"/>
      <c r="J805" s="14"/>
      <c r="K805" s="14"/>
      <c r="L805" s="14"/>
      <c r="M805" s="14"/>
      <c r="N805" s="14"/>
      <c r="O805" s="14"/>
      <c r="P805" s="14"/>
      <c r="Q805" s="14"/>
      <c r="R805" s="18"/>
      <c r="S805" s="18"/>
      <c r="T805" s="93"/>
      <c r="U805" s="20"/>
      <c r="V805" s="14"/>
      <c r="W805" s="14"/>
      <c r="X805" s="14"/>
      <c r="Y805" s="14"/>
      <c r="Z805" s="14"/>
      <c r="AA805" s="14"/>
      <c r="AB805" s="14"/>
      <c r="AC805" s="14"/>
      <c r="AD805" s="14"/>
      <c r="AE805" s="14"/>
      <c r="AF805" s="14"/>
      <c r="AG805" s="14"/>
      <c r="AH805" s="14"/>
      <c r="AI805" s="14"/>
      <c r="AJ805" s="14"/>
      <c r="AK805" s="14"/>
      <c r="AL805" s="14"/>
      <c r="AM805" s="14"/>
      <c r="AN805" s="14"/>
    </row>
    <row r="806" ht="15.75" customHeight="1">
      <c r="A806" s="14"/>
      <c r="B806" s="14"/>
      <c r="C806" s="14"/>
      <c r="D806" s="14"/>
      <c r="E806" s="14"/>
      <c r="F806" s="14"/>
      <c r="G806" s="14"/>
      <c r="H806" s="14"/>
      <c r="I806" s="14"/>
      <c r="J806" s="14"/>
      <c r="K806" s="14"/>
      <c r="L806" s="14"/>
      <c r="M806" s="14"/>
      <c r="N806" s="14"/>
      <c r="O806" s="14"/>
      <c r="P806" s="14"/>
      <c r="Q806" s="14"/>
      <c r="R806" s="18"/>
      <c r="S806" s="18"/>
      <c r="T806" s="93"/>
      <c r="U806" s="20"/>
      <c r="V806" s="14"/>
      <c r="W806" s="14"/>
      <c r="X806" s="14"/>
      <c r="Y806" s="14"/>
      <c r="Z806" s="14"/>
      <c r="AA806" s="14"/>
      <c r="AB806" s="14"/>
      <c r="AC806" s="14"/>
      <c r="AD806" s="14"/>
      <c r="AE806" s="14"/>
      <c r="AF806" s="14"/>
      <c r="AG806" s="14"/>
      <c r="AH806" s="14"/>
      <c r="AI806" s="14"/>
      <c r="AJ806" s="14"/>
      <c r="AK806" s="14"/>
      <c r="AL806" s="14"/>
      <c r="AM806" s="14"/>
      <c r="AN806" s="14"/>
    </row>
    <row r="807" ht="15.75" customHeight="1">
      <c r="A807" s="14"/>
      <c r="B807" s="14"/>
      <c r="C807" s="14"/>
      <c r="D807" s="14"/>
      <c r="E807" s="14"/>
      <c r="F807" s="14"/>
      <c r="G807" s="14"/>
      <c r="H807" s="14"/>
      <c r="I807" s="14"/>
      <c r="J807" s="14"/>
      <c r="K807" s="14"/>
      <c r="L807" s="14"/>
      <c r="M807" s="14"/>
      <c r="N807" s="14"/>
      <c r="O807" s="14"/>
      <c r="P807" s="14"/>
      <c r="Q807" s="14"/>
      <c r="R807" s="18"/>
      <c r="S807" s="18"/>
      <c r="T807" s="93"/>
      <c r="U807" s="20"/>
      <c r="V807" s="14"/>
      <c r="W807" s="14"/>
      <c r="X807" s="14"/>
      <c r="Y807" s="14"/>
      <c r="Z807" s="14"/>
      <c r="AA807" s="14"/>
      <c r="AB807" s="14"/>
      <c r="AC807" s="14"/>
      <c r="AD807" s="14"/>
      <c r="AE807" s="14"/>
      <c r="AF807" s="14"/>
      <c r="AG807" s="14"/>
      <c r="AH807" s="14"/>
      <c r="AI807" s="14"/>
      <c r="AJ807" s="14"/>
      <c r="AK807" s="14"/>
      <c r="AL807" s="14"/>
      <c r="AM807" s="14"/>
      <c r="AN807" s="14"/>
    </row>
    <row r="808" ht="15.75" customHeight="1">
      <c r="A808" s="14"/>
      <c r="B808" s="14"/>
      <c r="C808" s="14"/>
      <c r="D808" s="14"/>
      <c r="E808" s="14"/>
      <c r="F808" s="14"/>
      <c r="G808" s="14"/>
      <c r="H808" s="14"/>
      <c r="I808" s="14"/>
      <c r="J808" s="14"/>
      <c r="K808" s="14"/>
      <c r="L808" s="14"/>
      <c r="M808" s="14"/>
      <c r="N808" s="14"/>
      <c r="O808" s="14"/>
      <c r="P808" s="14"/>
      <c r="Q808" s="14"/>
      <c r="R808" s="18"/>
      <c r="S808" s="18"/>
      <c r="T808" s="93"/>
      <c r="U808" s="20"/>
      <c r="V808" s="14"/>
      <c r="W808" s="14"/>
      <c r="X808" s="14"/>
      <c r="Y808" s="14"/>
      <c r="Z808" s="14"/>
      <c r="AA808" s="14"/>
      <c r="AB808" s="14"/>
      <c r="AC808" s="14"/>
      <c r="AD808" s="14"/>
      <c r="AE808" s="14"/>
      <c r="AF808" s="14"/>
      <c r="AG808" s="14"/>
      <c r="AH808" s="14"/>
      <c r="AI808" s="14"/>
      <c r="AJ808" s="14"/>
      <c r="AK808" s="14"/>
      <c r="AL808" s="14"/>
      <c r="AM808" s="14"/>
      <c r="AN808" s="14"/>
    </row>
    <row r="809" ht="15.75" customHeight="1">
      <c r="A809" s="14"/>
      <c r="B809" s="14"/>
      <c r="C809" s="14"/>
      <c r="D809" s="14"/>
      <c r="E809" s="14"/>
      <c r="F809" s="14"/>
      <c r="G809" s="14"/>
      <c r="H809" s="14"/>
      <c r="I809" s="14"/>
      <c r="J809" s="14"/>
      <c r="K809" s="14"/>
      <c r="L809" s="14"/>
      <c r="M809" s="14"/>
      <c r="N809" s="14"/>
      <c r="O809" s="14"/>
      <c r="P809" s="14"/>
      <c r="Q809" s="14"/>
      <c r="R809" s="18"/>
      <c r="S809" s="18"/>
      <c r="T809" s="93"/>
      <c r="U809" s="20"/>
      <c r="V809" s="14"/>
      <c r="W809" s="14"/>
      <c r="X809" s="14"/>
      <c r="Y809" s="14"/>
      <c r="Z809" s="14"/>
      <c r="AA809" s="14"/>
      <c r="AB809" s="14"/>
      <c r="AC809" s="14"/>
      <c r="AD809" s="14"/>
      <c r="AE809" s="14"/>
      <c r="AF809" s="14"/>
      <c r="AG809" s="14"/>
      <c r="AH809" s="14"/>
      <c r="AI809" s="14"/>
      <c r="AJ809" s="14"/>
      <c r="AK809" s="14"/>
      <c r="AL809" s="14"/>
      <c r="AM809" s="14"/>
      <c r="AN809" s="14"/>
    </row>
    <row r="810" ht="15.75" customHeight="1">
      <c r="A810" s="14"/>
      <c r="B810" s="14"/>
      <c r="C810" s="14"/>
      <c r="D810" s="14"/>
      <c r="E810" s="14"/>
      <c r="F810" s="14"/>
      <c r="G810" s="14"/>
      <c r="H810" s="14"/>
      <c r="I810" s="14"/>
      <c r="J810" s="14"/>
      <c r="K810" s="14"/>
      <c r="L810" s="14"/>
      <c r="M810" s="14"/>
      <c r="N810" s="14"/>
      <c r="O810" s="14"/>
      <c r="P810" s="14"/>
      <c r="Q810" s="14"/>
      <c r="R810" s="18"/>
      <c r="S810" s="18"/>
      <c r="T810" s="93"/>
      <c r="U810" s="20"/>
      <c r="V810" s="14"/>
      <c r="W810" s="14"/>
      <c r="X810" s="14"/>
      <c r="Y810" s="14"/>
      <c r="Z810" s="14"/>
      <c r="AA810" s="14"/>
      <c r="AB810" s="14"/>
      <c r="AC810" s="14"/>
      <c r="AD810" s="14"/>
      <c r="AE810" s="14"/>
      <c r="AF810" s="14"/>
      <c r="AG810" s="14"/>
      <c r="AH810" s="14"/>
      <c r="AI810" s="14"/>
      <c r="AJ810" s="14"/>
      <c r="AK810" s="14"/>
      <c r="AL810" s="14"/>
      <c r="AM810" s="14"/>
      <c r="AN810" s="14"/>
    </row>
    <row r="811" ht="15.75" customHeight="1">
      <c r="A811" s="14"/>
      <c r="B811" s="14"/>
      <c r="C811" s="14"/>
      <c r="D811" s="14"/>
      <c r="E811" s="14"/>
      <c r="F811" s="14"/>
      <c r="G811" s="14"/>
      <c r="H811" s="14"/>
      <c r="I811" s="14"/>
      <c r="J811" s="14"/>
      <c r="K811" s="14"/>
      <c r="L811" s="14"/>
      <c r="M811" s="14"/>
      <c r="N811" s="14"/>
      <c r="O811" s="14"/>
      <c r="P811" s="14"/>
      <c r="Q811" s="14"/>
      <c r="R811" s="18"/>
      <c r="S811" s="18"/>
      <c r="T811" s="93"/>
      <c r="U811" s="20"/>
      <c r="V811" s="14"/>
      <c r="W811" s="14"/>
      <c r="X811" s="14"/>
      <c r="Y811" s="14"/>
      <c r="Z811" s="14"/>
      <c r="AA811" s="14"/>
      <c r="AB811" s="14"/>
      <c r="AC811" s="14"/>
      <c r="AD811" s="14"/>
      <c r="AE811" s="14"/>
      <c r="AF811" s="14"/>
      <c r="AG811" s="14"/>
      <c r="AH811" s="14"/>
      <c r="AI811" s="14"/>
      <c r="AJ811" s="14"/>
      <c r="AK811" s="14"/>
      <c r="AL811" s="14"/>
      <c r="AM811" s="14"/>
      <c r="AN811" s="14"/>
    </row>
    <row r="812" ht="15.75" customHeight="1">
      <c r="A812" s="14"/>
      <c r="B812" s="14"/>
      <c r="C812" s="14"/>
      <c r="D812" s="14"/>
      <c r="E812" s="14"/>
      <c r="F812" s="14"/>
      <c r="G812" s="14"/>
      <c r="H812" s="14"/>
      <c r="I812" s="14"/>
      <c r="J812" s="14"/>
      <c r="K812" s="14"/>
      <c r="L812" s="14"/>
      <c r="M812" s="14"/>
      <c r="N812" s="14"/>
      <c r="O812" s="14"/>
      <c r="P812" s="14"/>
      <c r="Q812" s="14"/>
      <c r="R812" s="18"/>
      <c r="S812" s="18"/>
      <c r="T812" s="93"/>
      <c r="U812" s="20"/>
      <c r="V812" s="14"/>
      <c r="W812" s="14"/>
      <c r="X812" s="14"/>
      <c r="Y812" s="14"/>
      <c r="Z812" s="14"/>
      <c r="AA812" s="14"/>
      <c r="AB812" s="14"/>
      <c r="AC812" s="14"/>
      <c r="AD812" s="14"/>
      <c r="AE812" s="14"/>
      <c r="AF812" s="14"/>
      <c r="AG812" s="14"/>
      <c r="AH812" s="14"/>
      <c r="AI812" s="14"/>
      <c r="AJ812" s="14"/>
      <c r="AK812" s="14"/>
      <c r="AL812" s="14"/>
      <c r="AM812" s="14"/>
      <c r="AN812" s="14"/>
    </row>
    <row r="813" ht="15.75" customHeight="1">
      <c r="A813" s="14"/>
      <c r="B813" s="14"/>
      <c r="C813" s="14"/>
      <c r="D813" s="14"/>
      <c r="E813" s="14"/>
      <c r="F813" s="14"/>
      <c r="G813" s="14"/>
      <c r="H813" s="14"/>
      <c r="I813" s="14"/>
      <c r="J813" s="14"/>
      <c r="K813" s="14"/>
      <c r="L813" s="14"/>
      <c r="M813" s="14"/>
      <c r="N813" s="14"/>
      <c r="O813" s="14"/>
      <c r="P813" s="14"/>
      <c r="Q813" s="14"/>
      <c r="R813" s="18"/>
      <c r="S813" s="18"/>
      <c r="T813" s="93"/>
      <c r="U813" s="20"/>
      <c r="V813" s="14"/>
      <c r="W813" s="14"/>
      <c r="X813" s="14"/>
      <c r="Y813" s="14"/>
      <c r="Z813" s="14"/>
      <c r="AA813" s="14"/>
      <c r="AB813" s="14"/>
      <c r="AC813" s="14"/>
      <c r="AD813" s="14"/>
      <c r="AE813" s="14"/>
      <c r="AF813" s="14"/>
      <c r="AG813" s="14"/>
      <c r="AH813" s="14"/>
      <c r="AI813" s="14"/>
      <c r="AJ813" s="14"/>
      <c r="AK813" s="14"/>
      <c r="AL813" s="14"/>
      <c r="AM813" s="14"/>
      <c r="AN813" s="14"/>
    </row>
    <row r="814" ht="15.75" customHeight="1">
      <c r="A814" s="14"/>
      <c r="B814" s="14"/>
      <c r="C814" s="14"/>
      <c r="D814" s="14"/>
      <c r="E814" s="14"/>
      <c r="F814" s="14"/>
      <c r="G814" s="14"/>
      <c r="H814" s="14"/>
      <c r="I814" s="14"/>
      <c r="J814" s="14"/>
      <c r="K814" s="14"/>
      <c r="L814" s="14"/>
      <c r="M814" s="14"/>
      <c r="N814" s="14"/>
      <c r="O814" s="14"/>
      <c r="P814" s="14"/>
      <c r="Q814" s="14"/>
      <c r="R814" s="18"/>
      <c r="S814" s="18"/>
      <c r="T814" s="93"/>
      <c r="U814" s="20"/>
      <c r="V814" s="14"/>
      <c r="W814" s="14"/>
      <c r="X814" s="14"/>
      <c r="Y814" s="14"/>
      <c r="Z814" s="14"/>
      <c r="AA814" s="14"/>
      <c r="AB814" s="14"/>
      <c r="AC814" s="14"/>
      <c r="AD814" s="14"/>
      <c r="AE814" s="14"/>
      <c r="AF814" s="14"/>
      <c r="AG814" s="14"/>
      <c r="AH814" s="14"/>
      <c r="AI814" s="14"/>
      <c r="AJ814" s="14"/>
      <c r="AK814" s="14"/>
      <c r="AL814" s="14"/>
      <c r="AM814" s="14"/>
      <c r="AN814" s="14"/>
    </row>
    <row r="815" ht="15.75" customHeight="1">
      <c r="A815" s="14"/>
      <c r="B815" s="14"/>
      <c r="C815" s="14"/>
      <c r="D815" s="14"/>
      <c r="E815" s="14"/>
      <c r="F815" s="14"/>
      <c r="G815" s="14"/>
      <c r="H815" s="14"/>
      <c r="I815" s="14"/>
      <c r="J815" s="14"/>
      <c r="K815" s="14"/>
      <c r="L815" s="14"/>
      <c r="M815" s="14"/>
      <c r="N815" s="14"/>
      <c r="O815" s="14"/>
      <c r="P815" s="14"/>
      <c r="Q815" s="14"/>
      <c r="R815" s="18"/>
      <c r="S815" s="18"/>
      <c r="T815" s="93"/>
      <c r="U815" s="20"/>
      <c r="V815" s="14"/>
      <c r="W815" s="14"/>
      <c r="X815" s="14"/>
      <c r="Y815" s="14"/>
      <c r="Z815" s="14"/>
      <c r="AA815" s="14"/>
      <c r="AB815" s="14"/>
      <c r="AC815" s="14"/>
      <c r="AD815" s="14"/>
      <c r="AE815" s="14"/>
      <c r="AF815" s="14"/>
      <c r="AG815" s="14"/>
      <c r="AH815" s="14"/>
      <c r="AI815" s="14"/>
      <c r="AJ815" s="14"/>
      <c r="AK815" s="14"/>
      <c r="AL815" s="14"/>
      <c r="AM815" s="14"/>
      <c r="AN815" s="14"/>
    </row>
    <row r="816" ht="15.75" customHeight="1">
      <c r="A816" s="14"/>
      <c r="B816" s="14"/>
      <c r="C816" s="14"/>
      <c r="D816" s="14"/>
      <c r="E816" s="14"/>
      <c r="F816" s="14"/>
      <c r="G816" s="14"/>
      <c r="H816" s="14"/>
      <c r="I816" s="14"/>
      <c r="J816" s="14"/>
      <c r="K816" s="14"/>
      <c r="L816" s="14"/>
      <c r="M816" s="14"/>
      <c r="N816" s="14"/>
      <c r="O816" s="14"/>
      <c r="P816" s="14"/>
      <c r="Q816" s="14"/>
      <c r="R816" s="18"/>
      <c r="S816" s="18"/>
      <c r="T816" s="93"/>
      <c r="U816" s="20"/>
      <c r="V816" s="14"/>
      <c r="W816" s="14"/>
      <c r="X816" s="14"/>
      <c r="Y816" s="14"/>
      <c r="Z816" s="14"/>
      <c r="AA816" s="14"/>
      <c r="AB816" s="14"/>
      <c r="AC816" s="14"/>
      <c r="AD816" s="14"/>
      <c r="AE816" s="14"/>
      <c r="AF816" s="14"/>
      <c r="AG816" s="14"/>
      <c r="AH816" s="14"/>
      <c r="AI816" s="14"/>
      <c r="AJ816" s="14"/>
      <c r="AK816" s="14"/>
      <c r="AL816" s="14"/>
      <c r="AM816" s="14"/>
      <c r="AN816" s="14"/>
    </row>
    <row r="817" ht="15.75" customHeight="1">
      <c r="A817" s="14"/>
      <c r="B817" s="14"/>
      <c r="C817" s="14"/>
      <c r="D817" s="14"/>
      <c r="E817" s="14"/>
      <c r="F817" s="14"/>
      <c r="G817" s="14"/>
      <c r="H817" s="14"/>
      <c r="I817" s="14"/>
      <c r="J817" s="14"/>
      <c r="K817" s="14"/>
      <c r="L817" s="14"/>
      <c r="M817" s="14"/>
      <c r="N817" s="14"/>
      <c r="O817" s="14"/>
      <c r="P817" s="14"/>
      <c r="Q817" s="14"/>
      <c r="R817" s="18"/>
      <c r="S817" s="18"/>
      <c r="T817" s="93"/>
      <c r="U817" s="20"/>
      <c r="V817" s="14"/>
      <c r="W817" s="14"/>
      <c r="X817" s="14"/>
      <c r="Y817" s="14"/>
      <c r="Z817" s="14"/>
      <c r="AA817" s="14"/>
      <c r="AB817" s="14"/>
      <c r="AC817" s="14"/>
      <c r="AD817" s="14"/>
      <c r="AE817" s="14"/>
      <c r="AF817" s="14"/>
      <c r="AG817" s="14"/>
      <c r="AH817" s="14"/>
      <c r="AI817" s="14"/>
      <c r="AJ817" s="14"/>
      <c r="AK817" s="14"/>
      <c r="AL817" s="14"/>
      <c r="AM817" s="14"/>
      <c r="AN817" s="14"/>
    </row>
    <row r="818" ht="15.75" customHeight="1">
      <c r="A818" s="14"/>
      <c r="B818" s="14"/>
      <c r="C818" s="14"/>
      <c r="D818" s="14"/>
      <c r="E818" s="14"/>
      <c r="F818" s="14"/>
      <c r="G818" s="14"/>
      <c r="H818" s="14"/>
      <c r="I818" s="14"/>
      <c r="J818" s="14"/>
      <c r="K818" s="14"/>
      <c r="L818" s="14"/>
      <c r="M818" s="14"/>
      <c r="N818" s="14"/>
      <c r="O818" s="14"/>
      <c r="P818" s="14"/>
      <c r="Q818" s="14"/>
      <c r="R818" s="18"/>
      <c r="S818" s="18"/>
      <c r="T818" s="93"/>
      <c r="U818" s="20"/>
      <c r="V818" s="14"/>
      <c r="W818" s="14"/>
      <c r="X818" s="14"/>
      <c r="Y818" s="14"/>
      <c r="Z818" s="14"/>
      <c r="AA818" s="14"/>
      <c r="AB818" s="14"/>
      <c r="AC818" s="14"/>
      <c r="AD818" s="14"/>
      <c r="AE818" s="14"/>
      <c r="AF818" s="14"/>
      <c r="AG818" s="14"/>
      <c r="AH818" s="14"/>
      <c r="AI818" s="14"/>
      <c r="AJ818" s="14"/>
      <c r="AK818" s="14"/>
      <c r="AL818" s="14"/>
      <c r="AM818" s="14"/>
      <c r="AN818" s="14"/>
    </row>
    <row r="819" ht="15.75" customHeight="1">
      <c r="A819" s="14"/>
      <c r="B819" s="14"/>
      <c r="C819" s="14"/>
      <c r="D819" s="14"/>
      <c r="E819" s="14"/>
      <c r="F819" s="14"/>
      <c r="G819" s="14"/>
      <c r="H819" s="14"/>
      <c r="I819" s="14"/>
      <c r="J819" s="14"/>
      <c r="K819" s="14"/>
      <c r="L819" s="14"/>
      <c r="M819" s="14"/>
      <c r="N819" s="14"/>
      <c r="O819" s="14"/>
      <c r="P819" s="14"/>
      <c r="Q819" s="14"/>
      <c r="R819" s="18"/>
      <c r="S819" s="18"/>
      <c r="T819" s="93"/>
      <c r="U819" s="20"/>
      <c r="V819" s="14"/>
      <c r="W819" s="14"/>
      <c r="X819" s="14"/>
      <c r="Y819" s="14"/>
      <c r="Z819" s="14"/>
      <c r="AA819" s="14"/>
      <c r="AB819" s="14"/>
      <c r="AC819" s="14"/>
      <c r="AD819" s="14"/>
      <c r="AE819" s="14"/>
      <c r="AF819" s="14"/>
      <c r="AG819" s="14"/>
      <c r="AH819" s="14"/>
      <c r="AI819" s="14"/>
      <c r="AJ819" s="14"/>
      <c r="AK819" s="14"/>
      <c r="AL819" s="14"/>
      <c r="AM819" s="14"/>
      <c r="AN819" s="14"/>
    </row>
    <row r="820" ht="15.75" customHeight="1">
      <c r="A820" s="14"/>
      <c r="B820" s="14"/>
      <c r="C820" s="14"/>
      <c r="D820" s="14"/>
      <c r="E820" s="14"/>
      <c r="F820" s="14"/>
      <c r="G820" s="14"/>
      <c r="H820" s="14"/>
      <c r="I820" s="14"/>
      <c r="J820" s="14"/>
      <c r="K820" s="14"/>
      <c r="L820" s="14"/>
      <c r="M820" s="14"/>
      <c r="N820" s="14"/>
      <c r="O820" s="14"/>
      <c r="P820" s="14"/>
      <c r="Q820" s="14"/>
      <c r="R820" s="18"/>
      <c r="S820" s="18"/>
      <c r="T820" s="93"/>
      <c r="U820" s="20"/>
      <c r="V820" s="14"/>
      <c r="W820" s="14"/>
      <c r="X820" s="14"/>
      <c r="Y820" s="14"/>
      <c r="Z820" s="14"/>
      <c r="AA820" s="14"/>
      <c r="AB820" s="14"/>
      <c r="AC820" s="14"/>
      <c r="AD820" s="14"/>
      <c r="AE820" s="14"/>
      <c r="AF820" s="14"/>
      <c r="AG820" s="14"/>
      <c r="AH820" s="14"/>
      <c r="AI820" s="14"/>
      <c r="AJ820" s="14"/>
      <c r="AK820" s="14"/>
      <c r="AL820" s="14"/>
      <c r="AM820" s="14"/>
      <c r="AN820" s="14"/>
    </row>
    <row r="821" ht="15.75" customHeight="1">
      <c r="A821" s="14"/>
      <c r="B821" s="14"/>
      <c r="C821" s="14"/>
      <c r="D821" s="14"/>
      <c r="E821" s="14"/>
      <c r="F821" s="14"/>
      <c r="G821" s="14"/>
      <c r="H821" s="14"/>
      <c r="I821" s="14"/>
      <c r="J821" s="14"/>
      <c r="K821" s="14"/>
      <c r="L821" s="14"/>
      <c r="M821" s="14"/>
      <c r="N821" s="14"/>
      <c r="O821" s="14"/>
      <c r="P821" s="14"/>
      <c r="Q821" s="14"/>
      <c r="R821" s="18"/>
      <c r="S821" s="18"/>
      <c r="T821" s="93"/>
      <c r="U821" s="20"/>
      <c r="V821" s="14"/>
      <c r="W821" s="14"/>
      <c r="X821" s="14"/>
      <c r="Y821" s="14"/>
      <c r="Z821" s="14"/>
      <c r="AA821" s="14"/>
      <c r="AB821" s="14"/>
      <c r="AC821" s="14"/>
      <c r="AD821" s="14"/>
      <c r="AE821" s="14"/>
      <c r="AF821" s="14"/>
      <c r="AG821" s="14"/>
      <c r="AH821" s="14"/>
      <c r="AI821" s="14"/>
      <c r="AJ821" s="14"/>
      <c r="AK821" s="14"/>
      <c r="AL821" s="14"/>
      <c r="AM821" s="14"/>
      <c r="AN821" s="14"/>
    </row>
    <row r="822" ht="15.75" customHeight="1">
      <c r="A822" s="14"/>
      <c r="B822" s="14"/>
      <c r="C822" s="14"/>
      <c r="D822" s="14"/>
      <c r="E822" s="14"/>
      <c r="F822" s="14"/>
      <c r="G822" s="14"/>
      <c r="H822" s="14"/>
      <c r="I822" s="14"/>
      <c r="J822" s="14"/>
      <c r="K822" s="14"/>
      <c r="L822" s="14"/>
      <c r="M822" s="14"/>
      <c r="N822" s="14"/>
      <c r="O822" s="14"/>
      <c r="P822" s="14"/>
      <c r="Q822" s="14"/>
      <c r="R822" s="18"/>
      <c r="S822" s="18"/>
      <c r="T822" s="93"/>
      <c r="U822" s="20"/>
      <c r="V822" s="14"/>
      <c r="W822" s="14"/>
      <c r="X822" s="14"/>
      <c r="Y822" s="14"/>
      <c r="Z822" s="14"/>
      <c r="AA822" s="14"/>
      <c r="AB822" s="14"/>
      <c r="AC822" s="14"/>
      <c r="AD822" s="14"/>
      <c r="AE822" s="14"/>
      <c r="AF822" s="14"/>
      <c r="AG822" s="14"/>
      <c r="AH822" s="14"/>
      <c r="AI822" s="14"/>
      <c r="AJ822" s="14"/>
      <c r="AK822" s="14"/>
      <c r="AL822" s="14"/>
      <c r="AM822" s="14"/>
      <c r="AN822" s="14"/>
    </row>
    <row r="823" ht="15.75" customHeight="1">
      <c r="A823" s="14"/>
      <c r="B823" s="14"/>
      <c r="C823" s="14"/>
      <c r="D823" s="14"/>
      <c r="E823" s="14"/>
      <c r="F823" s="14"/>
      <c r="G823" s="14"/>
      <c r="H823" s="14"/>
      <c r="I823" s="14"/>
      <c r="J823" s="14"/>
      <c r="K823" s="14"/>
      <c r="L823" s="14"/>
      <c r="M823" s="14"/>
      <c r="N823" s="14"/>
      <c r="O823" s="14"/>
      <c r="P823" s="14"/>
      <c r="Q823" s="14"/>
      <c r="R823" s="18"/>
      <c r="S823" s="18"/>
      <c r="T823" s="93"/>
      <c r="U823" s="20"/>
      <c r="V823" s="14"/>
      <c r="W823" s="14"/>
      <c r="X823" s="14"/>
      <c r="Y823" s="14"/>
      <c r="Z823" s="14"/>
      <c r="AA823" s="14"/>
      <c r="AB823" s="14"/>
      <c r="AC823" s="14"/>
      <c r="AD823" s="14"/>
      <c r="AE823" s="14"/>
      <c r="AF823" s="14"/>
      <c r="AG823" s="14"/>
      <c r="AH823" s="14"/>
      <c r="AI823" s="14"/>
      <c r="AJ823" s="14"/>
      <c r="AK823" s="14"/>
      <c r="AL823" s="14"/>
      <c r="AM823" s="14"/>
      <c r="AN823" s="14"/>
    </row>
    <row r="824" ht="15.75" customHeight="1">
      <c r="A824" s="14"/>
      <c r="B824" s="14"/>
      <c r="C824" s="14"/>
      <c r="D824" s="14"/>
      <c r="E824" s="14"/>
      <c r="F824" s="14"/>
      <c r="G824" s="14"/>
      <c r="H824" s="14"/>
      <c r="I824" s="14"/>
      <c r="J824" s="14"/>
      <c r="K824" s="14"/>
      <c r="L824" s="14"/>
      <c r="M824" s="14"/>
      <c r="N824" s="14"/>
      <c r="O824" s="14"/>
      <c r="P824" s="14"/>
      <c r="Q824" s="14"/>
      <c r="R824" s="18"/>
      <c r="S824" s="18"/>
      <c r="T824" s="93"/>
      <c r="U824" s="20"/>
      <c r="V824" s="14"/>
      <c r="W824" s="14"/>
      <c r="X824" s="14"/>
      <c r="Y824" s="14"/>
      <c r="Z824" s="14"/>
      <c r="AA824" s="14"/>
      <c r="AB824" s="14"/>
      <c r="AC824" s="14"/>
      <c r="AD824" s="14"/>
      <c r="AE824" s="14"/>
      <c r="AF824" s="14"/>
      <c r="AG824" s="14"/>
      <c r="AH824" s="14"/>
      <c r="AI824" s="14"/>
      <c r="AJ824" s="14"/>
      <c r="AK824" s="14"/>
      <c r="AL824" s="14"/>
      <c r="AM824" s="14"/>
      <c r="AN824" s="14"/>
    </row>
    <row r="825" ht="15.75" customHeight="1">
      <c r="A825" s="14"/>
      <c r="B825" s="14"/>
      <c r="C825" s="14"/>
      <c r="D825" s="14"/>
      <c r="E825" s="14"/>
      <c r="F825" s="14"/>
      <c r="G825" s="14"/>
      <c r="H825" s="14"/>
      <c r="I825" s="14"/>
      <c r="J825" s="14"/>
      <c r="K825" s="14"/>
      <c r="L825" s="14"/>
      <c r="M825" s="14"/>
      <c r="N825" s="14"/>
      <c r="O825" s="14"/>
      <c r="P825" s="14"/>
      <c r="Q825" s="14"/>
      <c r="R825" s="18"/>
      <c r="S825" s="18"/>
      <c r="T825" s="93"/>
      <c r="U825" s="20"/>
      <c r="V825" s="14"/>
      <c r="W825" s="14"/>
      <c r="X825" s="14"/>
      <c r="Y825" s="14"/>
      <c r="Z825" s="14"/>
      <c r="AA825" s="14"/>
      <c r="AB825" s="14"/>
      <c r="AC825" s="14"/>
      <c r="AD825" s="14"/>
      <c r="AE825" s="14"/>
      <c r="AF825" s="14"/>
      <c r="AG825" s="14"/>
      <c r="AH825" s="14"/>
      <c r="AI825" s="14"/>
      <c r="AJ825" s="14"/>
      <c r="AK825" s="14"/>
      <c r="AL825" s="14"/>
      <c r="AM825" s="14"/>
      <c r="AN825" s="14"/>
    </row>
    <row r="826" ht="15.75" customHeight="1">
      <c r="A826" s="14"/>
      <c r="B826" s="14"/>
      <c r="C826" s="14"/>
      <c r="D826" s="14"/>
      <c r="E826" s="14"/>
      <c r="F826" s="14"/>
      <c r="G826" s="14"/>
      <c r="H826" s="14"/>
      <c r="I826" s="14"/>
      <c r="J826" s="14"/>
      <c r="K826" s="14"/>
      <c r="L826" s="14"/>
      <c r="M826" s="14"/>
      <c r="N826" s="14"/>
      <c r="O826" s="14"/>
      <c r="P826" s="14"/>
      <c r="Q826" s="14"/>
      <c r="R826" s="18"/>
      <c r="S826" s="18"/>
      <c r="T826" s="93"/>
      <c r="U826" s="20"/>
      <c r="V826" s="14"/>
      <c r="W826" s="14"/>
      <c r="X826" s="14"/>
      <c r="Y826" s="14"/>
      <c r="Z826" s="14"/>
      <c r="AA826" s="14"/>
      <c r="AB826" s="14"/>
      <c r="AC826" s="14"/>
      <c r="AD826" s="14"/>
      <c r="AE826" s="14"/>
      <c r="AF826" s="14"/>
      <c r="AG826" s="14"/>
      <c r="AH826" s="14"/>
      <c r="AI826" s="14"/>
      <c r="AJ826" s="14"/>
      <c r="AK826" s="14"/>
      <c r="AL826" s="14"/>
      <c r="AM826" s="14"/>
      <c r="AN826" s="14"/>
    </row>
    <row r="827" ht="15.75" customHeight="1">
      <c r="A827" s="14"/>
      <c r="B827" s="14"/>
      <c r="C827" s="14"/>
      <c r="D827" s="14"/>
      <c r="E827" s="14"/>
      <c r="F827" s="14"/>
      <c r="G827" s="14"/>
      <c r="H827" s="14"/>
      <c r="I827" s="14"/>
      <c r="J827" s="14"/>
      <c r="K827" s="14"/>
      <c r="L827" s="14"/>
      <c r="M827" s="14"/>
      <c r="N827" s="14"/>
      <c r="O827" s="14"/>
      <c r="P827" s="14"/>
      <c r="Q827" s="14"/>
      <c r="R827" s="18"/>
      <c r="S827" s="18"/>
      <c r="T827" s="93"/>
      <c r="U827" s="20"/>
      <c r="V827" s="14"/>
      <c r="W827" s="14"/>
      <c r="X827" s="14"/>
      <c r="Y827" s="14"/>
      <c r="Z827" s="14"/>
      <c r="AA827" s="14"/>
      <c r="AB827" s="14"/>
      <c r="AC827" s="14"/>
      <c r="AD827" s="14"/>
      <c r="AE827" s="14"/>
      <c r="AF827" s="14"/>
      <c r="AG827" s="14"/>
      <c r="AH827" s="14"/>
      <c r="AI827" s="14"/>
      <c r="AJ827" s="14"/>
      <c r="AK827" s="14"/>
      <c r="AL827" s="14"/>
      <c r="AM827" s="14"/>
      <c r="AN827" s="14"/>
    </row>
    <row r="828" ht="15.75" customHeight="1">
      <c r="A828" s="14"/>
      <c r="B828" s="14"/>
      <c r="C828" s="14"/>
      <c r="D828" s="14"/>
      <c r="E828" s="14"/>
      <c r="F828" s="14"/>
      <c r="G828" s="14"/>
      <c r="H828" s="14"/>
      <c r="I828" s="14"/>
      <c r="J828" s="14"/>
      <c r="K828" s="14"/>
      <c r="L828" s="14"/>
      <c r="M828" s="14"/>
      <c r="N828" s="14"/>
      <c r="O828" s="14"/>
      <c r="P828" s="14"/>
      <c r="Q828" s="14"/>
      <c r="R828" s="18"/>
      <c r="S828" s="18"/>
      <c r="T828" s="93"/>
      <c r="U828" s="20"/>
      <c r="V828" s="14"/>
      <c r="W828" s="14"/>
      <c r="X828" s="14"/>
      <c r="Y828" s="14"/>
      <c r="Z828" s="14"/>
      <c r="AA828" s="14"/>
      <c r="AB828" s="14"/>
      <c r="AC828" s="14"/>
      <c r="AD828" s="14"/>
      <c r="AE828" s="14"/>
      <c r="AF828" s="14"/>
      <c r="AG828" s="14"/>
      <c r="AH828" s="14"/>
      <c r="AI828" s="14"/>
      <c r="AJ828" s="14"/>
      <c r="AK828" s="14"/>
      <c r="AL828" s="14"/>
      <c r="AM828" s="14"/>
      <c r="AN828" s="14"/>
    </row>
    <row r="829" ht="15.75" customHeight="1">
      <c r="A829" s="14"/>
      <c r="B829" s="14"/>
      <c r="C829" s="14"/>
      <c r="D829" s="14"/>
      <c r="E829" s="14"/>
      <c r="F829" s="14"/>
      <c r="G829" s="14"/>
      <c r="H829" s="14"/>
      <c r="I829" s="14"/>
      <c r="J829" s="14"/>
      <c r="K829" s="14"/>
      <c r="L829" s="14"/>
      <c r="M829" s="14"/>
      <c r="N829" s="14"/>
      <c r="O829" s="14"/>
      <c r="P829" s="14"/>
      <c r="Q829" s="14"/>
      <c r="R829" s="18"/>
      <c r="S829" s="18"/>
      <c r="T829" s="93"/>
      <c r="U829" s="20"/>
      <c r="V829" s="14"/>
      <c r="W829" s="14"/>
      <c r="X829" s="14"/>
      <c r="Y829" s="14"/>
      <c r="Z829" s="14"/>
      <c r="AA829" s="14"/>
      <c r="AB829" s="14"/>
      <c r="AC829" s="14"/>
      <c r="AD829" s="14"/>
      <c r="AE829" s="14"/>
      <c r="AF829" s="14"/>
      <c r="AG829" s="14"/>
      <c r="AH829" s="14"/>
      <c r="AI829" s="14"/>
      <c r="AJ829" s="14"/>
      <c r="AK829" s="14"/>
      <c r="AL829" s="14"/>
      <c r="AM829" s="14"/>
      <c r="AN829" s="14"/>
    </row>
    <row r="830" ht="15.75" customHeight="1">
      <c r="A830" s="14"/>
      <c r="B830" s="14"/>
      <c r="C830" s="14"/>
      <c r="D830" s="14"/>
      <c r="E830" s="14"/>
      <c r="F830" s="14"/>
      <c r="G830" s="14"/>
      <c r="H830" s="14"/>
      <c r="I830" s="14"/>
      <c r="J830" s="14"/>
      <c r="K830" s="14"/>
      <c r="L830" s="14"/>
      <c r="M830" s="14"/>
      <c r="N830" s="14"/>
      <c r="O830" s="14"/>
      <c r="P830" s="14"/>
      <c r="Q830" s="14"/>
      <c r="R830" s="18"/>
      <c r="S830" s="18"/>
      <c r="T830" s="93"/>
      <c r="U830" s="20"/>
      <c r="V830" s="14"/>
      <c r="W830" s="14"/>
      <c r="X830" s="14"/>
      <c r="Y830" s="14"/>
      <c r="Z830" s="14"/>
      <c r="AA830" s="14"/>
      <c r="AB830" s="14"/>
      <c r="AC830" s="14"/>
      <c r="AD830" s="14"/>
      <c r="AE830" s="14"/>
      <c r="AF830" s="14"/>
      <c r="AG830" s="14"/>
      <c r="AH830" s="14"/>
      <c r="AI830" s="14"/>
      <c r="AJ830" s="14"/>
      <c r="AK830" s="14"/>
      <c r="AL830" s="14"/>
      <c r="AM830" s="14"/>
      <c r="AN830" s="14"/>
    </row>
    <row r="831" ht="15.75" customHeight="1">
      <c r="A831" s="14"/>
      <c r="B831" s="14"/>
      <c r="C831" s="14"/>
      <c r="D831" s="14"/>
      <c r="E831" s="14"/>
      <c r="F831" s="14"/>
      <c r="G831" s="14"/>
      <c r="H831" s="14"/>
      <c r="I831" s="14"/>
      <c r="J831" s="14"/>
      <c r="K831" s="14"/>
      <c r="L831" s="14"/>
      <c r="M831" s="14"/>
      <c r="N831" s="14"/>
      <c r="O831" s="14"/>
      <c r="P831" s="14"/>
      <c r="Q831" s="14"/>
      <c r="R831" s="18"/>
      <c r="S831" s="18"/>
      <c r="T831" s="93"/>
      <c r="U831" s="20"/>
      <c r="V831" s="14"/>
      <c r="W831" s="14"/>
      <c r="X831" s="14"/>
      <c r="Y831" s="14"/>
      <c r="Z831" s="14"/>
      <c r="AA831" s="14"/>
      <c r="AB831" s="14"/>
      <c r="AC831" s="14"/>
      <c r="AD831" s="14"/>
      <c r="AE831" s="14"/>
      <c r="AF831" s="14"/>
      <c r="AG831" s="14"/>
      <c r="AH831" s="14"/>
      <c r="AI831" s="14"/>
      <c r="AJ831" s="14"/>
      <c r="AK831" s="14"/>
      <c r="AL831" s="14"/>
      <c r="AM831" s="14"/>
      <c r="AN831" s="14"/>
    </row>
    <row r="832" ht="15.75" customHeight="1">
      <c r="A832" s="14"/>
      <c r="B832" s="14"/>
      <c r="C832" s="14"/>
      <c r="D832" s="14"/>
      <c r="E832" s="14"/>
      <c r="F832" s="14"/>
      <c r="G832" s="14"/>
      <c r="H832" s="14"/>
      <c r="I832" s="14"/>
      <c r="J832" s="14"/>
      <c r="K832" s="14"/>
      <c r="L832" s="14"/>
      <c r="M832" s="14"/>
      <c r="N832" s="14"/>
      <c r="O832" s="14"/>
      <c r="P832" s="14"/>
      <c r="Q832" s="14"/>
      <c r="R832" s="18"/>
      <c r="S832" s="18"/>
      <c r="T832" s="93"/>
      <c r="U832" s="20"/>
      <c r="V832" s="14"/>
      <c r="W832" s="14"/>
      <c r="X832" s="14"/>
      <c r="Y832" s="14"/>
      <c r="Z832" s="14"/>
      <c r="AA832" s="14"/>
      <c r="AB832" s="14"/>
      <c r="AC832" s="14"/>
      <c r="AD832" s="14"/>
      <c r="AE832" s="14"/>
      <c r="AF832" s="14"/>
      <c r="AG832" s="14"/>
      <c r="AH832" s="14"/>
      <c r="AI832" s="14"/>
      <c r="AJ832" s="14"/>
      <c r="AK832" s="14"/>
      <c r="AL832" s="14"/>
      <c r="AM832" s="14"/>
      <c r="AN832" s="14"/>
    </row>
    <row r="833" ht="15.75" customHeight="1">
      <c r="A833" s="14"/>
      <c r="B833" s="14"/>
      <c r="C833" s="14"/>
      <c r="D833" s="14"/>
      <c r="E833" s="14"/>
      <c r="F833" s="14"/>
      <c r="G833" s="14"/>
      <c r="H833" s="14"/>
      <c r="I833" s="14"/>
      <c r="J833" s="14"/>
      <c r="K833" s="14"/>
      <c r="L833" s="14"/>
      <c r="M833" s="14"/>
      <c r="N833" s="14"/>
      <c r="O833" s="14"/>
      <c r="P833" s="14"/>
      <c r="Q833" s="14"/>
      <c r="R833" s="18"/>
      <c r="S833" s="18"/>
      <c r="T833" s="93"/>
      <c r="U833" s="20"/>
      <c r="V833" s="14"/>
      <c r="W833" s="14"/>
      <c r="X833" s="14"/>
      <c r="Y833" s="14"/>
      <c r="Z833" s="14"/>
      <c r="AA833" s="14"/>
      <c r="AB833" s="14"/>
      <c r="AC833" s="14"/>
      <c r="AD833" s="14"/>
      <c r="AE833" s="14"/>
      <c r="AF833" s="14"/>
      <c r="AG833" s="14"/>
      <c r="AH833" s="14"/>
      <c r="AI833" s="14"/>
      <c r="AJ833" s="14"/>
      <c r="AK833" s="14"/>
      <c r="AL833" s="14"/>
      <c r="AM833" s="14"/>
      <c r="AN833" s="14"/>
    </row>
    <row r="834" ht="15.75" customHeight="1">
      <c r="A834" s="14"/>
      <c r="B834" s="14"/>
      <c r="C834" s="14"/>
      <c r="D834" s="14"/>
      <c r="E834" s="14"/>
      <c r="F834" s="14"/>
      <c r="G834" s="14"/>
      <c r="H834" s="14"/>
      <c r="I834" s="14"/>
      <c r="J834" s="14"/>
      <c r="K834" s="14"/>
      <c r="L834" s="14"/>
      <c r="M834" s="14"/>
      <c r="N834" s="14"/>
      <c r="O834" s="14"/>
      <c r="P834" s="14"/>
      <c r="Q834" s="14"/>
      <c r="R834" s="18"/>
      <c r="S834" s="18"/>
      <c r="T834" s="93"/>
      <c r="U834" s="20"/>
      <c r="V834" s="14"/>
      <c r="W834" s="14"/>
      <c r="X834" s="14"/>
      <c r="Y834" s="14"/>
      <c r="Z834" s="14"/>
      <c r="AA834" s="14"/>
      <c r="AB834" s="14"/>
      <c r="AC834" s="14"/>
      <c r="AD834" s="14"/>
      <c r="AE834" s="14"/>
      <c r="AF834" s="14"/>
      <c r="AG834" s="14"/>
      <c r="AH834" s="14"/>
      <c r="AI834" s="14"/>
      <c r="AJ834" s="14"/>
      <c r="AK834" s="14"/>
      <c r="AL834" s="14"/>
      <c r="AM834" s="14"/>
      <c r="AN834" s="14"/>
    </row>
    <row r="835" ht="15.75" customHeight="1">
      <c r="A835" s="14"/>
      <c r="B835" s="14"/>
      <c r="C835" s="14"/>
      <c r="D835" s="14"/>
      <c r="E835" s="14"/>
      <c r="F835" s="14"/>
      <c r="G835" s="14"/>
      <c r="H835" s="14"/>
      <c r="I835" s="14"/>
      <c r="J835" s="14"/>
      <c r="K835" s="14"/>
      <c r="L835" s="14"/>
      <c r="M835" s="14"/>
      <c r="N835" s="14"/>
      <c r="O835" s="14"/>
      <c r="P835" s="14"/>
      <c r="Q835" s="14"/>
      <c r="R835" s="18"/>
      <c r="S835" s="18"/>
      <c r="T835" s="93"/>
      <c r="U835" s="20"/>
      <c r="V835" s="14"/>
      <c r="W835" s="14"/>
      <c r="X835" s="14"/>
      <c r="Y835" s="14"/>
      <c r="Z835" s="14"/>
      <c r="AA835" s="14"/>
      <c r="AB835" s="14"/>
      <c r="AC835" s="14"/>
      <c r="AD835" s="14"/>
      <c r="AE835" s="14"/>
      <c r="AF835" s="14"/>
      <c r="AG835" s="14"/>
      <c r="AH835" s="14"/>
      <c r="AI835" s="14"/>
      <c r="AJ835" s="14"/>
      <c r="AK835" s="14"/>
      <c r="AL835" s="14"/>
      <c r="AM835" s="14"/>
      <c r="AN835" s="14"/>
    </row>
    <row r="836" ht="15.75" customHeight="1">
      <c r="A836" s="14"/>
      <c r="B836" s="14"/>
      <c r="C836" s="14"/>
      <c r="D836" s="14"/>
      <c r="E836" s="14"/>
      <c r="F836" s="14"/>
      <c r="G836" s="14"/>
      <c r="H836" s="14"/>
      <c r="I836" s="14"/>
      <c r="J836" s="14"/>
      <c r="K836" s="14"/>
      <c r="L836" s="14"/>
      <c r="M836" s="14"/>
      <c r="N836" s="14"/>
      <c r="O836" s="14"/>
      <c r="P836" s="14"/>
      <c r="Q836" s="14"/>
      <c r="R836" s="18"/>
      <c r="S836" s="18"/>
      <c r="T836" s="93"/>
      <c r="U836" s="20"/>
      <c r="V836" s="14"/>
      <c r="W836" s="14"/>
      <c r="X836" s="14"/>
      <c r="Y836" s="14"/>
      <c r="Z836" s="14"/>
      <c r="AA836" s="14"/>
      <c r="AB836" s="14"/>
      <c r="AC836" s="14"/>
      <c r="AD836" s="14"/>
      <c r="AE836" s="14"/>
      <c r="AF836" s="14"/>
      <c r="AG836" s="14"/>
      <c r="AH836" s="14"/>
      <c r="AI836" s="14"/>
      <c r="AJ836" s="14"/>
      <c r="AK836" s="14"/>
      <c r="AL836" s="14"/>
      <c r="AM836" s="14"/>
      <c r="AN836" s="14"/>
    </row>
    <row r="837" ht="15.75" customHeight="1">
      <c r="A837" s="14"/>
      <c r="B837" s="14"/>
      <c r="C837" s="14"/>
      <c r="D837" s="14"/>
      <c r="E837" s="14"/>
      <c r="F837" s="14"/>
      <c r="G837" s="14"/>
      <c r="H837" s="14"/>
      <c r="I837" s="14"/>
      <c r="J837" s="14"/>
      <c r="K837" s="14"/>
      <c r="L837" s="14"/>
      <c r="M837" s="14"/>
      <c r="N837" s="14"/>
      <c r="O837" s="14"/>
      <c r="P837" s="14"/>
      <c r="Q837" s="14"/>
      <c r="R837" s="18"/>
      <c r="S837" s="18"/>
      <c r="T837" s="93"/>
      <c r="U837" s="20"/>
      <c r="V837" s="14"/>
      <c r="W837" s="14"/>
      <c r="X837" s="14"/>
      <c r="Y837" s="14"/>
      <c r="Z837" s="14"/>
      <c r="AA837" s="14"/>
      <c r="AB837" s="14"/>
      <c r="AC837" s="14"/>
      <c r="AD837" s="14"/>
      <c r="AE837" s="14"/>
      <c r="AF837" s="14"/>
      <c r="AG837" s="14"/>
      <c r="AH837" s="14"/>
      <c r="AI837" s="14"/>
      <c r="AJ837" s="14"/>
      <c r="AK837" s="14"/>
      <c r="AL837" s="14"/>
      <c r="AM837" s="14"/>
      <c r="AN837" s="14"/>
    </row>
    <row r="838" ht="15.75" customHeight="1">
      <c r="A838" s="14"/>
      <c r="B838" s="14"/>
      <c r="C838" s="14"/>
      <c r="D838" s="14"/>
      <c r="E838" s="14"/>
      <c r="F838" s="14"/>
      <c r="G838" s="14"/>
      <c r="H838" s="14"/>
      <c r="I838" s="14"/>
      <c r="J838" s="14"/>
      <c r="K838" s="14"/>
      <c r="L838" s="14"/>
      <c r="M838" s="14"/>
      <c r="N838" s="14"/>
      <c r="O838" s="14"/>
      <c r="P838" s="14"/>
      <c r="Q838" s="14"/>
      <c r="R838" s="18"/>
      <c r="S838" s="18"/>
      <c r="T838" s="93"/>
      <c r="U838" s="20"/>
      <c r="V838" s="14"/>
      <c r="W838" s="14"/>
      <c r="X838" s="14"/>
      <c r="Y838" s="14"/>
      <c r="Z838" s="14"/>
      <c r="AA838" s="14"/>
      <c r="AB838" s="14"/>
      <c r="AC838" s="14"/>
      <c r="AD838" s="14"/>
      <c r="AE838" s="14"/>
      <c r="AF838" s="14"/>
      <c r="AG838" s="14"/>
      <c r="AH838" s="14"/>
      <c r="AI838" s="14"/>
      <c r="AJ838" s="14"/>
      <c r="AK838" s="14"/>
      <c r="AL838" s="14"/>
      <c r="AM838" s="14"/>
      <c r="AN838" s="14"/>
    </row>
    <row r="839" ht="15.75" customHeight="1">
      <c r="A839" s="14"/>
      <c r="B839" s="14"/>
      <c r="C839" s="14"/>
      <c r="D839" s="14"/>
      <c r="E839" s="14"/>
      <c r="F839" s="14"/>
      <c r="G839" s="14"/>
      <c r="H839" s="14"/>
      <c r="I839" s="14"/>
      <c r="J839" s="14"/>
      <c r="K839" s="14"/>
      <c r="L839" s="14"/>
      <c r="M839" s="14"/>
      <c r="N839" s="14"/>
      <c r="O839" s="14"/>
      <c r="P839" s="14"/>
      <c r="Q839" s="14"/>
      <c r="R839" s="18"/>
      <c r="S839" s="18"/>
      <c r="T839" s="93"/>
      <c r="U839" s="20"/>
      <c r="V839" s="14"/>
      <c r="W839" s="14"/>
      <c r="X839" s="14"/>
      <c r="Y839" s="14"/>
      <c r="Z839" s="14"/>
      <c r="AA839" s="14"/>
      <c r="AB839" s="14"/>
      <c r="AC839" s="14"/>
      <c r="AD839" s="14"/>
      <c r="AE839" s="14"/>
      <c r="AF839" s="14"/>
      <c r="AG839" s="14"/>
      <c r="AH839" s="14"/>
      <c r="AI839" s="14"/>
      <c r="AJ839" s="14"/>
      <c r="AK839" s="14"/>
      <c r="AL839" s="14"/>
      <c r="AM839" s="14"/>
      <c r="AN839" s="14"/>
    </row>
    <row r="840" ht="15.75" customHeight="1">
      <c r="A840" s="14"/>
      <c r="B840" s="14"/>
      <c r="C840" s="14"/>
      <c r="D840" s="14"/>
      <c r="E840" s="14"/>
      <c r="F840" s="14"/>
      <c r="G840" s="14"/>
      <c r="H840" s="14"/>
      <c r="I840" s="14"/>
      <c r="J840" s="14"/>
      <c r="K840" s="14"/>
      <c r="L840" s="14"/>
      <c r="M840" s="14"/>
      <c r="N840" s="14"/>
      <c r="O840" s="14"/>
      <c r="P840" s="14"/>
      <c r="Q840" s="14"/>
      <c r="R840" s="18"/>
      <c r="S840" s="18"/>
      <c r="T840" s="93"/>
      <c r="U840" s="20"/>
      <c r="V840" s="14"/>
      <c r="W840" s="14"/>
      <c r="X840" s="14"/>
      <c r="Y840" s="14"/>
      <c r="Z840" s="14"/>
      <c r="AA840" s="14"/>
      <c r="AB840" s="14"/>
      <c r="AC840" s="14"/>
      <c r="AD840" s="14"/>
      <c r="AE840" s="14"/>
      <c r="AF840" s="14"/>
      <c r="AG840" s="14"/>
      <c r="AH840" s="14"/>
      <c r="AI840" s="14"/>
      <c r="AJ840" s="14"/>
      <c r="AK840" s="14"/>
      <c r="AL840" s="14"/>
      <c r="AM840" s="14"/>
      <c r="AN840" s="14"/>
    </row>
    <row r="841" ht="15.75" customHeight="1">
      <c r="A841" s="14"/>
      <c r="B841" s="14"/>
      <c r="C841" s="14"/>
      <c r="D841" s="14"/>
      <c r="E841" s="14"/>
      <c r="F841" s="14"/>
      <c r="G841" s="14"/>
      <c r="H841" s="14"/>
      <c r="I841" s="14"/>
      <c r="J841" s="14"/>
      <c r="K841" s="14"/>
      <c r="L841" s="14"/>
      <c r="M841" s="14"/>
      <c r="N841" s="14"/>
      <c r="O841" s="14"/>
      <c r="P841" s="14"/>
      <c r="Q841" s="14"/>
      <c r="R841" s="18"/>
      <c r="S841" s="18"/>
      <c r="T841" s="93"/>
      <c r="U841" s="20"/>
      <c r="V841" s="14"/>
      <c r="W841" s="14"/>
      <c r="X841" s="14"/>
      <c r="Y841" s="14"/>
      <c r="Z841" s="14"/>
      <c r="AA841" s="14"/>
      <c r="AB841" s="14"/>
      <c r="AC841" s="14"/>
      <c r="AD841" s="14"/>
      <c r="AE841" s="14"/>
      <c r="AF841" s="14"/>
      <c r="AG841" s="14"/>
      <c r="AH841" s="14"/>
      <c r="AI841" s="14"/>
      <c r="AJ841" s="14"/>
      <c r="AK841" s="14"/>
      <c r="AL841" s="14"/>
      <c r="AM841" s="14"/>
      <c r="AN841" s="14"/>
    </row>
    <row r="842" ht="15.75" customHeight="1">
      <c r="A842" s="14"/>
      <c r="B842" s="14"/>
      <c r="C842" s="14"/>
      <c r="D842" s="14"/>
      <c r="E842" s="14"/>
      <c r="F842" s="14"/>
      <c r="G842" s="14"/>
      <c r="H842" s="14"/>
      <c r="I842" s="14"/>
      <c r="J842" s="14"/>
      <c r="K842" s="14"/>
      <c r="L842" s="14"/>
      <c r="M842" s="14"/>
      <c r="N842" s="14"/>
      <c r="O842" s="14"/>
      <c r="P842" s="14"/>
      <c r="Q842" s="14"/>
      <c r="R842" s="18"/>
      <c r="S842" s="18"/>
      <c r="T842" s="93"/>
      <c r="U842" s="20"/>
      <c r="V842" s="14"/>
      <c r="W842" s="14"/>
      <c r="X842" s="14"/>
      <c r="Y842" s="14"/>
      <c r="Z842" s="14"/>
      <c r="AA842" s="14"/>
      <c r="AB842" s="14"/>
      <c r="AC842" s="14"/>
      <c r="AD842" s="14"/>
      <c r="AE842" s="14"/>
      <c r="AF842" s="14"/>
      <c r="AG842" s="14"/>
      <c r="AH842" s="14"/>
      <c r="AI842" s="14"/>
      <c r="AJ842" s="14"/>
      <c r="AK842" s="14"/>
      <c r="AL842" s="14"/>
      <c r="AM842" s="14"/>
      <c r="AN842" s="14"/>
    </row>
    <row r="843" ht="15.75" customHeight="1">
      <c r="A843" s="14"/>
      <c r="B843" s="14"/>
      <c r="C843" s="14"/>
      <c r="D843" s="14"/>
      <c r="E843" s="14"/>
      <c r="F843" s="14"/>
      <c r="G843" s="14"/>
      <c r="H843" s="14"/>
      <c r="I843" s="14"/>
      <c r="J843" s="14"/>
      <c r="K843" s="14"/>
      <c r="L843" s="14"/>
      <c r="M843" s="14"/>
      <c r="N843" s="14"/>
      <c r="O843" s="14"/>
      <c r="P843" s="14"/>
      <c r="Q843" s="14"/>
      <c r="R843" s="18"/>
      <c r="S843" s="18"/>
      <c r="T843" s="93"/>
      <c r="U843" s="20"/>
      <c r="V843" s="14"/>
      <c r="W843" s="14"/>
      <c r="X843" s="14"/>
      <c r="Y843" s="14"/>
      <c r="Z843" s="14"/>
      <c r="AA843" s="14"/>
      <c r="AB843" s="14"/>
      <c r="AC843" s="14"/>
      <c r="AD843" s="14"/>
      <c r="AE843" s="14"/>
      <c r="AF843" s="14"/>
      <c r="AG843" s="14"/>
      <c r="AH843" s="14"/>
      <c r="AI843" s="14"/>
      <c r="AJ843" s="14"/>
      <c r="AK843" s="14"/>
      <c r="AL843" s="14"/>
      <c r="AM843" s="14"/>
      <c r="AN843" s="14"/>
    </row>
    <row r="844" ht="15.75" customHeight="1">
      <c r="A844" s="14"/>
      <c r="B844" s="14"/>
      <c r="C844" s="14"/>
      <c r="D844" s="14"/>
      <c r="E844" s="14"/>
      <c r="F844" s="14"/>
      <c r="G844" s="14"/>
      <c r="H844" s="14"/>
      <c r="I844" s="14"/>
      <c r="J844" s="14"/>
      <c r="K844" s="14"/>
      <c r="L844" s="14"/>
      <c r="M844" s="14"/>
      <c r="N844" s="14"/>
      <c r="O844" s="14"/>
      <c r="P844" s="14"/>
      <c r="Q844" s="14"/>
      <c r="R844" s="18"/>
      <c r="S844" s="18"/>
      <c r="T844" s="93"/>
      <c r="U844" s="20"/>
      <c r="V844" s="14"/>
      <c r="W844" s="14"/>
      <c r="X844" s="14"/>
      <c r="Y844" s="14"/>
      <c r="Z844" s="14"/>
      <c r="AA844" s="14"/>
      <c r="AB844" s="14"/>
      <c r="AC844" s="14"/>
      <c r="AD844" s="14"/>
      <c r="AE844" s="14"/>
      <c r="AF844" s="14"/>
      <c r="AG844" s="14"/>
      <c r="AH844" s="14"/>
      <c r="AI844" s="14"/>
      <c r="AJ844" s="14"/>
      <c r="AK844" s="14"/>
      <c r="AL844" s="14"/>
      <c r="AM844" s="14"/>
      <c r="AN844" s="14"/>
    </row>
    <row r="845" ht="15.75" customHeight="1">
      <c r="A845" s="14"/>
      <c r="B845" s="14"/>
      <c r="C845" s="14"/>
      <c r="D845" s="14"/>
      <c r="E845" s="14"/>
      <c r="F845" s="14"/>
      <c r="G845" s="14"/>
      <c r="H845" s="14"/>
      <c r="I845" s="14"/>
      <c r="J845" s="14"/>
      <c r="K845" s="14"/>
      <c r="L845" s="14"/>
      <c r="M845" s="14"/>
      <c r="N845" s="14"/>
      <c r="O845" s="14"/>
      <c r="P845" s="14"/>
      <c r="Q845" s="14"/>
      <c r="R845" s="18"/>
      <c r="S845" s="18"/>
      <c r="T845" s="93"/>
      <c r="U845" s="20"/>
      <c r="V845" s="14"/>
      <c r="W845" s="14"/>
      <c r="X845" s="14"/>
      <c r="Y845" s="14"/>
      <c r="Z845" s="14"/>
      <c r="AA845" s="14"/>
      <c r="AB845" s="14"/>
      <c r="AC845" s="14"/>
      <c r="AD845" s="14"/>
      <c r="AE845" s="14"/>
      <c r="AF845" s="14"/>
      <c r="AG845" s="14"/>
      <c r="AH845" s="14"/>
      <c r="AI845" s="14"/>
      <c r="AJ845" s="14"/>
      <c r="AK845" s="14"/>
      <c r="AL845" s="14"/>
      <c r="AM845" s="14"/>
      <c r="AN845" s="14"/>
    </row>
    <row r="846" ht="15.75" customHeight="1">
      <c r="A846" s="14"/>
      <c r="B846" s="14"/>
      <c r="C846" s="14"/>
      <c r="D846" s="14"/>
      <c r="E846" s="14"/>
      <c r="F846" s="14"/>
      <c r="G846" s="14"/>
      <c r="H846" s="14"/>
      <c r="I846" s="14"/>
      <c r="J846" s="14"/>
      <c r="K846" s="14"/>
      <c r="L846" s="14"/>
      <c r="M846" s="14"/>
      <c r="N846" s="14"/>
      <c r="O846" s="14"/>
      <c r="P846" s="14"/>
      <c r="Q846" s="14"/>
      <c r="R846" s="18"/>
      <c r="S846" s="18"/>
      <c r="T846" s="93"/>
      <c r="U846" s="20"/>
      <c r="V846" s="14"/>
      <c r="W846" s="14"/>
      <c r="X846" s="14"/>
      <c r="Y846" s="14"/>
      <c r="Z846" s="14"/>
      <c r="AA846" s="14"/>
      <c r="AB846" s="14"/>
      <c r="AC846" s="14"/>
      <c r="AD846" s="14"/>
      <c r="AE846" s="14"/>
      <c r="AF846" s="14"/>
      <c r="AG846" s="14"/>
      <c r="AH846" s="14"/>
      <c r="AI846" s="14"/>
      <c r="AJ846" s="14"/>
      <c r="AK846" s="14"/>
      <c r="AL846" s="14"/>
      <c r="AM846" s="14"/>
      <c r="AN846" s="14"/>
    </row>
    <row r="847" ht="15.75" customHeight="1">
      <c r="A847" s="14"/>
      <c r="B847" s="14"/>
      <c r="C847" s="14"/>
      <c r="D847" s="14"/>
      <c r="E847" s="14"/>
      <c r="F847" s="14"/>
      <c r="G847" s="14"/>
      <c r="H847" s="14"/>
      <c r="I847" s="14"/>
      <c r="J847" s="14"/>
      <c r="K847" s="14"/>
      <c r="L847" s="14"/>
      <c r="M847" s="14"/>
      <c r="N847" s="14"/>
      <c r="O847" s="14"/>
      <c r="P847" s="14"/>
      <c r="Q847" s="14"/>
      <c r="R847" s="18"/>
      <c r="S847" s="18"/>
      <c r="T847" s="93"/>
      <c r="U847" s="20"/>
      <c r="V847" s="14"/>
      <c r="W847" s="14"/>
      <c r="X847" s="14"/>
      <c r="Y847" s="14"/>
      <c r="Z847" s="14"/>
      <c r="AA847" s="14"/>
      <c r="AB847" s="14"/>
      <c r="AC847" s="14"/>
      <c r="AD847" s="14"/>
      <c r="AE847" s="14"/>
      <c r="AF847" s="14"/>
      <c r="AG847" s="14"/>
      <c r="AH847" s="14"/>
      <c r="AI847" s="14"/>
      <c r="AJ847" s="14"/>
      <c r="AK847" s="14"/>
      <c r="AL847" s="14"/>
      <c r="AM847" s="14"/>
      <c r="AN847" s="14"/>
    </row>
    <row r="848" ht="15.75" customHeight="1">
      <c r="A848" s="14"/>
      <c r="B848" s="14"/>
      <c r="C848" s="14"/>
      <c r="D848" s="14"/>
      <c r="E848" s="14"/>
      <c r="F848" s="14"/>
      <c r="G848" s="14"/>
      <c r="H848" s="14"/>
      <c r="I848" s="14"/>
      <c r="J848" s="14"/>
      <c r="K848" s="14"/>
      <c r="L848" s="14"/>
      <c r="M848" s="14"/>
      <c r="N848" s="14"/>
      <c r="O848" s="14"/>
      <c r="P848" s="14"/>
      <c r="Q848" s="14"/>
      <c r="R848" s="18"/>
      <c r="S848" s="18"/>
      <c r="T848" s="93"/>
      <c r="U848" s="20"/>
      <c r="V848" s="14"/>
      <c r="W848" s="14"/>
      <c r="X848" s="14"/>
      <c r="Y848" s="14"/>
      <c r="Z848" s="14"/>
      <c r="AA848" s="14"/>
      <c r="AB848" s="14"/>
      <c r="AC848" s="14"/>
      <c r="AD848" s="14"/>
      <c r="AE848" s="14"/>
      <c r="AF848" s="14"/>
      <c r="AG848" s="14"/>
      <c r="AH848" s="14"/>
      <c r="AI848" s="14"/>
      <c r="AJ848" s="14"/>
      <c r="AK848" s="14"/>
      <c r="AL848" s="14"/>
      <c r="AM848" s="14"/>
      <c r="AN848" s="14"/>
    </row>
    <row r="849" ht="15.75" customHeight="1">
      <c r="A849" s="14"/>
      <c r="B849" s="14"/>
      <c r="C849" s="14"/>
      <c r="D849" s="14"/>
      <c r="E849" s="14"/>
      <c r="F849" s="14"/>
      <c r="G849" s="14"/>
      <c r="H849" s="14"/>
      <c r="I849" s="14"/>
      <c r="J849" s="14"/>
      <c r="K849" s="14"/>
      <c r="L849" s="14"/>
      <c r="M849" s="14"/>
      <c r="N849" s="14"/>
      <c r="O849" s="14"/>
      <c r="P849" s="14"/>
      <c r="Q849" s="14"/>
      <c r="R849" s="18"/>
      <c r="S849" s="18"/>
      <c r="T849" s="93"/>
      <c r="U849" s="20"/>
      <c r="V849" s="14"/>
      <c r="W849" s="14"/>
      <c r="X849" s="14"/>
      <c r="Y849" s="14"/>
      <c r="Z849" s="14"/>
      <c r="AA849" s="14"/>
      <c r="AB849" s="14"/>
      <c r="AC849" s="14"/>
      <c r="AD849" s="14"/>
      <c r="AE849" s="14"/>
      <c r="AF849" s="14"/>
      <c r="AG849" s="14"/>
      <c r="AH849" s="14"/>
      <c r="AI849" s="14"/>
      <c r="AJ849" s="14"/>
      <c r="AK849" s="14"/>
      <c r="AL849" s="14"/>
      <c r="AM849" s="14"/>
      <c r="AN849" s="14"/>
    </row>
    <row r="850" ht="15.75" customHeight="1">
      <c r="A850" s="14"/>
      <c r="B850" s="14"/>
      <c r="C850" s="14"/>
      <c r="D850" s="14"/>
      <c r="E850" s="14"/>
      <c r="F850" s="14"/>
      <c r="G850" s="14"/>
      <c r="H850" s="14"/>
      <c r="I850" s="14"/>
      <c r="J850" s="14"/>
      <c r="K850" s="14"/>
      <c r="L850" s="14"/>
      <c r="M850" s="14"/>
      <c r="N850" s="14"/>
      <c r="O850" s="14"/>
      <c r="P850" s="14"/>
      <c r="Q850" s="14"/>
      <c r="R850" s="18"/>
      <c r="S850" s="18"/>
      <c r="T850" s="93"/>
      <c r="U850" s="20"/>
      <c r="V850" s="14"/>
      <c r="W850" s="14"/>
      <c r="X850" s="14"/>
      <c r="Y850" s="14"/>
      <c r="Z850" s="14"/>
      <c r="AA850" s="14"/>
      <c r="AB850" s="14"/>
      <c r="AC850" s="14"/>
      <c r="AD850" s="14"/>
      <c r="AE850" s="14"/>
      <c r="AF850" s="14"/>
      <c r="AG850" s="14"/>
      <c r="AH850" s="14"/>
      <c r="AI850" s="14"/>
      <c r="AJ850" s="14"/>
      <c r="AK850" s="14"/>
      <c r="AL850" s="14"/>
      <c r="AM850" s="14"/>
      <c r="AN850" s="14"/>
    </row>
    <row r="851" ht="15.75" customHeight="1">
      <c r="A851" s="14"/>
      <c r="B851" s="14"/>
      <c r="C851" s="14"/>
      <c r="D851" s="14"/>
      <c r="E851" s="14"/>
      <c r="F851" s="14"/>
      <c r="G851" s="14"/>
      <c r="H851" s="14"/>
      <c r="I851" s="14"/>
      <c r="J851" s="14"/>
      <c r="K851" s="14"/>
      <c r="L851" s="14"/>
      <c r="M851" s="14"/>
      <c r="N851" s="14"/>
      <c r="O851" s="14"/>
      <c r="P851" s="14"/>
      <c r="Q851" s="14"/>
      <c r="R851" s="18"/>
      <c r="S851" s="18"/>
      <c r="T851" s="93"/>
      <c r="U851" s="20"/>
      <c r="V851" s="14"/>
      <c r="W851" s="14"/>
      <c r="X851" s="14"/>
      <c r="Y851" s="14"/>
      <c r="Z851" s="14"/>
      <c r="AA851" s="14"/>
      <c r="AB851" s="14"/>
      <c r="AC851" s="14"/>
      <c r="AD851" s="14"/>
      <c r="AE851" s="14"/>
      <c r="AF851" s="14"/>
      <c r="AG851" s="14"/>
      <c r="AH851" s="14"/>
      <c r="AI851" s="14"/>
      <c r="AJ851" s="14"/>
      <c r="AK851" s="14"/>
      <c r="AL851" s="14"/>
      <c r="AM851" s="14"/>
      <c r="AN851" s="14"/>
    </row>
    <row r="852" ht="15.75" customHeight="1">
      <c r="A852" s="14"/>
      <c r="B852" s="14"/>
      <c r="C852" s="14"/>
      <c r="D852" s="14"/>
      <c r="E852" s="14"/>
      <c r="F852" s="14"/>
      <c r="G852" s="14"/>
      <c r="H852" s="14"/>
      <c r="I852" s="14"/>
      <c r="J852" s="14"/>
      <c r="K852" s="14"/>
      <c r="L852" s="14"/>
      <c r="M852" s="14"/>
      <c r="N852" s="14"/>
      <c r="O852" s="14"/>
      <c r="P852" s="14"/>
      <c r="Q852" s="14"/>
      <c r="R852" s="18"/>
      <c r="S852" s="18"/>
      <c r="T852" s="93"/>
      <c r="U852" s="20"/>
      <c r="V852" s="14"/>
      <c r="W852" s="14"/>
      <c r="X852" s="14"/>
      <c r="Y852" s="14"/>
      <c r="Z852" s="14"/>
      <c r="AA852" s="14"/>
      <c r="AB852" s="14"/>
      <c r="AC852" s="14"/>
      <c r="AD852" s="14"/>
      <c r="AE852" s="14"/>
      <c r="AF852" s="14"/>
      <c r="AG852" s="14"/>
      <c r="AH852" s="14"/>
      <c r="AI852" s="14"/>
      <c r="AJ852" s="14"/>
      <c r="AK852" s="14"/>
      <c r="AL852" s="14"/>
      <c r="AM852" s="14"/>
      <c r="AN852" s="14"/>
    </row>
    <row r="853" ht="15.75" customHeight="1">
      <c r="A853" s="14"/>
      <c r="B853" s="14"/>
      <c r="C853" s="14"/>
      <c r="D853" s="14"/>
      <c r="E853" s="14"/>
      <c r="F853" s="14"/>
      <c r="G853" s="14"/>
      <c r="H853" s="14"/>
      <c r="I853" s="14"/>
      <c r="J853" s="14"/>
      <c r="K853" s="14"/>
      <c r="L853" s="14"/>
      <c r="M853" s="14"/>
      <c r="N853" s="14"/>
      <c r="O853" s="14"/>
      <c r="P853" s="14"/>
      <c r="Q853" s="14"/>
      <c r="R853" s="18"/>
      <c r="S853" s="18"/>
      <c r="T853" s="93"/>
      <c r="U853" s="20"/>
      <c r="V853" s="14"/>
      <c r="W853" s="14"/>
      <c r="X853" s="14"/>
      <c r="Y853" s="14"/>
      <c r="Z853" s="14"/>
      <c r="AA853" s="14"/>
      <c r="AB853" s="14"/>
      <c r="AC853" s="14"/>
      <c r="AD853" s="14"/>
      <c r="AE853" s="14"/>
      <c r="AF853" s="14"/>
      <c r="AG853" s="14"/>
      <c r="AH853" s="14"/>
      <c r="AI853" s="14"/>
      <c r="AJ853" s="14"/>
      <c r="AK853" s="14"/>
      <c r="AL853" s="14"/>
      <c r="AM853" s="14"/>
      <c r="AN853" s="14"/>
    </row>
    <row r="854" ht="15.75" customHeight="1">
      <c r="A854" s="14"/>
      <c r="B854" s="14"/>
      <c r="C854" s="14"/>
      <c r="D854" s="14"/>
      <c r="E854" s="14"/>
      <c r="F854" s="14"/>
      <c r="G854" s="14"/>
      <c r="H854" s="14"/>
      <c r="I854" s="14"/>
      <c r="J854" s="14"/>
      <c r="K854" s="14"/>
      <c r="L854" s="14"/>
      <c r="M854" s="14"/>
      <c r="N854" s="14"/>
      <c r="O854" s="14"/>
      <c r="P854" s="14"/>
      <c r="Q854" s="14"/>
      <c r="R854" s="18"/>
      <c r="S854" s="18"/>
      <c r="T854" s="93"/>
      <c r="U854" s="20"/>
      <c r="V854" s="14"/>
      <c r="W854" s="14"/>
      <c r="X854" s="14"/>
      <c r="Y854" s="14"/>
      <c r="Z854" s="14"/>
      <c r="AA854" s="14"/>
      <c r="AB854" s="14"/>
      <c r="AC854" s="14"/>
      <c r="AD854" s="14"/>
      <c r="AE854" s="14"/>
      <c r="AF854" s="14"/>
      <c r="AG854" s="14"/>
      <c r="AH854" s="14"/>
      <c r="AI854" s="14"/>
      <c r="AJ854" s="14"/>
      <c r="AK854" s="14"/>
      <c r="AL854" s="14"/>
      <c r="AM854" s="14"/>
      <c r="AN854" s="14"/>
    </row>
    <row r="855" ht="15.75" customHeight="1">
      <c r="A855" s="14"/>
      <c r="B855" s="14"/>
      <c r="C855" s="14"/>
      <c r="D855" s="14"/>
      <c r="E855" s="14"/>
      <c r="F855" s="14"/>
      <c r="G855" s="14"/>
      <c r="H855" s="14"/>
      <c r="I855" s="14"/>
      <c r="J855" s="14"/>
      <c r="K855" s="14"/>
      <c r="L855" s="14"/>
      <c r="M855" s="14"/>
      <c r="N855" s="14"/>
      <c r="O855" s="14"/>
      <c r="P855" s="14"/>
      <c r="Q855" s="14"/>
      <c r="R855" s="18"/>
      <c r="S855" s="18"/>
      <c r="T855" s="93"/>
      <c r="U855" s="20"/>
      <c r="V855" s="14"/>
      <c r="W855" s="14"/>
      <c r="X855" s="14"/>
      <c r="Y855" s="14"/>
      <c r="Z855" s="14"/>
      <c r="AA855" s="14"/>
      <c r="AB855" s="14"/>
      <c r="AC855" s="14"/>
      <c r="AD855" s="14"/>
      <c r="AE855" s="14"/>
      <c r="AF855" s="14"/>
      <c r="AG855" s="14"/>
      <c r="AH855" s="14"/>
      <c r="AI855" s="14"/>
      <c r="AJ855" s="14"/>
      <c r="AK855" s="14"/>
      <c r="AL855" s="14"/>
      <c r="AM855" s="14"/>
      <c r="AN855" s="14"/>
    </row>
    <row r="856" ht="15.75" customHeight="1">
      <c r="A856" s="14"/>
      <c r="B856" s="14"/>
      <c r="C856" s="14"/>
      <c r="D856" s="14"/>
      <c r="E856" s="14"/>
      <c r="F856" s="14"/>
      <c r="G856" s="14"/>
      <c r="H856" s="14"/>
      <c r="I856" s="14"/>
      <c r="J856" s="14"/>
      <c r="K856" s="14"/>
      <c r="L856" s="14"/>
      <c r="M856" s="14"/>
      <c r="N856" s="14"/>
      <c r="O856" s="14"/>
      <c r="P856" s="14"/>
      <c r="Q856" s="14"/>
      <c r="R856" s="18"/>
      <c r="S856" s="18"/>
      <c r="T856" s="93"/>
      <c r="U856" s="20"/>
      <c r="V856" s="14"/>
      <c r="W856" s="14"/>
      <c r="X856" s="14"/>
      <c r="Y856" s="14"/>
      <c r="Z856" s="14"/>
      <c r="AA856" s="14"/>
      <c r="AB856" s="14"/>
      <c r="AC856" s="14"/>
      <c r="AD856" s="14"/>
      <c r="AE856" s="14"/>
      <c r="AF856" s="14"/>
      <c r="AG856" s="14"/>
      <c r="AH856" s="14"/>
      <c r="AI856" s="14"/>
      <c r="AJ856" s="14"/>
      <c r="AK856" s="14"/>
      <c r="AL856" s="14"/>
      <c r="AM856" s="14"/>
      <c r="AN856" s="14"/>
    </row>
    <row r="857" ht="15.75" customHeight="1">
      <c r="A857" s="14"/>
      <c r="B857" s="14"/>
      <c r="C857" s="14"/>
      <c r="D857" s="14"/>
      <c r="E857" s="14"/>
      <c r="F857" s="14"/>
      <c r="G857" s="14"/>
      <c r="H857" s="14"/>
      <c r="I857" s="14"/>
      <c r="J857" s="14"/>
      <c r="K857" s="14"/>
      <c r="L857" s="14"/>
      <c r="M857" s="14"/>
      <c r="N857" s="14"/>
      <c r="O857" s="14"/>
      <c r="P857" s="14"/>
      <c r="Q857" s="14"/>
      <c r="R857" s="18"/>
      <c r="S857" s="18"/>
      <c r="T857" s="93"/>
      <c r="U857" s="20"/>
      <c r="V857" s="14"/>
      <c r="W857" s="14"/>
      <c r="X857" s="14"/>
      <c r="Y857" s="14"/>
      <c r="Z857" s="14"/>
      <c r="AA857" s="14"/>
      <c r="AB857" s="14"/>
      <c r="AC857" s="14"/>
      <c r="AD857" s="14"/>
      <c r="AE857" s="14"/>
      <c r="AF857" s="14"/>
      <c r="AG857" s="14"/>
      <c r="AH857" s="14"/>
      <c r="AI857" s="14"/>
      <c r="AJ857" s="14"/>
      <c r="AK857" s="14"/>
      <c r="AL857" s="14"/>
      <c r="AM857" s="14"/>
      <c r="AN857" s="14"/>
    </row>
    <row r="858" ht="15.75" customHeight="1">
      <c r="A858" s="14"/>
      <c r="B858" s="14"/>
      <c r="C858" s="14"/>
      <c r="D858" s="14"/>
      <c r="E858" s="14"/>
      <c r="F858" s="14"/>
      <c r="G858" s="14"/>
      <c r="H858" s="14"/>
      <c r="I858" s="14"/>
      <c r="J858" s="14"/>
      <c r="K858" s="14"/>
      <c r="L858" s="14"/>
      <c r="M858" s="14"/>
      <c r="N858" s="14"/>
      <c r="O858" s="14"/>
      <c r="P858" s="14"/>
      <c r="Q858" s="14"/>
      <c r="R858" s="18"/>
      <c r="S858" s="18"/>
      <c r="T858" s="93"/>
      <c r="U858" s="20"/>
      <c r="V858" s="14"/>
      <c r="W858" s="14"/>
      <c r="X858" s="14"/>
      <c r="Y858" s="14"/>
      <c r="Z858" s="14"/>
      <c r="AA858" s="14"/>
      <c r="AB858" s="14"/>
      <c r="AC858" s="14"/>
      <c r="AD858" s="14"/>
      <c r="AE858" s="14"/>
      <c r="AF858" s="14"/>
      <c r="AG858" s="14"/>
      <c r="AH858" s="14"/>
      <c r="AI858" s="14"/>
      <c r="AJ858" s="14"/>
      <c r="AK858" s="14"/>
      <c r="AL858" s="14"/>
      <c r="AM858" s="14"/>
      <c r="AN858" s="14"/>
    </row>
    <row r="859" ht="15.75" customHeight="1">
      <c r="A859" s="14"/>
      <c r="B859" s="14"/>
      <c r="C859" s="14"/>
      <c r="D859" s="14"/>
      <c r="E859" s="14"/>
      <c r="F859" s="14"/>
      <c r="G859" s="14"/>
      <c r="H859" s="14"/>
      <c r="I859" s="14"/>
      <c r="J859" s="14"/>
      <c r="K859" s="14"/>
      <c r="L859" s="14"/>
      <c r="M859" s="14"/>
      <c r="N859" s="14"/>
      <c r="O859" s="14"/>
      <c r="P859" s="14"/>
      <c r="Q859" s="14"/>
      <c r="R859" s="18"/>
      <c r="S859" s="18"/>
      <c r="T859" s="93"/>
      <c r="U859" s="20"/>
      <c r="V859" s="14"/>
      <c r="W859" s="14"/>
      <c r="X859" s="14"/>
      <c r="Y859" s="14"/>
      <c r="Z859" s="14"/>
      <c r="AA859" s="14"/>
      <c r="AB859" s="14"/>
      <c r="AC859" s="14"/>
      <c r="AD859" s="14"/>
      <c r="AE859" s="14"/>
      <c r="AF859" s="14"/>
      <c r="AG859" s="14"/>
      <c r="AH859" s="14"/>
      <c r="AI859" s="14"/>
      <c r="AJ859" s="14"/>
      <c r="AK859" s="14"/>
      <c r="AL859" s="14"/>
      <c r="AM859" s="14"/>
      <c r="AN859" s="14"/>
    </row>
    <row r="860" ht="15.75" customHeight="1">
      <c r="A860" s="14"/>
      <c r="B860" s="14"/>
      <c r="C860" s="14"/>
      <c r="D860" s="14"/>
      <c r="E860" s="14"/>
      <c r="F860" s="14"/>
      <c r="G860" s="14"/>
      <c r="H860" s="14"/>
      <c r="I860" s="14"/>
      <c r="J860" s="14"/>
      <c r="K860" s="14"/>
      <c r="L860" s="14"/>
      <c r="M860" s="14"/>
      <c r="N860" s="14"/>
      <c r="O860" s="14"/>
      <c r="P860" s="14"/>
      <c r="Q860" s="14"/>
      <c r="R860" s="18"/>
      <c r="S860" s="18"/>
      <c r="T860" s="93"/>
      <c r="U860" s="20"/>
      <c r="V860" s="14"/>
      <c r="W860" s="14"/>
      <c r="X860" s="14"/>
      <c r="Y860" s="14"/>
      <c r="Z860" s="14"/>
      <c r="AA860" s="14"/>
      <c r="AB860" s="14"/>
      <c r="AC860" s="14"/>
      <c r="AD860" s="14"/>
      <c r="AE860" s="14"/>
      <c r="AF860" s="14"/>
      <c r="AG860" s="14"/>
      <c r="AH860" s="14"/>
      <c r="AI860" s="14"/>
      <c r="AJ860" s="14"/>
      <c r="AK860" s="14"/>
      <c r="AL860" s="14"/>
      <c r="AM860" s="14"/>
      <c r="AN860" s="14"/>
    </row>
    <row r="861" ht="15.75" customHeight="1">
      <c r="A861" s="14"/>
      <c r="B861" s="14"/>
      <c r="C861" s="14"/>
      <c r="D861" s="14"/>
      <c r="E861" s="14"/>
      <c r="F861" s="14"/>
      <c r="G861" s="14"/>
      <c r="H861" s="14"/>
      <c r="I861" s="14"/>
      <c r="J861" s="14"/>
      <c r="K861" s="14"/>
      <c r="L861" s="14"/>
      <c r="M861" s="14"/>
      <c r="N861" s="14"/>
      <c r="O861" s="14"/>
      <c r="P861" s="14"/>
      <c r="Q861" s="14"/>
      <c r="R861" s="18"/>
      <c r="S861" s="18"/>
      <c r="T861" s="93"/>
      <c r="U861" s="20"/>
      <c r="V861" s="14"/>
      <c r="W861" s="14"/>
      <c r="X861" s="14"/>
      <c r="Y861" s="14"/>
      <c r="Z861" s="14"/>
      <c r="AA861" s="14"/>
      <c r="AB861" s="14"/>
      <c r="AC861" s="14"/>
      <c r="AD861" s="14"/>
      <c r="AE861" s="14"/>
      <c r="AF861" s="14"/>
      <c r="AG861" s="14"/>
      <c r="AH861" s="14"/>
      <c r="AI861" s="14"/>
      <c r="AJ861" s="14"/>
      <c r="AK861" s="14"/>
      <c r="AL861" s="14"/>
      <c r="AM861" s="14"/>
      <c r="AN861" s="14"/>
    </row>
    <row r="862" ht="15.75" customHeight="1">
      <c r="A862" s="14"/>
      <c r="B862" s="14"/>
      <c r="C862" s="14"/>
      <c r="D862" s="14"/>
      <c r="E862" s="14"/>
      <c r="F862" s="14"/>
      <c r="G862" s="14"/>
      <c r="H862" s="14"/>
      <c r="I862" s="14"/>
      <c r="J862" s="14"/>
      <c r="K862" s="14"/>
      <c r="L862" s="14"/>
      <c r="M862" s="14"/>
      <c r="N862" s="14"/>
      <c r="O862" s="14"/>
      <c r="P862" s="14"/>
      <c r="Q862" s="14"/>
      <c r="R862" s="18"/>
      <c r="S862" s="18"/>
      <c r="T862" s="93"/>
      <c r="U862" s="20"/>
      <c r="V862" s="14"/>
      <c r="W862" s="14"/>
      <c r="X862" s="14"/>
      <c r="Y862" s="14"/>
      <c r="Z862" s="14"/>
      <c r="AA862" s="14"/>
      <c r="AB862" s="14"/>
      <c r="AC862" s="14"/>
      <c r="AD862" s="14"/>
      <c r="AE862" s="14"/>
      <c r="AF862" s="14"/>
      <c r="AG862" s="14"/>
      <c r="AH862" s="14"/>
      <c r="AI862" s="14"/>
      <c r="AJ862" s="14"/>
      <c r="AK862" s="14"/>
      <c r="AL862" s="14"/>
      <c r="AM862" s="14"/>
      <c r="AN862" s="14"/>
    </row>
    <row r="863" ht="15.75" customHeight="1">
      <c r="A863" s="14"/>
      <c r="B863" s="14"/>
      <c r="C863" s="14"/>
      <c r="D863" s="14"/>
      <c r="E863" s="14"/>
      <c r="F863" s="14"/>
      <c r="G863" s="14"/>
      <c r="H863" s="14"/>
      <c r="I863" s="14"/>
      <c r="J863" s="14"/>
      <c r="K863" s="14"/>
      <c r="L863" s="14"/>
      <c r="M863" s="14"/>
      <c r="N863" s="14"/>
      <c r="O863" s="14"/>
      <c r="P863" s="14"/>
      <c r="Q863" s="14"/>
      <c r="R863" s="18"/>
      <c r="S863" s="18"/>
      <c r="T863" s="93"/>
      <c r="U863" s="20"/>
      <c r="V863" s="14"/>
      <c r="W863" s="14"/>
      <c r="X863" s="14"/>
      <c r="Y863" s="14"/>
      <c r="Z863" s="14"/>
      <c r="AA863" s="14"/>
      <c r="AB863" s="14"/>
      <c r="AC863" s="14"/>
      <c r="AD863" s="14"/>
      <c r="AE863" s="14"/>
      <c r="AF863" s="14"/>
      <c r="AG863" s="14"/>
      <c r="AH863" s="14"/>
      <c r="AI863" s="14"/>
      <c r="AJ863" s="14"/>
      <c r="AK863" s="14"/>
      <c r="AL863" s="14"/>
      <c r="AM863" s="14"/>
      <c r="AN863" s="14"/>
    </row>
    <row r="864" ht="15.75" customHeight="1">
      <c r="A864" s="14"/>
      <c r="B864" s="14"/>
      <c r="C864" s="14"/>
      <c r="D864" s="14"/>
      <c r="E864" s="14"/>
      <c r="F864" s="14"/>
      <c r="G864" s="14"/>
      <c r="H864" s="14"/>
      <c r="I864" s="14"/>
      <c r="J864" s="14"/>
      <c r="K864" s="14"/>
      <c r="L864" s="14"/>
      <c r="M864" s="14"/>
      <c r="N864" s="14"/>
      <c r="O864" s="14"/>
      <c r="P864" s="14"/>
      <c r="Q864" s="14"/>
      <c r="R864" s="18"/>
      <c r="S864" s="18"/>
      <c r="T864" s="93"/>
      <c r="U864" s="20"/>
      <c r="V864" s="14"/>
      <c r="W864" s="14"/>
      <c r="X864" s="14"/>
      <c r="Y864" s="14"/>
      <c r="Z864" s="14"/>
      <c r="AA864" s="14"/>
      <c r="AB864" s="14"/>
      <c r="AC864" s="14"/>
      <c r="AD864" s="14"/>
      <c r="AE864" s="14"/>
      <c r="AF864" s="14"/>
      <c r="AG864" s="14"/>
      <c r="AH864" s="14"/>
      <c r="AI864" s="14"/>
      <c r="AJ864" s="14"/>
      <c r="AK864" s="14"/>
      <c r="AL864" s="14"/>
      <c r="AM864" s="14"/>
      <c r="AN864" s="14"/>
    </row>
    <row r="865" ht="15.75" customHeight="1">
      <c r="A865" s="14"/>
      <c r="B865" s="14"/>
      <c r="C865" s="14"/>
      <c r="D865" s="14"/>
      <c r="E865" s="14"/>
      <c r="F865" s="14"/>
      <c r="G865" s="14"/>
      <c r="H865" s="14"/>
      <c r="I865" s="14"/>
      <c r="J865" s="14"/>
      <c r="K865" s="14"/>
      <c r="L865" s="14"/>
      <c r="M865" s="14"/>
      <c r="N865" s="14"/>
      <c r="O865" s="14"/>
      <c r="P865" s="14"/>
      <c r="Q865" s="14"/>
      <c r="R865" s="18"/>
      <c r="S865" s="18"/>
      <c r="T865" s="93"/>
      <c r="U865" s="20"/>
      <c r="V865" s="14"/>
      <c r="W865" s="14"/>
      <c r="X865" s="14"/>
      <c r="Y865" s="14"/>
      <c r="Z865" s="14"/>
      <c r="AA865" s="14"/>
      <c r="AB865" s="14"/>
      <c r="AC865" s="14"/>
      <c r="AD865" s="14"/>
      <c r="AE865" s="14"/>
      <c r="AF865" s="14"/>
      <c r="AG865" s="14"/>
      <c r="AH865" s="14"/>
      <c r="AI865" s="14"/>
      <c r="AJ865" s="14"/>
      <c r="AK865" s="14"/>
      <c r="AL865" s="14"/>
      <c r="AM865" s="14"/>
      <c r="AN865" s="14"/>
    </row>
    <row r="866" ht="15.75" customHeight="1">
      <c r="A866" s="14"/>
      <c r="B866" s="14"/>
      <c r="C866" s="14"/>
      <c r="D866" s="14"/>
      <c r="E866" s="14"/>
      <c r="F866" s="14"/>
      <c r="G866" s="14"/>
      <c r="H866" s="14"/>
      <c r="I866" s="14"/>
      <c r="J866" s="14"/>
      <c r="K866" s="14"/>
      <c r="L866" s="14"/>
      <c r="M866" s="14"/>
      <c r="N866" s="14"/>
      <c r="O866" s="14"/>
      <c r="P866" s="14"/>
      <c r="Q866" s="14"/>
      <c r="R866" s="18"/>
      <c r="S866" s="18"/>
      <c r="T866" s="93"/>
      <c r="U866" s="20"/>
      <c r="V866" s="14"/>
      <c r="W866" s="14"/>
      <c r="X866" s="14"/>
      <c r="Y866" s="14"/>
      <c r="Z866" s="14"/>
      <c r="AA866" s="14"/>
      <c r="AB866" s="14"/>
      <c r="AC866" s="14"/>
      <c r="AD866" s="14"/>
      <c r="AE866" s="14"/>
      <c r="AF866" s="14"/>
      <c r="AG866" s="14"/>
      <c r="AH866" s="14"/>
      <c r="AI866" s="14"/>
      <c r="AJ866" s="14"/>
      <c r="AK866" s="14"/>
      <c r="AL866" s="14"/>
      <c r="AM866" s="14"/>
      <c r="AN866" s="14"/>
    </row>
    <row r="867" ht="15.75" customHeight="1">
      <c r="A867" s="14"/>
      <c r="B867" s="14"/>
      <c r="C867" s="14"/>
      <c r="D867" s="14"/>
      <c r="E867" s="14"/>
      <c r="F867" s="14"/>
      <c r="G867" s="14"/>
      <c r="H867" s="14"/>
      <c r="I867" s="14"/>
      <c r="J867" s="14"/>
      <c r="K867" s="14"/>
      <c r="L867" s="14"/>
      <c r="M867" s="14"/>
      <c r="N867" s="14"/>
      <c r="O867" s="14"/>
      <c r="P867" s="14"/>
      <c r="Q867" s="14"/>
      <c r="R867" s="18"/>
      <c r="S867" s="18"/>
      <c r="T867" s="93"/>
      <c r="U867" s="20"/>
      <c r="V867" s="14"/>
      <c r="W867" s="14"/>
      <c r="X867" s="14"/>
      <c r="Y867" s="14"/>
      <c r="Z867" s="14"/>
      <c r="AA867" s="14"/>
      <c r="AB867" s="14"/>
      <c r="AC867" s="14"/>
      <c r="AD867" s="14"/>
      <c r="AE867" s="14"/>
      <c r="AF867" s="14"/>
      <c r="AG867" s="14"/>
      <c r="AH867" s="14"/>
      <c r="AI867" s="14"/>
      <c r="AJ867" s="14"/>
      <c r="AK867" s="14"/>
      <c r="AL867" s="14"/>
      <c r="AM867" s="14"/>
      <c r="AN867" s="14"/>
    </row>
    <row r="868" ht="15.75" customHeight="1">
      <c r="A868" s="14"/>
      <c r="B868" s="14"/>
      <c r="C868" s="14"/>
      <c r="D868" s="14"/>
      <c r="E868" s="14"/>
      <c r="F868" s="14"/>
      <c r="G868" s="14"/>
      <c r="H868" s="14"/>
      <c r="I868" s="14"/>
      <c r="J868" s="14"/>
      <c r="K868" s="14"/>
      <c r="L868" s="14"/>
      <c r="M868" s="14"/>
      <c r="N868" s="14"/>
      <c r="O868" s="14"/>
      <c r="P868" s="14"/>
      <c r="Q868" s="14"/>
      <c r="R868" s="18"/>
      <c r="S868" s="18"/>
      <c r="T868" s="93"/>
      <c r="U868" s="20"/>
      <c r="V868" s="14"/>
      <c r="W868" s="14"/>
      <c r="X868" s="14"/>
      <c r="Y868" s="14"/>
      <c r="Z868" s="14"/>
      <c r="AA868" s="14"/>
      <c r="AB868" s="14"/>
      <c r="AC868" s="14"/>
      <c r="AD868" s="14"/>
      <c r="AE868" s="14"/>
      <c r="AF868" s="14"/>
      <c r="AG868" s="14"/>
      <c r="AH868" s="14"/>
      <c r="AI868" s="14"/>
      <c r="AJ868" s="14"/>
      <c r="AK868" s="14"/>
      <c r="AL868" s="14"/>
      <c r="AM868" s="14"/>
      <c r="AN868" s="14"/>
    </row>
    <row r="869" ht="15.75" customHeight="1">
      <c r="A869" s="14"/>
      <c r="B869" s="14"/>
      <c r="C869" s="14"/>
      <c r="D869" s="14"/>
      <c r="E869" s="14"/>
      <c r="F869" s="14"/>
      <c r="G869" s="14"/>
      <c r="H869" s="14"/>
      <c r="I869" s="14"/>
      <c r="J869" s="14"/>
      <c r="K869" s="14"/>
      <c r="L869" s="14"/>
      <c r="M869" s="14"/>
      <c r="N869" s="14"/>
      <c r="O869" s="14"/>
      <c r="P869" s="14"/>
      <c r="Q869" s="14"/>
      <c r="R869" s="18"/>
      <c r="S869" s="18"/>
      <c r="T869" s="93"/>
      <c r="U869" s="20"/>
      <c r="V869" s="14"/>
      <c r="W869" s="14"/>
      <c r="X869" s="14"/>
      <c r="Y869" s="14"/>
      <c r="Z869" s="14"/>
      <c r="AA869" s="14"/>
      <c r="AB869" s="14"/>
      <c r="AC869" s="14"/>
      <c r="AD869" s="14"/>
      <c r="AE869" s="14"/>
      <c r="AF869" s="14"/>
      <c r="AG869" s="14"/>
      <c r="AH869" s="14"/>
      <c r="AI869" s="14"/>
      <c r="AJ869" s="14"/>
      <c r="AK869" s="14"/>
      <c r="AL869" s="14"/>
      <c r="AM869" s="14"/>
      <c r="AN869" s="14"/>
    </row>
    <row r="870" ht="15.75" customHeight="1">
      <c r="A870" s="14"/>
      <c r="B870" s="14"/>
      <c r="C870" s="14"/>
      <c r="D870" s="14"/>
      <c r="E870" s="14"/>
      <c r="F870" s="14"/>
      <c r="G870" s="14"/>
      <c r="H870" s="14"/>
      <c r="I870" s="14"/>
      <c r="J870" s="14"/>
      <c r="K870" s="14"/>
      <c r="L870" s="14"/>
      <c r="M870" s="14"/>
      <c r="N870" s="14"/>
      <c r="O870" s="14"/>
      <c r="P870" s="14"/>
      <c r="Q870" s="14"/>
      <c r="R870" s="18"/>
      <c r="S870" s="18"/>
      <c r="T870" s="93"/>
      <c r="U870" s="20"/>
      <c r="V870" s="14"/>
      <c r="W870" s="14"/>
      <c r="X870" s="14"/>
      <c r="Y870" s="14"/>
      <c r="Z870" s="14"/>
      <c r="AA870" s="14"/>
      <c r="AB870" s="14"/>
      <c r="AC870" s="14"/>
      <c r="AD870" s="14"/>
      <c r="AE870" s="14"/>
      <c r="AF870" s="14"/>
      <c r="AG870" s="14"/>
      <c r="AH870" s="14"/>
      <c r="AI870" s="14"/>
      <c r="AJ870" s="14"/>
      <c r="AK870" s="14"/>
      <c r="AL870" s="14"/>
      <c r="AM870" s="14"/>
      <c r="AN870" s="14"/>
    </row>
    <row r="871" ht="15.75" customHeight="1">
      <c r="A871" s="14"/>
      <c r="B871" s="14"/>
      <c r="C871" s="14"/>
      <c r="D871" s="14"/>
      <c r="E871" s="14"/>
      <c r="F871" s="14"/>
      <c r="G871" s="14"/>
      <c r="H871" s="14"/>
      <c r="I871" s="14"/>
      <c r="J871" s="14"/>
      <c r="K871" s="14"/>
      <c r="L871" s="14"/>
      <c r="M871" s="14"/>
      <c r="N871" s="14"/>
      <c r="O871" s="14"/>
      <c r="P871" s="14"/>
      <c r="Q871" s="14"/>
      <c r="R871" s="18"/>
      <c r="S871" s="18"/>
      <c r="T871" s="93"/>
      <c r="U871" s="20"/>
      <c r="V871" s="14"/>
      <c r="W871" s="14"/>
      <c r="X871" s="14"/>
      <c r="Y871" s="14"/>
      <c r="Z871" s="14"/>
      <c r="AA871" s="14"/>
      <c r="AB871" s="14"/>
      <c r="AC871" s="14"/>
      <c r="AD871" s="14"/>
      <c r="AE871" s="14"/>
      <c r="AF871" s="14"/>
      <c r="AG871" s="14"/>
      <c r="AH871" s="14"/>
      <c r="AI871" s="14"/>
      <c r="AJ871" s="14"/>
      <c r="AK871" s="14"/>
      <c r="AL871" s="14"/>
      <c r="AM871" s="14"/>
      <c r="AN871" s="14"/>
    </row>
    <row r="872" ht="15.75" customHeight="1">
      <c r="A872" s="14"/>
      <c r="B872" s="14"/>
      <c r="C872" s="14"/>
      <c r="D872" s="14"/>
      <c r="E872" s="14"/>
      <c r="F872" s="14"/>
      <c r="G872" s="14"/>
      <c r="H872" s="14"/>
      <c r="I872" s="14"/>
      <c r="J872" s="14"/>
      <c r="K872" s="14"/>
      <c r="L872" s="14"/>
      <c r="M872" s="14"/>
      <c r="N872" s="14"/>
      <c r="O872" s="14"/>
      <c r="P872" s="14"/>
      <c r="Q872" s="14"/>
      <c r="R872" s="18"/>
      <c r="S872" s="18"/>
      <c r="T872" s="93"/>
      <c r="U872" s="20"/>
      <c r="V872" s="14"/>
      <c r="W872" s="14"/>
      <c r="X872" s="14"/>
      <c r="Y872" s="14"/>
      <c r="Z872" s="14"/>
      <c r="AA872" s="14"/>
      <c r="AB872" s="14"/>
      <c r="AC872" s="14"/>
      <c r="AD872" s="14"/>
      <c r="AE872" s="14"/>
      <c r="AF872" s="14"/>
      <c r="AG872" s="14"/>
      <c r="AH872" s="14"/>
      <c r="AI872" s="14"/>
      <c r="AJ872" s="14"/>
      <c r="AK872" s="14"/>
      <c r="AL872" s="14"/>
      <c r="AM872" s="14"/>
      <c r="AN872" s="14"/>
    </row>
    <row r="873" ht="15.75" customHeight="1">
      <c r="A873" s="14"/>
      <c r="B873" s="14"/>
      <c r="C873" s="14"/>
      <c r="D873" s="14"/>
      <c r="E873" s="14"/>
      <c r="F873" s="14"/>
      <c r="G873" s="14"/>
      <c r="H873" s="14"/>
      <c r="I873" s="14"/>
      <c r="J873" s="14"/>
      <c r="K873" s="14"/>
      <c r="L873" s="14"/>
      <c r="M873" s="14"/>
      <c r="N873" s="14"/>
      <c r="O873" s="14"/>
      <c r="P873" s="14"/>
      <c r="Q873" s="14"/>
      <c r="R873" s="18"/>
      <c r="S873" s="18"/>
      <c r="T873" s="93"/>
      <c r="U873" s="20"/>
      <c r="V873" s="14"/>
      <c r="W873" s="14"/>
      <c r="X873" s="14"/>
      <c r="Y873" s="14"/>
      <c r="Z873" s="14"/>
      <c r="AA873" s="14"/>
      <c r="AB873" s="14"/>
      <c r="AC873" s="14"/>
      <c r="AD873" s="14"/>
      <c r="AE873" s="14"/>
      <c r="AF873" s="14"/>
      <c r="AG873" s="14"/>
      <c r="AH873" s="14"/>
      <c r="AI873" s="14"/>
      <c r="AJ873" s="14"/>
      <c r="AK873" s="14"/>
      <c r="AL873" s="14"/>
      <c r="AM873" s="14"/>
      <c r="AN873" s="14"/>
    </row>
    <row r="874" ht="15.75" customHeight="1">
      <c r="A874" s="14"/>
      <c r="B874" s="14"/>
      <c r="C874" s="14"/>
      <c r="D874" s="14"/>
      <c r="E874" s="14"/>
      <c r="F874" s="14"/>
      <c r="G874" s="14"/>
      <c r="H874" s="14"/>
      <c r="I874" s="14"/>
      <c r="J874" s="14"/>
      <c r="K874" s="14"/>
      <c r="L874" s="14"/>
      <c r="M874" s="14"/>
      <c r="N874" s="14"/>
      <c r="O874" s="14"/>
      <c r="P874" s="14"/>
      <c r="Q874" s="14"/>
      <c r="R874" s="18"/>
      <c r="S874" s="18"/>
      <c r="T874" s="93"/>
      <c r="U874" s="20"/>
      <c r="V874" s="14"/>
      <c r="W874" s="14"/>
      <c r="X874" s="14"/>
      <c r="Y874" s="14"/>
      <c r="Z874" s="14"/>
      <c r="AA874" s="14"/>
      <c r="AB874" s="14"/>
      <c r="AC874" s="14"/>
      <c r="AD874" s="14"/>
      <c r="AE874" s="14"/>
      <c r="AF874" s="14"/>
      <c r="AG874" s="14"/>
      <c r="AH874" s="14"/>
      <c r="AI874" s="14"/>
      <c r="AJ874" s="14"/>
      <c r="AK874" s="14"/>
      <c r="AL874" s="14"/>
      <c r="AM874" s="14"/>
      <c r="AN874" s="14"/>
    </row>
    <row r="875" ht="15.75" customHeight="1">
      <c r="A875" s="14"/>
      <c r="B875" s="14"/>
      <c r="C875" s="14"/>
      <c r="D875" s="14"/>
      <c r="E875" s="14"/>
      <c r="F875" s="14"/>
      <c r="G875" s="14"/>
      <c r="H875" s="14"/>
      <c r="I875" s="14"/>
      <c r="J875" s="14"/>
      <c r="K875" s="14"/>
      <c r="L875" s="14"/>
      <c r="M875" s="14"/>
      <c r="N875" s="14"/>
      <c r="O875" s="14"/>
      <c r="P875" s="14"/>
      <c r="Q875" s="14"/>
      <c r="R875" s="18"/>
      <c r="S875" s="18"/>
      <c r="T875" s="93"/>
      <c r="U875" s="20"/>
      <c r="V875" s="14"/>
      <c r="W875" s="14"/>
      <c r="X875" s="14"/>
      <c r="Y875" s="14"/>
      <c r="Z875" s="14"/>
      <c r="AA875" s="14"/>
      <c r="AB875" s="14"/>
      <c r="AC875" s="14"/>
      <c r="AD875" s="14"/>
      <c r="AE875" s="14"/>
      <c r="AF875" s="14"/>
      <c r="AG875" s="14"/>
      <c r="AH875" s="14"/>
      <c r="AI875" s="14"/>
      <c r="AJ875" s="14"/>
      <c r="AK875" s="14"/>
      <c r="AL875" s="14"/>
      <c r="AM875" s="14"/>
      <c r="AN875" s="14"/>
    </row>
    <row r="876" ht="15.75" customHeight="1">
      <c r="A876" s="14"/>
      <c r="B876" s="14"/>
      <c r="C876" s="14"/>
      <c r="D876" s="14"/>
      <c r="E876" s="14"/>
      <c r="F876" s="14"/>
      <c r="G876" s="14"/>
      <c r="H876" s="14"/>
      <c r="I876" s="14"/>
      <c r="J876" s="14"/>
      <c r="K876" s="14"/>
      <c r="L876" s="14"/>
      <c r="M876" s="14"/>
      <c r="N876" s="14"/>
      <c r="O876" s="14"/>
      <c r="P876" s="14"/>
      <c r="Q876" s="14"/>
      <c r="R876" s="18"/>
      <c r="S876" s="18"/>
      <c r="T876" s="93"/>
      <c r="U876" s="20"/>
      <c r="V876" s="14"/>
      <c r="W876" s="14"/>
      <c r="X876" s="14"/>
      <c r="Y876" s="14"/>
      <c r="Z876" s="14"/>
      <c r="AA876" s="14"/>
      <c r="AB876" s="14"/>
      <c r="AC876" s="14"/>
      <c r="AD876" s="14"/>
      <c r="AE876" s="14"/>
      <c r="AF876" s="14"/>
      <c r="AG876" s="14"/>
      <c r="AH876" s="14"/>
      <c r="AI876" s="14"/>
      <c r="AJ876" s="14"/>
      <c r="AK876" s="14"/>
      <c r="AL876" s="14"/>
      <c r="AM876" s="14"/>
      <c r="AN876" s="14"/>
    </row>
    <row r="877" ht="15.75" customHeight="1">
      <c r="A877" s="14"/>
      <c r="B877" s="14"/>
      <c r="C877" s="14"/>
      <c r="D877" s="14"/>
      <c r="E877" s="14"/>
      <c r="F877" s="14"/>
      <c r="G877" s="14"/>
      <c r="H877" s="14"/>
      <c r="I877" s="14"/>
      <c r="J877" s="14"/>
      <c r="K877" s="14"/>
      <c r="L877" s="14"/>
      <c r="M877" s="14"/>
      <c r="N877" s="14"/>
      <c r="O877" s="14"/>
      <c r="P877" s="14"/>
      <c r="Q877" s="14"/>
      <c r="R877" s="18"/>
      <c r="S877" s="18"/>
      <c r="T877" s="93"/>
      <c r="U877" s="20"/>
      <c r="V877" s="14"/>
      <c r="W877" s="14"/>
      <c r="X877" s="14"/>
      <c r="Y877" s="14"/>
      <c r="Z877" s="14"/>
      <c r="AA877" s="14"/>
      <c r="AB877" s="14"/>
      <c r="AC877" s="14"/>
      <c r="AD877" s="14"/>
      <c r="AE877" s="14"/>
      <c r="AF877" s="14"/>
      <c r="AG877" s="14"/>
      <c r="AH877" s="14"/>
      <c r="AI877" s="14"/>
      <c r="AJ877" s="14"/>
      <c r="AK877" s="14"/>
      <c r="AL877" s="14"/>
      <c r="AM877" s="14"/>
      <c r="AN877" s="14"/>
    </row>
    <row r="878" ht="15.75" customHeight="1">
      <c r="A878" s="14"/>
      <c r="B878" s="14"/>
      <c r="C878" s="14"/>
      <c r="D878" s="14"/>
      <c r="E878" s="14"/>
      <c r="F878" s="14"/>
      <c r="G878" s="14"/>
      <c r="H878" s="14"/>
      <c r="I878" s="14"/>
      <c r="J878" s="14"/>
      <c r="K878" s="14"/>
      <c r="L878" s="14"/>
      <c r="M878" s="14"/>
      <c r="N878" s="14"/>
      <c r="O878" s="14"/>
      <c r="P878" s="14"/>
      <c r="Q878" s="14"/>
      <c r="R878" s="18"/>
      <c r="S878" s="18"/>
      <c r="T878" s="93"/>
      <c r="U878" s="20"/>
      <c r="V878" s="14"/>
      <c r="W878" s="14"/>
      <c r="X878" s="14"/>
      <c r="Y878" s="14"/>
      <c r="Z878" s="14"/>
      <c r="AA878" s="14"/>
      <c r="AB878" s="14"/>
      <c r="AC878" s="14"/>
      <c r="AD878" s="14"/>
      <c r="AE878" s="14"/>
      <c r="AF878" s="14"/>
      <c r="AG878" s="14"/>
      <c r="AH878" s="14"/>
      <c r="AI878" s="14"/>
      <c r="AJ878" s="14"/>
      <c r="AK878" s="14"/>
      <c r="AL878" s="14"/>
      <c r="AM878" s="14"/>
      <c r="AN878" s="14"/>
    </row>
    <row r="879" ht="15.75" customHeight="1">
      <c r="A879" s="14"/>
      <c r="B879" s="14"/>
      <c r="C879" s="14"/>
      <c r="D879" s="14"/>
      <c r="E879" s="14"/>
      <c r="F879" s="14"/>
      <c r="G879" s="14"/>
      <c r="H879" s="14"/>
      <c r="I879" s="14"/>
      <c r="J879" s="14"/>
      <c r="K879" s="14"/>
      <c r="L879" s="14"/>
      <c r="M879" s="14"/>
      <c r="N879" s="14"/>
      <c r="O879" s="14"/>
      <c r="P879" s="14"/>
      <c r="Q879" s="14"/>
      <c r="R879" s="18"/>
      <c r="S879" s="18"/>
      <c r="T879" s="93"/>
      <c r="U879" s="20"/>
      <c r="V879" s="14"/>
      <c r="W879" s="14"/>
      <c r="X879" s="14"/>
      <c r="Y879" s="14"/>
      <c r="Z879" s="14"/>
      <c r="AA879" s="14"/>
      <c r="AB879" s="14"/>
      <c r="AC879" s="14"/>
      <c r="AD879" s="14"/>
      <c r="AE879" s="14"/>
      <c r="AF879" s="14"/>
      <c r="AG879" s="14"/>
      <c r="AH879" s="14"/>
      <c r="AI879" s="14"/>
      <c r="AJ879" s="14"/>
      <c r="AK879" s="14"/>
      <c r="AL879" s="14"/>
      <c r="AM879" s="14"/>
      <c r="AN879" s="14"/>
    </row>
    <row r="880" ht="15.75" customHeight="1">
      <c r="A880" s="14"/>
      <c r="B880" s="14"/>
      <c r="C880" s="14"/>
      <c r="D880" s="14"/>
      <c r="E880" s="14"/>
      <c r="F880" s="14"/>
      <c r="G880" s="14"/>
      <c r="H880" s="14"/>
      <c r="I880" s="14"/>
      <c r="J880" s="14"/>
      <c r="K880" s="14"/>
      <c r="L880" s="14"/>
      <c r="M880" s="14"/>
      <c r="N880" s="14"/>
      <c r="O880" s="14"/>
      <c r="P880" s="14"/>
      <c r="Q880" s="14"/>
      <c r="R880" s="18"/>
      <c r="S880" s="18"/>
      <c r="T880" s="93"/>
      <c r="U880" s="20"/>
      <c r="V880" s="14"/>
      <c r="W880" s="14"/>
      <c r="X880" s="14"/>
      <c r="Y880" s="14"/>
      <c r="Z880" s="14"/>
      <c r="AA880" s="14"/>
      <c r="AB880" s="14"/>
      <c r="AC880" s="14"/>
      <c r="AD880" s="14"/>
      <c r="AE880" s="14"/>
      <c r="AF880" s="14"/>
      <c r="AG880" s="14"/>
      <c r="AH880" s="14"/>
      <c r="AI880" s="14"/>
      <c r="AJ880" s="14"/>
      <c r="AK880" s="14"/>
      <c r="AL880" s="14"/>
      <c r="AM880" s="14"/>
      <c r="AN880" s="14"/>
    </row>
    <row r="881" ht="15.75" customHeight="1">
      <c r="A881" s="14"/>
      <c r="B881" s="14"/>
      <c r="C881" s="14"/>
      <c r="D881" s="14"/>
      <c r="E881" s="14"/>
      <c r="F881" s="14"/>
      <c r="G881" s="14"/>
      <c r="H881" s="14"/>
      <c r="I881" s="14"/>
      <c r="J881" s="14"/>
      <c r="K881" s="14"/>
      <c r="L881" s="14"/>
      <c r="M881" s="14"/>
      <c r="N881" s="14"/>
      <c r="O881" s="14"/>
      <c r="P881" s="14"/>
      <c r="Q881" s="14"/>
      <c r="R881" s="18"/>
      <c r="S881" s="18"/>
      <c r="T881" s="93"/>
      <c r="U881" s="20"/>
      <c r="V881" s="14"/>
      <c r="W881" s="14"/>
      <c r="X881" s="14"/>
      <c r="Y881" s="14"/>
      <c r="Z881" s="14"/>
      <c r="AA881" s="14"/>
      <c r="AB881" s="14"/>
      <c r="AC881" s="14"/>
      <c r="AD881" s="14"/>
      <c r="AE881" s="14"/>
      <c r="AF881" s="14"/>
      <c r="AG881" s="14"/>
      <c r="AH881" s="14"/>
      <c r="AI881" s="14"/>
      <c r="AJ881" s="14"/>
      <c r="AK881" s="14"/>
      <c r="AL881" s="14"/>
      <c r="AM881" s="14"/>
      <c r="AN881" s="14"/>
    </row>
    <row r="882" ht="15.75" customHeight="1">
      <c r="A882" s="14"/>
      <c r="B882" s="14"/>
      <c r="C882" s="14"/>
      <c r="D882" s="14"/>
      <c r="E882" s="14"/>
      <c r="F882" s="14"/>
      <c r="G882" s="14"/>
      <c r="H882" s="14"/>
      <c r="I882" s="14"/>
      <c r="J882" s="14"/>
      <c r="K882" s="14"/>
      <c r="L882" s="14"/>
      <c r="M882" s="14"/>
      <c r="N882" s="14"/>
      <c r="O882" s="14"/>
      <c r="P882" s="14"/>
      <c r="Q882" s="14"/>
      <c r="R882" s="18"/>
      <c r="S882" s="18"/>
      <c r="T882" s="93"/>
      <c r="U882" s="20"/>
      <c r="V882" s="14"/>
      <c r="W882" s="14"/>
      <c r="X882" s="14"/>
      <c r="Y882" s="14"/>
      <c r="Z882" s="14"/>
      <c r="AA882" s="14"/>
      <c r="AB882" s="14"/>
      <c r="AC882" s="14"/>
      <c r="AD882" s="14"/>
      <c r="AE882" s="14"/>
      <c r="AF882" s="14"/>
      <c r="AG882" s="14"/>
      <c r="AH882" s="14"/>
      <c r="AI882" s="14"/>
      <c r="AJ882" s="14"/>
      <c r="AK882" s="14"/>
      <c r="AL882" s="14"/>
      <c r="AM882" s="14"/>
      <c r="AN882" s="14"/>
    </row>
    <row r="883" ht="15.75" customHeight="1">
      <c r="A883" s="14"/>
      <c r="B883" s="14"/>
      <c r="C883" s="14"/>
      <c r="D883" s="14"/>
      <c r="E883" s="14"/>
      <c r="F883" s="14"/>
      <c r="G883" s="14"/>
      <c r="H883" s="14"/>
      <c r="I883" s="14"/>
      <c r="J883" s="14"/>
      <c r="K883" s="14"/>
      <c r="L883" s="14"/>
      <c r="M883" s="14"/>
      <c r="N883" s="14"/>
      <c r="O883" s="14"/>
      <c r="P883" s="14"/>
      <c r="Q883" s="14"/>
      <c r="R883" s="18"/>
      <c r="S883" s="18"/>
      <c r="T883" s="93"/>
      <c r="U883" s="20"/>
      <c r="V883" s="14"/>
      <c r="W883" s="14"/>
      <c r="X883" s="14"/>
      <c r="Y883" s="14"/>
      <c r="Z883" s="14"/>
      <c r="AA883" s="14"/>
      <c r="AB883" s="14"/>
      <c r="AC883" s="14"/>
      <c r="AD883" s="14"/>
      <c r="AE883" s="14"/>
      <c r="AF883" s="14"/>
      <c r="AG883" s="14"/>
      <c r="AH883" s="14"/>
      <c r="AI883" s="14"/>
      <c r="AJ883" s="14"/>
      <c r="AK883" s="14"/>
      <c r="AL883" s="14"/>
      <c r="AM883" s="14"/>
      <c r="AN883" s="14"/>
    </row>
    <row r="884" ht="15.75" customHeight="1">
      <c r="A884" s="14"/>
      <c r="B884" s="14"/>
      <c r="C884" s="14"/>
      <c r="D884" s="14"/>
      <c r="E884" s="14"/>
      <c r="F884" s="14"/>
      <c r="G884" s="14"/>
      <c r="H884" s="14"/>
      <c r="I884" s="14"/>
      <c r="J884" s="14"/>
      <c r="K884" s="14"/>
      <c r="L884" s="14"/>
      <c r="M884" s="14"/>
      <c r="N884" s="14"/>
      <c r="O884" s="14"/>
      <c r="P884" s="14"/>
      <c r="Q884" s="14"/>
      <c r="R884" s="18"/>
      <c r="S884" s="18"/>
      <c r="T884" s="93"/>
      <c r="U884" s="20"/>
      <c r="V884" s="14"/>
      <c r="W884" s="14"/>
      <c r="X884" s="14"/>
      <c r="Y884" s="14"/>
      <c r="Z884" s="14"/>
      <c r="AA884" s="14"/>
      <c r="AB884" s="14"/>
      <c r="AC884" s="14"/>
      <c r="AD884" s="14"/>
      <c r="AE884" s="14"/>
      <c r="AF884" s="14"/>
      <c r="AG884" s="14"/>
      <c r="AH884" s="14"/>
      <c r="AI884" s="14"/>
      <c r="AJ884" s="14"/>
      <c r="AK884" s="14"/>
      <c r="AL884" s="14"/>
      <c r="AM884" s="14"/>
      <c r="AN884" s="14"/>
    </row>
    <row r="885" ht="15.75" customHeight="1">
      <c r="A885" s="14"/>
      <c r="B885" s="14"/>
      <c r="C885" s="14"/>
      <c r="D885" s="14"/>
      <c r="E885" s="14"/>
      <c r="F885" s="14"/>
      <c r="G885" s="14"/>
      <c r="H885" s="14"/>
      <c r="I885" s="14"/>
      <c r="J885" s="14"/>
      <c r="K885" s="14"/>
      <c r="L885" s="14"/>
      <c r="M885" s="14"/>
      <c r="N885" s="14"/>
      <c r="O885" s="14"/>
      <c r="P885" s="14"/>
      <c r="Q885" s="14"/>
      <c r="R885" s="18"/>
      <c r="S885" s="18"/>
      <c r="T885" s="93"/>
      <c r="U885" s="20"/>
      <c r="V885" s="14"/>
      <c r="W885" s="14"/>
      <c r="X885" s="14"/>
      <c r="Y885" s="14"/>
      <c r="Z885" s="14"/>
      <c r="AA885" s="14"/>
      <c r="AB885" s="14"/>
      <c r="AC885" s="14"/>
      <c r="AD885" s="14"/>
      <c r="AE885" s="14"/>
      <c r="AF885" s="14"/>
      <c r="AG885" s="14"/>
      <c r="AH885" s="14"/>
      <c r="AI885" s="14"/>
      <c r="AJ885" s="14"/>
      <c r="AK885" s="14"/>
      <c r="AL885" s="14"/>
      <c r="AM885" s="14"/>
      <c r="AN885" s="14"/>
    </row>
    <row r="886" ht="15.75" customHeight="1">
      <c r="A886" s="14"/>
      <c r="B886" s="14"/>
      <c r="C886" s="14"/>
      <c r="D886" s="14"/>
      <c r="E886" s="14"/>
      <c r="F886" s="14"/>
      <c r="G886" s="14"/>
      <c r="H886" s="14"/>
      <c r="I886" s="14"/>
      <c r="J886" s="14"/>
      <c r="K886" s="14"/>
      <c r="L886" s="14"/>
      <c r="M886" s="14"/>
      <c r="N886" s="14"/>
      <c r="O886" s="14"/>
      <c r="P886" s="14"/>
      <c r="Q886" s="14"/>
      <c r="R886" s="18"/>
      <c r="S886" s="18"/>
      <c r="T886" s="93"/>
      <c r="U886" s="20"/>
      <c r="V886" s="14"/>
      <c r="W886" s="14"/>
      <c r="X886" s="14"/>
      <c r="Y886" s="14"/>
      <c r="Z886" s="14"/>
      <c r="AA886" s="14"/>
      <c r="AB886" s="14"/>
      <c r="AC886" s="14"/>
      <c r="AD886" s="14"/>
      <c r="AE886" s="14"/>
      <c r="AF886" s="14"/>
      <c r="AG886" s="14"/>
      <c r="AH886" s="14"/>
      <c r="AI886" s="14"/>
      <c r="AJ886" s="14"/>
      <c r="AK886" s="14"/>
      <c r="AL886" s="14"/>
      <c r="AM886" s="14"/>
      <c r="AN886" s="14"/>
    </row>
    <row r="887" ht="15.75" customHeight="1">
      <c r="A887" s="14"/>
      <c r="B887" s="14"/>
      <c r="C887" s="14"/>
      <c r="D887" s="14"/>
      <c r="E887" s="14"/>
      <c r="F887" s="14"/>
      <c r="G887" s="14"/>
      <c r="H887" s="14"/>
      <c r="I887" s="14"/>
      <c r="J887" s="14"/>
      <c r="K887" s="14"/>
      <c r="L887" s="14"/>
      <c r="M887" s="14"/>
      <c r="N887" s="14"/>
      <c r="O887" s="14"/>
      <c r="P887" s="14"/>
      <c r="Q887" s="14"/>
      <c r="R887" s="18"/>
      <c r="S887" s="18"/>
      <c r="T887" s="93"/>
      <c r="U887" s="20"/>
      <c r="V887" s="14"/>
      <c r="W887" s="14"/>
      <c r="X887" s="14"/>
      <c r="Y887" s="14"/>
      <c r="Z887" s="14"/>
      <c r="AA887" s="14"/>
      <c r="AB887" s="14"/>
      <c r="AC887" s="14"/>
      <c r="AD887" s="14"/>
      <c r="AE887" s="14"/>
      <c r="AF887" s="14"/>
      <c r="AG887" s="14"/>
      <c r="AH887" s="14"/>
      <c r="AI887" s="14"/>
      <c r="AJ887" s="14"/>
      <c r="AK887" s="14"/>
      <c r="AL887" s="14"/>
      <c r="AM887" s="14"/>
      <c r="AN887" s="14"/>
    </row>
    <row r="888" ht="15.75" customHeight="1">
      <c r="A888" s="14"/>
      <c r="B888" s="14"/>
      <c r="C888" s="14"/>
      <c r="D888" s="14"/>
      <c r="E888" s="14"/>
      <c r="F888" s="14"/>
      <c r="G888" s="14"/>
      <c r="H888" s="14"/>
      <c r="I888" s="14"/>
      <c r="J888" s="14"/>
      <c r="K888" s="14"/>
      <c r="L888" s="14"/>
      <c r="M888" s="14"/>
      <c r="N888" s="14"/>
      <c r="O888" s="14"/>
      <c r="P888" s="14"/>
      <c r="Q888" s="14"/>
      <c r="R888" s="18"/>
      <c r="S888" s="18"/>
      <c r="T888" s="93"/>
      <c r="U888" s="20"/>
      <c r="V888" s="14"/>
      <c r="W888" s="14"/>
      <c r="X888" s="14"/>
      <c r="Y888" s="14"/>
      <c r="Z888" s="14"/>
      <c r="AA888" s="14"/>
      <c r="AB888" s="14"/>
      <c r="AC888" s="14"/>
      <c r="AD888" s="14"/>
      <c r="AE888" s="14"/>
      <c r="AF888" s="14"/>
      <c r="AG888" s="14"/>
      <c r="AH888" s="14"/>
      <c r="AI888" s="14"/>
      <c r="AJ888" s="14"/>
      <c r="AK888" s="14"/>
      <c r="AL888" s="14"/>
      <c r="AM888" s="14"/>
      <c r="AN888" s="14"/>
    </row>
    <row r="889" ht="15.75" customHeight="1">
      <c r="A889" s="14"/>
      <c r="B889" s="14"/>
      <c r="C889" s="14"/>
      <c r="D889" s="14"/>
      <c r="E889" s="14"/>
      <c r="F889" s="14"/>
      <c r="G889" s="14"/>
      <c r="H889" s="14"/>
      <c r="I889" s="14"/>
      <c r="J889" s="14"/>
      <c r="K889" s="14"/>
      <c r="L889" s="14"/>
      <c r="M889" s="14"/>
      <c r="N889" s="14"/>
      <c r="O889" s="14"/>
      <c r="P889" s="14"/>
      <c r="Q889" s="14"/>
      <c r="R889" s="18"/>
      <c r="S889" s="18"/>
      <c r="T889" s="93"/>
      <c r="U889" s="20"/>
      <c r="V889" s="14"/>
      <c r="W889" s="14"/>
      <c r="X889" s="14"/>
      <c r="Y889" s="14"/>
      <c r="Z889" s="14"/>
      <c r="AA889" s="14"/>
      <c r="AB889" s="14"/>
      <c r="AC889" s="14"/>
      <c r="AD889" s="14"/>
      <c r="AE889" s="14"/>
      <c r="AF889" s="14"/>
      <c r="AG889" s="14"/>
      <c r="AH889" s="14"/>
      <c r="AI889" s="14"/>
      <c r="AJ889" s="14"/>
      <c r="AK889" s="14"/>
      <c r="AL889" s="14"/>
      <c r="AM889" s="14"/>
      <c r="AN889" s="14"/>
    </row>
    <row r="890" ht="15.75" customHeight="1">
      <c r="A890" s="14"/>
      <c r="B890" s="14"/>
      <c r="C890" s="14"/>
      <c r="D890" s="14"/>
      <c r="E890" s="14"/>
      <c r="F890" s="14"/>
      <c r="G890" s="14"/>
      <c r="H890" s="14"/>
      <c r="I890" s="14"/>
      <c r="J890" s="14"/>
      <c r="K890" s="14"/>
      <c r="L890" s="14"/>
      <c r="M890" s="14"/>
      <c r="N890" s="14"/>
      <c r="O890" s="14"/>
      <c r="P890" s="14"/>
      <c r="Q890" s="14"/>
      <c r="R890" s="18"/>
      <c r="S890" s="18"/>
      <c r="T890" s="93"/>
      <c r="U890" s="20"/>
      <c r="V890" s="14"/>
      <c r="W890" s="14"/>
      <c r="X890" s="14"/>
      <c r="Y890" s="14"/>
      <c r="Z890" s="14"/>
      <c r="AA890" s="14"/>
      <c r="AB890" s="14"/>
      <c r="AC890" s="14"/>
      <c r="AD890" s="14"/>
      <c r="AE890" s="14"/>
      <c r="AF890" s="14"/>
      <c r="AG890" s="14"/>
      <c r="AH890" s="14"/>
      <c r="AI890" s="14"/>
      <c r="AJ890" s="14"/>
      <c r="AK890" s="14"/>
      <c r="AL890" s="14"/>
      <c r="AM890" s="14"/>
      <c r="AN890" s="14"/>
    </row>
    <row r="891" ht="15.75" customHeight="1">
      <c r="A891" s="14"/>
      <c r="B891" s="14"/>
      <c r="C891" s="14"/>
      <c r="D891" s="14"/>
      <c r="E891" s="14"/>
      <c r="F891" s="14"/>
      <c r="G891" s="14"/>
      <c r="H891" s="14"/>
      <c r="I891" s="14"/>
      <c r="J891" s="14"/>
      <c r="K891" s="14"/>
      <c r="L891" s="14"/>
      <c r="M891" s="14"/>
      <c r="N891" s="14"/>
      <c r="O891" s="14"/>
      <c r="P891" s="14"/>
      <c r="Q891" s="14"/>
      <c r="R891" s="18"/>
      <c r="S891" s="18"/>
      <c r="T891" s="93"/>
      <c r="U891" s="20"/>
      <c r="V891" s="14"/>
      <c r="W891" s="14"/>
      <c r="X891" s="14"/>
      <c r="Y891" s="14"/>
      <c r="Z891" s="14"/>
      <c r="AA891" s="14"/>
      <c r="AB891" s="14"/>
      <c r="AC891" s="14"/>
      <c r="AD891" s="14"/>
      <c r="AE891" s="14"/>
      <c r="AF891" s="14"/>
      <c r="AG891" s="14"/>
      <c r="AH891" s="14"/>
      <c r="AI891" s="14"/>
      <c r="AJ891" s="14"/>
      <c r="AK891" s="14"/>
      <c r="AL891" s="14"/>
      <c r="AM891" s="14"/>
      <c r="AN891" s="14"/>
    </row>
    <row r="892" ht="15.75" customHeight="1">
      <c r="A892" s="14"/>
      <c r="B892" s="14"/>
      <c r="C892" s="14"/>
      <c r="D892" s="14"/>
      <c r="E892" s="14"/>
      <c r="F892" s="14"/>
      <c r="G892" s="14"/>
      <c r="H892" s="14"/>
      <c r="I892" s="14"/>
      <c r="J892" s="14"/>
      <c r="K892" s="14"/>
      <c r="L892" s="14"/>
      <c r="M892" s="14"/>
      <c r="N892" s="14"/>
      <c r="O892" s="14"/>
      <c r="P892" s="14"/>
      <c r="Q892" s="14"/>
      <c r="R892" s="18"/>
      <c r="S892" s="18"/>
      <c r="T892" s="93"/>
      <c r="U892" s="20"/>
      <c r="V892" s="14"/>
      <c r="W892" s="14"/>
      <c r="X892" s="14"/>
      <c r="Y892" s="14"/>
      <c r="Z892" s="14"/>
      <c r="AA892" s="14"/>
      <c r="AB892" s="14"/>
      <c r="AC892" s="14"/>
      <c r="AD892" s="14"/>
      <c r="AE892" s="14"/>
      <c r="AF892" s="14"/>
      <c r="AG892" s="14"/>
      <c r="AH892" s="14"/>
      <c r="AI892" s="14"/>
      <c r="AJ892" s="14"/>
      <c r="AK892" s="14"/>
      <c r="AL892" s="14"/>
      <c r="AM892" s="14"/>
      <c r="AN892" s="14"/>
    </row>
    <row r="893" ht="15.75" customHeight="1">
      <c r="A893" s="14"/>
      <c r="B893" s="14"/>
      <c r="C893" s="14"/>
      <c r="D893" s="14"/>
      <c r="E893" s="14"/>
      <c r="F893" s="14"/>
      <c r="G893" s="14"/>
      <c r="H893" s="14"/>
      <c r="I893" s="14"/>
      <c r="J893" s="14"/>
      <c r="K893" s="14"/>
      <c r="L893" s="14"/>
      <c r="M893" s="14"/>
      <c r="N893" s="14"/>
      <c r="O893" s="14"/>
      <c r="P893" s="14"/>
      <c r="Q893" s="14"/>
      <c r="R893" s="18"/>
      <c r="S893" s="18"/>
      <c r="T893" s="93"/>
      <c r="U893" s="20"/>
      <c r="V893" s="14"/>
      <c r="W893" s="14"/>
      <c r="X893" s="14"/>
      <c r="Y893" s="14"/>
      <c r="Z893" s="14"/>
      <c r="AA893" s="14"/>
      <c r="AB893" s="14"/>
      <c r="AC893" s="14"/>
      <c r="AD893" s="14"/>
      <c r="AE893" s="14"/>
      <c r="AF893" s="14"/>
      <c r="AG893" s="14"/>
      <c r="AH893" s="14"/>
      <c r="AI893" s="14"/>
      <c r="AJ893" s="14"/>
      <c r="AK893" s="14"/>
      <c r="AL893" s="14"/>
      <c r="AM893" s="14"/>
      <c r="AN893" s="14"/>
    </row>
    <row r="894" ht="15.75" customHeight="1">
      <c r="A894" s="14"/>
      <c r="B894" s="14"/>
      <c r="C894" s="14"/>
      <c r="D894" s="14"/>
      <c r="E894" s="14"/>
      <c r="F894" s="14"/>
      <c r="G894" s="14"/>
      <c r="H894" s="14"/>
      <c r="I894" s="14"/>
      <c r="J894" s="14"/>
      <c r="K894" s="14"/>
      <c r="L894" s="14"/>
      <c r="M894" s="14"/>
      <c r="N894" s="14"/>
      <c r="O894" s="14"/>
      <c r="P894" s="14"/>
      <c r="Q894" s="14"/>
      <c r="R894" s="18"/>
      <c r="S894" s="18"/>
      <c r="T894" s="93"/>
      <c r="U894" s="20"/>
      <c r="V894" s="14"/>
      <c r="W894" s="14"/>
      <c r="X894" s="14"/>
      <c r="Y894" s="14"/>
      <c r="Z894" s="14"/>
      <c r="AA894" s="14"/>
      <c r="AB894" s="14"/>
      <c r="AC894" s="14"/>
      <c r="AD894" s="14"/>
      <c r="AE894" s="14"/>
      <c r="AF894" s="14"/>
      <c r="AG894" s="14"/>
      <c r="AH894" s="14"/>
      <c r="AI894" s="14"/>
      <c r="AJ894" s="14"/>
      <c r="AK894" s="14"/>
      <c r="AL894" s="14"/>
      <c r="AM894" s="14"/>
      <c r="AN894" s="14"/>
    </row>
    <row r="895" ht="15.75" customHeight="1">
      <c r="A895" s="14"/>
      <c r="B895" s="14"/>
      <c r="C895" s="14"/>
      <c r="D895" s="14"/>
      <c r="E895" s="14"/>
      <c r="F895" s="14"/>
      <c r="G895" s="14"/>
      <c r="H895" s="14"/>
      <c r="I895" s="14"/>
      <c r="J895" s="14"/>
      <c r="K895" s="14"/>
      <c r="L895" s="14"/>
      <c r="M895" s="14"/>
      <c r="N895" s="14"/>
      <c r="O895" s="14"/>
      <c r="P895" s="14"/>
      <c r="Q895" s="14"/>
      <c r="R895" s="18"/>
      <c r="S895" s="18"/>
      <c r="T895" s="93"/>
      <c r="U895" s="20"/>
      <c r="V895" s="14"/>
      <c r="W895" s="14"/>
      <c r="X895" s="14"/>
      <c r="Y895" s="14"/>
      <c r="Z895" s="14"/>
      <c r="AA895" s="14"/>
      <c r="AB895" s="14"/>
      <c r="AC895" s="14"/>
      <c r="AD895" s="14"/>
      <c r="AE895" s="14"/>
      <c r="AF895" s="14"/>
      <c r="AG895" s="14"/>
      <c r="AH895" s="14"/>
      <c r="AI895" s="14"/>
      <c r="AJ895" s="14"/>
      <c r="AK895" s="14"/>
      <c r="AL895" s="14"/>
      <c r="AM895" s="14"/>
      <c r="AN895" s="14"/>
    </row>
    <row r="896" ht="15.75" customHeight="1">
      <c r="A896" s="14"/>
      <c r="B896" s="14"/>
      <c r="C896" s="14"/>
      <c r="D896" s="14"/>
      <c r="E896" s="14"/>
      <c r="F896" s="14"/>
      <c r="G896" s="14"/>
      <c r="H896" s="14"/>
      <c r="I896" s="14"/>
      <c r="J896" s="14"/>
      <c r="K896" s="14"/>
      <c r="L896" s="14"/>
      <c r="M896" s="14"/>
      <c r="N896" s="14"/>
      <c r="O896" s="14"/>
      <c r="P896" s="14"/>
      <c r="Q896" s="14"/>
      <c r="R896" s="18"/>
      <c r="S896" s="18"/>
      <c r="T896" s="93"/>
      <c r="U896" s="20"/>
      <c r="V896" s="14"/>
      <c r="W896" s="14"/>
      <c r="X896" s="14"/>
      <c r="Y896" s="14"/>
      <c r="Z896" s="14"/>
      <c r="AA896" s="14"/>
      <c r="AB896" s="14"/>
      <c r="AC896" s="14"/>
      <c r="AD896" s="14"/>
      <c r="AE896" s="14"/>
      <c r="AF896" s="14"/>
      <c r="AG896" s="14"/>
      <c r="AH896" s="14"/>
      <c r="AI896" s="14"/>
      <c r="AJ896" s="14"/>
      <c r="AK896" s="14"/>
      <c r="AL896" s="14"/>
      <c r="AM896" s="14"/>
      <c r="AN896" s="14"/>
    </row>
    <row r="897" ht="15.75" customHeight="1">
      <c r="A897" s="14"/>
      <c r="B897" s="14"/>
      <c r="C897" s="14"/>
      <c r="D897" s="14"/>
      <c r="E897" s="14"/>
      <c r="F897" s="14"/>
      <c r="G897" s="14"/>
      <c r="H897" s="14"/>
      <c r="I897" s="14"/>
      <c r="J897" s="14"/>
      <c r="K897" s="14"/>
      <c r="L897" s="14"/>
      <c r="M897" s="14"/>
      <c r="N897" s="14"/>
      <c r="O897" s="14"/>
      <c r="P897" s="14"/>
      <c r="Q897" s="14"/>
      <c r="R897" s="18"/>
      <c r="S897" s="18"/>
      <c r="T897" s="93"/>
      <c r="U897" s="20"/>
      <c r="V897" s="14"/>
      <c r="W897" s="14"/>
      <c r="X897" s="14"/>
      <c r="Y897" s="14"/>
      <c r="Z897" s="14"/>
      <c r="AA897" s="14"/>
      <c r="AB897" s="14"/>
      <c r="AC897" s="14"/>
      <c r="AD897" s="14"/>
      <c r="AE897" s="14"/>
      <c r="AF897" s="14"/>
      <c r="AG897" s="14"/>
      <c r="AH897" s="14"/>
      <c r="AI897" s="14"/>
      <c r="AJ897" s="14"/>
      <c r="AK897" s="14"/>
      <c r="AL897" s="14"/>
      <c r="AM897" s="14"/>
      <c r="AN897" s="14"/>
    </row>
    <row r="898" ht="15.75" customHeight="1">
      <c r="A898" s="14"/>
      <c r="B898" s="14"/>
      <c r="C898" s="14"/>
      <c r="D898" s="14"/>
      <c r="E898" s="14"/>
      <c r="F898" s="14"/>
      <c r="G898" s="14"/>
      <c r="H898" s="14"/>
      <c r="I898" s="14"/>
      <c r="J898" s="14"/>
      <c r="K898" s="14"/>
      <c r="L898" s="14"/>
      <c r="M898" s="14"/>
      <c r="N898" s="14"/>
      <c r="O898" s="14"/>
      <c r="P898" s="14"/>
      <c r="Q898" s="14"/>
      <c r="R898" s="18"/>
      <c r="S898" s="18"/>
      <c r="T898" s="93"/>
      <c r="U898" s="20"/>
      <c r="V898" s="14"/>
      <c r="W898" s="14"/>
      <c r="X898" s="14"/>
      <c r="Y898" s="14"/>
      <c r="Z898" s="14"/>
      <c r="AA898" s="14"/>
      <c r="AB898" s="14"/>
      <c r="AC898" s="14"/>
      <c r="AD898" s="14"/>
      <c r="AE898" s="14"/>
      <c r="AF898" s="14"/>
      <c r="AG898" s="14"/>
      <c r="AH898" s="14"/>
      <c r="AI898" s="14"/>
      <c r="AJ898" s="14"/>
      <c r="AK898" s="14"/>
      <c r="AL898" s="14"/>
      <c r="AM898" s="14"/>
      <c r="AN898" s="14"/>
    </row>
    <row r="899" ht="15.75" customHeight="1">
      <c r="A899" s="14"/>
      <c r="B899" s="14"/>
      <c r="C899" s="14"/>
      <c r="D899" s="14"/>
      <c r="E899" s="14"/>
      <c r="F899" s="14"/>
      <c r="G899" s="14"/>
      <c r="H899" s="14"/>
      <c r="I899" s="14"/>
      <c r="J899" s="14"/>
      <c r="K899" s="14"/>
      <c r="L899" s="14"/>
      <c r="M899" s="14"/>
      <c r="N899" s="14"/>
      <c r="O899" s="14"/>
      <c r="P899" s="14"/>
      <c r="Q899" s="14"/>
      <c r="R899" s="18"/>
      <c r="S899" s="18"/>
      <c r="T899" s="93"/>
      <c r="U899" s="20"/>
      <c r="V899" s="14"/>
      <c r="W899" s="14"/>
      <c r="X899" s="14"/>
      <c r="Y899" s="14"/>
      <c r="Z899" s="14"/>
      <c r="AA899" s="14"/>
      <c r="AB899" s="14"/>
      <c r="AC899" s="14"/>
      <c r="AD899" s="14"/>
      <c r="AE899" s="14"/>
      <c r="AF899" s="14"/>
      <c r="AG899" s="14"/>
      <c r="AH899" s="14"/>
      <c r="AI899" s="14"/>
      <c r="AJ899" s="14"/>
      <c r="AK899" s="14"/>
      <c r="AL899" s="14"/>
      <c r="AM899" s="14"/>
      <c r="AN899" s="14"/>
    </row>
    <row r="900" ht="15.75" customHeight="1">
      <c r="A900" s="14"/>
      <c r="B900" s="14"/>
      <c r="C900" s="14"/>
      <c r="D900" s="14"/>
      <c r="E900" s="14"/>
      <c r="F900" s="14"/>
      <c r="G900" s="14"/>
      <c r="H900" s="14"/>
      <c r="I900" s="14"/>
      <c r="J900" s="14"/>
      <c r="K900" s="14"/>
      <c r="L900" s="14"/>
      <c r="M900" s="14"/>
      <c r="N900" s="14"/>
      <c r="O900" s="14"/>
      <c r="P900" s="14"/>
      <c r="Q900" s="14"/>
      <c r="R900" s="18"/>
      <c r="S900" s="18"/>
      <c r="T900" s="93"/>
      <c r="U900" s="20"/>
      <c r="V900" s="14"/>
      <c r="W900" s="14"/>
      <c r="X900" s="14"/>
      <c r="Y900" s="14"/>
      <c r="Z900" s="14"/>
      <c r="AA900" s="14"/>
      <c r="AB900" s="14"/>
      <c r="AC900" s="14"/>
      <c r="AD900" s="14"/>
      <c r="AE900" s="14"/>
      <c r="AF900" s="14"/>
      <c r="AG900" s="14"/>
      <c r="AH900" s="14"/>
      <c r="AI900" s="14"/>
      <c r="AJ900" s="14"/>
      <c r="AK900" s="14"/>
      <c r="AL900" s="14"/>
      <c r="AM900" s="14"/>
      <c r="AN900" s="14"/>
    </row>
    <row r="901" ht="15.75" customHeight="1">
      <c r="A901" s="14"/>
      <c r="B901" s="14"/>
      <c r="C901" s="14"/>
      <c r="D901" s="14"/>
      <c r="E901" s="14"/>
      <c r="F901" s="14"/>
      <c r="G901" s="14"/>
      <c r="H901" s="14"/>
      <c r="I901" s="14"/>
      <c r="J901" s="14"/>
      <c r="K901" s="14"/>
      <c r="L901" s="14"/>
      <c r="M901" s="14"/>
      <c r="N901" s="14"/>
      <c r="O901" s="14"/>
      <c r="P901" s="14"/>
      <c r="Q901" s="14"/>
      <c r="R901" s="18"/>
      <c r="S901" s="18"/>
      <c r="T901" s="93"/>
      <c r="U901" s="20"/>
      <c r="V901" s="14"/>
      <c r="W901" s="14"/>
      <c r="X901" s="14"/>
      <c r="Y901" s="14"/>
      <c r="Z901" s="14"/>
      <c r="AA901" s="14"/>
      <c r="AB901" s="14"/>
      <c r="AC901" s="14"/>
      <c r="AD901" s="14"/>
      <c r="AE901" s="14"/>
      <c r="AF901" s="14"/>
      <c r="AG901" s="14"/>
      <c r="AH901" s="14"/>
      <c r="AI901" s="14"/>
      <c r="AJ901" s="14"/>
      <c r="AK901" s="14"/>
      <c r="AL901" s="14"/>
      <c r="AM901" s="14"/>
      <c r="AN901" s="14"/>
    </row>
    <row r="902" ht="15.75" customHeight="1">
      <c r="A902" s="14"/>
      <c r="B902" s="14"/>
      <c r="C902" s="14"/>
      <c r="D902" s="14"/>
      <c r="E902" s="14"/>
      <c r="F902" s="14"/>
      <c r="G902" s="14"/>
      <c r="H902" s="14"/>
      <c r="I902" s="14"/>
      <c r="J902" s="14"/>
      <c r="K902" s="14"/>
      <c r="L902" s="14"/>
      <c r="M902" s="14"/>
      <c r="N902" s="14"/>
      <c r="O902" s="14"/>
      <c r="P902" s="14"/>
      <c r="Q902" s="14"/>
      <c r="R902" s="18"/>
      <c r="S902" s="18"/>
      <c r="T902" s="93"/>
      <c r="U902" s="20"/>
      <c r="V902" s="14"/>
      <c r="W902" s="14"/>
      <c r="X902" s="14"/>
      <c r="Y902" s="14"/>
      <c r="Z902" s="14"/>
      <c r="AA902" s="14"/>
      <c r="AB902" s="14"/>
      <c r="AC902" s="14"/>
      <c r="AD902" s="14"/>
      <c r="AE902" s="14"/>
      <c r="AF902" s="14"/>
      <c r="AG902" s="14"/>
      <c r="AH902" s="14"/>
      <c r="AI902" s="14"/>
      <c r="AJ902" s="14"/>
      <c r="AK902" s="14"/>
      <c r="AL902" s="14"/>
      <c r="AM902" s="14"/>
      <c r="AN902" s="14"/>
    </row>
    <row r="903" ht="15.75" customHeight="1">
      <c r="A903" s="14"/>
      <c r="B903" s="14"/>
      <c r="C903" s="14"/>
      <c r="D903" s="14"/>
      <c r="E903" s="14"/>
      <c r="F903" s="14"/>
      <c r="G903" s="14"/>
      <c r="H903" s="14"/>
      <c r="I903" s="14"/>
      <c r="J903" s="14"/>
      <c r="K903" s="14"/>
      <c r="L903" s="14"/>
      <c r="M903" s="14"/>
      <c r="N903" s="14"/>
      <c r="O903" s="14"/>
      <c r="P903" s="14"/>
      <c r="Q903" s="14"/>
      <c r="R903" s="18"/>
      <c r="S903" s="18"/>
      <c r="T903" s="93"/>
      <c r="U903" s="20"/>
      <c r="V903" s="14"/>
      <c r="W903" s="14"/>
      <c r="X903" s="14"/>
      <c r="Y903" s="14"/>
      <c r="Z903" s="14"/>
      <c r="AA903" s="14"/>
      <c r="AB903" s="14"/>
      <c r="AC903" s="14"/>
      <c r="AD903" s="14"/>
      <c r="AE903" s="14"/>
      <c r="AF903" s="14"/>
      <c r="AG903" s="14"/>
      <c r="AH903" s="14"/>
      <c r="AI903" s="14"/>
      <c r="AJ903" s="14"/>
      <c r="AK903" s="14"/>
      <c r="AL903" s="14"/>
      <c r="AM903" s="14"/>
      <c r="AN903" s="14"/>
    </row>
    <row r="904" ht="15.75" customHeight="1">
      <c r="A904" s="14"/>
      <c r="B904" s="14"/>
      <c r="C904" s="14"/>
      <c r="D904" s="14"/>
      <c r="E904" s="14"/>
      <c r="F904" s="14"/>
      <c r="G904" s="14"/>
      <c r="H904" s="14"/>
      <c r="I904" s="14"/>
      <c r="J904" s="14"/>
      <c r="K904" s="14"/>
      <c r="L904" s="14"/>
      <c r="M904" s="14"/>
      <c r="N904" s="14"/>
      <c r="O904" s="14"/>
      <c r="P904" s="14"/>
      <c r="Q904" s="14"/>
      <c r="R904" s="18"/>
      <c r="S904" s="18"/>
      <c r="T904" s="93"/>
      <c r="U904" s="20"/>
      <c r="V904" s="14"/>
      <c r="W904" s="14"/>
      <c r="X904" s="14"/>
      <c r="Y904" s="14"/>
      <c r="Z904" s="14"/>
      <c r="AA904" s="14"/>
      <c r="AB904" s="14"/>
      <c r="AC904" s="14"/>
      <c r="AD904" s="14"/>
      <c r="AE904" s="14"/>
      <c r="AF904" s="14"/>
      <c r="AG904" s="14"/>
      <c r="AH904" s="14"/>
      <c r="AI904" s="14"/>
      <c r="AJ904" s="14"/>
      <c r="AK904" s="14"/>
      <c r="AL904" s="14"/>
      <c r="AM904" s="14"/>
      <c r="AN904" s="14"/>
    </row>
    <row r="905" ht="15.75" customHeight="1">
      <c r="A905" s="14"/>
      <c r="B905" s="14"/>
      <c r="C905" s="14"/>
      <c r="D905" s="14"/>
      <c r="E905" s="14"/>
      <c r="F905" s="14"/>
      <c r="G905" s="14"/>
      <c r="H905" s="14"/>
      <c r="I905" s="14"/>
      <c r="J905" s="14"/>
      <c r="K905" s="14"/>
      <c r="L905" s="14"/>
      <c r="M905" s="14"/>
      <c r="N905" s="14"/>
      <c r="O905" s="14"/>
      <c r="P905" s="14"/>
      <c r="Q905" s="14"/>
      <c r="R905" s="18"/>
      <c r="S905" s="18"/>
      <c r="T905" s="93"/>
      <c r="U905" s="20"/>
      <c r="V905" s="14"/>
      <c r="W905" s="14"/>
      <c r="X905" s="14"/>
      <c r="Y905" s="14"/>
      <c r="Z905" s="14"/>
      <c r="AA905" s="14"/>
      <c r="AB905" s="14"/>
      <c r="AC905" s="14"/>
      <c r="AD905" s="14"/>
      <c r="AE905" s="14"/>
      <c r="AF905" s="14"/>
      <c r="AG905" s="14"/>
      <c r="AH905" s="14"/>
      <c r="AI905" s="14"/>
      <c r="AJ905" s="14"/>
      <c r="AK905" s="14"/>
      <c r="AL905" s="14"/>
      <c r="AM905" s="14"/>
      <c r="AN905" s="14"/>
    </row>
    <row r="906" ht="15.75" customHeight="1">
      <c r="A906" s="14"/>
      <c r="B906" s="14"/>
      <c r="C906" s="14"/>
      <c r="D906" s="14"/>
      <c r="E906" s="14"/>
      <c r="F906" s="14"/>
      <c r="G906" s="14"/>
      <c r="H906" s="14"/>
      <c r="I906" s="14"/>
      <c r="J906" s="14"/>
      <c r="K906" s="14"/>
      <c r="L906" s="14"/>
      <c r="M906" s="14"/>
      <c r="N906" s="14"/>
      <c r="O906" s="14"/>
      <c r="P906" s="14"/>
      <c r="Q906" s="14"/>
      <c r="R906" s="18"/>
      <c r="S906" s="18"/>
      <c r="T906" s="93"/>
      <c r="U906" s="20"/>
      <c r="V906" s="14"/>
      <c r="W906" s="14"/>
      <c r="X906" s="14"/>
      <c r="Y906" s="14"/>
      <c r="Z906" s="14"/>
      <c r="AA906" s="14"/>
      <c r="AB906" s="14"/>
      <c r="AC906" s="14"/>
      <c r="AD906" s="14"/>
      <c r="AE906" s="14"/>
      <c r="AF906" s="14"/>
      <c r="AG906" s="14"/>
      <c r="AH906" s="14"/>
      <c r="AI906" s="14"/>
      <c r="AJ906" s="14"/>
      <c r="AK906" s="14"/>
      <c r="AL906" s="14"/>
      <c r="AM906" s="14"/>
      <c r="AN906" s="14"/>
    </row>
    <row r="907" ht="15.75" customHeight="1">
      <c r="A907" s="14"/>
      <c r="B907" s="14"/>
      <c r="C907" s="14"/>
      <c r="D907" s="14"/>
      <c r="E907" s="14"/>
      <c r="F907" s="14"/>
      <c r="G907" s="14"/>
      <c r="H907" s="14"/>
      <c r="I907" s="14"/>
      <c r="J907" s="14"/>
      <c r="K907" s="14"/>
      <c r="L907" s="14"/>
      <c r="M907" s="14"/>
      <c r="N907" s="14"/>
      <c r="O907" s="14"/>
      <c r="P907" s="14"/>
      <c r="Q907" s="14"/>
      <c r="R907" s="18"/>
      <c r="S907" s="18"/>
      <c r="T907" s="93"/>
      <c r="U907" s="20"/>
      <c r="V907" s="14"/>
      <c r="W907" s="14"/>
      <c r="X907" s="14"/>
      <c r="Y907" s="14"/>
      <c r="Z907" s="14"/>
      <c r="AA907" s="14"/>
      <c r="AB907" s="14"/>
      <c r="AC907" s="14"/>
      <c r="AD907" s="14"/>
      <c r="AE907" s="14"/>
      <c r="AF907" s="14"/>
      <c r="AG907" s="14"/>
      <c r="AH907" s="14"/>
      <c r="AI907" s="14"/>
      <c r="AJ907" s="14"/>
      <c r="AK907" s="14"/>
      <c r="AL907" s="14"/>
      <c r="AM907" s="14"/>
      <c r="AN907" s="14"/>
    </row>
    <row r="908" ht="15.75" customHeight="1">
      <c r="A908" s="14"/>
      <c r="B908" s="14"/>
      <c r="C908" s="14"/>
      <c r="D908" s="14"/>
      <c r="E908" s="14"/>
      <c r="F908" s="14"/>
      <c r="G908" s="14"/>
      <c r="H908" s="14"/>
      <c r="I908" s="14"/>
      <c r="J908" s="14"/>
      <c r="K908" s="14"/>
      <c r="L908" s="14"/>
      <c r="M908" s="14"/>
      <c r="N908" s="14"/>
      <c r="O908" s="14"/>
      <c r="P908" s="14"/>
      <c r="Q908" s="14"/>
      <c r="R908" s="18"/>
      <c r="S908" s="18"/>
      <c r="T908" s="93"/>
      <c r="U908" s="20"/>
      <c r="V908" s="14"/>
      <c r="W908" s="14"/>
      <c r="X908" s="14"/>
      <c r="Y908" s="14"/>
      <c r="Z908" s="14"/>
      <c r="AA908" s="14"/>
      <c r="AB908" s="14"/>
      <c r="AC908" s="14"/>
      <c r="AD908" s="14"/>
      <c r="AE908" s="14"/>
      <c r="AF908" s="14"/>
      <c r="AG908" s="14"/>
      <c r="AH908" s="14"/>
      <c r="AI908" s="14"/>
      <c r="AJ908" s="14"/>
      <c r="AK908" s="14"/>
      <c r="AL908" s="14"/>
      <c r="AM908" s="14"/>
      <c r="AN908" s="14"/>
    </row>
    <row r="909" ht="15.75" customHeight="1">
      <c r="A909" s="14"/>
      <c r="B909" s="14"/>
      <c r="C909" s="14"/>
      <c r="D909" s="14"/>
      <c r="E909" s="14"/>
      <c r="F909" s="14"/>
      <c r="G909" s="14"/>
      <c r="H909" s="14"/>
      <c r="I909" s="14"/>
      <c r="J909" s="14"/>
      <c r="K909" s="14"/>
      <c r="L909" s="14"/>
      <c r="M909" s="14"/>
      <c r="N909" s="14"/>
      <c r="O909" s="14"/>
      <c r="P909" s="14"/>
      <c r="Q909" s="14"/>
      <c r="R909" s="18"/>
      <c r="S909" s="18"/>
      <c r="T909" s="93"/>
      <c r="U909" s="20"/>
      <c r="V909" s="14"/>
      <c r="W909" s="14"/>
      <c r="X909" s="14"/>
      <c r="Y909" s="14"/>
      <c r="Z909" s="14"/>
      <c r="AA909" s="14"/>
      <c r="AB909" s="14"/>
      <c r="AC909" s="14"/>
      <c r="AD909" s="14"/>
      <c r="AE909" s="14"/>
      <c r="AF909" s="14"/>
      <c r="AG909" s="14"/>
      <c r="AH909" s="14"/>
      <c r="AI909" s="14"/>
      <c r="AJ909" s="14"/>
      <c r="AK909" s="14"/>
      <c r="AL909" s="14"/>
      <c r="AM909" s="14"/>
      <c r="AN909" s="14"/>
    </row>
    <row r="910" ht="15.75" customHeight="1">
      <c r="A910" s="14"/>
      <c r="B910" s="14"/>
      <c r="C910" s="14"/>
      <c r="D910" s="14"/>
      <c r="E910" s="14"/>
      <c r="F910" s="14"/>
      <c r="G910" s="14"/>
      <c r="H910" s="14"/>
      <c r="I910" s="14"/>
      <c r="J910" s="14"/>
      <c r="K910" s="14"/>
      <c r="L910" s="14"/>
      <c r="M910" s="14"/>
      <c r="N910" s="14"/>
      <c r="O910" s="14"/>
      <c r="P910" s="14"/>
      <c r="Q910" s="14"/>
      <c r="R910" s="18"/>
      <c r="S910" s="18"/>
      <c r="T910" s="93"/>
      <c r="U910" s="20"/>
      <c r="V910" s="14"/>
      <c r="W910" s="14"/>
      <c r="X910" s="14"/>
      <c r="Y910" s="14"/>
      <c r="Z910" s="14"/>
      <c r="AA910" s="14"/>
      <c r="AB910" s="14"/>
      <c r="AC910" s="14"/>
      <c r="AD910" s="14"/>
      <c r="AE910" s="14"/>
      <c r="AF910" s="14"/>
      <c r="AG910" s="14"/>
      <c r="AH910" s="14"/>
      <c r="AI910" s="14"/>
      <c r="AJ910" s="14"/>
      <c r="AK910" s="14"/>
      <c r="AL910" s="14"/>
      <c r="AM910" s="14"/>
      <c r="AN910" s="14"/>
    </row>
    <row r="911" ht="15.75" customHeight="1">
      <c r="A911" s="14"/>
      <c r="B911" s="14"/>
      <c r="C911" s="14"/>
      <c r="D911" s="14"/>
      <c r="E911" s="14"/>
      <c r="F911" s="14"/>
      <c r="G911" s="14"/>
      <c r="H911" s="14"/>
      <c r="I911" s="14"/>
      <c r="J911" s="14"/>
      <c r="K911" s="14"/>
      <c r="L911" s="14"/>
      <c r="M911" s="14"/>
      <c r="N911" s="14"/>
      <c r="O911" s="14"/>
      <c r="P911" s="14"/>
      <c r="Q911" s="14"/>
      <c r="R911" s="18"/>
      <c r="S911" s="18"/>
      <c r="T911" s="93"/>
      <c r="U911" s="20"/>
      <c r="V911" s="14"/>
      <c r="W911" s="14"/>
      <c r="X911" s="14"/>
      <c r="Y911" s="14"/>
      <c r="Z911" s="14"/>
      <c r="AA911" s="14"/>
      <c r="AB911" s="14"/>
      <c r="AC911" s="14"/>
      <c r="AD911" s="14"/>
      <c r="AE911" s="14"/>
      <c r="AF911" s="14"/>
      <c r="AG911" s="14"/>
      <c r="AH911" s="14"/>
      <c r="AI911" s="14"/>
      <c r="AJ911" s="14"/>
      <c r="AK911" s="14"/>
      <c r="AL911" s="14"/>
      <c r="AM911" s="14"/>
      <c r="AN911" s="14"/>
    </row>
    <row r="912" ht="15.75" customHeight="1">
      <c r="A912" s="14"/>
      <c r="B912" s="14"/>
      <c r="C912" s="14"/>
      <c r="D912" s="14"/>
      <c r="E912" s="14"/>
      <c r="F912" s="14"/>
      <c r="G912" s="14"/>
      <c r="H912" s="14"/>
      <c r="I912" s="14"/>
      <c r="J912" s="14"/>
      <c r="K912" s="14"/>
      <c r="L912" s="14"/>
      <c r="M912" s="14"/>
      <c r="N912" s="14"/>
      <c r="O912" s="14"/>
      <c r="P912" s="14"/>
      <c r="Q912" s="14"/>
      <c r="R912" s="18"/>
      <c r="S912" s="18"/>
      <c r="T912" s="93"/>
      <c r="U912" s="20"/>
      <c r="V912" s="14"/>
      <c r="W912" s="14"/>
      <c r="X912" s="14"/>
      <c r="Y912" s="14"/>
      <c r="Z912" s="14"/>
      <c r="AA912" s="14"/>
      <c r="AB912" s="14"/>
      <c r="AC912" s="14"/>
      <c r="AD912" s="14"/>
      <c r="AE912" s="14"/>
      <c r="AF912" s="14"/>
      <c r="AG912" s="14"/>
      <c r="AH912" s="14"/>
      <c r="AI912" s="14"/>
      <c r="AJ912" s="14"/>
      <c r="AK912" s="14"/>
      <c r="AL912" s="14"/>
      <c r="AM912" s="14"/>
      <c r="AN912" s="14"/>
    </row>
    <row r="913" ht="15.75" customHeight="1">
      <c r="A913" s="14"/>
      <c r="B913" s="14"/>
      <c r="C913" s="14"/>
      <c r="D913" s="14"/>
      <c r="E913" s="14"/>
      <c r="F913" s="14"/>
      <c r="G913" s="14"/>
      <c r="H913" s="14"/>
      <c r="I913" s="14"/>
      <c r="J913" s="14"/>
      <c r="K913" s="14"/>
      <c r="L913" s="14"/>
      <c r="M913" s="14"/>
      <c r="N913" s="14"/>
      <c r="O913" s="14"/>
      <c r="P913" s="14"/>
      <c r="Q913" s="14"/>
      <c r="R913" s="18"/>
      <c r="S913" s="18"/>
      <c r="T913" s="93"/>
      <c r="U913" s="20"/>
      <c r="V913" s="14"/>
      <c r="W913" s="14"/>
      <c r="X913" s="14"/>
      <c r="Y913" s="14"/>
      <c r="Z913" s="14"/>
      <c r="AA913" s="14"/>
      <c r="AB913" s="14"/>
      <c r="AC913" s="14"/>
      <c r="AD913" s="14"/>
      <c r="AE913" s="14"/>
      <c r="AF913" s="14"/>
      <c r="AG913" s="14"/>
      <c r="AH913" s="14"/>
      <c r="AI913" s="14"/>
      <c r="AJ913" s="14"/>
      <c r="AK913" s="14"/>
      <c r="AL913" s="14"/>
      <c r="AM913" s="14"/>
      <c r="AN913" s="14"/>
    </row>
    <row r="914" ht="15.75" customHeight="1">
      <c r="A914" s="14"/>
      <c r="B914" s="14"/>
      <c r="C914" s="14"/>
      <c r="D914" s="14"/>
      <c r="E914" s="14"/>
      <c r="F914" s="14"/>
      <c r="G914" s="14"/>
      <c r="H914" s="14"/>
      <c r="I914" s="14"/>
      <c r="J914" s="14"/>
      <c r="K914" s="14"/>
      <c r="L914" s="14"/>
      <c r="M914" s="14"/>
      <c r="N914" s="14"/>
      <c r="O914" s="14"/>
      <c r="P914" s="14"/>
      <c r="Q914" s="14"/>
      <c r="R914" s="18"/>
      <c r="S914" s="18"/>
      <c r="T914" s="93"/>
      <c r="U914" s="20"/>
      <c r="V914" s="14"/>
      <c r="W914" s="14"/>
      <c r="X914" s="14"/>
      <c r="Y914" s="14"/>
      <c r="Z914" s="14"/>
      <c r="AA914" s="14"/>
      <c r="AB914" s="14"/>
      <c r="AC914" s="14"/>
      <c r="AD914" s="14"/>
      <c r="AE914" s="14"/>
      <c r="AF914" s="14"/>
      <c r="AG914" s="14"/>
      <c r="AH914" s="14"/>
      <c r="AI914" s="14"/>
      <c r="AJ914" s="14"/>
      <c r="AK914" s="14"/>
      <c r="AL914" s="14"/>
      <c r="AM914" s="14"/>
      <c r="AN914" s="14"/>
    </row>
    <row r="915" ht="15.75" customHeight="1">
      <c r="A915" s="14"/>
      <c r="B915" s="14"/>
      <c r="C915" s="14"/>
      <c r="D915" s="14"/>
      <c r="E915" s="14"/>
      <c r="F915" s="14"/>
      <c r="G915" s="14"/>
      <c r="H915" s="14"/>
      <c r="I915" s="14"/>
      <c r="J915" s="14"/>
      <c r="K915" s="14"/>
      <c r="L915" s="14"/>
      <c r="M915" s="14"/>
      <c r="N915" s="14"/>
      <c r="O915" s="14"/>
      <c r="P915" s="14"/>
      <c r="Q915" s="14"/>
      <c r="R915" s="18"/>
      <c r="S915" s="18"/>
      <c r="T915" s="93"/>
      <c r="U915" s="20"/>
      <c r="V915" s="14"/>
      <c r="W915" s="14"/>
      <c r="X915" s="14"/>
      <c r="Y915" s="14"/>
      <c r="Z915" s="14"/>
      <c r="AA915" s="14"/>
      <c r="AB915" s="14"/>
      <c r="AC915" s="14"/>
      <c r="AD915" s="14"/>
      <c r="AE915" s="14"/>
      <c r="AF915" s="14"/>
      <c r="AG915" s="14"/>
      <c r="AH915" s="14"/>
      <c r="AI915" s="14"/>
      <c r="AJ915" s="14"/>
      <c r="AK915" s="14"/>
      <c r="AL915" s="14"/>
      <c r="AM915" s="14"/>
      <c r="AN915" s="14"/>
    </row>
    <row r="916" ht="15.75" customHeight="1">
      <c r="A916" s="14"/>
      <c r="B916" s="14"/>
      <c r="C916" s="14"/>
      <c r="D916" s="14"/>
      <c r="E916" s="14"/>
      <c r="F916" s="14"/>
      <c r="G916" s="14"/>
      <c r="H916" s="14"/>
      <c r="I916" s="14"/>
      <c r="J916" s="14"/>
      <c r="K916" s="14"/>
      <c r="L916" s="14"/>
      <c r="M916" s="14"/>
      <c r="N916" s="14"/>
      <c r="O916" s="14"/>
      <c r="P916" s="14"/>
      <c r="Q916" s="14"/>
      <c r="R916" s="18"/>
      <c r="S916" s="18"/>
      <c r="T916" s="93"/>
      <c r="U916" s="20"/>
      <c r="V916" s="14"/>
      <c r="W916" s="14"/>
      <c r="X916" s="14"/>
      <c r="Y916" s="14"/>
      <c r="Z916" s="14"/>
      <c r="AA916" s="14"/>
      <c r="AB916" s="14"/>
      <c r="AC916" s="14"/>
      <c r="AD916" s="14"/>
      <c r="AE916" s="14"/>
      <c r="AF916" s="14"/>
      <c r="AG916" s="14"/>
      <c r="AH916" s="14"/>
      <c r="AI916" s="14"/>
      <c r="AJ916" s="14"/>
      <c r="AK916" s="14"/>
      <c r="AL916" s="14"/>
      <c r="AM916" s="14"/>
      <c r="AN916" s="14"/>
    </row>
    <row r="917" ht="15.75" customHeight="1">
      <c r="A917" s="14"/>
      <c r="B917" s="14"/>
      <c r="C917" s="14"/>
      <c r="D917" s="14"/>
      <c r="E917" s="14"/>
      <c r="F917" s="14"/>
      <c r="G917" s="14"/>
      <c r="H917" s="14"/>
      <c r="I917" s="14"/>
      <c r="J917" s="14"/>
      <c r="K917" s="14"/>
      <c r="L917" s="14"/>
      <c r="M917" s="14"/>
      <c r="N917" s="14"/>
      <c r="O917" s="14"/>
      <c r="P917" s="14"/>
      <c r="Q917" s="14"/>
      <c r="R917" s="18"/>
      <c r="S917" s="18"/>
      <c r="T917" s="93"/>
      <c r="U917" s="20"/>
      <c r="V917" s="14"/>
      <c r="W917" s="14"/>
      <c r="X917" s="14"/>
      <c r="Y917" s="14"/>
      <c r="Z917" s="14"/>
      <c r="AA917" s="14"/>
      <c r="AB917" s="14"/>
      <c r="AC917" s="14"/>
      <c r="AD917" s="14"/>
      <c r="AE917" s="14"/>
      <c r="AF917" s="14"/>
      <c r="AG917" s="14"/>
      <c r="AH917" s="14"/>
      <c r="AI917" s="14"/>
      <c r="AJ917" s="14"/>
      <c r="AK917" s="14"/>
      <c r="AL917" s="14"/>
      <c r="AM917" s="14"/>
      <c r="AN917" s="14"/>
    </row>
    <row r="918" ht="15.75" customHeight="1">
      <c r="A918" s="14"/>
      <c r="B918" s="14"/>
      <c r="C918" s="14"/>
      <c r="D918" s="14"/>
      <c r="E918" s="14"/>
      <c r="F918" s="14"/>
      <c r="G918" s="14"/>
      <c r="H918" s="14"/>
      <c r="I918" s="14"/>
      <c r="J918" s="14"/>
      <c r="K918" s="14"/>
      <c r="L918" s="14"/>
      <c r="M918" s="14"/>
      <c r="N918" s="14"/>
      <c r="O918" s="14"/>
      <c r="P918" s="14"/>
      <c r="Q918" s="14"/>
      <c r="R918" s="18"/>
      <c r="S918" s="18"/>
      <c r="T918" s="93"/>
      <c r="U918" s="20"/>
      <c r="V918" s="14"/>
      <c r="W918" s="14"/>
      <c r="X918" s="14"/>
      <c r="Y918" s="14"/>
      <c r="Z918" s="14"/>
      <c r="AA918" s="14"/>
      <c r="AB918" s="14"/>
      <c r="AC918" s="14"/>
      <c r="AD918" s="14"/>
      <c r="AE918" s="14"/>
      <c r="AF918" s="14"/>
      <c r="AG918" s="14"/>
      <c r="AH918" s="14"/>
      <c r="AI918" s="14"/>
      <c r="AJ918" s="14"/>
      <c r="AK918" s="14"/>
      <c r="AL918" s="14"/>
      <c r="AM918" s="14"/>
      <c r="AN918" s="14"/>
    </row>
    <row r="919" ht="15.75" customHeight="1">
      <c r="A919" s="14"/>
      <c r="B919" s="14"/>
      <c r="C919" s="14"/>
      <c r="D919" s="14"/>
      <c r="E919" s="14"/>
      <c r="F919" s="14"/>
      <c r="G919" s="14"/>
      <c r="H919" s="14"/>
      <c r="I919" s="14"/>
      <c r="J919" s="14"/>
      <c r="K919" s="14"/>
      <c r="L919" s="14"/>
      <c r="M919" s="14"/>
      <c r="N919" s="14"/>
      <c r="O919" s="14"/>
      <c r="P919" s="14"/>
      <c r="Q919" s="14"/>
      <c r="R919" s="18"/>
      <c r="S919" s="18"/>
      <c r="T919" s="93"/>
      <c r="U919" s="20"/>
      <c r="V919" s="14"/>
      <c r="W919" s="14"/>
      <c r="X919" s="14"/>
      <c r="Y919" s="14"/>
      <c r="Z919" s="14"/>
      <c r="AA919" s="14"/>
      <c r="AB919" s="14"/>
      <c r="AC919" s="14"/>
      <c r="AD919" s="14"/>
      <c r="AE919" s="14"/>
      <c r="AF919" s="14"/>
      <c r="AG919" s="14"/>
      <c r="AH919" s="14"/>
      <c r="AI919" s="14"/>
      <c r="AJ919" s="14"/>
      <c r="AK919" s="14"/>
      <c r="AL919" s="14"/>
      <c r="AM919" s="14"/>
      <c r="AN919" s="14"/>
    </row>
    <row r="920" ht="15.75" customHeight="1">
      <c r="A920" s="14"/>
      <c r="B920" s="14"/>
      <c r="C920" s="14"/>
      <c r="D920" s="14"/>
      <c r="E920" s="14"/>
      <c r="F920" s="14"/>
      <c r="G920" s="14"/>
      <c r="H920" s="14"/>
      <c r="I920" s="14"/>
      <c r="J920" s="14"/>
      <c r="K920" s="14"/>
      <c r="L920" s="14"/>
      <c r="M920" s="14"/>
      <c r="N920" s="14"/>
      <c r="O920" s="14"/>
      <c r="P920" s="14"/>
      <c r="Q920" s="14"/>
      <c r="R920" s="18"/>
      <c r="S920" s="18"/>
      <c r="T920" s="93"/>
      <c r="U920" s="20"/>
      <c r="V920" s="14"/>
      <c r="W920" s="14"/>
      <c r="X920" s="14"/>
      <c r="Y920" s="14"/>
      <c r="Z920" s="14"/>
      <c r="AA920" s="14"/>
      <c r="AB920" s="14"/>
      <c r="AC920" s="14"/>
      <c r="AD920" s="14"/>
      <c r="AE920" s="14"/>
      <c r="AF920" s="14"/>
      <c r="AG920" s="14"/>
      <c r="AH920" s="14"/>
      <c r="AI920" s="14"/>
      <c r="AJ920" s="14"/>
      <c r="AK920" s="14"/>
      <c r="AL920" s="14"/>
      <c r="AM920" s="14"/>
      <c r="AN920" s="14"/>
    </row>
    <row r="921" ht="15.75" customHeight="1">
      <c r="A921" s="14"/>
      <c r="B921" s="14"/>
      <c r="C921" s="14"/>
      <c r="D921" s="14"/>
      <c r="E921" s="14"/>
      <c r="F921" s="14"/>
      <c r="G921" s="14"/>
      <c r="H921" s="14"/>
      <c r="I921" s="14"/>
      <c r="J921" s="14"/>
      <c r="K921" s="14"/>
      <c r="L921" s="14"/>
      <c r="M921" s="14"/>
      <c r="N921" s="14"/>
      <c r="O921" s="14"/>
      <c r="P921" s="14"/>
      <c r="Q921" s="14"/>
      <c r="R921" s="18"/>
      <c r="S921" s="18"/>
      <c r="T921" s="93"/>
      <c r="U921" s="20"/>
      <c r="V921" s="14"/>
      <c r="W921" s="14"/>
      <c r="X921" s="14"/>
      <c r="Y921" s="14"/>
      <c r="Z921" s="14"/>
      <c r="AA921" s="14"/>
      <c r="AB921" s="14"/>
      <c r="AC921" s="14"/>
      <c r="AD921" s="14"/>
      <c r="AE921" s="14"/>
      <c r="AF921" s="14"/>
      <c r="AG921" s="14"/>
      <c r="AH921" s="14"/>
      <c r="AI921" s="14"/>
      <c r="AJ921" s="14"/>
      <c r="AK921" s="14"/>
      <c r="AL921" s="14"/>
      <c r="AM921" s="14"/>
      <c r="AN921" s="14"/>
    </row>
    <row r="922" ht="15.75" customHeight="1">
      <c r="A922" s="14"/>
      <c r="B922" s="14"/>
      <c r="C922" s="14"/>
      <c r="D922" s="14"/>
      <c r="E922" s="14"/>
      <c r="F922" s="14"/>
      <c r="G922" s="14"/>
      <c r="H922" s="14"/>
      <c r="I922" s="14"/>
      <c r="J922" s="14"/>
      <c r="K922" s="14"/>
      <c r="L922" s="14"/>
      <c r="M922" s="14"/>
      <c r="N922" s="14"/>
      <c r="O922" s="14"/>
      <c r="P922" s="14"/>
      <c r="Q922" s="14"/>
      <c r="R922" s="18"/>
      <c r="S922" s="18"/>
      <c r="T922" s="93"/>
      <c r="U922" s="20"/>
      <c r="V922" s="14"/>
      <c r="W922" s="14"/>
      <c r="X922" s="14"/>
      <c r="Y922" s="14"/>
      <c r="Z922" s="14"/>
      <c r="AA922" s="14"/>
      <c r="AB922" s="14"/>
      <c r="AC922" s="14"/>
      <c r="AD922" s="14"/>
      <c r="AE922" s="14"/>
      <c r="AF922" s="14"/>
      <c r="AG922" s="14"/>
      <c r="AH922" s="14"/>
      <c r="AI922" s="14"/>
      <c r="AJ922" s="14"/>
      <c r="AK922" s="14"/>
      <c r="AL922" s="14"/>
      <c r="AM922" s="14"/>
      <c r="AN922" s="14"/>
    </row>
    <row r="923" ht="15.75" customHeight="1">
      <c r="A923" s="14"/>
      <c r="B923" s="14"/>
      <c r="C923" s="14"/>
      <c r="D923" s="14"/>
      <c r="E923" s="14"/>
      <c r="F923" s="14"/>
      <c r="G923" s="14"/>
      <c r="H923" s="14"/>
      <c r="I923" s="14"/>
      <c r="J923" s="14"/>
      <c r="K923" s="14"/>
      <c r="L923" s="14"/>
      <c r="M923" s="14"/>
      <c r="N923" s="14"/>
      <c r="O923" s="14"/>
      <c r="P923" s="14"/>
      <c r="Q923" s="14"/>
      <c r="R923" s="18"/>
      <c r="S923" s="18"/>
      <c r="T923" s="93"/>
      <c r="U923" s="20"/>
      <c r="V923" s="14"/>
      <c r="W923" s="14"/>
      <c r="X923" s="14"/>
      <c r="Y923" s="14"/>
      <c r="Z923" s="14"/>
      <c r="AA923" s="14"/>
      <c r="AB923" s="14"/>
      <c r="AC923" s="14"/>
      <c r="AD923" s="14"/>
      <c r="AE923" s="14"/>
      <c r="AF923" s="14"/>
      <c r="AG923" s="14"/>
      <c r="AH923" s="14"/>
      <c r="AI923" s="14"/>
      <c r="AJ923" s="14"/>
      <c r="AK923" s="14"/>
      <c r="AL923" s="14"/>
      <c r="AM923" s="14"/>
      <c r="AN923" s="14"/>
    </row>
    <row r="924" ht="15.75" customHeight="1">
      <c r="A924" s="14"/>
      <c r="B924" s="14"/>
      <c r="C924" s="14"/>
      <c r="D924" s="14"/>
      <c r="E924" s="14"/>
      <c r="F924" s="14"/>
      <c r="G924" s="14"/>
      <c r="H924" s="14"/>
      <c r="I924" s="14"/>
      <c r="J924" s="14"/>
      <c r="K924" s="14"/>
      <c r="L924" s="14"/>
      <c r="M924" s="14"/>
      <c r="N924" s="14"/>
      <c r="O924" s="14"/>
      <c r="P924" s="14"/>
      <c r="Q924" s="14"/>
      <c r="R924" s="18"/>
      <c r="S924" s="18"/>
      <c r="T924" s="93"/>
      <c r="U924" s="20"/>
      <c r="V924" s="14"/>
      <c r="W924" s="14"/>
      <c r="X924" s="14"/>
      <c r="Y924" s="14"/>
      <c r="Z924" s="14"/>
      <c r="AA924" s="14"/>
      <c r="AB924" s="14"/>
      <c r="AC924" s="14"/>
      <c r="AD924" s="14"/>
      <c r="AE924" s="14"/>
      <c r="AF924" s="14"/>
      <c r="AG924" s="14"/>
      <c r="AH924" s="14"/>
      <c r="AI924" s="14"/>
      <c r="AJ924" s="14"/>
      <c r="AK924" s="14"/>
      <c r="AL924" s="14"/>
      <c r="AM924" s="14"/>
      <c r="AN924" s="14"/>
    </row>
    <row r="925" ht="15.75" customHeight="1">
      <c r="A925" s="14"/>
      <c r="B925" s="14"/>
      <c r="C925" s="14"/>
      <c r="D925" s="14"/>
      <c r="E925" s="14"/>
      <c r="F925" s="14"/>
      <c r="G925" s="14"/>
      <c r="H925" s="14"/>
      <c r="I925" s="14"/>
      <c r="J925" s="14"/>
      <c r="K925" s="14"/>
      <c r="L925" s="14"/>
      <c r="M925" s="14"/>
      <c r="N925" s="14"/>
      <c r="O925" s="14"/>
      <c r="P925" s="14"/>
      <c r="Q925" s="14"/>
      <c r="R925" s="18"/>
      <c r="S925" s="18"/>
      <c r="T925" s="93"/>
      <c r="U925" s="20"/>
      <c r="V925" s="14"/>
      <c r="W925" s="14"/>
      <c r="X925" s="14"/>
      <c r="Y925" s="14"/>
      <c r="Z925" s="14"/>
      <c r="AA925" s="14"/>
      <c r="AB925" s="14"/>
      <c r="AC925" s="14"/>
      <c r="AD925" s="14"/>
      <c r="AE925" s="14"/>
      <c r="AF925" s="14"/>
      <c r="AG925" s="14"/>
      <c r="AH925" s="14"/>
      <c r="AI925" s="14"/>
      <c r="AJ925" s="14"/>
      <c r="AK925" s="14"/>
      <c r="AL925" s="14"/>
      <c r="AM925" s="14"/>
      <c r="AN925" s="14"/>
    </row>
    <row r="926" ht="15.75" customHeight="1">
      <c r="A926" s="14"/>
      <c r="B926" s="14"/>
      <c r="C926" s="14"/>
      <c r="D926" s="14"/>
      <c r="E926" s="14"/>
      <c r="F926" s="14"/>
      <c r="G926" s="14"/>
      <c r="H926" s="14"/>
      <c r="I926" s="14"/>
      <c r="J926" s="14"/>
      <c r="K926" s="14"/>
      <c r="L926" s="14"/>
      <c r="M926" s="14"/>
      <c r="N926" s="14"/>
      <c r="O926" s="14"/>
      <c r="P926" s="14"/>
      <c r="Q926" s="14"/>
      <c r="R926" s="18"/>
      <c r="S926" s="18"/>
      <c r="T926" s="93"/>
      <c r="U926" s="20"/>
      <c r="V926" s="14"/>
      <c r="W926" s="14"/>
      <c r="X926" s="14"/>
      <c r="Y926" s="14"/>
      <c r="Z926" s="14"/>
      <c r="AA926" s="14"/>
      <c r="AB926" s="14"/>
      <c r="AC926" s="14"/>
      <c r="AD926" s="14"/>
      <c r="AE926" s="14"/>
      <c r="AF926" s="14"/>
      <c r="AG926" s="14"/>
      <c r="AH926" s="14"/>
      <c r="AI926" s="14"/>
      <c r="AJ926" s="14"/>
      <c r="AK926" s="14"/>
      <c r="AL926" s="14"/>
      <c r="AM926" s="14"/>
      <c r="AN926" s="14"/>
    </row>
    <row r="927" ht="15.75" customHeight="1">
      <c r="A927" s="14"/>
      <c r="B927" s="14"/>
      <c r="C927" s="14"/>
      <c r="D927" s="14"/>
      <c r="E927" s="14"/>
      <c r="F927" s="14"/>
      <c r="G927" s="14"/>
      <c r="H927" s="14"/>
      <c r="I927" s="14"/>
      <c r="J927" s="14"/>
      <c r="K927" s="14"/>
      <c r="L927" s="14"/>
      <c r="M927" s="14"/>
      <c r="N927" s="14"/>
      <c r="O927" s="14"/>
      <c r="P927" s="14"/>
      <c r="Q927" s="14"/>
      <c r="R927" s="18"/>
      <c r="S927" s="18"/>
      <c r="T927" s="93"/>
      <c r="U927" s="20"/>
      <c r="V927" s="14"/>
      <c r="W927" s="14"/>
      <c r="X927" s="14"/>
      <c r="Y927" s="14"/>
      <c r="Z927" s="14"/>
      <c r="AA927" s="14"/>
      <c r="AB927" s="14"/>
      <c r="AC927" s="14"/>
      <c r="AD927" s="14"/>
      <c r="AE927" s="14"/>
      <c r="AF927" s="14"/>
      <c r="AG927" s="14"/>
      <c r="AH927" s="14"/>
      <c r="AI927" s="14"/>
      <c r="AJ927" s="14"/>
      <c r="AK927" s="14"/>
      <c r="AL927" s="14"/>
      <c r="AM927" s="14"/>
      <c r="AN927" s="14"/>
    </row>
    <row r="928" ht="15.75" customHeight="1">
      <c r="A928" s="14"/>
      <c r="B928" s="14"/>
      <c r="C928" s="14"/>
      <c r="D928" s="14"/>
      <c r="E928" s="14"/>
      <c r="F928" s="14"/>
      <c r="G928" s="14"/>
      <c r="H928" s="14"/>
      <c r="I928" s="14"/>
      <c r="J928" s="14"/>
      <c r="K928" s="14"/>
      <c r="L928" s="14"/>
      <c r="M928" s="14"/>
      <c r="N928" s="14"/>
      <c r="O928" s="14"/>
      <c r="P928" s="14"/>
      <c r="Q928" s="14"/>
      <c r="R928" s="18"/>
      <c r="S928" s="18"/>
      <c r="T928" s="93"/>
      <c r="U928" s="20"/>
      <c r="V928" s="14"/>
      <c r="W928" s="14"/>
      <c r="X928" s="14"/>
      <c r="Y928" s="14"/>
      <c r="Z928" s="14"/>
      <c r="AA928" s="14"/>
      <c r="AB928" s="14"/>
      <c r="AC928" s="14"/>
      <c r="AD928" s="14"/>
      <c r="AE928" s="14"/>
      <c r="AF928" s="14"/>
      <c r="AG928" s="14"/>
      <c r="AH928" s="14"/>
      <c r="AI928" s="14"/>
      <c r="AJ928" s="14"/>
      <c r="AK928" s="14"/>
      <c r="AL928" s="14"/>
      <c r="AM928" s="14"/>
      <c r="AN928" s="14"/>
    </row>
    <row r="929" ht="15.75" customHeight="1">
      <c r="A929" s="14"/>
      <c r="B929" s="14"/>
      <c r="C929" s="14"/>
      <c r="D929" s="14"/>
      <c r="E929" s="14"/>
      <c r="F929" s="14"/>
      <c r="G929" s="14"/>
      <c r="H929" s="14"/>
      <c r="I929" s="14"/>
      <c r="J929" s="14"/>
      <c r="K929" s="14"/>
      <c r="L929" s="14"/>
      <c r="M929" s="14"/>
      <c r="N929" s="14"/>
      <c r="O929" s="14"/>
      <c r="P929" s="14"/>
      <c r="Q929" s="14"/>
      <c r="R929" s="18"/>
      <c r="S929" s="18"/>
      <c r="T929" s="93"/>
      <c r="U929" s="20"/>
      <c r="V929" s="14"/>
      <c r="W929" s="14"/>
      <c r="X929" s="14"/>
      <c r="Y929" s="14"/>
      <c r="Z929" s="14"/>
      <c r="AA929" s="14"/>
      <c r="AB929" s="14"/>
      <c r="AC929" s="14"/>
      <c r="AD929" s="14"/>
      <c r="AE929" s="14"/>
      <c r="AF929" s="14"/>
      <c r="AG929" s="14"/>
      <c r="AH929" s="14"/>
      <c r="AI929" s="14"/>
      <c r="AJ929" s="14"/>
      <c r="AK929" s="14"/>
      <c r="AL929" s="14"/>
      <c r="AM929" s="14"/>
      <c r="AN929" s="14"/>
    </row>
    <row r="930" ht="15.75" customHeight="1">
      <c r="A930" s="14"/>
      <c r="B930" s="14"/>
      <c r="C930" s="14"/>
      <c r="D930" s="14"/>
      <c r="E930" s="14"/>
      <c r="F930" s="14"/>
      <c r="G930" s="14"/>
      <c r="H930" s="14"/>
      <c r="I930" s="14"/>
      <c r="J930" s="14"/>
      <c r="K930" s="14"/>
      <c r="L930" s="14"/>
      <c r="M930" s="14"/>
      <c r="N930" s="14"/>
      <c r="O930" s="14"/>
      <c r="P930" s="14"/>
      <c r="Q930" s="14"/>
      <c r="R930" s="18"/>
      <c r="S930" s="18"/>
      <c r="T930" s="93"/>
      <c r="U930" s="20"/>
      <c r="V930" s="14"/>
      <c r="W930" s="14"/>
      <c r="X930" s="14"/>
      <c r="Y930" s="14"/>
      <c r="Z930" s="14"/>
      <c r="AA930" s="14"/>
      <c r="AB930" s="14"/>
      <c r="AC930" s="14"/>
      <c r="AD930" s="14"/>
      <c r="AE930" s="14"/>
      <c r="AF930" s="14"/>
      <c r="AG930" s="14"/>
      <c r="AH930" s="14"/>
      <c r="AI930" s="14"/>
      <c r="AJ930" s="14"/>
      <c r="AK930" s="14"/>
      <c r="AL930" s="14"/>
      <c r="AM930" s="14"/>
      <c r="AN930" s="14"/>
    </row>
    <row r="931" ht="15.75" customHeight="1">
      <c r="A931" s="14"/>
      <c r="B931" s="14"/>
      <c r="C931" s="14"/>
      <c r="D931" s="14"/>
      <c r="E931" s="14"/>
      <c r="F931" s="14"/>
      <c r="G931" s="14"/>
      <c r="H931" s="14"/>
      <c r="I931" s="14"/>
      <c r="J931" s="14"/>
      <c r="K931" s="14"/>
      <c r="L931" s="14"/>
      <c r="M931" s="14"/>
      <c r="N931" s="14"/>
      <c r="O931" s="14"/>
      <c r="P931" s="14"/>
      <c r="Q931" s="14"/>
      <c r="R931" s="18"/>
      <c r="S931" s="18"/>
      <c r="T931" s="93"/>
      <c r="U931" s="20"/>
      <c r="V931" s="14"/>
      <c r="W931" s="14"/>
      <c r="X931" s="14"/>
      <c r="Y931" s="14"/>
      <c r="Z931" s="14"/>
      <c r="AA931" s="14"/>
      <c r="AB931" s="14"/>
      <c r="AC931" s="14"/>
      <c r="AD931" s="14"/>
      <c r="AE931" s="14"/>
      <c r="AF931" s="14"/>
      <c r="AG931" s="14"/>
      <c r="AH931" s="14"/>
      <c r="AI931" s="14"/>
      <c r="AJ931" s="14"/>
      <c r="AK931" s="14"/>
      <c r="AL931" s="14"/>
      <c r="AM931" s="14"/>
      <c r="AN931" s="14"/>
    </row>
    <row r="932" ht="15.75" customHeight="1">
      <c r="A932" s="14"/>
      <c r="B932" s="14"/>
      <c r="C932" s="14"/>
      <c r="D932" s="14"/>
      <c r="E932" s="14"/>
      <c r="F932" s="14"/>
      <c r="G932" s="14"/>
      <c r="H932" s="14"/>
      <c r="I932" s="14"/>
      <c r="J932" s="14"/>
      <c r="K932" s="14"/>
      <c r="L932" s="14"/>
      <c r="M932" s="14"/>
      <c r="N932" s="14"/>
      <c r="O932" s="14"/>
      <c r="P932" s="14"/>
      <c r="Q932" s="14"/>
      <c r="R932" s="18"/>
      <c r="S932" s="18"/>
      <c r="T932" s="93"/>
      <c r="U932" s="20"/>
      <c r="V932" s="14"/>
      <c r="W932" s="14"/>
      <c r="X932" s="14"/>
      <c r="Y932" s="14"/>
      <c r="Z932" s="14"/>
      <c r="AA932" s="14"/>
      <c r="AB932" s="14"/>
      <c r="AC932" s="14"/>
      <c r="AD932" s="14"/>
      <c r="AE932" s="14"/>
      <c r="AF932" s="14"/>
      <c r="AG932" s="14"/>
      <c r="AH932" s="14"/>
      <c r="AI932" s="14"/>
      <c r="AJ932" s="14"/>
      <c r="AK932" s="14"/>
      <c r="AL932" s="14"/>
      <c r="AM932" s="14"/>
      <c r="AN932" s="14"/>
    </row>
    <row r="933" ht="15.75" customHeight="1">
      <c r="A933" s="14"/>
      <c r="B933" s="14"/>
      <c r="C933" s="14"/>
      <c r="D933" s="14"/>
      <c r="E933" s="14"/>
      <c r="F933" s="14"/>
      <c r="G933" s="14"/>
      <c r="H933" s="14"/>
      <c r="I933" s="14"/>
      <c r="J933" s="14"/>
      <c r="K933" s="14"/>
      <c r="L933" s="14"/>
      <c r="M933" s="14"/>
      <c r="N933" s="14"/>
      <c r="O933" s="14"/>
      <c r="P933" s="14"/>
      <c r="Q933" s="14"/>
      <c r="R933" s="18"/>
      <c r="S933" s="18"/>
      <c r="T933" s="93"/>
      <c r="U933" s="20"/>
      <c r="V933" s="14"/>
      <c r="W933" s="14"/>
      <c r="X933" s="14"/>
      <c r="Y933" s="14"/>
      <c r="Z933" s="14"/>
      <c r="AA933" s="14"/>
      <c r="AB933" s="14"/>
      <c r="AC933" s="14"/>
      <c r="AD933" s="14"/>
      <c r="AE933" s="14"/>
      <c r="AF933" s="14"/>
      <c r="AG933" s="14"/>
      <c r="AH933" s="14"/>
      <c r="AI933" s="14"/>
      <c r="AJ933" s="14"/>
      <c r="AK933" s="14"/>
      <c r="AL933" s="14"/>
      <c r="AM933" s="14"/>
      <c r="AN933" s="14"/>
    </row>
    <row r="934" ht="15.75" customHeight="1">
      <c r="A934" s="14"/>
      <c r="B934" s="14"/>
      <c r="C934" s="14"/>
      <c r="D934" s="14"/>
      <c r="E934" s="14"/>
      <c r="F934" s="14"/>
      <c r="G934" s="14"/>
      <c r="H934" s="14"/>
      <c r="I934" s="14"/>
      <c r="J934" s="14"/>
      <c r="K934" s="14"/>
      <c r="L934" s="14"/>
      <c r="M934" s="14"/>
      <c r="N934" s="14"/>
      <c r="O934" s="14"/>
      <c r="P934" s="14"/>
      <c r="Q934" s="14"/>
      <c r="R934" s="18"/>
      <c r="S934" s="18"/>
      <c r="T934" s="93"/>
      <c r="U934" s="20"/>
      <c r="V934" s="14"/>
      <c r="W934" s="14"/>
      <c r="X934" s="14"/>
      <c r="Y934" s="14"/>
      <c r="Z934" s="14"/>
      <c r="AA934" s="14"/>
      <c r="AB934" s="14"/>
      <c r="AC934" s="14"/>
      <c r="AD934" s="14"/>
      <c r="AE934" s="14"/>
      <c r="AF934" s="14"/>
      <c r="AG934" s="14"/>
      <c r="AH934" s="14"/>
      <c r="AI934" s="14"/>
      <c r="AJ934" s="14"/>
      <c r="AK934" s="14"/>
      <c r="AL934" s="14"/>
      <c r="AM934" s="14"/>
      <c r="AN934" s="14"/>
    </row>
    <row r="935" ht="15.75" customHeight="1">
      <c r="A935" s="14"/>
      <c r="B935" s="14"/>
      <c r="C935" s="14"/>
      <c r="D935" s="14"/>
      <c r="E935" s="14"/>
      <c r="F935" s="14"/>
      <c r="G935" s="14"/>
      <c r="H935" s="14"/>
      <c r="I935" s="14"/>
      <c r="J935" s="14"/>
      <c r="K935" s="14"/>
      <c r="L935" s="14"/>
      <c r="M935" s="14"/>
      <c r="N935" s="14"/>
      <c r="O935" s="14"/>
      <c r="P935" s="14"/>
      <c r="Q935" s="14"/>
      <c r="R935" s="18"/>
      <c r="S935" s="18"/>
      <c r="T935" s="93"/>
      <c r="U935" s="20"/>
      <c r="V935" s="14"/>
      <c r="W935" s="14"/>
      <c r="X935" s="14"/>
      <c r="Y935" s="14"/>
      <c r="Z935" s="14"/>
      <c r="AA935" s="14"/>
      <c r="AB935" s="14"/>
      <c r="AC935" s="14"/>
      <c r="AD935" s="14"/>
      <c r="AE935" s="14"/>
      <c r="AF935" s="14"/>
      <c r="AG935" s="14"/>
      <c r="AH935" s="14"/>
      <c r="AI935" s="14"/>
      <c r="AJ935" s="14"/>
      <c r="AK935" s="14"/>
      <c r="AL935" s="14"/>
      <c r="AM935" s="14"/>
      <c r="AN935" s="14"/>
    </row>
    <row r="936" ht="15.75" customHeight="1">
      <c r="A936" s="14"/>
      <c r="B936" s="14"/>
      <c r="C936" s="14"/>
      <c r="D936" s="14"/>
      <c r="E936" s="14"/>
      <c r="F936" s="14"/>
      <c r="G936" s="14"/>
      <c r="H936" s="14"/>
      <c r="I936" s="14"/>
      <c r="J936" s="14"/>
      <c r="K936" s="14"/>
      <c r="L936" s="14"/>
      <c r="M936" s="14"/>
      <c r="N936" s="14"/>
      <c r="O936" s="14"/>
      <c r="P936" s="14"/>
      <c r="Q936" s="14"/>
      <c r="R936" s="18"/>
      <c r="S936" s="18"/>
      <c r="T936" s="93"/>
      <c r="U936" s="20"/>
      <c r="V936" s="14"/>
      <c r="W936" s="14"/>
      <c r="X936" s="14"/>
      <c r="Y936" s="14"/>
      <c r="Z936" s="14"/>
      <c r="AA936" s="14"/>
      <c r="AB936" s="14"/>
      <c r="AC936" s="14"/>
      <c r="AD936" s="14"/>
      <c r="AE936" s="14"/>
      <c r="AF936" s="14"/>
      <c r="AG936" s="14"/>
      <c r="AH936" s="14"/>
      <c r="AI936" s="14"/>
      <c r="AJ936" s="14"/>
      <c r="AK936" s="14"/>
      <c r="AL936" s="14"/>
      <c r="AM936" s="14"/>
      <c r="AN936" s="14"/>
    </row>
    <row r="937" ht="15.75" customHeight="1">
      <c r="A937" s="14"/>
      <c r="B937" s="14"/>
      <c r="C937" s="14"/>
      <c r="D937" s="14"/>
      <c r="E937" s="14"/>
      <c r="F937" s="14"/>
      <c r="G937" s="14"/>
      <c r="H937" s="14"/>
      <c r="I937" s="14"/>
      <c r="J937" s="14"/>
      <c r="K937" s="14"/>
      <c r="L937" s="14"/>
      <c r="M937" s="14"/>
      <c r="N937" s="14"/>
      <c r="O937" s="14"/>
      <c r="P937" s="14"/>
      <c r="Q937" s="14"/>
      <c r="R937" s="18"/>
      <c r="S937" s="18"/>
      <c r="T937" s="93"/>
      <c r="U937" s="20"/>
      <c r="V937" s="14"/>
      <c r="W937" s="14"/>
      <c r="X937" s="14"/>
      <c r="Y937" s="14"/>
      <c r="Z937" s="14"/>
      <c r="AA937" s="14"/>
      <c r="AB937" s="14"/>
      <c r="AC937" s="14"/>
      <c r="AD937" s="14"/>
      <c r="AE937" s="14"/>
      <c r="AF937" s="14"/>
      <c r="AG937" s="14"/>
      <c r="AH937" s="14"/>
      <c r="AI937" s="14"/>
      <c r="AJ937" s="14"/>
      <c r="AK937" s="14"/>
      <c r="AL937" s="14"/>
      <c r="AM937" s="14"/>
      <c r="AN937" s="14"/>
    </row>
    <row r="938" ht="15.75" customHeight="1">
      <c r="A938" s="14"/>
      <c r="B938" s="14"/>
      <c r="C938" s="14"/>
      <c r="D938" s="14"/>
      <c r="E938" s="14"/>
      <c r="F938" s="14"/>
      <c r="G938" s="14"/>
      <c r="H938" s="14"/>
      <c r="I938" s="14"/>
      <c r="J938" s="14"/>
      <c r="K938" s="14"/>
      <c r="L938" s="14"/>
      <c r="M938" s="14"/>
      <c r="N938" s="14"/>
      <c r="O938" s="14"/>
      <c r="P938" s="14"/>
      <c r="Q938" s="14"/>
      <c r="R938" s="18"/>
      <c r="S938" s="18"/>
      <c r="T938" s="93"/>
      <c r="U938" s="20"/>
      <c r="V938" s="14"/>
      <c r="W938" s="14"/>
      <c r="X938" s="14"/>
      <c r="Y938" s="14"/>
      <c r="Z938" s="14"/>
      <c r="AA938" s="14"/>
      <c r="AB938" s="14"/>
      <c r="AC938" s="14"/>
      <c r="AD938" s="14"/>
      <c r="AE938" s="14"/>
      <c r="AF938" s="14"/>
      <c r="AG938" s="14"/>
      <c r="AH938" s="14"/>
      <c r="AI938" s="14"/>
      <c r="AJ938" s="14"/>
      <c r="AK938" s="14"/>
      <c r="AL938" s="14"/>
      <c r="AM938" s="14"/>
      <c r="AN938" s="14"/>
    </row>
    <row r="939" ht="15.75" customHeight="1">
      <c r="A939" s="14"/>
      <c r="B939" s="14"/>
      <c r="C939" s="14"/>
      <c r="D939" s="14"/>
      <c r="E939" s="14"/>
      <c r="F939" s="14"/>
      <c r="G939" s="14"/>
      <c r="H939" s="14"/>
      <c r="I939" s="14"/>
      <c r="J939" s="14"/>
      <c r="K939" s="14"/>
      <c r="L939" s="14"/>
      <c r="M939" s="14"/>
      <c r="N939" s="14"/>
      <c r="O939" s="14"/>
      <c r="P939" s="14"/>
      <c r="Q939" s="14"/>
      <c r="R939" s="18"/>
      <c r="S939" s="18"/>
      <c r="T939" s="93"/>
      <c r="U939" s="20"/>
      <c r="V939" s="14"/>
      <c r="W939" s="14"/>
      <c r="X939" s="14"/>
      <c r="Y939" s="14"/>
      <c r="Z939" s="14"/>
      <c r="AA939" s="14"/>
      <c r="AB939" s="14"/>
      <c r="AC939" s="14"/>
      <c r="AD939" s="14"/>
      <c r="AE939" s="14"/>
      <c r="AF939" s="14"/>
      <c r="AG939" s="14"/>
      <c r="AH939" s="14"/>
      <c r="AI939" s="14"/>
      <c r="AJ939" s="14"/>
      <c r="AK939" s="14"/>
      <c r="AL939" s="14"/>
      <c r="AM939" s="14"/>
      <c r="AN939" s="14"/>
    </row>
    <row r="940" ht="15.75" customHeight="1">
      <c r="A940" s="14"/>
      <c r="B940" s="14"/>
      <c r="C940" s="14"/>
      <c r="D940" s="14"/>
      <c r="E940" s="14"/>
      <c r="F940" s="14"/>
      <c r="G940" s="14"/>
      <c r="H940" s="14"/>
      <c r="I940" s="14"/>
      <c r="J940" s="14"/>
      <c r="K940" s="14"/>
      <c r="L940" s="14"/>
      <c r="M940" s="14"/>
      <c r="N940" s="14"/>
      <c r="O940" s="14"/>
      <c r="P940" s="14"/>
      <c r="Q940" s="14"/>
      <c r="R940" s="18"/>
      <c r="S940" s="18"/>
      <c r="T940" s="93"/>
      <c r="U940" s="20"/>
      <c r="V940" s="14"/>
      <c r="W940" s="14"/>
      <c r="X940" s="14"/>
      <c r="Y940" s="14"/>
      <c r="Z940" s="14"/>
      <c r="AA940" s="14"/>
      <c r="AB940" s="14"/>
      <c r="AC940" s="14"/>
      <c r="AD940" s="14"/>
      <c r="AE940" s="14"/>
      <c r="AF940" s="14"/>
      <c r="AG940" s="14"/>
      <c r="AH940" s="14"/>
      <c r="AI940" s="14"/>
      <c r="AJ940" s="14"/>
      <c r="AK940" s="14"/>
      <c r="AL940" s="14"/>
      <c r="AM940" s="14"/>
      <c r="AN940" s="14"/>
    </row>
    <row r="941" ht="15.75" customHeight="1">
      <c r="A941" s="14"/>
      <c r="B941" s="14"/>
      <c r="C941" s="14"/>
      <c r="D941" s="14"/>
      <c r="E941" s="14"/>
      <c r="F941" s="14"/>
      <c r="G941" s="14"/>
      <c r="H941" s="14"/>
      <c r="I941" s="14"/>
      <c r="J941" s="14"/>
      <c r="K941" s="14"/>
      <c r="L941" s="14"/>
      <c r="M941" s="14"/>
      <c r="N941" s="14"/>
      <c r="O941" s="14"/>
      <c r="P941" s="14"/>
      <c r="Q941" s="14"/>
      <c r="R941" s="18"/>
      <c r="S941" s="18"/>
      <c r="T941" s="93"/>
      <c r="U941" s="20"/>
      <c r="V941" s="14"/>
      <c r="W941" s="14"/>
      <c r="X941" s="14"/>
      <c r="Y941" s="14"/>
      <c r="Z941" s="14"/>
      <c r="AA941" s="14"/>
      <c r="AB941" s="14"/>
      <c r="AC941" s="14"/>
      <c r="AD941" s="14"/>
      <c r="AE941" s="14"/>
      <c r="AF941" s="14"/>
      <c r="AG941" s="14"/>
      <c r="AH941" s="14"/>
      <c r="AI941" s="14"/>
      <c r="AJ941" s="14"/>
      <c r="AK941" s="14"/>
      <c r="AL941" s="14"/>
      <c r="AM941" s="14"/>
      <c r="AN941" s="14"/>
    </row>
    <row r="942" ht="15.75" customHeight="1">
      <c r="A942" s="14"/>
      <c r="B942" s="14"/>
      <c r="C942" s="14"/>
      <c r="D942" s="14"/>
      <c r="E942" s="14"/>
      <c r="F942" s="14"/>
      <c r="G942" s="14"/>
      <c r="H942" s="14"/>
      <c r="I942" s="14"/>
      <c r="J942" s="14"/>
      <c r="K942" s="14"/>
      <c r="L942" s="14"/>
      <c r="M942" s="14"/>
      <c r="N942" s="14"/>
      <c r="O942" s="14"/>
      <c r="P942" s="14"/>
      <c r="Q942" s="14"/>
      <c r="R942" s="18"/>
      <c r="S942" s="18"/>
      <c r="T942" s="93"/>
      <c r="U942" s="20"/>
      <c r="V942" s="14"/>
      <c r="W942" s="14"/>
      <c r="X942" s="14"/>
      <c r="Y942" s="14"/>
      <c r="Z942" s="14"/>
      <c r="AA942" s="14"/>
      <c r="AB942" s="14"/>
      <c r="AC942" s="14"/>
      <c r="AD942" s="14"/>
      <c r="AE942" s="14"/>
      <c r="AF942" s="14"/>
      <c r="AG942" s="14"/>
      <c r="AH942" s="14"/>
      <c r="AI942" s="14"/>
      <c r="AJ942" s="14"/>
      <c r="AK942" s="14"/>
      <c r="AL942" s="14"/>
      <c r="AM942" s="14"/>
      <c r="AN942" s="14"/>
    </row>
    <row r="943" ht="15.75" customHeight="1">
      <c r="A943" s="14"/>
      <c r="B943" s="14"/>
      <c r="C943" s="14"/>
      <c r="D943" s="14"/>
      <c r="E943" s="14"/>
      <c r="F943" s="14"/>
      <c r="G943" s="14"/>
      <c r="H943" s="14"/>
      <c r="I943" s="14"/>
      <c r="J943" s="14"/>
      <c r="K943" s="14"/>
      <c r="L943" s="14"/>
      <c r="M943" s="14"/>
      <c r="N943" s="14"/>
      <c r="O943" s="14"/>
      <c r="P943" s="14"/>
      <c r="Q943" s="14"/>
      <c r="R943" s="18"/>
      <c r="S943" s="18"/>
      <c r="T943" s="93"/>
      <c r="U943" s="20"/>
      <c r="V943" s="14"/>
      <c r="W943" s="14"/>
      <c r="X943" s="14"/>
      <c r="Y943" s="14"/>
      <c r="Z943" s="14"/>
      <c r="AA943" s="14"/>
      <c r="AB943" s="14"/>
      <c r="AC943" s="14"/>
      <c r="AD943" s="14"/>
      <c r="AE943" s="14"/>
      <c r="AF943" s="14"/>
      <c r="AG943" s="14"/>
      <c r="AH943" s="14"/>
      <c r="AI943" s="14"/>
      <c r="AJ943" s="14"/>
      <c r="AK943" s="14"/>
      <c r="AL943" s="14"/>
      <c r="AM943" s="14"/>
      <c r="AN943" s="14"/>
    </row>
    <row r="944" ht="15.75" customHeight="1">
      <c r="A944" s="14"/>
      <c r="B944" s="14"/>
      <c r="C944" s="14"/>
      <c r="D944" s="14"/>
      <c r="E944" s="14"/>
      <c r="F944" s="14"/>
      <c r="G944" s="14"/>
      <c r="H944" s="14"/>
      <c r="I944" s="14"/>
      <c r="J944" s="14"/>
      <c r="K944" s="14"/>
      <c r="L944" s="14"/>
      <c r="M944" s="14"/>
      <c r="N944" s="14"/>
      <c r="O944" s="14"/>
      <c r="P944" s="14"/>
      <c r="Q944" s="14"/>
      <c r="R944" s="18"/>
      <c r="S944" s="18"/>
      <c r="T944" s="93"/>
      <c r="U944" s="20"/>
      <c r="V944" s="14"/>
      <c r="W944" s="14"/>
      <c r="X944" s="14"/>
      <c r="Y944" s="14"/>
      <c r="Z944" s="14"/>
      <c r="AA944" s="14"/>
      <c r="AB944" s="14"/>
      <c r="AC944" s="14"/>
      <c r="AD944" s="14"/>
      <c r="AE944" s="14"/>
      <c r="AF944" s="14"/>
      <c r="AG944" s="14"/>
      <c r="AH944" s="14"/>
      <c r="AI944" s="14"/>
      <c r="AJ944" s="14"/>
      <c r="AK944" s="14"/>
      <c r="AL944" s="14"/>
      <c r="AM944" s="14"/>
      <c r="AN944" s="14"/>
    </row>
    <row r="945" ht="15.75" customHeight="1">
      <c r="A945" s="14"/>
      <c r="B945" s="14"/>
      <c r="C945" s="14"/>
      <c r="D945" s="14"/>
      <c r="E945" s="14"/>
      <c r="F945" s="14"/>
      <c r="G945" s="14"/>
      <c r="H945" s="14"/>
      <c r="I945" s="14"/>
      <c r="J945" s="14"/>
      <c r="K945" s="14"/>
      <c r="L945" s="14"/>
      <c r="M945" s="14"/>
      <c r="N945" s="14"/>
      <c r="O945" s="14"/>
      <c r="P945" s="14"/>
      <c r="Q945" s="14"/>
      <c r="R945" s="18"/>
      <c r="S945" s="18"/>
      <c r="T945" s="93"/>
      <c r="U945" s="20"/>
      <c r="V945" s="14"/>
      <c r="W945" s="14"/>
      <c r="X945" s="14"/>
      <c r="Y945" s="14"/>
      <c r="Z945" s="14"/>
      <c r="AA945" s="14"/>
      <c r="AB945" s="14"/>
      <c r="AC945" s="14"/>
      <c r="AD945" s="14"/>
      <c r="AE945" s="14"/>
      <c r="AF945" s="14"/>
      <c r="AG945" s="14"/>
      <c r="AH945" s="14"/>
      <c r="AI945" s="14"/>
      <c r="AJ945" s="14"/>
      <c r="AK945" s="14"/>
      <c r="AL945" s="14"/>
      <c r="AM945" s="14"/>
      <c r="AN945" s="14"/>
    </row>
    <row r="946" ht="15.75" customHeight="1">
      <c r="A946" s="14"/>
      <c r="B946" s="14"/>
      <c r="C946" s="14"/>
      <c r="D946" s="14"/>
      <c r="E946" s="14"/>
      <c r="F946" s="14"/>
      <c r="G946" s="14"/>
      <c r="H946" s="14"/>
      <c r="I946" s="14"/>
      <c r="J946" s="14"/>
      <c r="K946" s="14"/>
      <c r="L946" s="14"/>
      <c r="M946" s="14"/>
      <c r="N946" s="14"/>
      <c r="O946" s="14"/>
      <c r="P946" s="14"/>
      <c r="Q946" s="14"/>
      <c r="R946" s="18"/>
      <c r="S946" s="18"/>
      <c r="T946" s="93"/>
      <c r="U946" s="20"/>
      <c r="V946" s="14"/>
      <c r="W946" s="14"/>
      <c r="X946" s="14"/>
      <c r="Y946" s="14"/>
      <c r="Z946" s="14"/>
      <c r="AA946" s="14"/>
      <c r="AB946" s="14"/>
      <c r="AC946" s="14"/>
      <c r="AD946" s="14"/>
      <c r="AE946" s="14"/>
      <c r="AF946" s="14"/>
      <c r="AG946" s="14"/>
      <c r="AH946" s="14"/>
      <c r="AI946" s="14"/>
      <c r="AJ946" s="14"/>
      <c r="AK946" s="14"/>
      <c r="AL946" s="14"/>
      <c r="AM946" s="14"/>
      <c r="AN946" s="14"/>
    </row>
    <row r="947" ht="15.75" customHeight="1">
      <c r="A947" s="14"/>
      <c r="B947" s="14"/>
      <c r="C947" s="14"/>
      <c r="D947" s="14"/>
      <c r="E947" s="14"/>
      <c r="F947" s="14"/>
      <c r="G947" s="14"/>
      <c r="H947" s="14"/>
      <c r="I947" s="14"/>
      <c r="J947" s="14"/>
      <c r="K947" s="14"/>
      <c r="L947" s="14"/>
      <c r="M947" s="14"/>
      <c r="N947" s="14"/>
      <c r="O947" s="14"/>
      <c r="P947" s="14"/>
      <c r="Q947" s="14"/>
      <c r="R947" s="18"/>
      <c r="S947" s="18"/>
      <c r="T947" s="93"/>
      <c r="U947" s="20"/>
      <c r="V947" s="14"/>
      <c r="W947" s="14"/>
      <c r="X947" s="14"/>
      <c r="Y947" s="14"/>
      <c r="Z947" s="14"/>
      <c r="AA947" s="14"/>
      <c r="AB947" s="14"/>
      <c r="AC947" s="14"/>
      <c r="AD947" s="14"/>
      <c r="AE947" s="14"/>
      <c r="AF947" s="14"/>
      <c r="AG947" s="14"/>
      <c r="AH947" s="14"/>
      <c r="AI947" s="14"/>
      <c r="AJ947" s="14"/>
      <c r="AK947" s="14"/>
      <c r="AL947" s="14"/>
      <c r="AM947" s="14"/>
      <c r="AN947" s="14"/>
    </row>
    <row r="948" ht="15.75" customHeight="1">
      <c r="A948" s="14"/>
      <c r="B948" s="14"/>
      <c r="C948" s="14"/>
      <c r="D948" s="14"/>
      <c r="E948" s="14"/>
      <c r="F948" s="14"/>
      <c r="G948" s="14"/>
      <c r="H948" s="14"/>
      <c r="I948" s="14"/>
      <c r="J948" s="14"/>
      <c r="K948" s="14"/>
      <c r="L948" s="14"/>
      <c r="M948" s="14"/>
      <c r="N948" s="14"/>
      <c r="O948" s="14"/>
      <c r="P948" s="14"/>
      <c r="Q948" s="14"/>
      <c r="R948" s="18"/>
      <c r="S948" s="18"/>
      <c r="T948" s="93"/>
      <c r="U948" s="20"/>
      <c r="V948" s="14"/>
      <c r="W948" s="14"/>
      <c r="X948" s="14"/>
      <c r="Y948" s="14"/>
      <c r="Z948" s="14"/>
      <c r="AA948" s="14"/>
      <c r="AB948" s="14"/>
      <c r="AC948" s="14"/>
      <c r="AD948" s="14"/>
      <c r="AE948" s="14"/>
      <c r="AF948" s="14"/>
      <c r="AG948" s="14"/>
      <c r="AH948" s="14"/>
      <c r="AI948" s="14"/>
      <c r="AJ948" s="14"/>
      <c r="AK948" s="14"/>
      <c r="AL948" s="14"/>
      <c r="AM948" s="14"/>
      <c r="AN948" s="14"/>
    </row>
    <row r="949" ht="15.75" customHeight="1">
      <c r="A949" s="14"/>
      <c r="B949" s="14"/>
      <c r="C949" s="14"/>
      <c r="D949" s="14"/>
      <c r="E949" s="14"/>
      <c r="F949" s="14"/>
      <c r="G949" s="14"/>
      <c r="H949" s="14"/>
      <c r="I949" s="14"/>
      <c r="J949" s="14"/>
      <c r="K949" s="14"/>
      <c r="L949" s="14"/>
      <c r="M949" s="14"/>
      <c r="N949" s="14"/>
      <c r="O949" s="14"/>
      <c r="P949" s="14"/>
      <c r="Q949" s="14"/>
      <c r="R949" s="18"/>
      <c r="S949" s="18"/>
      <c r="T949" s="93"/>
      <c r="U949" s="20"/>
      <c r="V949" s="14"/>
      <c r="W949" s="14"/>
      <c r="X949" s="14"/>
      <c r="Y949" s="14"/>
      <c r="Z949" s="14"/>
      <c r="AA949" s="14"/>
      <c r="AB949" s="14"/>
      <c r="AC949" s="14"/>
      <c r="AD949" s="14"/>
      <c r="AE949" s="14"/>
      <c r="AF949" s="14"/>
      <c r="AG949" s="14"/>
      <c r="AH949" s="14"/>
      <c r="AI949" s="14"/>
      <c r="AJ949" s="14"/>
      <c r="AK949" s="14"/>
      <c r="AL949" s="14"/>
      <c r="AM949" s="14"/>
      <c r="AN949" s="14"/>
    </row>
    <row r="950" ht="15.75" customHeight="1">
      <c r="A950" s="14"/>
      <c r="B950" s="14"/>
      <c r="C950" s="14"/>
      <c r="D950" s="14"/>
      <c r="E950" s="14"/>
      <c r="F950" s="14"/>
      <c r="G950" s="14"/>
      <c r="H950" s="14"/>
      <c r="I950" s="14"/>
      <c r="J950" s="14"/>
      <c r="K950" s="14"/>
      <c r="L950" s="14"/>
      <c r="M950" s="14"/>
      <c r="N950" s="14"/>
      <c r="O950" s="14"/>
      <c r="P950" s="14"/>
      <c r="Q950" s="14"/>
      <c r="R950" s="18"/>
      <c r="S950" s="18"/>
      <c r="T950" s="93"/>
      <c r="U950" s="20"/>
      <c r="V950" s="14"/>
      <c r="W950" s="14"/>
      <c r="X950" s="14"/>
      <c r="Y950" s="14"/>
      <c r="Z950" s="14"/>
      <c r="AA950" s="14"/>
      <c r="AB950" s="14"/>
      <c r="AC950" s="14"/>
      <c r="AD950" s="14"/>
      <c r="AE950" s="14"/>
      <c r="AF950" s="14"/>
      <c r="AG950" s="14"/>
      <c r="AH950" s="14"/>
      <c r="AI950" s="14"/>
      <c r="AJ950" s="14"/>
      <c r="AK950" s="14"/>
      <c r="AL950" s="14"/>
      <c r="AM950" s="14"/>
      <c r="AN950" s="14"/>
    </row>
    <row r="951" ht="15.75" customHeight="1">
      <c r="A951" s="14"/>
      <c r="B951" s="14"/>
      <c r="C951" s="14"/>
      <c r="D951" s="14"/>
      <c r="E951" s="14"/>
      <c r="F951" s="14"/>
      <c r="G951" s="14"/>
      <c r="H951" s="14"/>
      <c r="I951" s="14"/>
      <c r="J951" s="14"/>
      <c r="K951" s="14"/>
      <c r="L951" s="14"/>
      <c r="M951" s="14"/>
      <c r="N951" s="14"/>
      <c r="O951" s="14"/>
      <c r="P951" s="14"/>
      <c r="Q951" s="14"/>
      <c r="R951" s="18"/>
      <c r="S951" s="18"/>
      <c r="T951" s="93"/>
      <c r="U951" s="20"/>
      <c r="V951" s="14"/>
      <c r="W951" s="14"/>
      <c r="X951" s="14"/>
      <c r="Y951" s="14"/>
      <c r="Z951" s="14"/>
      <c r="AA951" s="14"/>
      <c r="AB951" s="14"/>
      <c r="AC951" s="14"/>
      <c r="AD951" s="14"/>
      <c r="AE951" s="14"/>
      <c r="AF951" s="14"/>
      <c r="AG951" s="14"/>
      <c r="AH951" s="14"/>
      <c r="AI951" s="14"/>
      <c r="AJ951" s="14"/>
      <c r="AK951" s="14"/>
      <c r="AL951" s="14"/>
      <c r="AM951" s="14"/>
      <c r="AN951" s="14"/>
    </row>
    <row r="952" ht="15.75" customHeight="1">
      <c r="A952" s="14"/>
      <c r="B952" s="14"/>
      <c r="C952" s="14"/>
      <c r="D952" s="14"/>
      <c r="E952" s="14"/>
      <c r="F952" s="14"/>
      <c r="G952" s="14"/>
      <c r="H952" s="14"/>
      <c r="I952" s="14"/>
      <c r="J952" s="14"/>
      <c r="K952" s="14"/>
      <c r="L952" s="14"/>
      <c r="M952" s="14"/>
      <c r="N952" s="14"/>
      <c r="O952" s="14"/>
      <c r="P952" s="14"/>
      <c r="Q952" s="14"/>
      <c r="R952" s="18"/>
      <c r="S952" s="18"/>
      <c r="T952" s="93"/>
      <c r="U952" s="20"/>
      <c r="V952" s="14"/>
      <c r="W952" s="14"/>
      <c r="X952" s="14"/>
      <c r="Y952" s="14"/>
      <c r="Z952" s="14"/>
      <c r="AA952" s="14"/>
      <c r="AB952" s="14"/>
      <c r="AC952" s="14"/>
      <c r="AD952" s="14"/>
      <c r="AE952" s="14"/>
      <c r="AF952" s="14"/>
      <c r="AG952" s="14"/>
      <c r="AH952" s="14"/>
      <c r="AI952" s="14"/>
      <c r="AJ952" s="14"/>
      <c r="AK952" s="14"/>
      <c r="AL952" s="14"/>
      <c r="AM952" s="14"/>
      <c r="AN952" s="14"/>
    </row>
    <row r="953" ht="15.75" customHeight="1">
      <c r="A953" s="14"/>
      <c r="B953" s="14"/>
      <c r="C953" s="14"/>
      <c r="D953" s="14"/>
      <c r="E953" s="14"/>
      <c r="F953" s="14"/>
      <c r="G953" s="14"/>
      <c r="H953" s="14"/>
      <c r="I953" s="14"/>
      <c r="J953" s="14"/>
      <c r="K953" s="14"/>
      <c r="L953" s="14"/>
      <c r="M953" s="14"/>
      <c r="N953" s="14"/>
      <c r="O953" s="14"/>
      <c r="P953" s="14"/>
      <c r="Q953" s="14"/>
      <c r="R953" s="18"/>
      <c r="S953" s="18"/>
      <c r="T953" s="93"/>
      <c r="U953" s="20"/>
      <c r="V953" s="14"/>
      <c r="W953" s="14"/>
      <c r="X953" s="14"/>
      <c r="Y953" s="14"/>
      <c r="Z953" s="14"/>
      <c r="AA953" s="14"/>
      <c r="AB953" s="14"/>
      <c r="AC953" s="14"/>
      <c r="AD953" s="14"/>
      <c r="AE953" s="14"/>
      <c r="AF953" s="14"/>
      <c r="AG953" s="14"/>
      <c r="AH953" s="14"/>
      <c r="AI953" s="14"/>
      <c r="AJ953" s="14"/>
      <c r="AK953" s="14"/>
      <c r="AL953" s="14"/>
      <c r="AM953" s="14"/>
      <c r="AN953" s="14"/>
    </row>
    <row r="954" ht="15.75" customHeight="1">
      <c r="A954" s="14"/>
      <c r="B954" s="14"/>
      <c r="C954" s="14"/>
      <c r="D954" s="14"/>
      <c r="E954" s="14"/>
      <c r="F954" s="14"/>
      <c r="G954" s="14"/>
      <c r="H954" s="14"/>
      <c r="I954" s="14"/>
      <c r="J954" s="14"/>
      <c r="K954" s="14"/>
      <c r="L954" s="14"/>
      <c r="M954" s="14"/>
      <c r="N954" s="14"/>
      <c r="O954" s="14"/>
      <c r="P954" s="14"/>
      <c r="Q954" s="14"/>
      <c r="R954" s="18"/>
      <c r="S954" s="18"/>
      <c r="T954" s="93"/>
      <c r="U954" s="20"/>
      <c r="V954" s="14"/>
      <c r="W954" s="14"/>
      <c r="X954" s="14"/>
      <c r="Y954" s="14"/>
      <c r="Z954" s="14"/>
      <c r="AA954" s="14"/>
      <c r="AB954" s="14"/>
      <c r="AC954" s="14"/>
      <c r="AD954" s="14"/>
      <c r="AE954" s="14"/>
      <c r="AF954" s="14"/>
      <c r="AG954" s="14"/>
      <c r="AH954" s="14"/>
      <c r="AI954" s="14"/>
      <c r="AJ954" s="14"/>
      <c r="AK954" s="14"/>
      <c r="AL954" s="14"/>
      <c r="AM954" s="14"/>
      <c r="AN954" s="14"/>
    </row>
    <row r="955" ht="15.75" customHeight="1">
      <c r="A955" s="14"/>
      <c r="B955" s="14"/>
      <c r="C955" s="14"/>
      <c r="D955" s="14"/>
      <c r="E955" s="14"/>
      <c r="F955" s="14"/>
      <c r="G955" s="14"/>
      <c r="H955" s="14"/>
      <c r="I955" s="14"/>
      <c r="J955" s="14"/>
      <c r="K955" s="14"/>
      <c r="L955" s="14"/>
      <c r="M955" s="14"/>
      <c r="N955" s="14"/>
      <c r="O955" s="14"/>
      <c r="P955" s="14"/>
      <c r="Q955" s="14"/>
      <c r="R955" s="18"/>
      <c r="S955" s="18"/>
      <c r="T955" s="93"/>
      <c r="U955" s="20"/>
      <c r="V955" s="14"/>
      <c r="W955" s="14"/>
      <c r="X955" s="14"/>
      <c r="Y955" s="14"/>
      <c r="Z955" s="14"/>
      <c r="AA955" s="14"/>
      <c r="AB955" s="14"/>
      <c r="AC955" s="14"/>
      <c r="AD955" s="14"/>
      <c r="AE955" s="14"/>
      <c r="AF955" s="14"/>
      <c r="AG955" s="14"/>
      <c r="AH955" s="14"/>
      <c r="AI955" s="14"/>
      <c r="AJ955" s="14"/>
      <c r="AK955" s="14"/>
      <c r="AL955" s="14"/>
      <c r="AM955" s="14"/>
      <c r="AN955" s="14"/>
    </row>
    <row r="956" ht="15.75" customHeight="1">
      <c r="A956" s="14"/>
      <c r="B956" s="14"/>
      <c r="C956" s="14"/>
      <c r="D956" s="14"/>
      <c r="E956" s="14"/>
      <c r="F956" s="14"/>
      <c r="G956" s="14"/>
      <c r="H956" s="14"/>
      <c r="I956" s="14"/>
      <c r="J956" s="14"/>
      <c r="K956" s="14"/>
      <c r="L956" s="14"/>
      <c r="M956" s="14"/>
      <c r="N956" s="14"/>
      <c r="O956" s="14"/>
      <c r="P956" s="14"/>
      <c r="Q956" s="14"/>
      <c r="R956" s="18"/>
      <c r="S956" s="18"/>
      <c r="T956" s="93"/>
      <c r="U956" s="20"/>
      <c r="V956" s="14"/>
      <c r="W956" s="14"/>
      <c r="X956" s="14"/>
      <c r="Y956" s="14"/>
      <c r="Z956" s="14"/>
      <c r="AA956" s="14"/>
      <c r="AB956" s="14"/>
      <c r="AC956" s="14"/>
      <c r="AD956" s="14"/>
      <c r="AE956" s="14"/>
      <c r="AF956" s="14"/>
      <c r="AG956" s="14"/>
      <c r="AH956" s="14"/>
      <c r="AI956" s="14"/>
      <c r="AJ956" s="14"/>
      <c r="AK956" s="14"/>
      <c r="AL956" s="14"/>
      <c r="AM956" s="14"/>
      <c r="AN956" s="14"/>
    </row>
    <row r="957" ht="15.75" customHeight="1">
      <c r="A957" s="14"/>
      <c r="B957" s="14"/>
      <c r="C957" s="14"/>
      <c r="D957" s="14"/>
      <c r="E957" s="14"/>
      <c r="F957" s="14"/>
      <c r="G957" s="14"/>
      <c r="H957" s="14"/>
      <c r="I957" s="14"/>
      <c r="J957" s="14"/>
      <c r="K957" s="14"/>
      <c r="L957" s="14"/>
      <c r="M957" s="14"/>
      <c r="N957" s="14"/>
      <c r="O957" s="14"/>
      <c r="P957" s="14"/>
      <c r="Q957" s="14"/>
      <c r="R957" s="18"/>
      <c r="S957" s="18"/>
      <c r="T957" s="93"/>
      <c r="U957" s="20"/>
      <c r="V957" s="14"/>
      <c r="W957" s="14"/>
      <c r="X957" s="14"/>
      <c r="Y957" s="14"/>
      <c r="Z957" s="14"/>
      <c r="AA957" s="14"/>
      <c r="AB957" s="14"/>
      <c r="AC957" s="14"/>
      <c r="AD957" s="14"/>
      <c r="AE957" s="14"/>
      <c r="AF957" s="14"/>
      <c r="AG957" s="14"/>
      <c r="AH957" s="14"/>
      <c r="AI957" s="14"/>
      <c r="AJ957" s="14"/>
      <c r="AK957" s="14"/>
      <c r="AL957" s="14"/>
      <c r="AM957" s="14"/>
      <c r="AN957" s="14"/>
    </row>
    <row r="958" ht="15.75" customHeight="1">
      <c r="A958" s="14"/>
      <c r="B958" s="14"/>
      <c r="C958" s="14"/>
      <c r="D958" s="14"/>
      <c r="E958" s="14"/>
      <c r="F958" s="14"/>
      <c r="G958" s="14"/>
      <c r="H958" s="14"/>
      <c r="I958" s="14"/>
      <c r="J958" s="14"/>
      <c r="K958" s="14"/>
      <c r="L958" s="14"/>
      <c r="M958" s="14"/>
      <c r="N958" s="14"/>
      <c r="O958" s="14"/>
      <c r="P958" s="14"/>
      <c r="Q958" s="14"/>
      <c r="R958" s="18"/>
      <c r="S958" s="18"/>
      <c r="T958" s="93"/>
      <c r="U958" s="20"/>
      <c r="V958" s="14"/>
      <c r="W958" s="14"/>
      <c r="X958" s="14"/>
      <c r="Y958" s="14"/>
      <c r="Z958" s="14"/>
      <c r="AA958" s="14"/>
      <c r="AB958" s="14"/>
      <c r="AC958" s="14"/>
      <c r="AD958" s="14"/>
      <c r="AE958" s="14"/>
      <c r="AF958" s="14"/>
      <c r="AG958" s="14"/>
      <c r="AH958" s="14"/>
      <c r="AI958" s="14"/>
      <c r="AJ958" s="14"/>
      <c r="AK958" s="14"/>
      <c r="AL958" s="14"/>
      <c r="AM958" s="14"/>
      <c r="AN958" s="14"/>
    </row>
    <row r="959" ht="15.75" customHeight="1">
      <c r="A959" s="14"/>
      <c r="B959" s="14"/>
      <c r="C959" s="14"/>
      <c r="D959" s="14"/>
      <c r="E959" s="14"/>
      <c r="F959" s="14"/>
      <c r="G959" s="14"/>
      <c r="H959" s="14"/>
      <c r="I959" s="14"/>
      <c r="J959" s="14"/>
      <c r="K959" s="14"/>
      <c r="L959" s="14"/>
      <c r="M959" s="14"/>
      <c r="N959" s="14"/>
      <c r="O959" s="14"/>
      <c r="P959" s="14"/>
      <c r="Q959" s="14"/>
      <c r="R959" s="18"/>
      <c r="S959" s="18"/>
      <c r="T959" s="93"/>
      <c r="U959" s="20"/>
      <c r="V959" s="14"/>
      <c r="W959" s="14"/>
      <c r="X959" s="14"/>
      <c r="Y959" s="14"/>
      <c r="Z959" s="14"/>
      <c r="AA959" s="14"/>
      <c r="AB959" s="14"/>
      <c r="AC959" s="14"/>
      <c r="AD959" s="14"/>
      <c r="AE959" s="14"/>
      <c r="AF959" s="14"/>
      <c r="AG959" s="14"/>
      <c r="AH959" s="14"/>
      <c r="AI959" s="14"/>
      <c r="AJ959" s="14"/>
      <c r="AK959" s="14"/>
      <c r="AL959" s="14"/>
      <c r="AM959" s="14"/>
      <c r="AN959" s="14"/>
    </row>
    <row r="960" ht="15.75" customHeight="1">
      <c r="A960" s="14"/>
      <c r="B960" s="14"/>
      <c r="C960" s="14"/>
      <c r="D960" s="14"/>
      <c r="E960" s="14"/>
      <c r="F960" s="14"/>
      <c r="G960" s="14"/>
      <c r="H960" s="14"/>
      <c r="I960" s="14"/>
      <c r="J960" s="14"/>
      <c r="K960" s="14"/>
      <c r="L960" s="14"/>
      <c r="M960" s="14"/>
      <c r="N960" s="14"/>
      <c r="O960" s="14"/>
      <c r="P960" s="14"/>
      <c r="Q960" s="14"/>
      <c r="R960" s="18"/>
      <c r="S960" s="18"/>
      <c r="T960" s="93"/>
      <c r="U960" s="20"/>
      <c r="V960" s="14"/>
      <c r="W960" s="14"/>
      <c r="X960" s="14"/>
      <c r="Y960" s="14"/>
      <c r="Z960" s="14"/>
      <c r="AA960" s="14"/>
      <c r="AB960" s="14"/>
      <c r="AC960" s="14"/>
      <c r="AD960" s="14"/>
      <c r="AE960" s="14"/>
      <c r="AF960" s="14"/>
      <c r="AG960" s="14"/>
      <c r="AH960" s="14"/>
      <c r="AI960" s="14"/>
      <c r="AJ960" s="14"/>
      <c r="AK960" s="14"/>
      <c r="AL960" s="14"/>
      <c r="AM960" s="14"/>
      <c r="AN960" s="14"/>
    </row>
    <row r="961" ht="15.75" customHeight="1">
      <c r="A961" s="14"/>
      <c r="B961" s="14"/>
      <c r="C961" s="14"/>
      <c r="D961" s="14"/>
      <c r="E961" s="14"/>
      <c r="F961" s="14"/>
      <c r="G961" s="14"/>
      <c r="H961" s="14"/>
      <c r="I961" s="14"/>
      <c r="J961" s="14"/>
      <c r="K961" s="14"/>
      <c r="L961" s="14"/>
      <c r="M961" s="14"/>
      <c r="N961" s="14"/>
      <c r="O961" s="14"/>
      <c r="P961" s="14"/>
      <c r="Q961" s="14"/>
      <c r="R961" s="18"/>
      <c r="S961" s="18"/>
      <c r="T961" s="93"/>
      <c r="U961" s="20"/>
      <c r="V961" s="14"/>
      <c r="W961" s="14"/>
      <c r="X961" s="14"/>
      <c r="Y961" s="14"/>
      <c r="Z961" s="14"/>
      <c r="AA961" s="14"/>
      <c r="AB961" s="14"/>
      <c r="AC961" s="14"/>
      <c r="AD961" s="14"/>
      <c r="AE961" s="14"/>
      <c r="AF961" s="14"/>
      <c r="AG961" s="14"/>
      <c r="AH961" s="14"/>
      <c r="AI961" s="14"/>
      <c r="AJ961" s="14"/>
      <c r="AK961" s="14"/>
      <c r="AL961" s="14"/>
      <c r="AM961" s="14"/>
      <c r="AN961" s="14"/>
    </row>
    <row r="962" ht="15.75" customHeight="1">
      <c r="A962" s="14"/>
      <c r="B962" s="14"/>
      <c r="C962" s="14"/>
      <c r="D962" s="14"/>
      <c r="E962" s="14"/>
      <c r="F962" s="14"/>
      <c r="G962" s="14"/>
      <c r="H962" s="14"/>
      <c r="I962" s="14"/>
      <c r="J962" s="14"/>
      <c r="K962" s="14"/>
      <c r="L962" s="14"/>
      <c r="M962" s="14"/>
      <c r="N962" s="14"/>
      <c r="O962" s="14"/>
      <c r="P962" s="14"/>
      <c r="Q962" s="14"/>
      <c r="R962" s="18"/>
      <c r="S962" s="18"/>
      <c r="T962" s="93"/>
      <c r="U962" s="20"/>
      <c r="V962" s="14"/>
      <c r="W962" s="14"/>
      <c r="X962" s="14"/>
      <c r="Y962" s="14"/>
      <c r="Z962" s="14"/>
      <c r="AA962" s="14"/>
      <c r="AB962" s="14"/>
      <c r="AC962" s="14"/>
      <c r="AD962" s="14"/>
      <c r="AE962" s="14"/>
      <c r="AF962" s="14"/>
      <c r="AG962" s="14"/>
      <c r="AH962" s="14"/>
      <c r="AI962" s="14"/>
      <c r="AJ962" s="14"/>
      <c r="AK962" s="14"/>
      <c r="AL962" s="14"/>
      <c r="AM962" s="14"/>
      <c r="AN962" s="14"/>
    </row>
    <row r="963" ht="15.75" customHeight="1">
      <c r="A963" s="14"/>
      <c r="B963" s="14"/>
      <c r="C963" s="14"/>
      <c r="D963" s="14"/>
      <c r="E963" s="14"/>
      <c r="F963" s="14"/>
      <c r="G963" s="14"/>
      <c r="H963" s="14"/>
      <c r="I963" s="14"/>
      <c r="J963" s="14"/>
      <c r="K963" s="14"/>
      <c r="L963" s="14"/>
      <c r="M963" s="14"/>
      <c r="N963" s="14"/>
      <c r="O963" s="14"/>
      <c r="P963" s="14"/>
      <c r="Q963" s="14"/>
      <c r="R963" s="18"/>
      <c r="S963" s="18"/>
      <c r="T963" s="93"/>
      <c r="U963" s="20"/>
      <c r="V963" s="14"/>
      <c r="W963" s="14"/>
      <c r="X963" s="14"/>
      <c r="Y963" s="14"/>
      <c r="Z963" s="14"/>
      <c r="AA963" s="14"/>
      <c r="AB963" s="14"/>
      <c r="AC963" s="14"/>
      <c r="AD963" s="14"/>
      <c r="AE963" s="14"/>
      <c r="AF963" s="14"/>
      <c r="AG963" s="14"/>
      <c r="AH963" s="14"/>
      <c r="AI963" s="14"/>
      <c r="AJ963" s="14"/>
      <c r="AK963" s="14"/>
      <c r="AL963" s="14"/>
      <c r="AM963" s="14"/>
      <c r="AN963" s="14"/>
    </row>
    <row r="964" ht="15.75" customHeight="1">
      <c r="A964" s="14"/>
      <c r="B964" s="14"/>
      <c r="C964" s="14"/>
      <c r="D964" s="14"/>
      <c r="E964" s="14"/>
      <c r="F964" s="14"/>
      <c r="G964" s="14"/>
      <c r="H964" s="14"/>
      <c r="I964" s="14"/>
      <c r="J964" s="14"/>
      <c r="K964" s="14"/>
      <c r="L964" s="14"/>
      <c r="M964" s="14"/>
      <c r="N964" s="14"/>
      <c r="O964" s="14"/>
      <c r="P964" s="14"/>
      <c r="Q964" s="14"/>
      <c r="R964" s="18"/>
      <c r="S964" s="18"/>
      <c r="T964" s="93"/>
      <c r="U964" s="20"/>
      <c r="V964" s="14"/>
      <c r="W964" s="14"/>
      <c r="X964" s="14"/>
      <c r="Y964" s="14"/>
      <c r="Z964" s="14"/>
      <c r="AA964" s="14"/>
      <c r="AB964" s="14"/>
      <c r="AC964" s="14"/>
      <c r="AD964" s="14"/>
      <c r="AE964" s="14"/>
      <c r="AF964" s="14"/>
      <c r="AG964" s="14"/>
      <c r="AH964" s="14"/>
      <c r="AI964" s="14"/>
      <c r="AJ964" s="14"/>
      <c r="AK964" s="14"/>
      <c r="AL964" s="14"/>
      <c r="AM964" s="14"/>
      <c r="AN964" s="14"/>
    </row>
    <row r="965" ht="15.75" customHeight="1">
      <c r="A965" s="14"/>
      <c r="B965" s="14"/>
      <c r="C965" s="14"/>
      <c r="D965" s="14"/>
      <c r="E965" s="14"/>
      <c r="F965" s="14"/>
      <c r="G965" s="14"/>
      <c r="H965" s="14"/>
      <c r="I965" s="14"/>
      <c r="J965" s="14"/>
      <c r="K965" s="14"/>
      <c r="L965" s="14"/>
      <c r="M965" s="14"/>
      <c r="N965" s="14"/>
      <c r="O965" s="14"/>
      <c r="P965" s="14"/>
      <c r="Q965" s="14"/>
      <c r="R965" s="18"/>
      <c r="S965" s="18"/>
      <c r="T965" s="93"/>
      <c r="U965" s="20"/>
      <c r="V965" s="14"/>
      <c r="W965" s="14"/>
      <c r="X965" s="14"/>
      <c r="Y965" s="14"/>
      <c r="Z965" s="14"/>
      <c r="AA965" s="14"/>
      <c r="AB965" s="14"/>
      <c r="AC965" s="14"/>
      <c r="AD965" s="14"/>
      <c r="AE965" s="14"/>
      <c r="AF965" s="14"/>
      <c r="AG965" s="14"/>
      <c r="AH965" s="14"/>
      <c r="AI965" s="14"/>
      <c r="AJ965" s="14"/>
      <c r="AK965" s="14"/>
      <c r="AL965" s="14"/>
      <c r="AM965" s="14"/>
      <c r="AN965" s="14"/>
    </row>
    <row r="966" ht="15.75" customHeight="1">
      <c r="A966" s="14"/>
      <c r="B966" s="14"/>
      <c r="C966" s="14"/>
      <c r="D966" s="14"/>
      <c r="E966" s="14"/>
      <c r="F966" s="14"/>
      <c r="G966" s="14"/>
      <c r="H966" s="14"/>
      <c r="I966" s="14"/>
      <c r="J966" s="14"/>
      <c r="K966" s="14"/>
      <c r="L966" s="14"/>
      <c r="M966" s="14"/>
      <c r="N966" s="14"/>
      <c r="O966" s="14"/>
      <c r="P966" s="14"/>
      <c r="Q966" s="14"/>
      <c r="R966" s="18"/>
      <c r="S966" s="18"/>
      <c r="T966" s="93"/>
      <c r="U966" s="20"/>
      <c r="V966" s="14"/>
      <c r="W966" s="14"/>
      <c r="X966" s="14"/>
      <c r="Y966" s="14"/>
      <c r="Z966" s="14"/>
      <c r="AA966" s="14"/>
      <c r="AB966" s="14"/>
      <c r="AC966" s="14"/>
      <c r="AD966" s="14"/>
      <c r="AE966" s="14"/>
      <c r="AF966" s="14"/>
      <c r="AG966" s="14"/>
      <c r="AH966" s="14"/>
      <c r="AI966" s="14"/>
      <c r="AJ966" s="14"/>
      <c r="AK966" s="14"/>
      <c r="AL966" s="14"/>
      <c r="AM966" s="14"/>
      <c r="AN966" s="14"/>
    </row>
    <row r="967" ht="15.75" customHeight="1">
      <c r="A967" s="14"/>
      <c r="B967" s="14"/>
      <c r="C967" s="14"/>
      <c r="D967" s="14"/>
      <c r="E967" s="14"/>
      <c r="F967" s="14"/>
      <c r="G967" s="14"/>
      <c r="H967" s="14"/>
      <c r="I967" s="14"/>
      <c r="J967" s="14"/>
      <c r="K967" s="14"/>
      <c r="L967" s="14"/>
      <c r="M967" s="14"/>
      <c r="N967" s="14"/>
      <c r="O967" s="14"/>
      <c r="P967" s="14"/>
      <c r="Q967" s="14"/>
      <c r="R967" s="18"/>
      <c r="S967" s="18"/>
      <c r="T967" s="93"/>
      <c r="U967" s="20"/>
      <c r="V967" s="14"/>
      <c r="W967" s="14"/>
      <c r="X967" s="14"/>
      <c r="Y967" s="14"/>
      <c r="Z967" s="14"/>
      <c r="AA967" s="14"/>
      <c r="AB967" s="14"/>
      <c r="AC967" s="14"/>
      <c r="AD967" s="14"/>
      <c r="AE967" s="14"/>
      <c r="AF967" s="14"/>
      <c r="AG967" s="14"/>
      <c r="AH967" s="14"/>
      <c r="AI967" s="14"/>
      <c r="AJ967" s="14"/>
      <c r="AK967" s="14"/>
      <c r="AL967" s="14"/>
      <c r="AM967" s="14"/>
      <c r="AN967" s="14"/>
    </row>
    <row r="968" ht="15.75" customHeight="1">
      <c r="A968" s="14"/>
      <c r="B968" s="14"/>
      <c r="C968" s="14"/>
      <c r="D968" s="14"/>
      <c r="E968" s="14"/>
      <c r="F968" s="14"/>
      <c r="G968" s="14"/>
      <c r="H968" s="14"/>
      <c r="I968" s="14"/>
      <c r="J968" s="14"/>
      <c r="K968" s="14"/>
      <c r="L968" s="14"/>
      <c r="M968" s="14"/>
      <c r="N968" s="14"/>
      <c r="O968" s="14"/>
      <c r="P968" s="14"/>
      <c r="Q968" s="14"/>
      <c r="R968" s="18"/>
      <c r="S968" s="18"/>
      <c r="T968" s="93"/>
      <c r="U968" s="20"/>
      <c r="V968" s="14"/>
      <c r="W968" s="14"/>
      <c r="X968" s="14"/>
      <c r="Y968" s="14"/>
      <c r="Z968" s="14"/>
      <c r="AA968" s="14"/>
      <c r="AB968" s="14"/>
      <c r="AC968" s="14"/>
      <c r="AD968" s="14"/>
      <c r="AE968" s="14"/>
      <c r="AF968" s="14"/>
      <c r="AG968" s="14"/>
      <c r="AH968" s="14"/>
      <c r="AI968" s="14"/>
      <c r="AJ968" s="14"/>
      <c r="AK968" s="14"/>
      <c r="AL968" s="14"/>
      <c r="AM968" s="14"/>
      <c r="AN968" s="14"/>
    </row>
    <row r="969" ht="15.75" customHeight="1">
      <c r="A969" s="14"/>
      <c r="B969" s="14"/>
      <c r="C969" s="14"/>
      <c r="D969" s="14"/>
      <c r="E969" s="14"/>
      <c r="F969" s="14"/>
      <c r="G969" s="14"/>
      <c r="H969" s="14"/>
      <c r="I969" s="14"/>
      <c r="J969" s="14"/>
      <c r="K969" s="14"/>
      <c r="L969" s="14"/>
      <c r="M969" s="14"/>
      <c r="N969" s="14"/>
      <c r="O969" s="14"/>
      <c r="P969" s="14"/>
      <c r="Q969" s="14"/>
      <c r="R969" s="18"/>
      <c r="S969" s="18"/>
      <c r="T969" s="93"/>
      <c r="U969" s="20"/>
      <c r="V969" s="14"/>
      <c r="W969" s="14"/>
      <c r="X969" s="14"/>
      <c r="Y969" s="14"/>
      <c r="Z969" s="14"/>
      <c r="AA969" s="14"/>
      <c r="AB969" s="14"/>
      <c r="AC969" s="14"/>
      <c r="AD969" s="14"/>
      <c r="AE969" s="14"/>
      <c r="AF969" s="14"/>
      <c r="AG969" s="14"/>
      <c r="AH969" s="14"/>
      <c r="AI969" s="14"/>
      <c r="AJ969" s="14"/>
      <c r="AK969" s="14"/>
      <c r="AL969" s="14"/>
      <c r="AM969" s="14"/>
      <c r="AN969" s="14"/>
    </row>
    <row r="970" ht="15.75" customHeight="1">
      <c r="A970" s="14"/>
      <c r="B970" s="14"/>
      <c r="C970" s="14"/>
      <c r="D970" s="14"/>
      <c r="E970" s="14"/>
      <c r="F970" s="14"/>
      <c r="G970" s="14"/>
      <c r="H970" s="14"/>
      <c r="I970" s="14"/>
      <c r="J970" s="14"/>
      <c r="K970" s="14"/>
      <c r="L970" s="14"/>
      <c r="M970" s="14"/>
      <c r="N970" s="14"/>
      <c r="O970" s="14"/>
      <c r="P970" s="14"/>
      <c r="Q970" s="14"/>
      <c r="R970" s="18"/>
      <c r="S970" s="18"/>
      <c r="T970" s="93"/>
      <c r="U970" s="20"/>
      <c r="V970" s="14"/>
      <c r="W970" s="14"/>
      <c r="X970" s="14"/>
      <c r="Y970" s="14"/>
      <c r="Z970" s="14"/>
      <c r="AA970" s="14"/>
      <c r="AB970" s="14"/>
      <c r="AC970" s="14"/>
      <c r="AD970" s="14"/>
      <c r="AE970" s="14"/>
      <c r="AF970" s="14"/>
      <c r="AG970" s="14"/>
      <c r="AH970" s="14"/>
      <c r="AI970" s="14"/>
      <c r="AJ970" s="14"/>
      <c r="AK970" s="14"/>
      <c r="AL970" s="14"/>
      <c r="AM970" s="14"/>
      <c r="AN970" s="14"/>
    </row>
    <row r="971" ht="15.75" customHeight="1">
      <c r="A971" s="14"/>
      <c r="B971" s="14"/>
      <c r="C971" s="14"/>
      <c r="D971" s="14"/>
      <c r="E971" s="14"/>
      <c r="F971" s="14"/>
      <c r="G971" s="14"/>
      <c r="H971" s="14"/>
      <c r="I971" s="14"/>
      <c r="J971" s="14"/>
      <c r="K971" s="14"/>
      <c r="L971" s="14"/>
      <c r="M971" s="14"/>
      <c r="N971" s="14"/>
      <c r="O971" s="14"/>
      <c r="P971" s="14"/>
      <c r="Q971" s="14"/>
      <c r="R971" s="18"/>
      <c r="S971" s="18"/>
      <c r="T971" s="93"/>
      <c r="U971" s="20"/>
      <c r="V971" s="14"/>
      <c r="W971" s="14"/>
      <c r="X971" s="14"/>
      <c r="Y971" s="14"/>
      <c r="Z971" s="14"/>
      <c r="AA971" s="14"/>
      <c r="AB971" s="14"/>
      <c r="AC971" s="14"/>
      <c r="AD971" s="14"/>
      <c r="AE971" s="14"/>
      <c r="AF971" s="14"/>
      <c r="AG971" s="14"/>
      <c r="AH971" s="14"/>
      <c r="AI971" s="14"/>
      <c r="AJ971" s="14"/>
      <c r="AK971" s="14"/>
      <c r="AL971" s="14"/>
      <c r="AM971" s="14"/>
      <c r="AN971" s="14"/>
    </row>
    <row r="972" ht="15.75" customHeight="1">
      <c r="A972" s="14"/>
      <c r="B972" s="14"/>
      <c r="C972" s="14"/>
      <c r="D972" s="14"/>
      <c r="E972" s="14"/>
      <c r="F972" s="14"/>
      <c r="G972" s="14"/>
      <c r="H972" s="14"/>
      <c r="I972" s="14"/>
      <c r="J972" s="14"/>
      <c r="K972" s="14"/>
      <c r="L972" s="14"/>
      <c r="M972" s="14"/>
      <c r="N972" s="14"/>
      <c r="O972" s="14"/>
      <c r="P972" s="14"/>
      <c r="Q972" s="14"/>
      <c r="R972" s="18"/>
      <c r="S972" s="18"/>
      <c r="T972" s="93"/>
      <c r="U972" s="20"/>
      <c r="V972" s="14"/>
      <c r="W972" s="14"/>
      <c r="X972" s="14"/>
      <c r="Y972" s="14"/>
      <c r="Z972" s="14"/>
      <c r="AA972" s="14"/>
      <c r="AB972" s="14"/>
      <c r="AC972" s="14"/>
      <c r="AD972" s="14"/>
      <c r="AE972" s="14"/>
      <c r="AF972" s="14"/>
      <c r="AG972" s="14"/>
      <c r="AH972" s="14"/>
      <c r="AI972" s="14"/>
      <c r="AJ972" s="14"/>
      <c r="AK972" s="14"/>
      <c r="AL972" s="14"/>
      <c r="AM972" s="14"/>
      <c r="AN972" s="14"/>
    </row>
    <row r="973" ht="15.75" customHeight="1">
      <c r="A973" s="14"/>
      <c r="B973" s="14"/>
      <c r="C973" s="14"/>
      <c r="D973" s="14"/>
      <c r="E973" s="14"/>
      <c r="F973" s="14"/>
      <c r="G973" s="14"/>
      <c r="H973" s="14"/>
      <c r="I973" s="14"/>
      <c r="J973" s="14"/>
      <c r="K973" s="14"/>
      <c r="L973" s="14"/>
      <c r="M973" s="14"/>
      <c r="N973" s="14"/>
      <c r="O973" s="14"/>
      <c r="P973" s="14"/>
      <c r="Q973" s="14"/>
      <c r="R973" s="18"/>
      <c r="S973" s="18"/>
      <c r="T973" s="93"/>
      <c r="U973" s="20"/>
      <c r="V973" s="14"/>
      <c r="W973" s="14"/>
      <c r="X973" s="14"/>
      <c r="Y973" s="14"/>
      <c r="Z973" s="14"/>
      <c r="AA973" s="14"/>
      <c r="AB973" s="14"/>
      <c r="AC973" s="14"/>
      <c r="AD973" s="14"/>
      <c r="AE973" s="14"/>
      <c r="AF973" s="14"/>
      <c r="AG973" s="14"/>
      <c r="AH973" s="14"/>
      <c r="AI973" s="14"/>
      <c r="AJ973" s="14"/>
      <c r="AK973" s="14"/>
      <c r="AL973" s="14"/>
      <c r="AM973" s="14"/>
      <c r="AN973" s="14"/>
    </row>
    <row r="974" ht="15.75" customHeight="1">
      <c r="A974" s="14"/>
      <c r="B974" s="14"/>
      <c r="C974" s="14"/>
      <c r="D974" s="14"/>
      <c r="E974" s="14"/>
      <c r="F974" s="14"/>
      <c r="G974" s="14"/>
      <c r="H974" s="14"/>
      <c r="I974" s="14"/>
      <c r="J974" s="14"/>
      <c r="K974" s="14"/>
      <c r="L974" s="14"/>
      <c r="M974" s="14"/>
      <c r="N974" s="14"/>
      <c r="O974" s="14"/>
      <c r="P974" s="14"/>
      <c r="Q974" s="14"/>
      <c r="R974" s="18"/>
      <c r="S974" s="18"/>
      <c r="T974" s="93"/>
      <c r="U974" s="20"/>
      <c r="V974" s="14"/>
      <c r="W974" s="14"/>
      <c r="X974" s="14"/>
      <c r="Y974" s="14"/>
      <c r="Z974" s="14"/>
      <c r="AA974" s="14"/>
      <c r="AB974" s="14"/>
      <c r="AC974" s="14"/>
      <c r="AD974" s="14"/>
      <c r="AE974" s="14"/>
      <c r="AF974" s="14"/>
      <c r="AG974" s="14"/>
      <c r="AH974" s="14"/>
      <c r="AI974" s="14"/>
      <c r="AJ974" s="14"/>
      <c r="AK974" s="14"/>
      <c r="AL974" s="14"/>
      <c r="AM974" s="14"/>
      <c r="AN974" s="14"/>
    </row>
    <row r="975" ht="15.75" customHeight="1">
      <c r="A975" s="14"/>
      <c r="B975" s="14"/>
      <c r="C975" s="14"/>
      <c r="D975" s="14"/>
      <c r="E975" s="14"/>
      <c r="F975" s="14"/>
      <c r="G975" s="14"/>
      <c r="H975" s="14"/>
      <c r="I975" s="14"/>
      <c r="J975" s="14"/>
      <c r="K975" s="14"/>
      <c r="L975" s="14"/>
      <c r="M975" s="14"/>
      <c r="N975" s="14"/>
      <c r="O975" s="14"/>
      <c r="P975" s="14"/>
      <c r="Q975" s="14"/>
      <c r="R975" s="18"/>
      <c r="S975" s="18"/>
      <c r="T975" s="93"/>
      <c r="U975" s="20"/>
      <c r="V975" s="14"/>
      <c r="W975" s="14"/>
      <c r="X975" s="14"/>
      <c r="Y975" s="14"/>
      <c r="Z975" s="14"/>
      <c r="AA975" s="14"/>
      <c r="AB975" s="14"/>
      <c r="AC975" s="14"/>
      <c r="AD975" s="14"/>
      <c r="AE975" s="14"/>
      <c r="AF975" s="14"/>
      <c r="AG975" s="14"/>
      <c r="AH975" s="14"/>
      <c r="AI975" s="14"/>
      <c r="AJ975" s="14"/>
      <c r="AK975" s="14"/>
      <c r="AL975" s="14"/>
      <c r="AM975" s="14"/>
      <c r="AN975" s="14"/>
    </row>
    <row r="976" ht="15.75" customHeight="1">
      <c r="A976" s="14"/>
      <c r="B976" s="14"/>
      <c r="C976" s="14"/>
      <c r="D976" s="14"/>
      <c r="E976" s="14"/>
      <c r="F976" s="14"/>
      <c r="G976" s="14"/>
      <c r="H976" s="14"/>
      <c r="I976" s="14"/>
      <c r="J976" s="14"/>
      <c r="K976" s="14"/>
      <c r="L976" s="14"/>
      <c r="M976" s="14"/>
      <c r="N976" s="14"/>
      <c r="O976" s="14"/>
      <c r="P976" s="14"/>
      <c r="Q976" s="14"/>
      <c r="R976" s="18"/>
      <c r="S976" s="18"/>
      <c r="T976" s="93"/>
      <c r="U976" s="20"/>
      <c r="V976" s="14"/>
      <c r="W976" s="14"/>
      <c r="X976" s="14"/>
      <c r="Y976" s="14"/>
      <c r="Z976" s="14"/>
      <c r="AA976" s="14"/>
      <c r="AB976" s="14"/>
      <c r="AC976" s="14"/>
      <c r="AD976" s="14"/>
      <c r="AE976" s="14"/>
      <c r="AF976" s="14"/>
      <c r="AG976" s="14"/>
      <c r="AH976" s="14"/>
      <c r="AI976" s="14"/>
      <c r="AJ976" s="14"/>
      <c r="AK976" s="14"/>
      <c r="AL976" s="14"/>
      <c r="AM976" s="14"/>
      <c r="AN976" s="14"/>
    </row>
    <row r="977" ht="15.75" customHeight="1">
      <c r="A977" s="14"/>
      <c r="B977" s="14"/>
      <c r="C977" s="14"/>
      <c r="D977" s="14"/>
      <c r="E977" s="14"/>
      <c r="F977" s="14"/>
      <c r="G977" s="14"/>
      <c r="H977" s="14"/>
      <c r="I977" s="14"/>
      <c r="J977" s="14"/>
      <c r="K977" s="14"/>
      <c r="L977" s="14"/>
      <c r="M977" s="14"/>
      <c r="N977" s="14"/>
      <c r="O977" s="14"/>
      <c r="P977" s="14"/>
      <c r="Q977" s="14"/>
      <c r="R977" s="18"/>
      <c r="S977" s="18"/>
      <c r="T977" s="93"/>
      <c r="U977" s="20"/>
      <c r="V977" s="14"/>
      <c r="W977" s="14"/>
      <c r="X977" s="14"/>
      <c r="Y977" s="14"/>
      <c r="Z977" s="14"/>
      <c r="AA977" s="14"/>
      <c r="AB977" s="14"/>
      <c r="AC977" s="14"/>
      <c r="AD977" s="14"/>
      <c r="AE977" s="14"/>
      <c r="AF977" s="14"/>
      <c r="AG977" s="14"/>
      <c r="AH977" s="14"/>
      <c r="AI977" s="14"/>
      <c r="AJ977" s="14"/>
      <c r="AK977" s="14"/>
      <c r="AL977" s="14"/>
      <c r="AM977" s="14"/>
      <c r="AN977" s="14"/>
    </row>
    <row r="978" ht="15.75" customHeight="1">
      <c r="A978" s="14"/>
      <c r="B978" s="14"/>
      <c r="C978" s="14"/>
      <c r="D978" s="14"/>
      <c r="E978" s="14"/>
      <c r="F978" s="14"/>
      <c r="G978" s="14"/>
      <c r="H978" s="14"/>
      <c r="I978" s="14"/>
      <c r="J978" s="14"/>
      <c r="K978" s="14"/>
      <c r="L978" s="14"/>
      <c r="M978" s="14"/>
      <c r="N978" s="14"/>
      <c r="O978" s="14"/>
      <c r="P978" s="14"/>
      <c r="Q978" s="14"/>
      <c r="R978" s="18"/>
      <c r="S978" s="18"/>
      <c r="T978" s="93"/>
      <c r="U978" s="20"/>
      <c r="V978" s="14"/>
      <c r="W978" s="14"/>
      <c r="X978" s="14"/>
      <c r="Y978" s="14"/>
      <c r="Z978" s="14"/>
      <c r="AA978" s="14"/>
      <c r="AB978" s="14"/>
      <c r="AC978" s="14"/>
      <c r="AD978" s="14"/>
      <c r="AE978" s="14"/>
      <c r="AF978" s="14"/>
      <c r="AG978" s="14"/>
      <c r="AH978" s="14"/>
      <c r="AI978" s="14"/>
      <c r="AJ978" s="14"/>
      <c r="AK978" s="14"/>
      <c r="AL978" s="14"/>
      <c r="AM978" s="14"/>
      <c r="AN978" s="14"/>
    </row>
    <row r="979" ht="15.75" customHeight="1">
      <c r="A979" s="14"/>
      <c r="B979" s="14"/>
      <c r="C979" s="14"/>
      <c r="D979" s="14"/>
      <c r="E979" s="14"/>
      <c r="F979" s="14"/>
      <c r="G979" s="14"/>
      <c r="H979" s="14"/>
      <c r="I979" s="14"/>
      <c r="J979" s="14"/>
      <c r="K979" s="14"/>
      <c r="L979" s="14"/>
      <c r="M979" s="14"/>
      <c r="N979" s="14"/>
      <c r="O979" s="14"/>
      <c r="P979" s="14"/>
      <c r="Q979" s="14"/>
      <c r="R979" s="18"/>
      <c r="S979" s="18"/>
      <c r="T979" s="93"/>
      <c r="U979" s="20"/>
      <c r="V979" s="14"/>
      <c r="W979" s="14"/>
      <c r="X979" s="14"/>
      <c r="Y979" s="14"/>
      <c r="Z979" s="14"/>
      <c r="AA979" s="14"/>
      <c r="AB979" s="14"/>
      <c r="AC979" s="14"/>
      <c r="AD979" s="14"/>
      <c r="AE979" s="14"/>
      <c r="AF979" s="14"/>
      <c r="AG979" s="14"/>
      <c r="AH979" s="14"/>
      <c r="AI979" s="14"/>
      <c r="AJ979" s="14"/>
      <c r="AK979" s="14"/>
      <c r="AL979" s="14"/>
      <c r="AM979" s="14"/>
      <c r="AN979" s="14"/>
    </row>
    <row r="980" ht="15.75" customHeight="1">
      <c r="A980" s="14"/>
      <c r="B980" s="14"/>
      <c r="C980" s="14"/>
      <c r="D980" s="14"/>
      <c r="E980" s="14"/>
      <c r="F980" s="14"/>
      <c r="G980" s="14"/>
      <c r="H980" s="14"/>
      <c r="I980" s="14"/>
      <c r="J980" s="14"/>
      <c r="K980" s="14"/>
      <c r="L980" s="14"/>
      <c r="M980" s="14"/>
      <c r="N980" s="14"/>
      <c r="O980" s="14"/>
      <c r="P980" s="14"/>
      <c r="Q980" s="14"/>
      <c r="R980" s="18"/>
      <c r="S980" s="18"/>
      <c r="T980" s="93"/>
      <c r="U980" s="20"/>
      <c r="V980" s="14"/>
      <c r="W980" s="14"/>
      <c r="X980" s="14"/>
      <c r="Y980" s="14"/>
      <c r="Z980" s="14"/>
      <c r="AA980" s="14"/>
      <c r="AB980" s="14"/>
      <c r="AC980" s="14"/>
      <c r="AD980" s="14"/>
      <c r="AE980" s="14"/>
      <c r="AF980" s="14"/>
      <c r="AG980" s="14"/>
      <c r="AH980" s="14"/>
      <c r="AI980" s="14"/>
      <c r="AJ980" s="14"/>
      <c r="AK980" s="14"/>
      <c r="AL980" s="14"/>
      <c r="AM980" s="14"/>
      <c r="AN980" s="14"/>
    </row>
    <row r="981" ht="15.75" customHeight="1">
      <c r="A981" s="14"/>
      <c r="B981" s="14"/>
      <c r="C981" s="14"/>
      <c r="D981" s="14"/>
      <c r="E981" s="14"/>
      <c r="F981" s="14"/>
      <c r="G981" s="14"/>
      <c r="H981" s="14"/>
      <c r="I981" s="14"/>
      <c r="J981" s="14"/>
      <c r="K981" s="14"/>
      <c r="L981" s="14"/>
      <c r="M981" s="14"/>
      <c r="N981" s="14"/>
      <c r="O981" s="14"/>
      <c r="P981" s="14"/>
      <c r="Q981" s="14"/>
      <c r="R981" s="18"/>
      <c r="S981" s="18"/>
      <c r="T981" s="93"/>
      <c r="U981" s="20"/>
      <c r="V981" s="14"/>
      <c r="W981" s="14"/>
      <c r="X981" s="14"/>
      <c r="Y981" s="14"/>
      <c r="Z981" s="14"/>
      <c r="AA981" s="14"/>
      <c r="AB981" s="14"/>
      <c r="AC981" s="14"/>
      <c r="AD981" s="14"/>
      <c r="AE981" s="14"/>
      <c r="AF981" s="14"/>
      <c r="AG981" s="14"/>
      <c r="AH981" s="14"/>
      <c r="AI981" s="14"/>
      <c r="AJ981" s="14"/>
      <c r="AK981" s="14"/>
      <c r="AL981" s="14"/>
      <c r="AM981" s="14"/>
      <c r="AN981" s="14"/>
    </row>
    <row r="982" ht="15.75" customHeight="1">
      <c r="A982" s="14"/>
      <c r="B982" s="14"/>
      <c r="C982" s="14"/>
      <c r="D982" s="14"/>
      <c r="E982" s="14"/>
      <c r="F982" s="14"/>
      <c r="G982" s="14"/>
      <c r="H982" s="14"/>
      <c r="I982" s="14"/>
      <c r="J982" s="14"/>
      <c r="K982" s="14"/>
      <c r="L982" s="14"/>
      <c r="M982" s="14"/>
      <c r="N982" s="14"/>
      <c r="O982" s="14"/>
      <c r="P982" s="14"/>
      <c r="Q982" s="14"/>
      <c r="R982" s="18"/>
      <c r="S982" s="18"/>
      <c r="T982" s="93"/>
      <c r="U982" s="20"/>
      <c r="V982" s="14"/>
      <c r="W982" s="14"/>
      <c r="X982" s="14"/>
      <c r="Y982" s="14"/>
      <c r="Z982" s="14"/>
      <c r="AA982" s="14"/>
      <c r="AB982" s="14"/>
      <c r="AC982" s="14"/>
      <c r="AD982" s="14"/>
      <c r="AE982" s="14"/>
      <c r="AF982" s="14"/>
      <c r="AG982" s="14"/>
      <c r="AH982" s="14"/>
      <c r="AI982" s="14"/>
      <c r="AJ982" s="14"/>
      <c r="AK982" s="14"/>
      <c r="AL982" s="14"/>
      <c r="AM982" s="14"/>
      <c r="AN982" s="14"/>
    </row>
    <row r="983" ht="15.75" customHeight="1">
      <c r="A983" s="14"/>
      <c r="B983" s="14"/>
      <c r="C983" s="14"/>
      <c r="D983" s="14"/>
      <c r="E983" s="14"/>
      <c r="F983" s="14"/>
      <c r="G983" s="14"/>
      <c r="H983" s="14"/>
      <c r="I983" s="14"/>
      <c r="J983" s="14"/>
      <c r="K983" s="14"/>
      <c r="L983" s="14"/>
      <c r="M983" s="14"/>
      <c r="N983" s="14"/>
      <c r="O983" s="14"/>
      <c r="P983" s="14"/>
      <c r="Q983" s="14"/>
      <c r="R983" s="18"/>
      <c r="S983" s="18"/>
      <c r="T983" s="93"/>
      <c r="U983" s="20"/>
      <c r="V983" s="14"/>
      <c r="W983" s="14"/>
      <c r="X983" s="14"/>
      <c r="Y983" s="14"/>
      <c r="Z983" s="14"/>
      <c r="AA983" s="14"/>
      <c r="AB983" s="14"/>
      <c r="AC983" s="14"/>
      <c r="AD983" s="14"/>
      <c r="AE983" s="14"/>
      <c r="AF983" s="14"/>
      <c r="AG983" s="14"/>
      <c r="AH983" s="14"/>
      <c r="AI983" s="14"/>
      <c r="AJ983" s="14"/>
      <c r="AK983" s="14"/>
      <c r="AL983" s="14"/>
      <c r="AM983" s="14"/>
      <c r="AN983" s="14"/>
    </row>
    <row r="984" ht="15.75" customHeight="1">
      <c r="A984" s="14"/>
      <c r="B984" s="14"/>
      <c r="C984" s="14"/>
      <c r="D984" s="14"/>
      <c r="E984" s="14"/>
      <c r="F984" s="14"/>
      <c r="G984" s="14"/>
      <c r="H984" s="14"/>
      <c r="I984" s="14"/>
      <c r="J984" s="14"/>
      <c r="K984" s="14"/>
      <c r="L984" s="14"/>
      <c r="M984" s="14"/>
      <c r="N984" s="14"/>
      <c r="O984" s="14"/>
      <c r="P984" s="14"/>
      <c r="Q984" s="14"/>
      <c r="R984" s="18"/>
      <c r="S984" s="18"/>
      <c r="T984" s="93"/>
      <c r="U984" s="20"/>
      <c r="V984" s="14"/>
      <c r="W984" s="14"/>
      <c r="X984" s="14"/>
      <c r="Y984" s="14"/>
      <c r="Z984" s="14"/>
      <c r="AA984" s="14"/>
      <c r="AB984" s="14"/>
      <c r="AC984" s="14"/>
      <c r="AD984" s="14"/>
      <c r="AE984" s="14"/>
      <c r="AF984" s="14"/>
      <c r="AG984" s="14"/>
      <c r="AH984" s="14"/>
      <c r="AI984" s="14"/>
      <c r="AJ984" s="14"/>
      <c r="AK984" s="14"/>
      <c r="AL984" s="14"/>
      <c r="AM984" s="14"/>
      <c r="AN984" s="14"/>
    </row>
    <row r="985" ht="15.75" customHeight="1">
      <c r="A985" s="14"/>
      <c r="B985" s="14"/>
      <c r="C985" s="14"/>
      <c r="D985" s="14"/>
      <c r="E985" s="14"/>
      <c r="F985" s="14"/>
      <c r="G985" s="14"/>
      <c r="H985" s="14"/>
      <c r="I985" s="14"/>
      <c r="J985" s="14"/>
      <c r="K985" s="14"/>
      <c r="L985" s="14"/>
      <c r="M985" s="14"/>
      <c r="N985" s="14"/>
      <c r="O985" s="14"/>
      <c r="P985" s="14"/>
      <c r="Q985" s="14"/>
      <c r="R985" s="18"/>
      <c r="S985" s="18"/>
      <c r="T985" s="93"/>
      <c r="U985" s="20"/>
      <c r="V985" s="14"/>
      <c r="W985" s="14"/>
      <c r="X985" s="14"/>
      <c r="Y985" s="14"/>
      <c r="Z985" s="14"/>
      <c r="AA985" s="14"/>
      <c r="AB985" s="14"/>
      <c r="AC985" s="14"/>
      <c r="AD985" s="14"/>
      <c r="AE985" s="14"/>
      <c r="AF985" s="14"/>
      <c r="AG985" s="14"/>
      <c r="AH985" s="14"/>
      <c r="AI985" s="14"/>
      <c r="AJ985" s="14"/>
      <c r="AK985" s="14"/>
      <c r="AL985" s="14"/>
      <c r="AM985" s="14"/>
      <c r="AN985" s="14"/>
    </row>
    <row r="986" ht="15.75" customHeight="1">
      <c r="A986" s="14"/>
      <c r="B986" s="14"/>
      <c r="C986" s="14"/>
      <c r="D986" s="14"/>
      <c r="E986" s="14"/>
      <c r="F986" s="14"/>
      <c r="G986" s="14"/>
      <c r="H986" s="14"/>
      <c r="I986" s="14"/>
      <c r="J986" s="14"/>
      <c r="K986" s="14"/>
      <c r="L986" s="14"/>
      <c r="M986" s="14"/>
      <c r="N986" s="14"/>
      <c r="O986" s="14"/>
      <c r="P986" s="14"/>
      <c r="Q986" s="14"/>
      <c r="R986" s="18"/>
      <c r="S986" s="18"/>
      <c r="T986" s="93"/>
      <c r="U986" s="20"/>
      <c r="V986" s="14"/>
      <c r="W986" s="14"/>
      <c r="X986" s="14"/>
      <c r="Y986" s="14"/>
      <c r="Z986" s="14"/>
      <c r="AA986" s="14"/>
      <c r="AB986" s="14"/>
      <c r="AC986" s="14"/>
      <c r="AD986" s="14"/>
      <c r="AE986" s="14"/>
      <c r="AF986" s="14"/>
      <c r="AG986" s="14"/>
      <c r="AH986" s="14"/>
      <c r="AI986" s="14"/>
      <c r="AJ986" s="14"/>
      <c r="AK986" s="14"/>
      <c r="AL986" s="14"/>
      <c r="AM986" s="14"/>
      <c r="AN986" s="14"/>
    </row>
    <row r="987" ht="15.75" customHeight="1">
      <c r="A987" s="14"/>
      <c r="B987" s="14"/>
      <c r="C987" s="14"/>
      <c r="D987" s="14"/>
      <c r="E987" s="14"/>
      <c r="F987" s="14"/>
      <c r="G987" s="14"/>
      <c r="H987" s="14"/>
      <c r="I987" s="14"/>
      <c r="J987" s="14"/>
      <c r="K987" s="14"/>
      <c r="L987" s="14"/>
      <c r="M987" s="14"/>
      <c r="N987" s="14"/>
      <c r="O987" s="14"/>
      <c r="P987" s="14"/>
      <c r="Q987" s="14"/>
      <c r="R987" s="18"/>
      <c r="S987" s="18"/>
      <c r="T987" s="93"/>
      <c r="U987" s="20"/>
      <c r="V987" s="14"/>
      <c r="W987" s="14"/>
      <c r="X987" s="14"/>
      <c r="Y987" s="14"/>
      <c r="Z987" s="14"/>
      <c r="AA987" s="14"/>
      <c r="AB987" s="14"/>
      <c r="AC987" s="14"/>
      <c r="AD987" s="14"/>
      <c r="AE987" s="14"/>
      <c r="AF987" s="14"/>
      <c r="AG987" s="14"/>
      <c r="AH987" s="14"/>
      <c r="AI987" s="14"/>
      <c r="AJ987" s="14"/>
      <c r="AK987" s="14"/>
      <c r="AL987" s="14"/>
      <c r="AM987" s="14"/>
      <c r="AN987" s="14"/>
    </row>
    <row r="988" ht="15.75" customHeight="1">
      <c r="A988" s="14"/>
      <c r="B988" s="14"/>
      <c r="C988" s="14"/>
      <c r="D988" s="14"/>
      <c r="E988" s="14"/>
      <c r="F988" s="14"/>
      <c r="G988" s="14"/>
      <c r="H988" s="14"/>
      <c r="I988" s="14"/>
      <c r="J988" s="14"/>
      <c r="K988" s="14"/>
      <c r="L988" s="14"/>
      <c r="M988" s="14"/>
      <c r="N988" s="14"/>
      <c r="O988" s="14"/>
      <c r="P988" s="14"/>
      <c r="Q988" s="14"/>
      <c r="R988" s="18"/>
      <c r="S988" s="18"/>
      <c r="T988" s="93"/>
      <c r="U988" s="20"/>
      <c r="V988" s="14"/>
      <c r="W988" s="14"/>
      <c r="X988" s="14"/>
      <c r="Y988" s="14"/>
      <c r="Z988" s="14"/>
      <c r="AA988" s="14"/>
      <c r="AB988" s="14"/>
      <c r="AC988" s="14"/>
      <c r="AD988" s="14"/>
      <c r="AE988" s="14"/>
      <c r="AF988" s="14"/>
      <c r="AG988" s="14"/>
      <c r="AH988" s="14"/>
      <c r="AI988" s="14"/>
      <c r="AJ988" s="14"/>
      <c r="AK988" s="14"/>
      <c r="AL988" s="14"/>
      <c r="AM988" s="14"/>
      <c r="AN988" s="14"/>
    </row>
    <row r="989" ht="15.75" customHeight="1">
      <c r="A989" s="14"/>
      <c r="B989" s="14"/>
      <c r="C989" s="14"/>
      <c r="D989" s="14"/>
      <c r="E989" s="14"/>
      <c r="F989" s="14"/>
      <c r="G989" s="14"/>
      <c r="H989" s="14"/>
      <c r="I989" s="14"/>
      <c r="J989" s="14"/>
      <c r="K989" s="14"/>
      <c r="L989" s="14"/>
      <c r="M989" s="14"/>
      <c r="N989" s="14"/>
      <c r="O989" s="14"/>
      <c r="P989" s="14"/>
      <c r="Q989" s="14"/>
      <c r="R989" s="18"/>
      <c r="S989" s="18"/>
      <c r="T989" s="93"/>
      <c r="U989" s="20"/>
      <c r="V989" s="14"/>
      <c r="W989" s="14"/>
      <c r="X989" s="14"/>
      <c r="Y989" s="14"/>
      <c r="Z989" s="14"/>
      <c r="AA989" s="14"/>
      <c r="AB989" s="14"/>
      <c r="AC989" s="14"/>
      <c r="AD989" s="14"/>
      <c r="AE989" s="14"/>
      <c r="AF989" s="14"/>
      <c r="AG989" s="14"/>
      <c r="AH989" s="14"/>
      <c r="AI989" s="14"/>
      <c r="AJ989" s="14"/>
      <c r="AK989" s="14"/>
      <c r="AL989" s="14"/>
      <c r="AM989" s="14"/>
      <c r="AN989" s="14"/>
    </row>
    <row r="990" ht="15.75" customHeight="1">
      <c r="A990" s="14"/>
      <c r="B990" s="14"/>
      <c r="C990" s="14"/>
      <c r="D990" s="14"/>
      <c r="E990" s="14"/>
      <c r="F990" s="14"/>
      <c r="G990" s="14"/>
      <c r="H990" s="14"/>
      <c r="I990" s="14"/>
      <c r="J990" s="14"/>
      <c r="K990" s="14"/>
      <c r="L990" s="14"/>
      <c r="M990" s="14"/>
      <c r="N990" s="14"/>
      <c r="O990" s="14"/>
      <c r="P990" s="14"/>
      <c r="Q990" s="14"/>
      <c r="R990" s="18"/>
      <c r="S990" s="18"/>
      <c r="T990" s="93"/>
      <c r="U990" s="20"/>
      <c r="V990" s="14"/>
      <c r="W990" s="14"/>
      <c r="X990" s="14"/>
      <c r="Y990" s="14"/>
      <c r="Z990" s="14"/>
      <c r="AA990" s="14"/>
      <c r="AB990" s="14"/>
      <c r="AC990" s="14"/>
      <c r="AD990" s="14"/>
      <c r="AE990" s="14"/>
      <c r="AF990" s="14"/>
      <c r="AG990" s="14"/>
      <c r="AH990" s="14"/>
      <c r="AI990" s="14"/>
      <c r="AJ990" s="14"/>
      <c r="AK990" s="14"/>
      <c r="AL990" s="14"/>
      <c r="AM990" s="14"/>
      <c r="AN990" s="14"/>
    </row>
    <row r="991" ht="15.75" customHeight="1">
      <c r="A991" s="14"/>
      <c r="B991" s="14"/>
      <c r="C991" s="14"/>
      <c r="D991" s="14"/>
      <c r="E991" s="14"/>
      <c r="F991" s="14"/>
      <c r="G991" s="14"/>
      <c r="H991" s="14"/>
      <c r="I991" s="14"/>
      <c r="J991" s="14"/>
      <c r="K991" s="14"/>
      <c r="L991" s="14"/>
      <c r="M991" s="14"/>
      <c r="N991" s="14"/>
      <c r="O991" s="14"/>
      <c r="P991" s="14"/>
      <c r="Q991" s="14"/>
      <c r="R991" s="18"/>
      <c r="S991" s="18"/>
      <c r="T991" s="93"/>
      <c r="U991" s="20"/>
      <c r="V991" s="14"/>
      <c r="W991" s="14"/>
      <c r="X991" s="14"/>
      <c r="Y991" s="14"/>
      <c r="Z991" s="14"/>
      <c r="AA991" s="14"/>
      <c r="AB991" s="14"/>
      <c r="AC991" s="14"/>
      <c r="AD991" s="14"/>
      <c r="AE991" s="14"/>
      <c r="AF991" s="14"/>
      <c r="AG991" s="14"/>
      <c r="AH991" s="14"/>
      <c r="AI991" s="14"/>
      <c r="AJ991" s="14"/>
      <c r="AK991" s="14"/>
      <c r="AL991" s="14"/>
      <c r="AM991" s="14"/>
      <c r="AN991" s="14"/>
    </row>
    <row r="992" ht="15.75" customHeight="1">
      <c r="A992" s="14"/>
      <c r="B992" s="14"/>
      <c r="C992" s="14"/>
      <c r="D992" s="14"/>
      <c r="E992" s="14"/>
      <c r="F992" s="14"/>
      <c r="G992" s="14"/>
      <c r="H992" s="14"/>
      <c r="I992" s="14"/>
      <c r="J992" s="14"/>
      <c r="K992" s="14"/>
      <c r="L992" s="14"/>
      <c r="M992" s="14"/>
      <c r="N992" s="14"/>
      <c r="O992" s="14"/>
      <c r="P992" s="14"/>
      <c r="Q992" s="14"/>
      <c r="R992" s="18"/>
      <c r="S992" s="18"/>
      <c r="T992" s="93"/>
      <c r="U992" s="20"/>
      <c r="V992" s="14"/>
      <c r="W992" s="14"/>
      <c r="X992" s="14"/>
      <c r="Y992" s="14"/>
      <c r="Z992" s="14"/>
      <c r="AA992" s="14"/>
      <c r="AB992" s="14"/>
      <c r="AC992" s="14"/>
      <c r="AD992" s="14"/>
      <c r="AE992" s="14"/>
      <c r="AF992" s="14"/>
      <c r="AG992" s="14"/>
      <c r="AH992" s="14"/>
      <c r="AI992" s="14"/>
      <c r="AJ992" s="14"/>
      <c r="AK992" s="14"/>
      <c r="AL992" s="14"/>
      <c r="AM992" s="14"/>
      <c r="AN992" s="14"/>
    </row>
    <row r="993" ht="15.75" customHeight="1">
      <c r="A993" s="14"/>
      <c r="B993" s="14"/>
      <c r="C993" s="14"/>
      <c r="D993" s="14"/>
      <c r="E993" s="14"/>
      <c r="F993" s="14"/>
      <c r="G993" s="14"/>
      <c r="H993" s="14"/>
      <c r="I993" s="14"/>
      <c r="J993" s="14"/>
      <c r="K993" s="14"/>
      <c r="L993" s="14"/>
      <c r="M993" s="14"/>
      <c r="N993" s="14"/>
      <c r="O993" s="14"/>
      <c r="P993" s="14"/>
      <c r="Q993" s="14"/>
      <c r="R993" s="18"/>
      <c r="S993" s="18"/>
      <c r="T993" s="93"/>
      <c r="U993" s="20"/>
      <c r="V993" s="14"/>
      <c r="W993" s="14"/>
      <c r="X993" s="14"/>
      <c r="Y993" s="14"/>
      <c r="Z993" s="14"/>
      <c r="AA993" s="14"/>
      <c r="AB993" s="14"/>
      <c r="AC993" s="14"/>
      <c r="AD993" s="14"/>
      <c r="AE993" s="14"/>
      <c r="AF993" s="14"/>
      <c r="AG993" s="14"/>
      <c r="AH993" s="14"/>
      <c r="AI993" s="14"/>
      <c r="AJ993" s="14"/>
      <c r="AK993" s="14"/>
      <c r="AL993" s="14"/>
      <c r="AM993" s="14"/>
      <c r="AN993" s="14"/>
    </row>
    <row r="994" ht="15.75" customHeight="1">
      <c r="A994" s="14"/>
      <c r="B994" s="14"/>
      <c r="C994" s="14"/>
      <c r="D994" s="14"/>
      <c r="E994" s="14"/>
      <c r="F994" s="14"/>
      <c r="G994" s="14"/>
      <c r="H994" s="14"/>
      <c r="I994" s="14"/>
      <c r="J994" s="14"/>
      <c r="K994" s="14"/>
      <c r="L994" s="14"/>
      <c r="M994" s="14"/>
      <c r="N994" s="14"/>
      <c r="O994" s="14"/>
      <c r="P994" s="14"/>
      <c r="Q994" s="14"/>
      <c r="R994" s="18"/>
      <c r="S994" s="18"/>
      <c r="T994" s="93"/>
      <c r="U994" s="20"/>
      <c r="V994" s="14"/>
      <c r="W994" s="14"/>
      <c r="X994" s="14"/>
      <c r="Y994" s="14"/>
      <c r="Z994" s="14"/>
      <c r="AA994" s="14"/>
      <c r="AB994" s="14"/>
      <c r="AC994" s="14"/>
      <c r="AD994" s="14"/>
      <c r="AE994" s="14"/>
      <c r="AF994" s="14"/>
      <c r="AG994" s="14"/>
      <c r="AH994" s="14"/>
      <c r="AI994" s="14"/>
      <c r="AJ994" s="14"/>
      <c r="AK994" s="14"/>
      <c r="AL994" s="14"/>
      <c r="AM994" s="14"/>
      <c r="AN994" s="14"/>
    </row>
    <row r="995" ht="15.75" customHeight="1">
      <c r="A995" s="14"/>
      <c r="B995" s="14"/>
      <c r="C995" s="14"/>
      <c r="D995" s="14"/>
      <c r="E995" s="14"/>
      <c r="F995" s="14"/>
      <c r="G995" s="14"/>
      <c r="H995" s="14"/>
      <c r="I995" s="14"/>
      <c r="J995" s="14"/>
      <c r="K995" s="14"/>
      <c r="L995" s="14"/>
      <c r="M995" s="14"/>
      <c r="N995" s="14"/>
      <c r="O995" s="14"/>
      <c r="P995" s="14"/>
      <c r="Q995" s="14"/>
      <c r="R995" s="18"/>
      <c r="S995" s="18"/>
      <c r="T995" s="93"/>
      <c r="U995" s="20"/>
      <c r="V995" s="14"/>
      <c r="W995" s="14"/>
      <c r="X995" s="14"/>
      <c r="Y995" s="14"/>
      <c r="Z995" s="14"/>
      <c r="AA995" s="14"/>
      <c r="AB995" s="14"/>
      <c r="AC995" s="14"/>
      <c r="AD995" s="14"/>
      <c r="AE995" s="14"/>
      <c r="AF995" s="14"/>
      <c r="AG995" s="14"/>
      <c r="AH995" s="14"/>
      <c r="AI995" s="14"/>
      <c r="AJ995" s="14"/>
      <c r="AK995" s="14"/>
      <c r="AL995" s="14"/>
      <c r="AM995" s="14"/>
      <c r="AN995" s="14"/>
    </row>
    <row r="996" ht="15.75" customHeight="1">
      <c r="A996" s="14"/>
      <c r="B996" s="14"/>
      <c r="C996" s="14"/>
      <c r="D996" s="14"/>
      <c r="E996" s="14"/>
      <c r="F996" s="14"/>
      <c r="G996" s="14"/>
      <c r="H996" s="14"/>
      <c r="I996" s="14"/>
      <c r="J996" s="14"/>
      <c r="K996" s="14"/>
      <c r="L996" s="14"/>
      <c r="M996" s="14"/>
      <c r="N996" s="14"/>
      <c r="O996" s="14"/>
      <c r="P996" s="14"/>
      <c r="Q996" s="14"/>
      <c r="R996" s="18"/>
      <c r="S996" s="18"/>
      <c r="T996" s="93"/>
      <c r="U996" s="20"/>
      <c r="V996" s="14"/>
      <c r="W996" s="14"/>
      <c r="X996" s="14"/>
      <c r="Y996" s="14"/>
      <c r="Z996" s="14"/>
      <c r="AA996" s="14"/>
      <c r="AB996" s="14"/>
      <c r="AC996" s="14"/>
      <c r="AD996" s="14"/>
      <c r="AE996" s="14"/>
      <c r="AF996" s="14"/>
      <c r="AG996" s="14"/>
      <c r="AH996" s="14"/>
      <c r="AI996" s="14"/>
      <c r="AJ996" s="14"/>
      <c r="AK996" s="14"/>
      <c r="AL996" s="14"/>
      <c r="AM996" s="14"/>
      <c r="AN996" s="14"/>
    </row>
    <row r="997" ht="15.75" customHeight="1">
      <c r="A997" s="14"/>
      <c r="B997" s="14"/>
      <c r="C997" s="14"/>
      <c r="D997" s="14"/>
      <c r="E997" s="14"/>
      <c r="F997" s="14"/>
      <c r="G997" s="14"/>
      <c r="H997" s="14"/>
      <c r="I997" s="14"/>
      <c r="J997" s="14"/>
      <c r="K997" s="14"/>
      <c r="L997" s="14"/>
      <c r="M997" s="14"/>
      <c r="N997" s="14"/>
      <c r="O997" s="14"/>
      <c r="P997" s="14"/>
      <c r="Q997" s="14"/>
      <c r="R997" s="18"/>
      <c r="S997" s="18"/>
      <c r="T997" s="93"/>
      <c r="U997" s="20"/>
      <c r="V997" s="14"/>
      <c r="W997" s="14"/>
      <c r="X997" s="14"/>
      <c r="Y997" s="14"/>
      <c r="Z997" s="14"/>
      <c r="AA997" s="14"/>
      <c r="AB997" s="14"/>
      <c r="AC997" s="14"/>
      <c r="AD997" s="14"/>
      <c r="AE997" s="14"/>
      <c r="AF997" s="14"/>
      <c r="AG997" s="14"/>
      <c r="AH997" s="14"/>
      <c r="AI997" s="14"/>
      <c r="AJ997" s="14"/>
      <c r="AK997" s="14"/>
      <c r="AL997" s="14"/>
      <c r="AM997" s="14"/>
      <c r="AN997" s="14"/>
    </row>
    <row r="998" ht="15.75" customHeight="1">
      <c r="A998" s="14"/>
      <c r="B998" s="14"/>
      <c r="C998" s="14"/>
      <c r="D998" s="14"/>
      <c r="E998" s="14"/>
      <c r="F998" s="14"/>
      <c r="G998" s="14"/>
      <c r="H998" s="14"/>
      <c r="I998" s="14"/>
      <c r="J998" s="14"/>
      <c r="K998" s="14"/>
      <c r="L998" s="14"/>
      <c r="M998" s="14"/>
      <c r="N998" s="14"/>
      <c r="O998" s="14"/>
      <c r="P998" s="14"/>
      <c r="Q998" s="14"/>
      <c r="R998" s="18"/>
      <c r="S998" s="18"/>
      <c r="T998" s="93"/>
      <c r="U998" s="20"/>
      <c r="V998" s="14"/>
      <c r="W998" s="14"/>
      <c r="X998" s="14"/>
      <c r="Y998" s="14"/>
      <c r="Z998" s="14"/>
      <c r="AA998" s="14"/>
      <c r="AB998" s="14"/>
      <c r="AC998" s="14"/>
      <c r="AD998" s="14"/>
      <c r="AE998" s="14"/>
      <c r="AF998" s="14"/>
      <c r="AG998" s="14"/>
      <c r="AH998" s="14"/>
      <c r="AI998" s="14"/>
      <c r="AJ998" s="14"/>
      <c r="AK998" s="14"/>
      <c r="AL998" s="14"/>
      <c r="AM998" s="14"/>
      <c r="AN998" s="14"/>
    </row>
    <row r="999" ht="15.75" customHeight="1">
      <c r="A999" s="14"/>
      <c r="B999" s="14"/>
      <c r="C999" s="14"/>
      <c r="D999" s="14"/>
      <c r="E999" s="14"/>
      <c r="F999" s="14"/>
      <c r="G999" s="14"/>
      <c r="H999" s="14"/>
      <c r="I999" s="14"/>
      <c r="J999" s="14"/>
      <c r="K999" s="14"/>
      <c r="L999" s="14"/>
      <c r="M999" s="14"/>
      <c r="N999" s="14"/>
      <c r="O999" s="14"/>
      <c r="P999" s="14"/>
      <c r="Q999" s="14"/>
      <c r="R999" s="18"/>
      <c r="S999" s="18"/>
      <c r="T999" s="93"/>
      <c r="U999" s="20"/>
      <c r="V999" s="14"/>
      <c r="W999" s="14"/>
      <c r="X999" s="14"/>
      <c r="Y999" s="14"/>
      <c r="Z999" s="14"/>
      <c r="AA999" s="14"/>
      <c r="AB999" s="14"/>
      <c r="AC999" s="14"/>
      <c r="AD999" s="14"/>
      <c r="AE999" s="14"/>
      <c r="AF999" s="14"/>
      <c r="AG999" s="14"/>
      <c r="AH999" s="14"/>
      <c r="AI999" s="14"/>
      <c r="AJ999" s="14"/>
      <c r="AK999" s="14"/>
      <c r="AL999" s="14"/>
      <c r="AM999" s="14"/>
      <c r="AN999" s="14"/>
    </row>
    <row r="1000" ht="15.75" customHeight="1">
      <c r="A1000" s="14"/>
      <c r="B1000" s="14"/>
      <c r="C1000" s="14"/>
      <c r="D1000" s="14"/>
      <c r="E1000" s="14"/>
      <c r="F1000" s="14"/>
      <c r="G1000" s="14"/>
      <c r="H1000" s="14"/>
      <c r="I1000" s="14"/>
      <c r="J1000" s="14"/>
      <c r="K1000" s="14"/>
      <c r="L1000" s="14"/>
      <c r="M1000" s="14"/>
      <c r="N1000" s="14"/>
      <c r="O1000" s="14"/>
      <c r="P1000" s="14"/>
      <c r="Q1000" s="14"/>
      <c r="R1000" s="18"/>
      <c r="S1000" s="18"/>
      <c r="T1000" s="93"/>
      <c r="U1000" s="20"/>
      <c r="V1000" s="14"/>
      <c r="W1000" s="14"/>
      <c r="X1000" s="14"/>
      <c r="Y1000" s="14"/>
      <c r="Z1000" s="14"/>
      <c r="AA1000" s="14"/>
      <c r="AB1000" s="14"/>
      <c r="AC1000" s="14"/>
      <c r="AD1000" s="14"/>
      <c r="AE1000" s="14"/>
      <c r="AF1000" s="14"/>
      <c r="AG1000" s="14"/>
      <c r="AH1000" s="14"/>
      <c r="AI1000" s="14"/>
      <c r="AJ1000" s="14"/>
      <c r="AK1000" s="14"/>
      <c r="AL1000" s="14"/>
      <c r="AM1000" s="14"/>
      <c r="AN1000" s="14"/>
    </row>
    <row r="1001" ht="15.75" customHeight="1">
      <c r="A1001" s="14"/>
      <c r="B1001" s="14"/>
      <c r="C1001" s="14"/>
      <c r="D1001" s="14"/>
      <c r="E1001" s="14"/>
      <c r="F1001" s="14"/>
      <c r="G1001" s="14"/>
      <c r="H1001" s="14"/>
      <c r="I1001" s="14"/>
      <c r="J1001" s="14"/>
      <c r="K1001" s="14"/>
      <c r="L1001" s="14"/>
      <c r="M1001" s="14"/>
      <c r="N1001" s="14"/>
      <c r="O1001" s="14"/>
      <c r="P1001" s="14"/>
      <c r="Q1001" s="14"/>
      <c r="R1001" s="18"/>
      <c r="S1001" s="18"/>
      <c r="T1001" s="93"/>
      <c r="U1001" s="20"/>
      <c r="V1001" s="14"/>
      <c r="W1001" s="14"/>
      <c r="X1001" s="14"/>
      <c r="Y1001" s="14"/>
      <c r="Z1001" s="14"/>
      <c r="AA1001" s="14"/>
      <c r="AB1001" s="14"/>
      <c r="AC1001" s="14"/>
      <c r="AD1001" s="14"/>
      <c r="AE1001" s="14"/>
      <c r="AF1001" s="14"/>
      <c r="AG1001" s="14"/>
      <c r="AH1001" s="14"/>
      <c r="AI1001" s="14"/>
      <c r="AJ1001" s="14"/>
      <c r="AK1001" s="14"/>
      <c r="AL1001" s="14"/>
      <c r="AM1001" s="14"/>
      <c r="AN1001" s="14"/>
    </row>
    <row r="1002" ht="15.75" customHeight="1">
      <c r="A1002" s="14"/>
      <c r="B1002" s="14"/>
      <c r="C1002" s="14"/>
      <c r="D1002" s="14"/>
      <c r="E1002" s="14"/>
      <c r="F1002" s="14"/>
      <c r="G1002" s="14"/>
      <c r="H1002" s="14"/>
      <c r="I1002" s="14"/>
      <c r="J1002" s="14"/>
      <c r="K1002" s="14"/>
      <c r="L1002" s="14"/>
      <c r="M1002" s="14"/>
      <c r="N1002" s="14"/>
      <c r="O1002" s="14"/>
      <c r="P1002" s="14"/>
      <c r="Q1002" s="14"/>
      <c r="R1002" s="18"/>
      <c r="S1002" s="18"/>
      <c r="T1002" s="93"/>
      <c r="U1002" s="20"/>
      <c r="V1002" s="14"/>
      <c r="W1002" s="14"/>
      <c r="X1002" s="14"/>
      <c r="Y1002" s="14"/>
      <c r="Z1002" s="14"/>
      <c r="AA1002" s="14"/>
      <c r="AB1002" s="14"/>
      <c r="AC1002" s="14"/>
      <c r="AD1002" s="14"/>
      <c r="AE1002" s="14"/>
      <c r="AF1002" s="14"/>
      <c r="AG1002" s="14"/>
      <c r="AH1002" s="14"/>
      <c r="AI1002" s="14"/>
      <c r="AJ1002" s="14"/>
      <c r="AK1002" s="14"/>
      <c r="AL1002" s="14"/>
      <c r="AM1002" s="14"/>
      <c r="AN1002" s="14"/>
    </row>
    <row r="1003" ht="15.75" customHeight="1">
      <c r="A1003" s="14"/>
      <c r="B1003" s="14"/>
      <c r="C1003" s="14"/>
      <c r="D1003" s="14"/>
      <c r="E1003" s="14"/>
      <c r="F1003" s="14"/>
      <c r="G1003" s="14"/>
      <c r="H1003" s="14"/>
      <c r="I1003" s="14"/>
      <c r="J1003" s="14"/>
      <c r="K1003" s="14"/>
      <c r="L1003" s="14"/>
      <c r="M1003" s="14"/>
      <c r="N1003" s="14"/>
      <c r="O1003" s="14"/>
      <c r="P1003" s="14"/>
      <c r="Q1003" s="14"/>
      <c r="R1003" s="18"/>
      <c r="S1003" s="18"/>
      <c r="T1003" s="93"/>
      <c r="U1003" s="20"/>
      <c r="V1003" s="14"/>
      <c r="W1003" s="14"/>
      <c r="X1003" s="14"/>
      <c r="Y1003" s="14"/>
      <c r="Z1003" s="14"/>
      <c r="AA1003" s="14"/>
      <c r="AB1003" s="14"/>
      <c r="AC1003" s="14"/>
      <c r="AD1003" s="14"/>
      <c r="AE1003" s="14"/>
      <c r="AF1003" s="14"/>
      <c r="AG1003" s="14"/>
      <c r="AH1003" s="14"/>
      <c r="AI1003" s="14"/>
      <c r="AJ1003" s="14"/>
      <c r="AK1003" s="14"/>
      <c r="AL1003" s="14"/>
      <c r="AM1003" s="14"/>
      <c r="AN1003" s="14"/>
    </row>
    <row r="1004" ht="15.75" customHeight="1">
      <c r="A1004" s="14"/>
      <c r="B1004" s="14"/>
      <c r="C1004" s="14"/>
      <c r="D1004" s="14"/>
      <c r="E1004" s="14"/>
      <c r="F1004" s="14"/>
      <c r="G1004" s="14"/>
      <c r="H1004" s="14"/>
      <c r="I1004" s="14"/>
      <c r="J1004" s="14"/>
      <c r="K1004" s="14"/>
      <c r="L1004" s="14"/>
      <c r="M1004" s="14"/>
      <c r="N1004" s="14"/>
      <c r="O1004" s="14"/>
      <c r="P1004" s="14"/>
      <c r="Q1004" s="14"/>
      <c r="R1004" s="18"/>
      <c r="S1004" s="18"/>
      <c r="T1004" s="93"/>
      <c r="U1004" s="20"/>
      <c r="V1004" s="14"/>
      <c r="W1004" s="14"/>
      <c r="X1004" s="14"/>
      <c r="Y1004" s="14"/>
      <c r="Z1004" s="14"/>
      <c r="AA1004" s="14"/>
      <c r="AB1004" s="14"/>
      <c r="AC1004" s="14"/>
      <c r="AD1004" s="14"/>
      <c r="AE1004" s="14"/>
      <c r="AF1004" s="14"/>
      <c r="AG1004" s="14"/>
      <c r="AH1004" s="14"/>
      <c r="AI1004" s="14"/>
      <c r="AJ1004" s="14"/>
      <c r="AK1004" s="14"/>
      <c r="AL1004" s="14"/>
      <c r="AM1004" s="14"/>
      <c r="AN1004" s="14"/>
    </row>
    <row r="1005" ht="15.75" customHeight="1">
      <c r="A1005" s="14"/>
      <c r="B1005" s="14"/>
      <c r="C1005" s="14"/>
      <c r="D1005" s="14"/>
      <c r="E1005" s="14"/>
      <c r="F1005" s="14"/>
      <c r="G1005" s="14"/>
      <c r="H1005" s="14"/>
      <c r="I1005" s="14"/>
      <c r="J1005" s="14"/>
      <c r="K1005" s="14"/>
      <c r="L1005" s="14"/>
      <c r="M1005" s="14"/>
      <c r="N1005" s="14"/>
      <c r="O1005" s="14"/>
      <c r="P1005" s="14"/>
      <c r="Q1005" s="14"/>
      <c r="R1005" s="18"/>
      <c r="S1005" s="18"/>
      <c r="T1005" s="93"/>
      <c r="U1005" s="20"/>
      <c r="V1005" s="14"/>
      <c r="W1005" s="14"/>
      <c r="X1005" s="14"/>
      <c r="Y1005" s="14"/>
      <c r="Z1005" s="14"/>
      <c r="AA1005" s="14"/>
      <c r="AB1005" s="14"/>
      <c r="AC1005" s="14"/>
      <c r="AD1005" s="14"/>
      <c r="AE1005" s="14"/>
      <c r="AF1005" s="14"/>
      <c r="AG1005" s="14"/>
      <c r="AH1005" s="14"/>
      <c r="AI1005" s="14"/>
      <c r="AJ1005" s="14"/>
      <c r="AK1005" s="14"/>
      <c r="AL1005" s="14"/>
      <c r="AM1005" s="14"/>
      <c r="AN1005" s="14"/>
    </row>
    <row r="1006" ht="15.75" customHeight="1">
      <c r="A1006" s="14"/>
      <c r="B1006" s="14"/>
      <c r="C1006" s="14"/>
      <c r="D1006" s="14"/>
      <c r="E1006" s="14"/>
      <c r="F1006" s="14"/>
      <c r="G1006" s="14"/>
      <c r="H1006" s="14"/>
      <c r="I1006" s="14"/>
      <c r="J1006" s="14"/>
      <c r="K1006" s="14"/>
      <c r="L1006" s="14"/>
      <c r="M1006" s="14"/>
      <c r="N1006" s="14"/>
      <c r="O1006" s="14"/>
      <c r="P1006" s="14"/>
      <c r="Q1006" s="14"/>
      <c r="R1006" s="18"/>
      <c r="S1006" s="18"/>
      <c r="T1006" s="93"/>
      <c r="U1006" s="20"/>
      <c r="V1006" s="14"/>
      <c r="W1006" s="14"/>
      <c r="X1006" s="14"/>
      <c r="Y1006" s="14"/>
      <c r="Z1006" s="14"/>
      <c r="AA1006" s="14"/>
      <c r="AB1006" s="14"/>
      <c r="AC1006" s="14"/>
      <c r="AD1006" s="14"/>
      <c r="AE1006" s="14"/>
      <c r="AF1006" s="14"/>
      <c r="AG1006" s="14"/>
      <c r="AH1006" s="14"/>
      <c r="AI1006" s="14"/>
      <c r="AJ1006" s="14"/>
      <c r="AK1006" s="14"/>
      <c r="AL1006" s="14"/>
      <c r="AM1006" s="14"/>
      <c r="AN1006" s="14"/>
    </row>
    <row r="1007" ht="15.75" customHeight="1">
      <c r="A1007" s="14"/>
      <c r="B1007" s="14"/>
      <c r="C1007" s="14"/>
      <c r="D1007" s="14"/>
      <c r="E1007" s="14"/>
      <c r="F1007" s="14"/>
      <c r="G1007" s="14"/>
      <c r="H1007" s="14"/>
      <c r="I1007" s="14"/>
      <c r="J1007" s="14"/>
      <c r="K1007" s="14"/>
      <c r="L1007" s="14"/>
      <c r="M1007" s="14"/>
      <c r="N1007" s="14"/>
      <c r="O1007" s="14"/>
      <c r="P1007" s="14"/>
      <c r="Q1007" s="14"/>
      <c r="R1007" s="18"/>
      <c r="S1007" s="18"/>
      <c r="T1007" s="93"/>
      <c r="U1007" s="20"/>
      <c r="V1007" s="14"/>
      <c r="W1007" s="14"/>
      <c r="X1007" s="14"/>
      <c r="Y1007" s="14"/>
      <c r="Z1007" s="14"/>
      <c r="AA1007" s="14"/>
      <c r="AB1007" s="14"/>
      <c r="AC1007" s="14"/>
      <c r="AD1007" s="14"/>
      <c r="AE1007" s="14"/>
      <c r="AF1007" s="14"/>
      <c r="AG1007" s="14"/>
      <c r="AH1007" s="14"/>
      <c r="AI1007" s="14"/>
      <c r="AJ1007" s="14"/>
      <c r="AK1007" s="14"/>
      <c r="AL1007" s="14"/>
      <c r="AM1007" s="14"/>
      <c r="AN1007" s="14"/>
    </row>
    <row r="1008" ht="15.75" customHeight="1">
      <c r="A1008" s="14"/>
      <c r="B1008" s="14"/>
      <c r="C1008" s="14"/>
      <c r="D1008" s="14"/>
      <c r="E1008" s="14"/>
      <c r="F1008" s="14"/>
      <c r="G1008" s="14"/>
      <c r="H1008" s="14"/>
      <c r="I1008" s="14"/>
      <c r="J1008" s="14"/>
      <c r="K1008" s="14"/>
      <c r="L1008" s="14"/>
      <c r="M1008" s="14"/>
      <c r="N1008" s="14"/>
      <c r="O1008" s="14"/>
      <c r="P1008" s="14"/>
      <c r="Q1008" s="14"/>
      <c r="R1008" s="18"/>
      <c r="S1008" s="18"/>
      <c r="T1008" s="93"/>
      <c r="U1008" s="20"/>
      <c r="V1008" s="14"/>
      <c r="W1008" s="14"/>
      <c r="X1008" s="14"/>
      <c r="Y1008" s="14"/>
      <c r="Z1008" s="14"/>
      <c r="AA1008" s="14"/>
      <c r="AB1008" s="14"/>
      <c r="AC1008" s="14"/>
      <c r="AD1008" s="14"/>
      <c r="AE1008" s="14"/>
      <c r="AF1008" s="14"/>
      <c r="AG1008" s="14"/>
      <c r="AH1008" s="14"/>
      <c r="AI1008" s="14"/>
      <c r="AJ1008" s="14"/>
      <c r="AK1008" s="14"/>
      <c r="AL1008" s="14"/>
      <c r="AM1008" s="14"/>
      <c r="AN1008" s="14"/>
    </row>
    <row r="1009" ht="15.75" customHeight="1">
      <c r="A1009" s="14"/>
      <c r="B1009" s="14"/>
      <c r="C1009" s="14"/>
      <c r="D1009" s="14"/>
      <c r="E1009" s="14"/>
      <c r="F1009" s="14"/>
      <c r="G1009" s="14"/>
      <c r="H1009" s="14"/>
      <c r="I1009" s="14"/>
      <c r="J1009" s="14"/>
      <c r="K1009" s="14"/>
      <c r="L1009" s="14"/>
      <c r="M1009" s="14"/>
      <c r="N1009" s="14"/>
      <c r="O1009" s="14"/>
      <c r="P1009" s="14"/>
      <c r="Q1009" s="14"/>
      <c r="R1009" s="18"/>
      <c r="S1009" s="18"/>
      <c r="T1009" s="93"/>
      <c r="U1009" s="20"/>
      <c r="V1009" s="14"/>
      <c r="W1009" s="14"/>
      <c r="X1009" s="14"/>
      <c r="Y1009" s="14"/>
      <c r="Z1009" s="14"/>
      <c r="AA1009" s="14"/>
      <c r="AB1009" s="14"/>
      <c r="AC1009" s="14"/>
      <c r="AD1009" s="14"/>
      <c r="AE1009" s="14"/>
      <c r="AF1009" s="14"/>
      <c r="AG1009" s="14"/>
      <c r="AH1009" s="14"/>
      <c r="AI1009" s="14"/>
      <c r="AJ1009" s="14"/>
      <c r="AK1009" s="14"/>
      <c r="AL1009" s="14"/>
      <c r="AM1009" s="14"/>
      <c r="AN1009" s="14"/>
    </row>
    <row r="1010" ht="15.75" customHeight="1">
      <c r="A1010" s="14"/>
      <c r="B1010" s="14"/>
      <c r="C1010" s="14"/>
      <c r="D1010" s="14"/>
      <c r="E1010" s="14"/>
      <c r="F1010" s="14"/>
      <c r="G1010" s="14"/>
      <c r="H1010" s="14"/>
      <c r="I1010" s="14"/>
      <c r="J1010" s="14"/>
      <c r="K1010" s="14"/>
      <c r="L1010" s="14"/>
      <c r="M1010" s="14"/>
      <c r="N1010" s="14"/>
      <c r="O1010" s="14"/>
      <c r="P1010" s="14"/>
      <c r="Q1010" s="14"/>
      <c r="R1010" s="18"/>
      <c r="S1010" s="18"/>
      <c r="T1010" s="93"/>
      <c r="U1010" s="20"/>
      <c r="V1010" s="14"/>
      <c r="W1010" s="14"/>
      <c r="X1010" s="14"/>
      <c r="Y1010" s="14"/>
      <c r="Z1010" s="14"/>
      <c r="AA1010" s="14"/>
      <c r="AB1010" s="14"/>
      <c r="AC1010" s="14"/>
      <c r="AD1010" s="14"/>
      <c r="AE1010" s="14"/>
      <c r="AF1010" s="14"/>
      <c r="AG1010" s="14"/>
      <c r="AH1010" s="14"/>
      <c r="AI1010" s="14"/>
      <c r="AJ1010" s="14"/>
      <c r="AK1010" s="14"/>
      <c r="AL1010" s="14"/>
      <c r="AM1010" s="14"/>
      <c r="AN1010" s="14"/>
    </row>
    <row r="1011" ht="15.75" customHeight="1">
      <c r="A1011" s="14"/>
      <c r="B1011" s="14"/>
      <c r="C1011" s="14"/>
      <c r="D1011" s="14"/>
      <c r="E1011" s="14"/>
      <c r="F1011" s="14"/>
      <c r="G1011" s="14"/>
      <c r="H1011" s="14"/>
      <c r="I1011" s="14"/>
      <c r="J1011" s="14"/>
      <c r="K1011" s="14"/>
      <c r="L1011" s="14"/>
      <c r="M1011" s="14"/>
      <c r="N1011" s="14"/>
      <c r="O1011" s="14"/>
      <c r="P1011" s="14"/>
      <c r="Q1011" s="14"/>
      <c r="R1011" s="18"/>
      <c r="S1011" s="18"/>
      <c r="T1011" s="93"/>
      <c r="U1011" s="20"/>
      <c r="V1011" s="14"/>
      <c r="W1011" s="14"/>
      <c r="X1011" s="14"/>
      <c r="Y1011" s="14"/>
      <c r="Z1011" s="14"/>
      <c r="AA1011" s="14"/>
      <c r="AB1011" s="14"/>
      <c r="AC1011" s="14"/>
      <c r="AD1011" s="14"/>
      <c r="AE1011" s="14"/>
      <c r="AF1011" s="14"/>
      <c r="AG1011" s="14"/>
      <c r="AH1011" s="14"/>
      <c r="AI1011" s="14"/>
      <c r="AJ1011" s="14"/>
      <c r="AK1011" s="14"/>
      <c r="AL1011" s="14"/>
      <c r="AM1011" s="14"/>
      <c r="AN1011" s="14"/>
    </row>
    <row r="1012" ht="15.75" customHeight="1">
      <c r="A1012" s="14"/>
      <c r="B1012" s="14"/>
      <c r="C1012" s="14"/>
      <c r="D1012" s="14"/>
      <c r="E1012" s="14"/>
      <c r="F1012" s="14"/>
      <c r="G1012" s="14"/>
      <c r="H1012" s="14"/>
      <c r="I1012" s="14"/>
      <c r="J1012" s="14"/>
      <c r="K1012" s="14"/>
      <c r="L1012" s="14"/>
      <c r="M1012" s="14"/>
      <c r="N1012" s="14"/>
      <c r="O1012" s="14"/>
      <c r="P1012" s="14"/>
      <c r="Q1012" s="14"/>
      <c r="R1012" s="18"/>
      <c r="S1012" s="18"/>
      <c r="T1012" s="93"/>
      <c r="U1012" s="20"/>
      <c r="V1012" s="14"/>
      <c r="W1012" s="14"/>
      <c r="X1012" s="14"/>
      <c r="Y1012" s="14"/>
      <c r="Z1012" s="14"/>
      <c r="AA1012" s="14"/>
      <c r="AB1012" s="14"/>
      <c r="AC1012" s="14"/>
      <c r="AD1012" s="14"/>
      <c r="AE1012" s="14"/>
      <c r="AF1012" s="14"/>
      <c r="AG1012" s="14"/>
      <c r="AH1012" s="14"/>
      <c r="AI1012" s="14"/>
      <c r="AJ1012" s="14"/>
      <c r="AK1012" s="14"/>
      <c r="AL1012" s="14"/>
      <c r="AM1012" s="14"/>
      <c r="AN1012" s="14"/>
    </row>
    <row r="1013" ht="15.75" customHeight="1">
      <c r="A1013" s="14"/>
      <c r="B1013" s="14"/>
      <c r="C1013" s="14"/>
      <c r="D1013" s="14"/>
      <c r="E1013" s="14"/>
      <c r="F1013" s="14"/>
      <c r="G1013" s="14"/>
      <c r="H1013" s="14"/>
      <c r="I1013" s="14"/>
      <c r="J1013" s="14"/>
      <c r="K1013" s="14"/>
      <c r="L1013" s="14"/>
      <c r="M1013" s="14"/>
      <c r="N1013" s="14"/>
      <c r="O1013" s="14"/>
      <c r="P1013" s="14"/>
      <c r="Q1013" s="14"/>
      <c r="R1013" s="18"/>
      <c r="S1013" s="18"/>
      <c r="T1013" s="93"/>
      <c r="U1013" s="20"/>
      <c r="V1013" s="14"/>
      <c r="W1013" s="14"/>
      <c r="X1013" s="14"/>
      <c r="Y1013" s="14"/>
      <c r="Z1013" s="14"/>
      <c r="AA1013" s="14"/>
      <c r="AB1013" s="14"/>
      <c r="AC1013" s="14"/>
      <c r="AD1013" s="14"/>
      <c r="AE1013" s="14"/>
      <c r="AF1013" s="14"/>
      <c r="AG1013" s="14"/>
      <c r="AH1013" s="14"/>
      <c r="AI1013" s="14"/>
      <c r="AJ1013" s="14"/>
      <c r="AK1013" s="14"/>
      <c r="AL1013" s="14"/>
      <c r="AM1013" s="14"/>
      <c r="AN1013" s="14"/>
    </row>
    <row r="1014" ht="15.75" customHeight="1">
      <c r="A1014" s="14"/>
      <c r="B1014" s="14"/>
      <c r="C1014" s="14"/>
      <c r="D1014" s="14"/>
      <c r="E1014" s="14"/>
      <c r="F1014" s="14"/>
      <c r="G1014" s="14"/>
      <c r="H1014" s="14"/>
      <c r="I1014" s="14"/>
      <c r="J1014" s="14"/>
      <c r="K1014" s="14"/>
      <c r="L1014" s="14"/>
      <c r="M1014" s="14"/>
      <c r="N1014" s="14"/>
      <c r="O1014" s="14"/>
      <c r="P1014" s="14"/>
      <c r="Q1014" s="14"/>
      <c r="R1014" s="18"/>
      <c r="S1014" s="18"/>
      <c r="T1014" s="93"/>
      <c r="U1014" s="20"/>
      <c r="V1014" s="14"/>
      <c r="W1014" s="14"/>
      <c r="X1014" s="14"/>
      <c r="Y1014" s="14"/>
      <c r="Z1014" s="14"/>
      <c r="AA1014" s="14"/>
      <c r="AB1014" s="14"/>
      <c r="AC1014" s="14"/>
      <c r="AD1014" s="14"/>
      <c r="AE1014" s="14"/>
      <c r="AF1014" s="14"/>
      <c r="AG1014" s="14"/>
      <c r="AH1014" s="14"/>
      <c r="AI1014" s="14"/>
      <c r="AJ1014" s="14"/>
      <c r="AK1014" s="14"/>
      <c r="AL1014" s="14"/>
      <c r="AM1014" s="14"/>
      <c r="AN1014" s="14"/>
    </row>
    <row r="1015" ht="15.75" customHeight="1">
      <c r="A1015" s="14"/>
      <c r="B1015" s="14"/>
      <c r="C1015" s="14"/>
      <c r="D1015" s="14"/>
      <c r="E1015" s="14"/>
      <c r="F1015" s="14"/>
      <c r="G1015" s="14"/>
      <c r="H1015" s="14"/>
      <c r="I1015" s="14"/>
      <c r="J1015" s="14"/>
      <c r="K1015" s="14"/>
      <c r="L1015" s="14"/>
      <c r="M1015" s="14"/>
      <c r="N1015" s="14"/>
      <c r="O1015" s="14"/>
      <c r="P1015" s="14"/>
      <c r="Q1015" s="14"/>
      <c r="R1015" s="18"/>
      <c r="S1015" s="18"/>
      <c r="T1015" s="93"/>
      <c r="U1015" s="20"/>
      <c r="V1015" s="14"/>
      <c r="W1015" s="14"/>
      <c r="X1015" s="14"/>
      <c r="Y1015" s="14"/>
      <c r="Z1015" s="14"/>
      <c r="AA1015" s="14"/>
      <c r="AB1015" s="14"/>
      <c r="AC1015" s="14"/>
      <c r="AD1015" s="14"/>
      <c r="AE1015" s="14"/>
      <c r="AF1015" s="14"/>
      <c r="AG1015" s="14"/>
      <c r="AH1015" s="14"/>
      <c r="AI1015" s="14"/>
      <c r="AJ1015" s="14"/>
      <c r="AK1015" s="14"/>
      <c r="AL1015" s="14"/>
      <c r="AM1015" s="14"/>
      <c r="AN1015" s="14"/>
    </row>
    <row r="1016" ht="15.75" customHeight="1">
      <c r="A1016" s="14"/>
      <c r="B1016" s="14"/>
      <c r="C1016" s="14"/>
      <c r="D1016" s="14"/>
      <c r="E1016" s="14"/>
      <c r="F1016" s="14"/>
      <c r="G1016" s="14"/>
      <c r="H1016" s="14"/>
      <c r="I1016" s="14"/>
      <c r="J1016" s="14"/>
      <c r="K1016" s="14"/>
      <c r="L1016" s="14"/>
      <c r="M1016" s="14"/>
      <c r="N1016" s="14"/>
      <c r="O1016" s="14"/>
      <c r="P1016" s="14"/>
      <c r="Q1016" s="14"/>
      <c r="R1016" s="18"/>
      <c r="S1016" s="18"/>
      <c r="T1016" s="93"/>
      <c r="U1016" s="20"/>
      <c r="V1016" s="14"/>
      <c r="W1016" s="14"/>
      <c r="X1016" s="14"/>
      <c r="Y1016" s="14"/>
      <c r="Z1016" s="14"/>
      <c r="AA1016" s="14"/>
      <c r="AB1016" s="14"/>
      <c r="AC1016" s="14"/>
      <c r="AD1016" s="14"/>
      <c r="AE1016" s="14"/>
      <c r="AF1016" s="14"/>
      <c r="AG1016" s="14"/>
      <c r="AH1016" s="14"/>
      <c r="AI1016" s="14"/>
      <c r="AJ1016" s="14"/>
      <c r="AK1016" s="14"/>
      <c r="AL1016" s="14"/>
      <c r="AM1016" s="14"/>
      <c r="AN1016" s="14"/>
    </row>
    <row r="1017" ht="15.75" customHeight="1">
      <c r="A1017" s="14"/>
      <c r="B1017" s="14"/>
      <c r="C1017" s="14"/>
      <c r="D1017" s="14"/>
      <c r="E1017" s="14"/>
      <c r="F1017" s="14"/>
      <c r="G1017" s="14"/>
      <c r="H1017" s="14"/>
      <c r="I1017" s="14"/>
      <c r="J1017" s="14"/>
      <c r="K1017" s="14"/>
      <c r="L1017" s="14"/>
      <c r="M1017" s="14"/>
      <c r="N1017" s="14"/>
      <c r="O1017" s="14"/>
      <c r="P1017" s="14"/>
      <c r="Q1017" s="14"/>
      <c r="R1017" s="18"/>
      <c r="S1017" s="18"/>
      <c r="T1017" s="93"/>
      <c r="U1017" s="20"/>
      <c r="V1017" s="14"/>
      <c r="W1017" s="14"/>
      <c r="X1017" s="14"/>
      <c r="Y1017" s="14"/>
      <c r="Z1017" s="14"/>
      <c r="AA1017" s="14"/>
      <c r="AB1017" s="14"/>
      <c r="AC1017" s="14"/>
      <c r="AD1017" s="14"/>
      <c r="AE1017" s="14"/>
      <c r="AF1017" s="14"/>
      <c r="AG1017" s="14"/>
      <c r="AH1017" s="14"/>
      <c r="AI1017" s="14"/>
      <c r="AJ1017" s="14"/>
      <c r="AK1017" s="14"/>
      <c r="AL1017" s="14"/>
      <c r="AM1017" s="14"/>
      <c r="AN1017" s="14"/>
    </row>
    <row r="1018" ht="15.75" customHeight="1">
      <c r="A1018" s="14"/>
      <c r="B1018" s="14"/>
      <c r="C1018" s="14"/>
      <c r="D1018" s="14"/>
      <c r="E1018" s="14"/>
      <c r="F1018" s="14"/>
      <c r="G1018" s="14"/>
      <c r="H1018" s="14"/>
      <c r="I1018" s="14"/>
      <c r="J1018" s="14"/>
      <c r="K1018" s="14"/>
      <c r="L1018" s="14"/>
      <c r="M1018" s="14"/>
      <c r="N1018" s="14"/>
      <c r="O1018" s="14"/>
      <c r="P1018" s="14"/>
      <c r="Q1018" s="14"/>
      <c r="R1018" s="18"/>
      <c r="S1018" s="18"/>
      <c r="T1018" s="93"/>
      <c r="U1018" s="20"/>
      <c r="V1018" s="14"/>
      <c r="W1018" s="14"/>
      <c r="X1018" s="14"/>
      <c r="Y1018" s="14"/>
      <c r="Z1018" s="14"/>
      <c r="AA1018" s="14"/>
      <c r="AB1018" s="14"/>
      <c r="AC1018" s="14"/>
      <c r="AD1018" s="14"/>
      <c r="AE1018" s="14"/>
      <c r="AF1018" s="14"/>
      <c r="AG1018" s="14"/>
      <c r="AH1018" s="14"/>
      <c r="AI1018" s="14"/>
      <c r="AJ1018" s="14"/>
      <c r="AK1018" s="14"/>
      <c r="AL1018" s="14"/>
      <c r="AM1018" s="14"/>
      <c r="AN1018" s="14"/>
    </row>
    <row r="1019" ht="15.75" customHeight="1">
      <c r="A1019" s="14"/>
      <c r="B1019" s="14"/>
      <c r="C1019" s="14"/>
      <c r="D1019" s="14"/>
      <c r="E1019" s="14"/>
      <c r="F1019" s="14"/>
      <c r="G1019" s="14"/>
      <c r="H1019" s="14"/>
      <c r="I1019" s="14"/>
      <c r="J1019" s="14"/>
      <c r="K1019" s="14"/>
      <c r="L1019" s="14"/>
      <c r="M1019" s="14"/>
      <c r="N1019" s="14"/>
      <c r="O1019" s="14"/>
      <c r="P1019" s="14"/>
      <c r="Q1019" s="14"/>
      <c r="R1019" s="18"/>
      <c r="S1019" s="18"/>
      <c r="T1019" s="93"/>
      <c r="U1019" s="20"/>
      <c r="V1019" s="14"/>
      <c r="W1019" s="14"/>
      <c r="X1019" s="14"/>
      <c r="Y1019" s="14"/>
      <c r="Z1019" s="14"/>
      <c r="AA1019" s="14"/>
      <c r="AB1019" s="14"/>
      <c r="AC1019" s="14"/>
      <c r="AD1019" s="14"/>
      <c r="AE1019" s="14"/>
      <c r="AF1019" s="14"/>
      <c r="AG1019" s="14"/>
      <c r="AH1019" s="14"/>
      <c r="AI1019" s="14"/>
      <c r="AJ1019" s="14"/>
      <c r="AK1019" s="14"/>
      <c r="AL1019" s="14"/>
      <c r="AM1019" s="14"/>
      <c r="AN1019" s="14"/>
    </row>
    <row r="1020" ht="15.75" customHeight="1">
      <c r="A1020" s="14"/>
      <c r="B1020" s="14"/>
      <c r="C1020" s="14"/>
      <c r="D1020" s="14"/>
      <c r="E1020" s="14"/>
      <c r="F1020" s="14"/>
      <c r="G1020" s="14"/>
      <c r="H1020" s="14"/>
      <c r="I1020" s="14"/>
      <c r="J1020" s="14"/>
      <c r="K1020" s="14"/>
      <c r="L1020" s="14"/>
      <c r="M1020" s="14"/>
      <c r="N1020" s="14"/>
      <c r="O1020" s="14"/>
      <c r="P1020" s="14"/>
      <c r="Q1020" s="14"/>
      <c r="R1020" s="18"/>
      <c r="S1020" s="18"/>
      <c r="T1020" s="93"/>
      <c r="U1020" s="20"/>
      <c r="V1020" s="14"/>
      <c r="W1020" s="14"/>
      <c r="X1020" s="14"/>
      <c r="Y1020" s="14"/>
      <c r="Z1020" s="14"/>
      <c r="AA1020" s="14"/>
      <c r="AB1020" s="14"/>
      <c r="AC1020" s="14"/>
      <c r="AD1020" s="14"/>
      <c r="AE1020" s="14"/>
      <c r="AF1020" s="14"/>
      <c r="AG1020" s="14"/>
      <c r="AH1020" s="14"/>
      <c r="AI1020" s="14"/>
      <c r="AJ1020" s="14"/>
      <c r="AK1020" s="14"/>
      <c r="AL1020" s="14"/>
      <c r="AM1020" s="14"/>
      <c r="AN1020" s="14"/>
    </row>
    <row r="1021" ht="15.75" customHeight="1">
      <c r="A1021" s="14"/>
      <c r="B1021" s="14"/>
      <c r="C1021" s="14"/>
      <c r="D1021" s="14"/>
      <c r="E1021" s="14"/>
      <c r="F1021" s="14"/>
      <c r="G1021" s="14"/>
      <c r="H1021" s="14"/>
      <c r="I1021" s="14"/>
      <c r="J1021" s="14"/>
      <c r="K1021" s="14"/>
      <c r="L1021" s="14"/>
      <c r="M1021" s="14"/>
      <c r="N1021" s="14"/>
      <c r="O1021" s="14"/>
      <c r="P1021" s="14"/>
      <c r="Q1021" s="14"/>
      <c r="R1021" s="18"/>
      <c r="S1021" s="18"/>
      <c r="T1021" s="93"/>
      <c r="U1021" s="20"/>
      <c r="V1021" s="14"/>
      <c r="W1021" s="14"/>
      <c r="X1021" s="14"/>
      <c r="Y1021" s="14"/>
      <c r="Z1021" s="14"/>
      <c r="AA1021" s="14"/>
      <c r="AB1021" s="14"/>
      <c r="AC1021" s="14"/>
      <c r="AD1021" s="14"/>
      <c r="AE1021" s="14"/>
      <c r="AF1021" s="14"/>
      <c r="AG1021" s="14"/>
      <c r="AH1021" s="14"/>
      <c r="AI1021" s="14"/>
      <c r="AJ1021" s="14"/>
      <c r="AK1021" s="14"/>
      <c r="AL1021" s="14"/>
      <c r="AM1021" s="14"/>
      <c r="AN1021" s="14"/>
    </row>
    <row r="1022" ht="15.75" customHeight="1">
      <c r="A1022" s="14"/>
      <c r="B1022" s="14"/>
      <c r="C1022" s="14"/>
      <c r="D1022" s="14"/>
      <c r="E1022" s="14"/>
      <c r="F1022" s="14"/>
      <c r="G1022" s="14"/>
      <c r="H1022" s="14"/>
      <c r="I1022" s="14"/>
      <c r="J1022" s="14"/>
      <c r="K1022" s="14"/>
      <c r="L1022" s="14"/>
      <c r="M1022" s="14"/>
      <c r="N1022" s="14"/>
      <c r="O1022" s="14"/>
      <c r="P1022" s="14"/>
      <c r="Q1022" s="14"/>
      <c r="R1022" s="18"/>
      <c r="S1022" s="18"/>
      <c r="T1022" s="93"/>
      <c r="U1022" s="20"/>
      <c r="V1022" s="14"/>
      <c r="W1022" s="14"/>
      <c r="X1022" s="14"/>
      <c r="Y1022" s="14"/>
      <c r="Z1022" s="14"/>
      <c r="AA1022" s="14"/>
      <c r="AB1022" s="14"/>
      <c r="AC1022" s="14"/>
      <c r="AD1022" s="14"/>
      <c r="AE1022" s="14"/>
      <c r="AF1022" s="14"/>
      <c r="AG1022" s="14"/>
      <c r="AH1022" s="14"/>
      <c r="AI1022" s="14"/>
      <c r="AJ1022" s="14"/>
      <c r="AK1022" s="14"/>
      <c r="AL1022" s="14"/>
      <c r="AM1022" s="14"/>
      <c r="AN1022" s="14"/>
    </row>
  </sheetData>
  <customSheetViews>
    <customSheetView guid="{94ED9FD1-4C26-490D-AFCE-61ADCFEA675D}" filter="1" showAutoFilter="1">
      <autoFilter ref="$A$21:$U$30"/>
    </customSheetView>
    <customSheetView guid="{94ED9FD1-4C26-490D-AFCE-61ADCFEA675D}" filter="1" showAutoFilter="1">
      <autoFilter ref="$A$35:$U$83">
        <filterColumn colId="9">
          <filters>
            <filter val="1"/>
            <filter val="3"/>
          </filters>
        </filterColumn>
      </autoFilter>
    </customSheetView>
    <customSheetView guid="{94ED9FD1-4C26-490D-AFCE-61ADCFEA675D}" filter="1" showAutoFilter="1">
      <autoFilter ref="$A$9:$U$16"/>
    </customSheetView>
  </customSheetViews>
  <mergeCells count="4">
    <mergeCell ref="A1:B3"/>
    <mergeCell ref="C1:F1"/>
    <mergeCell ref="G1:G3"/>
    <mergeCell ref="C2:F3"/>
  </mergeCells>
  <conditionalFormatting sqref="J36:J83">
    <cfRule type="containsText" dxfId="6" priority="1" operator="containsText" text="v">
      <formula>NOT(ISERROR(SEARCH(("v"),(J36))))</formula>
    </cfRule>
  </conditionalFormatting>
  <conditionalFormatting sqref="J12">
    <cfRule type="containsText" dxfId="6" priority="2" operator="containsText" text="v">
      <formula>NOT(ISERROR(SEARCH(("v"),(J12))))</formula>
    </cfRule>
  </conditionalFormatting>
  <conditionalFormatting sqref="J12">
    <cfRule type="containsText" dxfId="6" priority="3" operator="containsText" text="1">
      <formula>NOT(ISERROR(SEARCH(("1"),(J12))))</formula>
    </cfRule>
  </conditionalFormatting>
  <conditionalFormatting sqref="J22 J24:J30 J82">
    <cfRule type="containsText" dxfId="6" priority="4" operator="containsText" text="1">
      <formula>NOT(ISERROR(SEARCH(("1"),(J22))))</formula>
    </cfRule>
  </conditionalFormatting>
  <conditionalFormatting sqref="J26">
    <cfRule type="containsText" dxfId="6" priority="5" operator="containsText" text="v">
      <formula>NOT(ISERROR(SEARCH(("v"),(J26))))</formula>
    </cfRule>
  </conditionalFormatting>
  <conditionalFormatting sqref="J22">
    <cfRule type="containsText" dxfId="6" priority="6" operator="containsText" text="v">
      <formula>NOT(ISERROR(SEARCH(("v"),(J22))))</formula>
    </cfRule>
  </conditionalFormatting>
  <conditionalFormatting sqref="J23">
    <cfRule type="containsText" dxfId="6" priority="7" operator="containsText" text="v">
      <formula>NOT(ISERROR(SEARCH(("v"),(J23))))</formula>
    </cfRule>
  </conditionalFormatting>
  <conditionalFormatting sqref="J31:J32 J82">
    <cfRule type="containsText" dxfId="6" priority="8" operator="containsText" text="v">
      <formula>NOT(ISERROR(SEARCH(("v"),(J31))))</formula>
    </cfRule>
  </conditionalFormatting>
  <conditionalFormatting sqref="J26">
    <cfRule type="containsText" dxfId="6" priority="9" operator="containsText" text="1">
      <formula>NOT(ISERROR(SEARCH(("1"),(J26))))</formula>
    </cfRule>
  </conditionalFormatting>
  <conditionalFormatting sqref="J31:J32 J82">
    <cfRule type="containsText" dxfId="6" priority="10" operator="containsText" text="1">
      <formula>NOT(ISERROR(SEARCH(("1"),(J31))))</formula>
    </cfRule>
  </conditionalFormatting>
  <conditionalFormatting sqref="J36:J83">
    <cfRule type="containsText" dxfId="6" priority="11" operator="containsText" text="v">
      <formula>NOT(ISERROR(SEARCH(("v"),(J36))))</formula>
    </cfRule>
  </conditionalFormatting>
  <conditionalFormatting sqref="J36:J83">
    <cfRule type="containsText" dxfId="6" priority="12" operator="containsText" text="1">
      <formula>NOT(ISERROR(SEARCH(("1"),(J36))))</formula>
    </cfRule>
  </conditionalFormatting>
  <conditionalFormatting sqref="J36:J83">
    <cfRule type="cellIs" dxfId="7" priority="13" operator="equal">
      <formula>3</formula>
    </cfRule>
  </conditionalFormatting>
  <conditionalFormatting sqref="J36:J83">
    <cfRule type="containsText" dxfId="8" priority="14" operator="containsText" text="2">
      <formula>NOT(ISERROR(SEARCH(("2"),(J36))))</formula>
    </cfRule>
  </conditionalFormatting>
  <conditionalFormatting sqref="J36:J83">
    <cfRule type="containsText" dxfId="6" priority="15" operator="containsText" text="v">
      <formula>NOT(ISERROR(SEARCH(("v"),(J36))))</formula>
    </cfRule>
  </conditionalFormatting>
  <conditionalFormatting sqref="J36:J83">
    <cfRule type="containsText" dxfId="6" priority="16" operator="containsText" text="1">
      <formula>NOT(ISERROR(SEARCH(("1"),(J36))))</formula>
    </cfRule>
  </conditionalFormatting>
  <conditionalFormatting sqref="J10:J18 J22:J32 J36:J83">
    <cfRule type="notContainsBlanks" dxfId="9" priority="17">
      <formula>LEN(TRIM(J10))&gt;0</formula>
    </cfRule>
  </conditionalFormatting>
  <conditionalFormatting sqref="S11 S13:S16 S22 S24:S30 R36:R38 S36:S83 R40 R43 R46:R51 R53:R55 R57 R61:R69 R71:R78">
    <cfRule type="colorScale" priority="18">
      <colorScale>
        <cfvo type="percent" val="0"/>
        <cfvo type="percent" val="50"/>
        <cfvo type="percent" val="100"/>
        <color rgb="FF38761D"/>
        <color rgb="FFFFD966"/>
        <color rgb="FFDD7E6B"/>
      </colorScale>
    </cfRule>
  </conditionalFormatting>
  <dataValidations>
    <dataValidation type="list" allowBlank="1" sqref="G22:G27 G39 G41:G42 G44:G45 G50 G52 G55:G56 G58:G61 G63 G70 G79:G83">
      <formula1>"Si"</formula1>
    </dataValidation>
    <dataValidation type="list" allowBlank="1" sqref="J22:J30 J36:J83">
      <formula1>"1,2,3"</formula1>
    </dataValidation>
    <dataValidation type="list" allowBlank="1" sqref="J10:J16">
      <formula1>"1,2,3"</formula1>
    </dataValidation>
    <dataValidation type="list" allowBlank="1" sqref="D36:D83">
      <formula1>"409-1722 REMODELACIONES-OBRAS"</formula1>
    </dataValidation>
    <dataValidation type="list" allowBlank="1" sqref="D22:D30">
      <formula1>"409-6293 - CENTRO RECREACIONAL SAN NICOLAS"</formula1>
    </dataValidation>
    <dataValidation type="list" allowBlank="1" sqref="G10:G16">
      <formula1>"Si"</formula1>
    </dataValidation>
    <dataValidation type="custom" allowBlank="1" showDropDown="1" sqref="H10:H16">
      <formula1>OR(NOT(ISERROR(DATEVALUE(H10))), AND(ISNUMBER(H10), LEFT(CELL("format", H10))="D"))</formula1>
    </dataValidation>
    <dataValidation type="custom" allowBlank="1" showDropDown="1" sqref="K10:Q16 S10:S16 N22:N30 P22:Q30 S22:S30 U22:U30 S36:S83">
      <formula1>AND(ISNUMBER(K10),(NOT(OR(NOT(ISERROR(DATEVALUE(K10))), AND(ISNUMBER(K10), LEFT(CELL("format", K10))="D")))))</formula1>
    </dataValidation>
    <dataValidation type="list" allowBlank="1" showErrorMessage="1" sqref="B36:C43 B44 B45:C56 B57 B58:C83">
      <formula1>Datos!$I$3:$I$14</formula1>
    </dataValidation>
    <dataValidation type="list" allowBlank="1" showErrorMessage="1" sqref="E36:E83">
      <formula1>Datos!$A$3:$A$20</formula1>
    </dataValidation>
    <dataValidation type="list" allowBlank="1" showErrorMessage="1" sqref="B10:C16 E10:E16 B22:C30 E22:E30">
      <formula1>#REF!</formula1>
    </dataValidation>
    <dataValidation type="list" allowBlank="1" sqref="D10:D16">
      <formula1>"409-5242 PABELLON DE DOCENCIA,409-5243 INSTITUTO TECNOLOGICO,409-5506 - CASINO VRAE,409-5241 EDIFICIO CAMPUS PRIETO NORTE"</formula1>
    </dataValidation>
  </dataValidations>
  <printOptions/>
  <pageMargins bottom="0.75" footer="0.0" header="0.0" left="0.7" right="0.7" top="0.75"/>
  <pageSetup orientation="portrait"/>
  <drawing r:id="rId4"/>
  <legacyDrawing r:id="rId5"/>
  <tableParts count="4">
    <tablePart r:id="rId10"/>
    <tablePart r:id="rId11"/>
    <tablePart r:id="rId12"/>
    <tablePart r:id="rId13"/>
  </tableParts>
  <extLst>
    <ext uri="{3A4CF648-6AED-40f4-86FF-DC5316D8AED3}">
      <x14:slicerList>
        <x14:slicer r:id="rId14"/>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9.86"/>
    <col customWidth="1" min="2" max="2" width="51.57"/>
    <col customWidth="1" min="3" max="4" width="8.86"/>
    <col customWidth="1" min="5" max="5" width="18.57"/>
    <col customWidth="1" min="6" max="6" width="17.0"/>
    <col customWidth="1" min="9" max="9" width="72.71"/>
    <col customWidth="1" min="10" max="10" width="16.0"/>
    <col customWidth="1" min="11" max="11" width="16.29"/>
    <col customWidth="1" min="12" max="12" width="16.0"/>
    <col customWidth="1" min="13" max="13" width="11.57"/>
    <col customWidth="1" min="14" max="14" width="37.29"/>
    <col customWidth="1" min="15" max="15" width="21.0"/>
    <col customWidth="1" min="16" max="16" width="14.86"/>
    <col customWidth="1" min="17" max="17" width="12.86"/>
    <col customWidth="1" hidden="1" min="18" max="18" width="14.86"/>
    <col customWidth="1" min="19" max="19" width="14.86"/>
    <col customWidth="1" hidden="1" min="20" max="20" width="15.0"/>
    <col customWidth="1" hidden="1" min="21" max="21" width="14.57"/>
    <col customWidth="1" hidden="1" min="22" max="22" width="14.29"/>
    <col customWidth="1" hidden="1" min="23" max="24" width="14.86"/>
    <col customWidth="1" hidden="1" min="25" max="26" width="13.71"/>
    <col customWidth="1" hidden="1" min="27" max="27" width="17.57"/>
    <col customWidth="1" hidden="1" min="28" max="28" width="15.43"/>
    <col customWidth="1" hidden="1" min="29" max="29" width="15.29"/>
    <col customWidth="1" hidden="1" min="30" max="30" width="15.57"/>
    <col hidden="1" min="31" max="33" width="14.43"/>
    <col customWidth="1" hidden="1" min="34" max="35" width="14.86"/>
    <col customWidth="1" hidden="1" min="36" max="37" width="16.0"/>
    <col customWidth="1" hidden="1" min="38" max="38" width="14.86"/>
    <col hidden="1" min="39" max="40" width="14.43"/>
    <col customWidth="1" hidden="1" min="41" max="41" width="16.0"/>
    <col hidden="1" min="42" max="42" width="14.43"/>
    <col customWidth="1" hidden="1" min="43" max="43" width="16.0"/>
    <col hidden="1" min="44" max="44" width="14.43"/>
    <col customWidth="1" hidden="1" min="45" max="45" width="16.0"/>
    <col customWidth="1" min="49" max="49" width="16.0"/>
    <col customWidth="1" min="52" max="52" width="14.29"/>
  </cols>
  <sheetData>
    <row r="1">
      <c r="A1" s="1"/>
      <c r="B1" s="1"/>
      <c r="C1" s="1"/>
      <c r="D1" s="1"/>
      <c r="E1" s="1"/>
      <c r="F1" s="1"/>
      <c r="G1" s="1"/>
      <c r="H1" s="1"/>
      <c r="I1" s="1"/>
      <c r="J1" s="1"/>
      <c r="K1" s="1"/>
      <c r="L1" s="1"/>
      <c r="M1" s="3"/>
      <c r="N1" s="1"/>
      <c r="O1" s="1"/>
      <c r="P1" s="1"/>
      <c r="Q1" s="4"/>
      <c r="R1" s="1"/>
      <c r="S1" s="1"/>
      <c r="T1" s="5">
        <f t="shared" ref="T1:BU1" si="1">SUM(T4:T496)</f>
        <v>1905200</v>
      </c>
      <c r="U1" s="5">
        <f t="shared" si="1"/>
        <v>5595975</v>
      </c>
      <c r="V1" s="5">
        <f t="shared" si="1"/>
        <v>43411350</v>
      </c>
      <c r="W1" s="5">
        <f t="shared" si="1"/>
        <v>39197455.8</v>
      </c>
      <c r="X1" s="5">
        <f t="shared" si="1"/>
        <v>2200000</v>
      </c>
      <c r="Y1" s="5">
        <f t="shared" si="1"/>
        <v>0</v>
      </c>
      <c r="Z1" s="7">
        <f t="shared" si="1"/>
        <v>0</v>
      </c>
      <c r="AA1" s="5">
        <f t="shared" si="1"/>
        <v>4349400</v>
      </c>
      <c r="AB1" s="5">
        <f t="shared" si="1"/>
        <v>312529010</v>
      </c>
      <c r="AC1" s="5">
        <f t="shared" si="1"/>
        <v>115213211</v>
      </c>
      <c r="AD1" s="5">
        <f t="shared" si="1"/>
        <v>15015909</v>
      </c>
      <c r="AE1" s="5">
        <f t="shared" si="1"/>
        <v>5500879</v>
      </c>
      <c r="AF1" s="5">
        <f t="shared" si="1"/>
        <v>198493958</v>
      </c>
      <c r="AG1" s="5">
        <f t="shared" si="1"/>
        <v>0</v>
      </c>
      <c r="AH1" s="7">
        <f t="shared" si="1"/>
        <v>13025365.7</v>
      </c>
      <c r="AI1" s="5">
        <f t="shared" si="1"/>
        <v>23648274.7</v>
      </c>
      <c r="AJ1" s="5">
        <f t="shared" si="1"/>
        <v>132361615</v>
      </c>
      <c r="AK1" s="5">
        <f t="shared" si="1"/>
        <v>44014907</v>
      </c>
      <c r="AL1" s="5">
        <f t="shared" si="1"/>
        <v>31407982</v>
      </c>
      <c r="AM1" s="5">
        <f t="shared" si="1"/>
        <v>8166834</v>
      </c>
      <c r="AN1" s="5">
        <f t="shared" si="1"/>
        <v>20658591</v>
      </c>
      <c r="AO1" s="5">
        <f t="shared" si="1"/>
        <v>184403893</v>
      </c>
      <c r="AP1" s="5">
        <f t="shared" si="1"/>
        <v>136636551</v>
      </c>
      <c r="AQ1" s="5">
        <f t="shared" si="1"/>
        <v>6209393</v>
      </c>
      <c r="AR1" s="5">
        <f t="shared" si="1"/>
        <v>7293215</v>
      </c>
      <c r="AS1" s="5">
        <f t="shared" si="1"/>
        <v>156606232</v>
      </c>
      <c r="AT1" s="5">
        <f t="shared" si="1"/>
        <v>0</v>
      </c>
      <c r="AU1" s="5">
        <f t="shared" si="1"/>
        <v>0</v>
      </c>
      <c r="AV1" s="5">
        <f t="shared" si="1"/>
        <v>0</v>
      </c>
      <c r="AW1" s="5">
        <f t="shared" si="1"/>
        <v>195955267</v>
      </c>
      <c r="AX1" s="5">
        <f t="shared" si="1"/>
        <v>2438310</v>
      </c>
      <c r="AY1" s="5">
        <f t="shared" si="1"/>
        <v>0</v>
      </c>
      <c r="AZ1" s="5">
        <f t="shared" si="1"/>
        <v>0</v>
      </c>
      <c r="BA1" s="5">
        <f t="shared" si="1"/>
        <v>0</v>
      </c>
      <c r="BB1" s="5">
        <f t="shared" si="1"/>
        <v>97363163</v>
      </c>
      <c r="BC1" s="5">
        <f t="shared" si="1"/>
        <v>0</v>
      </c>
      <c r="BD1" s="5">
        <f t="shared" si="1"/>
        <v>0</v>
      </c>
      <c r="BE1" s="5">
        <f t="shared" si="1"/>
        <v>0</v>
      </c>
      <c r="BF1" s="5">
        <f t="shared" si="1"/>
        <v>42760046</v>
      </c>
      <c r="BG1" s="5">
        <f t="shared" si="1"/>
        <v>0</v>
      </c>
      <c r="BH1" s="5">
        <f t="shared" si="1"/>
        <v>0</v>
      </c>
      <c r="BI1" s="5">
        <f t="shared" si="1"/>
        <v>0</v>
      </c>
      <c r="BJ1" s="5">
        <f t="shared" si="1"/>
        <v>0</v>
      </c>
      <c r="BK1" s="5">
        <f t="shared" si="1"/>
        <v>0</v>
      </c>
      <c r="BL1" s="5">
        <f t="shared" si="1"/>
        <v>0</v>
      </c>
      <c r="BM1" s="5">
        <f t="shared" si="1"/>
        <v>0</v>
      </c>
      <c r="BN1" s="5">
        <f t="shared" si="1"/>
        <v>0</v>
      </c>
      <c r="BO1" s="5">
        <f t="shared" si="1"/>
        <v>0</v>
      </c>
      <c r="BP1" s="5">
        <f t="shared" si="1"/>
        <v>0</v>
      </c>
      <c r="BQ1" s="5">
        <f t="shared" si="1"/>
        <v>0</v>
      </c>
      <c r="BR1" s="5">
        <f t="shared" si="1"/>
        <v>0</v>
      </c>
      <c r="BS1" s="5">
        <f t="shared" si="1"/>
        <v>0</v>
      </c>
      <c r="BT1" s="5">
        <f t="shared" si="1"/>
        <v>0</v>
      </c>
      <c r="BU1" s="5">
        <f t="shared" si="1"/>
        <v>0</v>
      </c>
    </row>
    <row r="2">
      <c r="A2" s="1"/>
      <c r="B2" s="15"/>
      <c r="C2" s="1"/>
      <c r="D2" s="1"/>
      <c r="E2" s="1"/>
      <c r="F2" s="1"/>
      <c r="G2" s="1"/>
      <c r="H2" s="1"/>
      <c r="I2" s="1"/>
      <c r="J2" s="1"/>
      <c r="K2" s="1"/>
      <c r="L2" s="1"/>
      <c r="M2" s="3"/>
      <c r="N2" s="1"/>
      <c r="O2" s="1"/>
      <c r="P2" s="1"/>
      <c r="Q2" s="4"/>
      <c r="R2" s="1"/>
      <c r="S2" s="1"/>
      <c r="T2" s="21" t="s">
        <v>8</v>
      </c>
      <c r="U2" s="21" t="s">
        <v>10</v>
      </c>
      <c r="V2" s="21" t="s">
        <v>12</v>
      </c>
      <c r="W2" s="23" t="s">
        <v>14</v>
      </c>
      <c r="X2" s="21" t="s">
        <v>15</v>
      </c>
      <c r="Y2" s="23" t="s">
        <v>16</v>
      </c>
      <c r="Z2" s="21" t="s">
        <v>17</v>
      </c>
      <c r="AA2" s="23" t="s">
        <v>19</v>
      </c>
      <c r="AB2" s="21" t="s">
        <v>20</v>
      </c>
      <c r="AC2" s="23" t="s">
        <v>21</v>
      </c>
      <c r="AD2" s="21" t="s">
        <v>22</v>
      </c>
      <c r="AE2" s="23" t="s">
        <v>23</v>
      </c>
      <c r="AF2" s="21" t="s">
        <v>24</v>
      </c>
      <c r="AG2" s="23" t="s">
        <v>25</v>
      </c>
      <c r="AH2" s="21" t="s">
        <v>26</v>
      </c>
      <c r="AI2" s="23" t="s">
        <v>27</v>
      </c>
      <c r="AJ2" s="21" t="s">
        <v>28</v>
      </c>
      <c r="AK2" s="23" t="s">
        <v>29</v>
      </c>
      <c r="AL2" s="21" t="s">
        <v>30</v>
      </c>
      <c r="AM2" s="23" t="s">
        <v>31</v>
      </c>
      <c r="AN2" s="21" t="s">
        <v>32</v>
      </c>
      <c r="AO2" s="23" t="s">
        <v>33</v>
      </c>
      <c r="AP2" s="21" t="s">
        <v>34</v>
      </c>
      <c r="AQ2" s="23" t="s">
        <v>35</v>
      </c>
      <c r="AR2" s="21" t="s">
        <v>36</v>
      </c>
      <c r="AS2" s="21" t="s">
        <v>38</v>
      </c>
      <c r="AT2" s="21" t="s">
        <v>39</v>
      </c>
      <c r="AU2" s="21" t="s">
        <v>40</v>
      </c>
      <c r="AV2" s="21" t="s">
        <v>41</v>
      </c>
      <c r="AW2" s="21" t="s">
        <v>42</v>
      </c>
      <c r="AX2" s="21" t="s">
        <v>43</v>
      </c>
      <c r="AY2" s="21" t="s">
        <v>44</v>
      </c>
      <c r="AZ2" s="21" t="s">
        <v>45</v>
      </c>
      <c r="BA2" s="21" t="s">
        <v>46</v>
      </c>
      <c r="BB2" s="21" t="s">
        <v>47</v>
      </c>
      <c r="BC2" s="21" t="s">
        <v>48</v>
      </c>
      <c r="BD2" s="21" t="s">
        <v>49</v>
      </c>
      <c r="BE2" s="21" t="s">
        <v>50</v>
      </c>
      <c r="BF2" s="21" t="s">
        <v>51</v>
      </c>
      <c r="BG2" s="21" t="s">
        <v>52</v>
      </c>
      <c r="BH2" s="21" t="s">
        <v>53</v>
      </c>
      <c r="BI2" s="21" t="s">
        <v>54</v>
      </c>
      <c r="BJ2" s="21" t="s">
        <v>55</v>
      </c>
      <c r="BK2" s="21" t="s">
        <v>56</v>
      </c>
      <c r="BL2" s="21" t="s">
        <v>58</v>
      </c>
      <c r="BM2" s="21" t="s">
        <v>59</v>
      </c>
      <c r="BN2" s="21" t="s">
        <v>60</v>
      </c>
      <c r="BO2" s="21" t="s">
        <v>61</v>
      </c>
      <c r="BP2" s="21" t="s">
        <v>62</v>
      </c>
      <c r="BQ2" s="21" t="s">
        <v>63</v>
      </c>
      <c r="BR2" s="21" t="s">
        <v>64</v>
      </c>
      <c r="BS2" s="21" t="s">
        <v>65</v>
      </c>
      <c r="BT2" s="21" t="s">
        <v>66</v>
      </c>
      <c r="BU2" s="21" t="s">
        <v>8</v>
      </c>
    </row>
    <row r="3" ht="22.5" customHeight="1">
      <c r="A3" s="38" t="s">
        <v>2</v>
      </c>
      <c r="B3" s="38" t="s">
        <v>67</v>
      </c>
      <c r="C3" s="38" t="s">
        <v>68</v>
      </c>
      <c r="D3" s="38" t="s">
        <v>70</v>
      </c>
      <c r="E3" s="38" t="s">
        <v>73</v>
      </c>
      <c r="F3" s="38" t="s">
        <v>76</v>
      </c>
      <c r="G3" s="38" t="s">
        <v>77</v>
      </c>
      <c r="H3" s="38" t="s">
        <v>78</v>
      </c>
      <c r="I3" s="38" t="s">
        <v>79</v>
      </c>
      <c r="J3" s="38" t="s">
        <v>80</v>
      </c>
      <c r="K3" s="38" t="s">
        <v>81</v>
      </c>
      <c r="L3" s="38" t="s">
        <v>82</v>
      </c>
      <c r="M3" s="53" t="s">
        <v>7</v>
      </c>
      <c r="N3" s="38" t="s">
        <v>83</v>
      </c>
      <c r="O3" s="38" t="s">
        <v>84</v>
      </c>
      <c r="P3" s="38" t="s">
        <v>85</v>
      </c>
      <c r="Q3" s="57" t="s">
        <v>86</v>
      </c>
      <c r="R3" s="38" t="s">
        <v>87</v>
      </c>
      <c r="S3" s="38" t="s">
        <v>88</v>
      </c>
      <c r="T3" s="60" t="s">
        <v>89</v>
      </c>
      <c r="U3" s="63" t="s">
        <v>91</v>
      </c>
      <c r="V3" s="63" t="s">
        <v>92</v>
      </c>
      <c r="W3" s="64" t="s">
        <v>93</v>
      </c>
      <c r="X3" s="63" t="s">
        <v>94</v>
      </c>
      <c r="Y3" s="64" t="s">
        <v>95</v>
      </c>
      <c r="Z3" s="63" t="s">
        <v>96</v>
      </c>
      <c r="AA3" s="64" t="s">
        <v>97</v>
      </c>
      <c r="AB3" s="63" t="s">
        <v>94</v>
      </c>
      <c r="AC3" s="64" t="s">
        <v>95</v>
      </c>
      <c r="AD3" s="63" t="s">
        <v>96</v>
      </c>
      <c r="AE3" s="64" t="s">
        <v>99</v>
      </c>
      <c r="AF3" s="63" t="s">
        <v>100</v>
      </c>
      <c r="AG3" s="64" t="s">
        <v>102</v>
      </c>
      <c r="AH3" s="63" t="s">
        <v>103</v>
      </c>
      <c r="AI3" s="64" t="s">
        <v>104</v>
      </c>
      <c r="AJ3" s="63" t="s">
        <v>105</v>
      </c>
      <c r="AK3" s="64" t="s">
        <v>106</v>
      </c>
      <c r="AL3" s="63" t="s">
        <v>108</v>
      </c>
      <c r="AM3" s="64" t="s">
        <v>109</v>
      </c>
      <c r="AN3" s="63" t="s">
        <v>110</v>
      </c>
      <c r="AO3" s="64" t="s">
        <v>111</v>
      </c>
      <c r="AP3" s="63" t="s">
        <v>112</v>
      </c>
      <c r="AQ3" s="64" t="s">
        <v>113</v>
      </c>
      <c r="AR3" s="63" t="s">
        <v>115</v>
      </c>
      <c r="AS3" s="72" t="s">
        <v>116</v>
      </c>
      <c r="AT3" s="72" t="s">
        <v>102</v>
      </c>
      <c r="AU3" s="72" t="s">
        <v>103</v>
      </c>
      <c r="AV3" s="72" t="s">
        <v>104</v>
      </c>
      <c r="AW3" s="72" t="s">
        <v>118</v>
      </c>
      <c r="AX3" s="72" t="s">
        <v>119</v>
      </c>
      <c r="AY3" s="72" t="s">
        <v>120</v>
      </c>
      <c r="AZ3" s="72" t="s">
        <v>121</v>
      </c>
      <c r="BA3" s="72" t="s">
        <v>122</v>
      </c>
      <c r="BB3" s="72" t="s">
        <v>123</v>
      </c>
      <c r="BC3" s="72" t="s">
        <v>124</v>
      </c>
      <c r="BD3" s="72" t="s">
        <v>125</v>
      </c>
      <c r="BE3" s="72" t="s">
        <v>126</v>
      </c>
      <c r="BF3" s="72" t="s">
        <v>127</v>
      </c>
      <c r="BG3" s="72" t="s">
        <v>89</v>
      </c>
      <c r="BH3" s="72" t="s">
        <v>91</v>
      </c>
      <c r="BI3" s="72" t="s">
        <v>92</v>
      </c>
      <c r="BJ3" s="72" t="s">
        <v>93</v>
      </c>
      <c r="BK3" s="72" t="s">
        <v>94</v>
      </c>
      <c r="BL3" s="72" t="s">
        <v>95</v>
      </c>
      <c r="BM3" s="72" t="s">
        <v>96</v>
      </c>
      <c r="BN3" s="72" t="s">
        <v>99</v>
      </c>
      <c r="BO3" s="72" t="s">
        <v>122</v>
      </c>
      <c r="BP3" s="72" t="s">
        <v>137</v>
      </c>
      <c r="BQ3" s="72" t="s">
        <v>124</v>
      </c>
      <c r="BR3" s="72" t="s">
        <v>125</v>
      </c>
      <c r="BS3" s="72" t="s">
        <v>126</v>
      </c>
      <c r="BT3" s="72" t="s">
        <v>140</v>
      </c>
      <c r="BU3" s="60" t="s">
        <v>89</v>
      </c>
    </row>
    <row r="4" ht="22.5" customHeight="1">
      <c r="A4" s="90" t="s">
        <v>75</v>
      </c>
      <c r="B4" s="90" t="s">
        <v>141</v>
      </c>
      <c r="C4" s="95">
        <v>799.0</v>
      </c>
      <c r="D4" s="95">
        <v>864.0</v>
      </c>
      <c r="E4" s="90"/>
      <c r="F4" s="90"/>
      <c r="G4" s="90"/>
      <c r="H4" s="90"/>
      <c r="I4" s="95" t="s">
        <v>143</v>
      </c>
      <c r="J4" s="98">
        <v>5537070.0</v>
      </c>
      <c r="K4" s="99"/>
      <c r="L4" s="99">
        <f t="shared" ref="L4:L101" si="2">J4-K4</f>
        <v>5537070</v>
      </c>
      <c r="M4" s="102"/>
      <c r="N4" s="90" t="s">
        <v>145</v>
      </c>
      <c r="O4" s="90" t="s">
        <v>147</v>
      </c>
      <c r="P4" s="95" t="s">
        <v>149</v>
      </c>
      <c r="Q4" s="105">
        <v>46121.0</v>
      </c>
      <c r="R4" s="107">
        <v>0.7336111111111111</v>
      </c>
      <c r="S4" s="99">
        <f t="shared" ref="S4:S101" si="3">J4-K4-(SUM(T4:BU4))</f>
        <v>0</v>
      </c>
      <c r="T4" s="109"/>
      <c r="U4" s="109"/>
      <c r="V4" s="109"/>
      <c r="W4" s="109"/>
      <c r="X4" s="109"/>
      <c r="Y4" s="109"/>
      <c r="Z4" s="98"/>
      <c r="AA4" s="109"/>
      <c r="AB4" s="109"/>
      <c r="AC4" s="109"/>
      <c r="AD4" s="109"/>
      <c r="AE4" s="109"/>
      <c r="AF4" s="109"/>
      <c r="AG4" s="109"/>
      <c r="AH4" s="113">
        <v>5537070.0</v>
      </c>
      <c r="AI4" s="109"/>
      <c r="AJ4" s="109"/>
      <c r="AK4" s="109"/>
      <c r="AL4" s="109"/>
      <c r="AM4" s="109"/>
      <c r="AN4" s="109"/>
      <c r="AO4" s="109"/>
      <c r="AP4" s="109"/>
      <c r="AQ4" s="109"/>
      <c r="AR4" s="109"/>
      <c r="AS4" s="109"/>
      <c r="AT4" s="109"/>
      <c r="AU4" s="109"/>
      <c r="AV4" s="109"/>
      <c r="AW4" s="109"/>
      <c r="AX4" s="109"/>
      <c r="AY4" s="109"/>
      <c r="AZ4" s="109"/>
      <c r="BA4" s="109"/>
      <c r="BB4" s="109"/>
      <c r="BC4" s="109"/>
      <c r="BD4" s="109"/>
      <c r="BE4" s="109"/>
      <c r="BF4" s="109"/>
      <c r="BG4" s="109"/>
      <c r="BH4" s="109"/>
      <c r="BI4" s="109"/>
      <c r="BJ4" s="109"/>
      <c r="BK4" s="109"/>
      <c r="BL4" s="109"/>
      <c r="BM4" s="109"/>
      <c r="BN4" s="109"/>
      <c r="BO4" s="109"/>
      <c r="BP4" s="109"/>
      <c r="BQ4" s="109"/>
      <c r="BR4" s="109"/>
      <c r="BS4" s="109"/>
      <c r="BT4" s="109"/>
      <c r="BU4" s="109"/>
    </row>
    <row r="5" ht="22.5" customHeight="1">
      <c r="A5" s="90" t="s">
        <v>18</v>
      </c>
      <c r="B5" s="90" t="s">
        <v>194</v>
      </c>
      <c r="C5" s="95">
        <v>793.0</v>
      </c>
      <c r="D5" s="95">
        <v>860.0</v>
      </c>
      <c r="E5" s="90" t="s">
        <v>197</v>
      </c>
      <c r="F5" s="90" t="s">
        <v>198</v>
      </c>
      <c r="G5" s="90" t="s">
        <v>199</v>
      </c>
      <c r="H5" s="90" t="s">
        <v>200</v>
      </c>
      <c r="I5" s="95" t="s">
        <v>201</v>
      </c>
      <c r="J5" s="98">
        <v>1.0154673E7</v>
      </c>
      <c r="K5" s="99"/>
      <c r="L5" s="99">
        <f t="shared" si="2"/>
        <v>10154673</v>
      </c>
      <c r="M5" s="102"/>
      <c r="N5" s="90" t="s">
        <v>203</v>
      </c>
      <c r="O5" s="90" t="s">
        <v>147</v>
      </c>
      <c r="P5" s="95" t="s">
        <v>204</v>
      </c>
      <c r="Q5" s="105">
        <v>46091.0</v>
      </c>
      <c r="R5" s="107">
        <v>0.6163425925925926</v>
      </c>
      <c r="S5" s="99">
        <f t="shared" si="3"/>
        <v>0</v>
      </c>
      <c r="T5" s="109"/>
      <c r="U5" s="109"/>
      <c r="V5" s="109"/>
      <c r="W5" s="109"/>
      <c r="X5" s="109"/>
      <c r="Y5" s="109"/>
      <c r="Z5" s="98"/>
      <c r="AA5" s="109"/>
      <c r="AB5" s="109"/>
      <c r="AC5" s="109"/>
      <c r="AD5" s="109"/>
      <c r="AE5" s="109"/>
      <c r="AF5" s="141">
        <v>1.0154673E7</v>
      </c>
      <c r="AG5" s="109"/>
      <c r="AH5" s="109"/>
      <c r="AI5" s="109"/>
      <c r="AJ5" s="109"/>
      <c r="AK5" s="109"/>
      <c r="AL5" s="109"/>
      <c r="AM5" s="109"/>
      <c r="AN5" s="109"/>
      <c r="AO5" s="109"/>
      <c r="AP5" s="109"/>
      <c r="AQ5" s="109"/>
      <c r="AR5" s="109"/>
      <c r="AS5" s="109"/>
      <c r="AT5" s="109"/>
      <c r="AU5" s="109"/>
      <c r="AV5" s="109"/>
      <c r="AW5" s="109"/>
      <c r="AX5" s="109"/>
      <c r="AY5" s="109"/>
      <c r="AZ5" s="109"/>
      <c r="BA5" s="109"/>
      <c r="BB5" s="109"/>
      <c r="BC5" s="109"/>
      <c r="BD5" s="109"/>
      <c r="BE5" s="109"/>
      <c r="BF5" s="109"/>
      <c r="BG5" s="109"/>
      <c r="BH5" s="109"/>
      <c r="BI5" s="109"/>
      <c r="BJ5" s="109"/>
      <c r="BK5" s="109"/>
      <c r="BL5" s="109"/>
      <c r="BM5" s="109"/>
      <c r="BN5" s="109"/>
      <c r="BO5" s="109"/>
      <c r="BP5" s="109"/>
      <c r="BQ5" s="109"/>
      <c r="BR5" s="109"/>
      <c r="BS5" s="109"/>
      <c r="BT5" s="109"/>
      <c r="BU5" s="109"/>
    </row>
    <row r="6" ht="22.5" customHeight="1">
      <c r="A6" s="90" t="s">
        <v>75</v>
      </c>
      <c r="B6" s="90" t="s">
        <v>141</v>
      </c>
      <c r="C6" s="95">
        <v>1473.0</v>
      </c>
      <c r="D6" s="95">
        <v>1578.0</v>
      </c>
      <c r="E6" s="90" t="s">
        <v>197</v>
      </c>
      <c r="F6" s="90" t="s">
        <v>198</v>
      </c>
      <c r="G6" s="90" t="s">
        <v>211</v>
      </c>
      <c r="H6" s="90"/>
      <c r="I6" s="95" t="s">
        <v>212</v>
      </c>
      <c r="J6" s="98">
        <v>3704470.0</v>
      </c>
      <c r="K6" s="99"/>
      <c r="L6" s="99">
        <f t="shared" si="2"/>
        <v>3704470</v>
      </c>
      <c r="M6" s="102"/>
      <c r="N6" s="90" t="s">
        <v>145</v>
      </c>
      <c r="O6" s="90" t="s">
        <v>147</v>
      </c>
      <c r="P6" s="95" t="s">
        <v>213</v>
      </c>
      <c r="Q6" s="105">
        <v>46101.0</v>
      </c>
      <c r="R6" s="107">
        <v>0.45989583333333334</v>
      </c>
      <c r="S6" s="99">
        <f t="shared" si="3"/>
        <v>0</v>
      </c>
      <c r="T6" s="109"/>
      <c r="U6" s="109"/>
      <c r="V6" s="109"/>
      <c r="W6" s="109"/>
      <c r="X6" s="109"/>
      <c r="Y6" s="109"/>
      <c r="Z6" s="98"/>
      <c r="AA6" s="109"/>
      <c r="AB6" s="109"/>
      <c r="AC6" s="109"/>
      <c r="AD6" s="109"/>
      <c r="AE6" s="156">
        <v>3704470.0</v>
      </c>
      <c r="AF6" s="109"/>
      <c r="AG6" s="109"/>
      <c r="AH6" s="158"/>
      <c r="AI6" s="158"/>
      <c r="AJ6" s="158"/>
      <c r="AK6" s="158"/>
      <c r="AL6" s="158"/>
      <c r="AM6" s="158"/>
      <c r="AN6" s="158"/>
      <c r="AO6" s="109"/>
      <c r="AP6" s="109"/>
      <c r="AQ6" s="109"/>
      <c r="AR6" s="109"/>
      <c r="AS6" s="109"/>
      <c r="AT6" s="109"/>
      <c r="AU6" s="109"/>
      <c r="AV6" s="109"/>
      <c r="AW6" s="109"/>
      <c r="AX6" s="109"/>
      <c r="AY6" s="109"/>
      <c r="AZ6" s="109"/>
      <c r="BA6" s="109"/>
      <c r="BB6" s="109"/>
      <c r="BC6" s="109"/>
      <c r="BD6" s="109"/>
      <c r="BE6" s="109"/>
      <c r="BF6" s="109"/>
      <c r="BG6" s="109"/>
      <c r="BH6" s="109"/>
      <c r="BI6" s="109"/>
      <c r="BJ6" s="109"/>
      <c r="BK6" s="109"/>
      <c r="BL6" s="109"/>
      <c r="BM6" s="109"/>
      <c r="BN6" s="109"/>
      <c r="BO6" s="109"/>
      <c r="BP6" s="109"/>
      <c r="BQ6" s="109"/>
      <c r="BR6" s="109"/>
      <c r="BS6" s="109"/>
      <c r="BT6" s="109"/>
      <c r="BU6" s="109"/>
    </row>
    <row r="7" ht="22.5" customHeight="1">
      <c r="A7" s="90" t="s">
        <v>75</v>
      </c>
      <c r="B7" s="90" t="s">
        <v>141</v>
      </c>
      <c r="C7" s="95">
        <v>1770.0</v>
      </c>
      <c r="D7" s="95">
        <v>1786.0</v>
      </c>
      <c r="E7" s="90" t="s">
        <v>219</v>
      </c>
      <c r="F7" s="90" t="s">
        <v>198</v>
      </c>
      <c r="G7" s="90" t="s">
        <v>211</v>
      </c>
      <c r="H7" s="90"/>
      <c r="I7" s="95" t="s">
        <v>220</v>
      </c>
      <c r="J7" s="98">
        <v>1.70432E7</v>
      </c>
      <c r="K7" s="99"/>
      <c r="L7" s="99">
        <f t="shared" si="2"/>
        <v>17043200</v>
      </c>
      <c r="M7" s="102"/>
      <c r="N7" s="90" t="s">
        <v>145</v>
      </c>
      <c r="O7" s="90" t="s">
        <v>147</v>
      </c>
      <c r="P7" s="95" t="s">
        <v>222</v>
      </c>
      <c r="Q7" s="105">
        <v>46107.0</v>
      </c>
      <c r="R7" s="107">
        <v>0.5801967592592593</v>
      </c>
      <c r="S7" s="99">
        <f t="shared" si="3"/>
        <v>0</v>
      </c>
      <c r="T7" s="109"/>
      <c r="U7" s="109"/>
      <c r="V7" s="109"/>
      <c r="W7" s="109"/>
      <c r="X7" s="109"/>
      <c r="Y7" s="109"/>
      <c r="Z7" s="98"/>
      <c r="AA7" s="109"/>
      <c r="AB7" s="109"/>
      <c r="AC7" s="109"/>
      <c r="AD7" s="109"/>
      <c r="AE7" s="109"/>
      <c r="AF7" s="156">
        <v>1.70432E7</v>
      </c>
      <c r="AG7" s="109"/>
      <c r="AH7" s="158"/>
      <c r="AI7" s="158"/>
      <c r="AJ7" s="158"/>
      <c r="AK7" s="158"/>
      <c r="AL7" s="158"/>
      <c r="AM7" s="158"/>
      <c r="AN7" s="158"/>
      <c r="AO7" s="109"/>
      <c r="AP7" s="109"/>
      <c r="AQ7" s="109"/>
      <c r="AR7" s="109"/>
      <c r="AS7" s="109"/>
      <c r="AT7" s="109"/>
      <c r="AU7" s="109"/>
      <c r="AV7" s="109"/>
      <c r="AW7" s="109"/>
      <c r="AX7" s="109"/>
      <c r="AY7" s="109"/>
      <c r="AZ7" s="109"/>
      <c r="BA7" s="109"/>
      <c r="BB7" s="109"/>
      <c r="BC7" s="109"/>
      <c r="BD7" s="109"/>
      <c r="BE7" s="109"/>
      <c r="BF7" s="109"/>
      <c r="BG7" s="109"/>
      <c r="BH7" s="109"/>
      <c r="BI7" s="109"/>
      <c r="BJ7" s="109"/>
      <c r="BK7" s="109"/>
      <c r="BL7" s="109"/>
      <c r="BM7" s="109"/>
      <c r="BN7" s="109"/>
      <c r="BO7" s="109"/>
      <c r="BP7" s="109"/>
      <c r="BQ7" s="109"/>
      <c r="BR7" s="109"/>
      <c r="BS7" s="109"/>
      <c r="BT7" s="109"/>
      <c r="BU7" s="109"/>
    </row>
    <row r="8" ht="22.5" customHeight="1">
      <c r="A8" s="90" t="s">
        <v>75</v>
      </c>
      <c r="B8" s="90" t="s">
        <v>141</v>
      </c>
      <c r="C8" s="95">
        <v>2497.0</v>
      </c>
      <c r="D8" s="95">
        <v>2421.0</v>
      </c>
      <c r="E8" s="90" t="s">
        <v>197</v>
      </c>
      <c r="F8" s="90" t="s">
        <v>198</v>
      </c>
      <c r="G8" s="90" t="s">
        <v>211</v>
      </c>
      <c r="H8" s="90"/>
      <c r="I8" s="95" t="s">
        <v>230</v>
      </c>
      <c r="J8" s="98">
        <v>799442.0</v>
      </c>
      <c r="K8" s="99"/>
      <c r="L8" s="99">
        <f t="shared" si="2"/>
        <v>799442</v>
      </c>
      <c r="M8" s="102"/>
      <c r="N8" s="90" t="s">
        <v>145</v>
      </c>
      <c r="O8" s="90" t="s">
        <v>147</v>
      </c>
      <c r="P8" s="95" t="s">
        <v>231</v>
      </c>
      <c r="Q8" s="105">
        <v>46162.0</v>
      </c>
      <c r="R8" s="107">
        <v>0.5766203703703704</v>
      </c>
      <c r="S8" s="99">
        <f t="shared" si="3"/>
        <v>0</v>
      </c>
      <c r="T8" s="109"/>
      <c r="U8" s="109"/>
      <c r="V8" s="109"/>
      <c r="W8" s="109"/>
      <c r="X8" s="109"/>
      <c r="Y8" s="109"/>
      <c r="Z8" s="98"/>
      <c r="AA8" s="109"/>
      <c r="AB8" s="109"/>
      <c r="AC8" s="109"/>
      <c r="AD8" s="109"/>
      <c r="AE8" s="109"/>
      <c r="AF8" s="109"/>
      <c r="AG8" s="109"/>
      <c r="AH8" s="158"/>
      <c r="AI8" s="177">
        <v>799442.0</v>
      </c>
      <c r="AJ8" s="158"/>
      <c r="AK8" s="158"/>
      <c r="AL8" s="158"/>
      <c r="AM8" s="158"/>
      <c r="AN8" s="158"/>
      <c r="AO8" s="109"/>
      <c r="AP8" s="109"/>
      <c r="AQ8" s="109"/>
      <c r="AR8" s="109"/>
      <c r="AS8" s="109"/>
      <c r="AT8" s="109"/>
      <c r="AU8" s="109"/>
      <c r="AV8" s="109"/>
      <c r="AW8" s="109"/>
      <c r="AX8" s="109"/>
      <c r="AY8" s="109"/>
      <c r="AZ8" s="109"/>
      <c r="BA8" s="109"/>
      <c r="BB8" s="109"/>
      <c r="BC8" s="109"/>
      <c r="BD8" s="109"/>
      <c r="BE8" s="109"/>
      <c r="BF8" s="109"/>
      <c r="BG8" s="109"/>
      <c r="BH8" s="109"/>
      <c r="BI8" s="109"/>
      <c r="BJ8" s="109"/>
      <c r="BK8" s="109"/>
      <c r="BL8" s="109"/>
      <c r="BM8" s="109"/>
      <c r="BN8" s="109"/>
      <c r="BO8" s="109"/>
      <c r="BP8" s="109"/>
      <c r="BQ8" s="109"/>
      <c r="BR8" s="109"/>
      <c r="BS8" s="109"/>
      <c r="BT8" s="109"/>
      <c r="BU8" s="109"/>
    </row>
    <row r="9" ht="22.5" customHeight="1">
      <c r="A9" s="90" t="s">
        <v>75</v>
      </c>
      <c r="B9" s="90" t="s">
        <v>141</v>
      </c>
      <c r="C9" s="95">
        <v>2714.0</v>
      </c>
      <c r="D9" s="95">
        <v>2483.0</v>
      </c>
      <c r="E9" s="90" t="s">
        <v>197</v>
      </c>
      <c r="F9" s="90" t="s">
        <v>198</v>
      </c>
      <c r="G9" s="90" t="s">
        <v>211</v>
      </c>
      <c r="H9" s="90"/>
      <c r="I9" s="95" t="s">
        <v>236</v>
      </c>
      <c r="J9" s="98">
        <v>1.5170428E7</v>
      </c>
      <c r="K9" s="99"/>
      <c r="L9" s="99">
        <f t="shared" si="2"/>
        <v>15170428</v>
      </c>
      <c r="M9" s="102"/>
      <c r="N9" s="90" t="s">
        <v>237</v>
      </c>
      <c r="O9" s="90" t="s">
        <v>147</v>
      </c>
      <c r="P9" s="95" t="s">
        <v>238</v>
      </c>
      <c r="Q9" s="105">
        <v>46160.0</v>
      </c>
      <c r="R9" s="107">
        <v>0.6113541666666666</v>
      </c>
      <c r="S9" s="99">
        <f t="shared" si="3"/>
        <v>0</v>
      </c>
      <c r="T9" s="109"/>
      <c r="U9" s="109"/>
      <c r="V9" s="109"/>
      <c r="W9" s="109"/>
      <c r="X9" s="109"/>
      <c r="Y9" s="109"/>
      <c r="Z9" s="98"/>
      <c r="AA9" s="109"/>
      <c r="AB9" s="109"/>
      <c r="AC9" s="109"/>
      <c r="AD9" s="109"/>
      <c r="AE9" s="109"/>
      <c r="AF9" s="109"/>
      <c r="AG9" s="109"/>
      <c r="AH9" s="158"/>
      <c r="AI9" s="158"/>
      <c r="AJ9" s="158"/>
      <c r="AK9" s="158"/>
      <c r="AL9" s="177">
        <v>1.5170428E7</v>
      </c>
      <c r="AM9" s="158"/>
      <c r="AN9" s="158"/>
      <c r="AO9" s="109"/>
      <c r="AP9" s="109"/>
      <c r="AQ9" s="109"/>
      <c r="AR9" s="109"/>
      <c r="AS9" s="109"/>
      <c r="AT9" s="109"/>
      <c r="AU9" s="109"/>
      <c r="AV9" s="109"/>
      <c r="AW9" s="109"/>
      <c r="AX9" s="109"/>
      <c r="AY9" s="109"/>
      <c r="AZ9" s="109"/>
      <c r="BA9" s="109"/>
      <c r="BB9" s="109"/>
      <c r="BC9" s="109"/>
      <c r="BD9" s="109"/>
      <c r="BE9" s="109"/>
      <c r="BF9" s="109"/>
      <c r="BG9" s="109"/>
      <c r="BH9" s="109"/>
      <c r="BI9" s="109"/>
      <c r="BJ9" s="109"/>
      <c r="BK9" s="109"/>
      <c r="BL9" s="109"/>
      <c r="BM9" s="109"/>
      <c r="BN9" s="109"/>
      <c r="BO9" s="109"/>
      <c r="BP9" s="109"/>
      <c r="BQ9" s="109"/>
      <c r="BR9" s="109"/>
      <c r="BS9" s="109"/>
      <c r="BT9" s="109"/>
      <c r="BU9" s="109"/>
    </row>
    <row r="10" ht="22.5" customHeight="1">
      <c r="A10" s="90" t="s">
        <v>18</v>
      </c>
      <c r="B10" s="90" t="s">
        <v>194</v>
      </c>
      <c r="C10" s="95">
        <v>276.0</v>
      </c>
      <c r="D10" s="95">
        <v>331.0</v>
      </c>
      <c r="E10" s="90" t="s">
        <v>244</v>
      </c>
      <c r="F10" s="90" t="s">
        <v>245</v>
      </c>
      <c r="G10" s="90" t="s">
        <v>246</v>
      </c>
      <c r="H10" s="90" t="s">
        <v>200</v>
      </c>
      <c r="I10" s="95" t="s">
        <v>247</v>
      </c>
      <c r="J10" s="98">
        <v>9440482.0</v>
      </c>
      <c r="K10" s="99"/>
      <c r="L10" s="99">
        <f t="shared" si="2"/>
        <v>9440482</v>
      </c>
      <c r="M10" s="102"/>
      <c r="N10" s="90" t="s">
        <v>248</v>
      </c>
      <c r="O10" s="90" t="s">
        <v>135</v>
      </c>
      <c r="P10" s="200"/>
      <c r="Q10" s="201" t="e">
        <v>#N/A</v>
      </c>
      <c r="R10" s="201"/>
      <c r="S10" s="99">
        <f t="shared" si="3"/>
        <v>0</v>
      </c>
      <c r="T10" s="109"/>
      <c r="U10" s="109"/>
      <c r="V10" s="109"/>
      <c r="W10" s="109"/>
      <c r="X10" s="109"/>
      <c r="Y10" s="109"/>
      <c r="Z10" s="98"/>
      <c r="AA10" s="109"/>
      <c r="AB10" s="109"/>
      <c r="AC10" s="109"/>
      <c r="AD10" s="109"/>
      <c r="AE10" s="109"/>
      <c r="AF10" s="109"/>
      <c r="AG10" s="158"/>
      <c r="AH10" s="158"/>
      <c r="AI10" s="158"/>
      <c r="AJ10" s="158"/>
      <c r="AK10" s="158">
        <v>9440482.0</v>
      </c>
      <c r="AL10" s="158"/>
      <c r="AM10" s="158"/>
      <c r="AN10" s="158"/>
      <c r="AO10" s="158"/>
      <c r="AP10" s="158"/>
      <c r="AQ10" s="158"/>
      <c r="AR10" s="158"/>
      <c r="AS10" s="158"/>
      <c r="AT10" s="158"/>
      <c r="AU10" s="158"/>
      <c r="AV10" s="158"/>
      <c r="AW10" s="158"/>
      <c r="AX10" s="158"/>
      <c r="AY10" s="158"/>
      <c r="AZ10" s="158"/>
      <c r="BA10" s="158"/>
      <c r="BB10" s="158"/>
      <c r="BC10" s="158"/>
      <c r="BD10" s="158"/>
      <c r="BE10" s="158"/>
      <c r="BF10" s="158"/>
      <c r="BG10" s="158"/>
      <c r="BH10" s="158"/>
      <c r="BI10" s="158"/>
      <c r="BJ10" s="158"/>
      <c r="BK10" s="158"/>
      <c r="BL10" s="158"/>
      <c r="BM10" s="158"/>
      <c r="BN10" s="158"/>
      <c r="BO10" s="158"/>
      <c r="BP10" s="158"/>
      <c r="BQ10" s="158"/>
      <c r="BR10" s="158"/>
      <c r="BS10" s="158"/>
      <c r="BT10" s="158"/>
      <c r="BU10" s="158"/>
    </row>
    <row r="11" ht="22.5" customHeight="1">
      <c r="A11" s="90" t="s">
        <v>18</v>
      </c>
      <c r="B11" s="90" t="s">
        <v>194</v>
      </c>
      <c r="C11" s="95">
        <v>277.0</v>
      </c>
      <c r="D11" s="95">
        <v>361.0</v>
      </c>
      <c r="E11" s="90" t="s">
        <v>244</v>
      </c>
      <c r="F11" s="90" t="s">
        <v>245</v>
      </c>
      <c r="G11" s="90" t="s">
        <v>246</v>
      </c>
      <c r="H11" s="90" t="s">
        <v>200</v>
      </c>
      <c r="I11" s="95" t="s">
        <v>253</v>
      </c>
      <c r="J11" s="98">
        <v>5595975.0</v>
      </c>
      <c r="K11" s="99"/>
      <c r="L11" s="99">
        <f t="shared" si="2"/>
        <v>5595975</v>
      </c>
      <c r="M11" s="102"/>
      <c r="N11" s="90" t="s">
        <v>233</v>
      </c>
      <c r="O11" s="90" t="s">
        <v>135</v>
      </c>
      <c r="P11" s="200"/>
      <c r="Q11" s="201" t="e">
        <v>#N/A</v>
      </c>
      <c r="R11" s="201"/>
      <c r="S11" s="99">
        <f t="shared" si="3"/>
        <v>0</v>
      </c>
      <c r="T11" s="109"/>
      <c r="U11" s="156">
        <v>5595975.0</v>
      </c>
      <c r="V11" s="109"/>
      <c r="W11" s="109"/>
      <c r="X11" s="109"/>
      <c r="Y11" s="109"/>
      <c r="Z11" s="98"/>
      <c r="AA11" s="109"/>
      <c r="AB11" s="109"/>
      <c r="AC11" s="109"/>
      <c r="AD11" s="109"/>
      <c r="AE11" s="109"/>
      <c r="AF11" s="109"/>
      <c r="AG11" s="158"/>
      <c r="AH11" s="158"/>
      <c r="AI11" s="158"/>
      <c r="AJ11" s="158"/>
      <c r="AK11" s="158"/>
      <c r="AL11" s="158"/>
      <c r="AM11" s="158"/>
      <c r="AN11" s="158"/>
      <c r="AO11" s="158"/>
      <c r="AP11" s="158"/>
      <c r="AQ11" s="158"/>
      <c r="AR11" s="158"/>
      <c r="AS11" s="158"/>
      <c r="AT11" s="158"/>
      <c r="AU11" s="158"/>
      <c r="AV11" s="158"/>
      <c r="AW11" s="158"/>
      <c r="AX11" s="158"/>
      <c r="AY11" s="158"/>
      <c r="AZ11" s="158"/>
      <c r="BA11" s="158"/>
      <c r="BB11" s="158"/>
      <c r="BC11" s="158"/>
      <c r="BD11" s="158"/>
      <c r="BE11" s="158"/>
      <c r="BF11" s="158"/>
      <c r="BG11" s="158"/>
      <c r="BH11" s="158"/>
      <c r="BI11" s="158"/>
      <c r="BJ11" s="158"/>
      <c r="BK11" s="158"/>
      <c r="BL11" s="158"/>
      <c r="BM11" s="158"/>
      <c r="BN11" s="158"/>
      <c r="BO11" s="158"/>
      <c r="BP11" s="158"/>
      <c r="BQ11" s="158"/>
      <c r="BR11" s="158"/>
      <c r="BS11" s="158"/>
      <c r="BT11" s="158"/>
      <c r="BU11" s="158"/>
    </row>
    <row r="12" ht="22.5" customHeight="1">
      <c r="A12" s="90" t="s">
        <v>18</v>
      </c>
      <c r="B12" s="90" t="s">
        <v>194</v>
      </c>
      <c r="C12" s="95">
        <v>678.0</v>
      </c>
      <c r="D12" s="95">
        <v>738.0</v>
      </c>
      <c r="E12" s="90" t="s">
        <v>257</v>
      </c>
      <c r="F12" s="90" t="s">
        <v>198</v>
      </c>
      <c r="G12" s="90" t="s">
        <v>199</v>
      </c>
      <c r="H12" s="90" t="s">
        <v>200</v>
      </c>
      <c r="I12" s="95" t="s">
        <v>258</v>
      </c>
      <c r="J12" s="98">
        <v>4405800.0</v>
      </c>
      <c r="K12" s="99"/>
      <c r="L12" s="99">
        <f t="shared" si="2"/>
        <v>4405800</v>
      </c>
      <c r="M12" s="102"/>
      <c r="N12" s="90" t="s">
        <v>259</v>
      </c>
      <c r="O12" s="90" t="s">
        <v>135</v>
      </c>
      <c r="P12" s="200"/>
      <c r="Q12" s="201" t="e">
        <v>#N/A</v>
      </c>
      <c r="R12" s="201"/>
      <c r="S12" s="99">
        <f t="shared" si="3"/>
        <v>0</v>
      </c>
      <c r="T12" s="109"/>
      <c r="U12" s="109"/>
      <c r="V12" s="109"/>
      <c r="W12" s="109"/>
      <c r="X12" s="109"/>
      <c r="Y12" s="109"/>
      <c r="Z12" s="98"/>
      <c r="AA12" s="109"/>
      <c r="AB12" s="156">
        <v>4405800.0</v>
      </c>
      <c r="AC12" s="109"/>
      <c r="AD12" s="109"/>
      <c r="AE12" s="109"/>
      <c r="AF12" s="109"/>
      <c r="AG12" s="158"/>
      <c r="AH12" s="158"/>
      <c r="AI12" s="158"/>
      <c r="AJ12" s="158"/>
      <c r="AK12" s="158"/>
      <c r="AL12" s="158"/>
      <c r="AM12" s="158"/>
      <c r="AN12" s="158"/>
      <c r="AO12" s="158"/>
      <c r="AP12" s="158"/>
      <c r="AQ12" s="158"/>
      <c r="AR12" s="158"/>
      <c r="AS12" s="158"/>
      <c r="AT12" s="158"/>
      <c r="AU12" s="158"/>
      <c r="AV12" s="158"/>
      <c r="AW12" s="158"/>
      <c r="AX12" s="158"/>
      <c r="AY12" s="158"/>
      <c r="AZ12" s="158"/>
      <c r="BA12" s="158"/>
      <c r="BB12" s="158"/>
      <c r="BC12" s="158"/>
      <c r="BD12" s="158"/>
      <c r="BE12" s="158"/>
      <c r="BF12" s="158"/>
      <c r="BG12" s="158"/>
      <c r="BH12" s="158"/>
      <c r="BI12" s="158"/>
      <c r="BJ12" s="158"/>
      <c r="BK12" s="158"/>
      <c r="BL12" s="158"/>
      <c r="BM12" s="158"/>
      <c r="BN12" s="158"/>
      <c r="BO12" s="158"/>
      <c r="BP12" s="158"/>
      <c r="BQ12" s="158"/>
      <c r="BR12" s="158"/>
      <c r="BS12" s="158"/>
      <c r="BT12" s="158"/>
      <c r="BU12" s="158"/>
    </row>
    <row r="13" ht="22.5" customHeight="1">
      <c r="A13" s="90" t="s">
        <v>18</v>
      </c>
      <c r="B13" s="90" t="s">
        <v>194</v>
      </c>
      <c r="C13" s="95">
        <v>1475.0</v>
      </c>
      <c r="D13" s="95">
        <v>1475.0</v>
      </c>
      <c r="E13" s="90" t="s">
        <v>269</v>
      </c>
      <c r="F13" s="90"/>
      <c r="G13" s="90"/>
      <c r="H13" s="90"/>
      <c r="I13" s="95" t="s">
        <v>270</v>
      </c>
      <c r="J13" s="98">
        <v>1.5015909E7</v>
      </c>
      <c r="K13" s="99"/>
      <c r="L13" s="99">
        <f t="shared" si="2"/>
        <v>15015909</v>
      </c>
      <c r="M13" s="102"/>
      <c r="N13" s="90" t="s">
        <v>272</v>
      </c>
      <c r="O13" s="90" t="s">
        <v>135</v>
      </c>
      <c r="P13" s="95" t="s">
        <v>273</v>
      </c>
      <c r="Q13" s="226" t="e">
        <v>#N/A</v>
      </c>
      <c r="R13" s="226"/>
      <c r="S13" s="99">
        <f t="shared" si="3"/>
        <v>0</v>
      </c>
      <c r="T13" s="109"/>
      <c r="U13" s="109"/>
      <c r="V13" s="109"/>
      <c r="W13" s="109"/>
      <c r="X13" s="109"/>
      <c r="Y13" s="109"/>
      <c r="Z13" s="98"/>
      <c r="AA13" s="109"/>
      <c r="AB13" s="109"/>
      <c r="AC13" s="109"/>
      <c r="AD13" s="227">
        <v>1.5015909E7</v>
      </c>
      <c r="AE13" s="109"/>
      <c r="AF13" s="109"/>
      <c r="AG13" s="158"/>
      <c r="AH13" s="158"/>
      <c r="AI13" s="158"/>
      <c r="AJ13" s="158"/>
      <c r="AK13" s="158"/>
      <c r="AL13" s="158"/>
      <c r="AM13" s="158"/>
      <c r="AN13" s="158"/>
      <c r="AO13" s="158"/>
      <c r="AP13" s="158"/>
      <c r="AQ13" s="158"/>
      <c r="AR13" s="158"/>
      <c r="AS13" s="158"/>
      <c r="AT13" s="158"/>
      <c r="AU13" s="158"/>
      <c r="AV13" s="158"/>
      <c r="AW13" s="158"/>
      <c r="AX13" s="158"/>
      <c r="AY13" s="158"/>
      <c r="AZ13" s="158"/>
      <c r="BA13" s="158"/>
      <c r="BB13" s="158"/>
      <c r="BC13" s="158"/>
      <c r="BD13" s="158"/>
      <c r="BE13" s="158"/>
      <c r="BF13" s="158"/>
      <c r="BG13" s="158"/>
      <c r="BH13" s="158"/>
      <c r="BI13" s="158"/>
      <c r="BJ13" s="158"/>
      <c r="BK13" s="158"/>
      <c r="BL13" s="158"/>
      <c r="BM13" s="158"/>
      <c r="BN13" s="158"/>
      <c r="BO13" s="158"/>
      <c r="BP13" s="158"/>
      <c r="BQ13" s="158"/>
      <c r="BR13" s="158"/>
      <c r="BS13" s="158"/>
      <c r="BT13" s="158"/>
      <c r="BU13" s="158"/>
    </row>
    <row r="14" ht="22.5" customHeight="1">
      <c r="A14" s="90" t="s">
        <v>18</v>
      </c>
      <c r="B14" s="90" t="s">
        <v>194</v>
      </c>
      <c r="C14" s="95">
        <v>2863.0</v>
      </c>
      <c r="D14" s="95">
        <v>2771.0</v>
      </c>
      <c r="E14" s="90" t="s">
        <v>261</v>
      </c>
      <c r="F14" s="90" t="s">
        <v>277</v>
      </c>
      <c r="G14" s="90" t="s">
        <v>278</v>
      </c>
      <c r="H14" s="90"/>
      <c r="I14" s="95" t="s">
        <v>279</v>
      </c>
      <c r="J14" s="98">
        <v>1427829.0</v>
      </c>
      <c r="K14" s="99"/>
      <c r="L14" s="99">
        <f t="shared" si="2"/>
        <v>1427829</v>
      </c>
      <c r="M14" s="102"/>
      <c r="N14" s="90" t="s">
        <v>280</v>
      </c>
      <c r="O14" s="90" t="s">
        <v>135</v>
      </c>
      <c r="P14" s="95" t="s">
        <v>281</v>
      </c>
      <c r="Q14" s="105">
        <v>46155.0</v>
      </c>
      <c r="R14" s="107">
        <v>0.5083680555555555</v>
      </c>
      <c r="S14" s="99">
        <f t="shared" si="3"/>
        <v>0</v>
      </c>
      <c r="T14" s="109"/>
      <c r="U14" s="109"/>
      <c r="V14" s="109"/>
      <c r="W14" s="109"/>
      <c r="X14" s="109"/>
      <c r="Y14" s="109"/>
      <c r="Z14" s="98"/>
      <c r="AA14" s="109"/>
      <c r="AB14" s="109"/>
      <c r="AC14" s="109"/>
      <c r="AD14" s="109"/>
      <c r="AE14" s="109"/>
      <c r="AF14" s="109"/>
      <c r="AG14" s="109"/>
      <c r="AH14" s="99"/>
      <c r="AI14" s="109"/>
      <c r="AJ14" s="113">
        <v>1427829.0</v>
      </c>
      <c r="AK14" s="109"/>
      <c r="AL14" s="109"/>
      <c r="AM14" s="109"/>
      <c r="AN14" s="109"/>
      <c r="AO14" s="109"/>
      <c r="AP14" s="109"/>
      <c r="AQ14" s="109"/>
      <c r="AR14" s="109"/>
      <c r="AS14" s="109"/>
      <c r="AT14" s="109"/>
      <c r="AU14" s="109"/>
      <c r="AV14" s="109"/>
      <c r="AW14" s="109"/>
      <c r="AX14" s="109"/>
      <c r="AY14" s="109"/>
      <c r="AZ14" s="109"/>
      <c r="BA14" s="109"/>
      <c r="BB14" s="109"/>
      <c r="BC14" s="109"/>
      <c r="BD14" s="109"/>
      <c r="BE14" s="109"/>
      <c r="BF14" s="109"/>
      <c r="BG14" s="109"/>
      <c r="BH14" s="109"/>
      <c r="BI14" s="109"/>
      <c r="BJ14" s="109"/>
      <c r="BK14" s="109"/>
      <c r="BL14" s="109"/>
      <c r="BM14" s="109"/>
      <c r="BN14" s="109"/>
      <c r="BO14" s="109"/>
      <c r="BP14" s="109"/>
      <c r="BQ14" s="109"/>
      <c r="BR14" s="109"/>
      <c r="BS14" s="109"/>
      <c r="BT14" s="109"/>
      <c r="BU14" s="109"/>
    </row>
    <row r="15" ht="22.5" customHeight="1">
      <c r="A15" s="90" t="s">
        <v>18</v>
      </c>
      <c r="B15" s="90" t="s">
        <v>194</v>
      </c>
      <c r="C15" s="95">
        <v>278.0</v>
      </c>
      <c r="D15" s="95">
        <v>233.0</v>
      </c>
      <c r="E15" s="90" t="s">
        <v>244</v>
      </c>
      <c r="F15" s="90" t="s">
        <v>290</v>
      </c>
      <c r="G15" s="235"/>
      <c r="H15" s="90" t="s">
        <v>291</v>
      </c>
      <c r="I15" s="95" t="s">
        <v>292</v>
      </c>
      <c r="J15" s="98">
        <v>4.341135E7</v>
      </c>
      <c r="K15" s="99"/>
      <c r="L15" s="99">
        <f t="shared" si="2"/>
        <v>43411350</v>
      </c>
      <c r="M15" s="102"/>
      <c r="N15" s="90" t="s">
        <v>293</v>
      </c>
      <c r="O15" s="90" t="s">
        <v>74</v>
      </c>
      <c r="P15" s="200"/>
      <c r="Q15" s="201" t="e">
        <v>#N/A</v>
      </c>
      <c r="R15" s="201"/>
      <c r="S15" s="99">
        <f t="shared" si="3"/>
        <v>0</v>
      </c>
      <c r="T15" s="109"/>
      <c r="U15" s="109"/>
      <c r="V15" s="156">
        <v>4.341135E7</v>
      </c>
      <c r="W15" s="109"/>
      <c r="X15" s="109"/>
      <c r="Y15" s="109"/>
      <c r="Z15" s="98"/>
      <c r="AA15" s="109"/>
      <c r="AB15" s="98"/>
      <c r="AC15" s="109"/>
      <c r="AD15" s="109"/>
      <c r="AE15" s="109"/>
      <c r="AF15" s="109"/>
      <c r="AG15" s="109"/>
      <c r="AH15" s="109"/>
      <c r="AI15" s="109"/>
      <c r="AJ15" s="109"/>
      <c r="AK15" s="109"/>
      <c r="AL15" s="109"/>
      <c r="AM15" s="109"/>
      <c r="AN15" s="109"/>
      <c r="AO15" s="109"/>
      <c r="AP15" s="109"/>
      <c r="AQ15" s="109"/>
      <c r="AR15" s="109"/>
      <c r="AS15" s="109"/>
      <c r="AT15" s="109"/>
      <c r="AU15" s="109"/>
      <c r="AV15" s="109"/>
      <c r="AW15" s="109"/>
      <c r="AX15" s="109"/>
      <c r="AY15" s="109"/>
      <c r="AZ15" s="109"/>
      <c r="BA15" s="109"/>
      <c r="BB15" s="109"/>
      <c r="BC15" s="109"/>
      <c r="BD15" s="109"/>
      <c r="BE15" s="109"/>
      <c r="BF15" s="109"/>
      <c r="BG15" s="109"/>
      <c r="BH15" s="109"/>
      <c r="BI15" s="109"/>
      <c r="BJ15" s="109"/>
      <c r="BK15" s="109"/>
      <c r="BL15" s="109"/>
      <c r="BM15" s="109"/>
      <c r="BN15" s="109"/>
      <c r="BO15" s="109"/>
      <c r="BP15" s="109"/>
      <c r="BQ15" s="109"/>
      <c r="BR15" s="109"/>
      <c r="BS15" s="109"/>
      <c r="BT15" s="109"/>
      <c r="BU15" s="109"/>
    </row>
    <row r="16" ht="22.5" customHeight="1">
      <c r="A16" s="90" t="s">
        <v>18</v>
      </c>
      <c r="B16" s="90" t="s">
        <v>234</v>
      </c>
      <c r="C16" s="95">
        <v>674.0</v>
      </c>
      <c r="D16" s="95">
        <v>705.0</v>
      </c>
      <c r="E16" s="90" t="s">
        <v>257</v>
      </c>
      <c r="F16" s="90" t="s">
        <v>290</v>
      </c>
      <c r="G16" s="90" t="s">
        <v>227</v>
      </c>
      <c r="H16" s="90" t="s">
        <v>300</v>
      </c>
      <c r="I16" s="95" t="s">
        <v>301</v>
      </c>
      <c r="J16" s="98">
        <v>4921911.0</v>
      </c>
      <c r="K16" s="99"/>
      <c r="L16" s="99">
        <f t="shared" si="2"/>
        <v>4921911</v>
      </c>
      <c r="M16" s="102"/>
      <c r="N16" s="90" t="s">
        <v>303</v>
      </c>
      <c r="O16" s="90" t="s">
        <v>74</v>
      </c>
      <c r="P16" s="95" t="s">
        <v>304</v>
      </c>
      <c r="Q16" s="105">
        <v>46083.0</v>
      </c>
      <c r="R16" s="107">
        <v>0.7107523148148148</v>
      </c>
      <c r="S16" s="99">
        <f t="shared" si="3"/>
        <v>0</v>
      </c>
      <c r="T16" s="109"/>
      <c r="U16" s="109"/>
      <c r="V16" s="109"/>
      <c r="W16" s="109"/>
      <c r="X16" s="109"/>
      <c r="Y16" s="109"/>
      <c r="Z16" s="98"/>
      <c r="AA16" s="109"/>
      <c r="AB16" s="156">
        <v>4921911.0</v>
      </c>
      <c r="AC16" s="109"/>
      <c r="AD16" s="109"/>
      <c r="AE16" s="109"/>
      <c r="AF16" s="109"/>
      <c r="AG16" s="109"/>
      <c r="AH16" s="109"/>
      <c r="AI16" s="109"/>
      <c r="AJ16" s="113"/>
      <c r="AK16" s="109"/>
      <c r="AL16" s="109"/>
      <c r="AM16" s="109"/>
      <c r="AN16" s="109"/>
      <c r="AO16" s="109"/>
      <c r="AP16" s="109"/>
      <c r="AQ16" s="109"/>
      <c r="AR16" s="109"/>
      <c r="AS16" s="109"/>
      <c r="AT16" s="109"/>
      <c r="AU16" s="109"/>
      <c r="AV16" s="109"/>
      <c r="AW16" s="109"/>
      <c r="AX16" s="109"/>
      <c r="AY16" s="109"/>
      <c r="AZ16" s="109"/>
      <c r="BA16" s="109"/>
      <c r="BB16" s="109"/>
      <c r="BC16" s="109"/>
      <c r="BD16" s="109"/>
      <c r="BE16" s="109"/>
      <c r="BF16" s="109"/>
      <c r="BG16" s="109"/>
      <c r="BH16" s="109"/>
      <c r="BI16" s="109"/>
      <c r="BJ16" s="109"/>
      <c r="BK16" s="109"/>
      <c r="BL16" s="109"/>
      <c r="BM16" s="109"/>
      <c r="BN16" s="109"/>
      <c r="BO16" s="109"/>
      <c r="BP16" s="109"/>
      <c r="BQ16" s="109"/>
      <c r="BR16" s="109"/>
      <c r="BS16" s="109"/>
      <c r="BT16" s="109"/>
      <c r="BU16" s="109"/>
    </row>
    <row r="17" ht="22.5" customHeight="1">
      <c r="A17" s="90" t="s">
        <v>18</v>
      </c>
      <c r="B17" s="90" t="s">
        <v>312</v>
      </c>
      <c r="C17" s="95">
        <v>791.0</v>
      </c>
      <c r="D17" s="95">
        <v>858.0</v>
      </c>
      <c r="E17" s="90" t="s">
        <v>261</v>
      </c>
      <c r="F17" s="90" t="s">
        <v>277</v>
      </c>
      <c r="G17" s="90"/>
      <c r="H17" s="90" t="s">
        <v>300</v>
      </c>
      <c r="I17" s="95" t="s">
        <v>313</v>
      </c>
      <c r="J17" s="98">
        <v>9.4737758E7</v>
      </c>
      <c r="K17" s="99"/>
      <c r="L17" s="99">
        <f t="shared" si="2"/>
        <v>94737758</v>
      </c>
      <c r="M17" s="102"/>
      <c r="N17" s="90" t="s">
        <v>314</v>
      </c>
      <c r="O17" s="90" t="s">
        <v>74</v>
      </c>
      <c r="P17" s="95" t="s">
        <v>315</v>
      </c>
      <c r="Q17" s="226" t="e">
        <v>#N/A</v>
      </c>
      <c r="R17" s="226"/>
      <c r="S17" s="99">
        <f t="shared" si="3"/>
        <v>0</v>
      </c>
      <c r="T17" s="109"/>
      <c r="U17" s="109"/>
      <c r="V17" s="109"/>
      <c r="W17" s="109"/>
      <c r="X17" s="109"/>
      <c r="Y17" s="109"/>
      <c r="Z17" s="98"/>
      <c r="AA17" s="109"/>
      <c r="AB17" s="109"/>
      <c r="AC17" s="141">
        <v>6.8426229E7</v>
      </c>
      <c r="AD17" s="109"/>
      <c r="AE17" s="109"/>
      <c r="AF17" s="109"/>
      <c r="AG17" s="109"/>
      <c r="AH17" s="109"/>
      <c r="AI17" s="109"/>
      <c r="AJ17" s="239">
        <v>2.6311529E7</v>
      </c>
      <c r="AK17" s="109"/>
      <c r="AL17" s="109"/>
      <c r="AM17" s="109"/>
      <c r="AN17" s="109"/>
      <c r="AO17" s="109"/>
      <c r="AP17" s="109"/>
      <c r="AQ17" s="109"/>
      <c r="AR17" s="109"/>
      <c r="AS17" s="109"/>
      <c r="AT17" s="109"/>
      <c r="AU17" s="109"/>
      <c r="AV17" s="109"/>
      <c r="AW17" s="109"/>
      <c r="AX17" s="109"/>
      <c r="AY17" s="109"/>
      <c r="AZ17" s="109"/>
      <c r="BA17" s="109"/>
      <c r="BB17" s="109"/>
      <c r="BC17" s="109"/>
      <c r="BD17" s="109"/>
      <c r="BE17" s="109"/>
      <c r="BF17" s="109"/>
      <c r="BG17" s="109"/>
      <c r="BH17" s="109"/>
      <c r="BI17" s="109"/>
      <c r="BJ17" s="109"/>
      <c r="BK17" s="109"/>
      <c r="BL17" s="109"/>
      <c r="BM17" s="109"/>
      <c r="BN17" s="109"/>
      <c r="BO17" s="109"/>
      <c r="BP17" s="109"/>
      <c r="BQ17" s="109"/>
      <c r="BR17" s="109"/>
      <c r="BS17" s="109"/>
      <c r="BT17" s="109"/>
      <c r="BU17" s="109"/>
    </row>
    <row r="18" ht="22.5" customHeight="1">
      <c r="A18" s="90" t="s">
        <v>18</v>
      </c>
      <c r="B18" s="90" t="s">
        <v>320</v>
      </c>
      <c r="C18" s="95">
        <v>792.0</v>
      </c>
      <c r="D18" s="95">
        <v>859.0</v>
      </c>
      <c r="E18" s="90" t="s">
        <v>321</v>
      </c>
      <c r="F18" s="90" t="s">
        <v>322</v>
      </c>
      <c r="G18" s="90" t="s">
        <v>323</v>
      </c>
      <c r="H18" s="90" t="s">
        <v>200</v>
      </c>
      <c r="I18" s="95" t="s">
        <v>324</v>
      </c>
      <c r="J18" s="98">
        <v>4.4864047E7</v>
      </c>
      <c r="K18" s="99"/>
      <c r="L18" s="99">
        <f t="shared" si="2"/>
        <v>44864047</v>
      </c>
      <c r="M18" s="102"/>
      <c r="N18" s="90" t="s">
        <v>280</v>
      </c>
      <c r="O18" s="90" t="s">
        <v>74</v>
      </c>
      <c r="P18" s="95" t="s">
        <v>326</v>
      </c>
      <c r="Q18" s="226" t="e">
        <v>#N/A</v>
      </c>
      <c r="R18" s="226"/>
      <c r="S18" s="99">
        <f t="shared" si="3"/>
        <v>0</v>
      </c>
      <c r="T18" s="109"/>
      <c r="U18" s="109"/>
      <c r="V18" s="109"/>
      <c r="W18" s="109"/>
      <c r="X18" s="109"/>
      <c r="Y18" s="109"/>
      <c r="Z18" s="98"/>
      <c r="AA18" s="109"/>
      <c r="AB18" s="109"/>
      <c r="AC18" s="141">
        <v>4.0377642E7</v>
      </c>
      <c r="AD18" s="109"/>
      <c r="AE18" s="109"/>
      <c r="AF18" s="109"/>
      <c r="AG18" s="109"/>
      <c r="AH18" s="109"/>
      <c r="AI18" s="240"/>
      <c r="AJ18" s="241">
        <v>4486405.0</v>
      </c>
      <c r="AK18" s="109"/>
      <c r="AL18" s="109"/>
      <c r="AM18" s="109"/>
      <c r="AN18" s="109"/>
      <c r="AO18" s="109"/>
      <c r="AP18" s="109"/>
      <c r="AQ18" s="109"/>
      <c r="AR18" s="109"/>
      <c r="AS18" s="109"/>
      <c r="AT18" s="109"/>
      <c r="AU18" s="109"/>
      <c r="AV18" s="109"/>
      <c r="AW18" s="109"/>
      <c r="AX18" s="109"/>
      <c r="AY18" s="109"/>
      <c r="AZ18" s="109"/>
      <c r="BA18" s="109"/>
      <c r="BB18" s="109"/>
      <c r="BC18" s="109"/>
      <c r="BD18" s="109"/>
      <c r="BE18" s="109"/>
      <c r="BF18" s="109"/>
      <c r="BG18" s="109"/>
      <c r="BH18" s="109"/>
      <c r="BI18" s="109"/>
      <c r="BJ18" s="109"/>
      <c r="BK18" s="109"/>
      <c r="BL18" s="109"/>
      <c r="BM18" s="109"/>
      <c r="BN18" s="109"/>
      <c r="BO18" s="109"/>
      <c r="BP18" s="109"/>
      <c r="BQ18" s="109"/>
      <c r="BR18" s="109"/>
      <c r="BS18" s="109"/>
      <c r="BT18" s="109"/>
      <c r="BU18" s="109"/>
    </row>
    <row r="19" ht="22.5" customHeight="1">
      <c r="A19" s="90" t="s">
        <v>18</v>
      </c>
      <c r="B19" s="90" t="s">
        <v>194</v>
      </c>
      <c r="C19" s="95">
        <v>1138.0</v>
      </c>
      <c r="D19" s="95">
        <v>1819.0</v>
      </c>
      <c r="E19" s="90" t="s">
        <v>261</v>
      </c>
      <c r="F19" s="90" t="s">
        <v>277</v>
      </c>
      <c r="G19" s="90" t="s">
        <v>332</v>
      </c>
      <c r="H19" s="90" t="s">
        <v>300</v>
      </c>
      <c r="I19" s="95" t="s">
        <v>333</v>
      </c>
      <c r="J19" s="98">
        <v>1.9801637E7</v>
      </c>
      <c r="K19" s="99"/>
      <c r="L19" s="99">
        <f t="shared" si="2"/>
        <v>19801637</v>
      </c>
      <c r="M19" s="102"/>
      <c r="N19" s="90" t="s">
        <v>248</v>
      </c>
      <c r="O19" s="90" t="s">
        <v>74</v>
      </c>
      <c r="P19" s="95" t="s">
        <v>334</v>
      </c>
      <c r="Q19" s="105">
        <v>46118.0</v>
      </c>
      <c r="R19" s="107">
        <v>0.6430439814814815</v>
      </c>
      <c r="S19" s="99">
        <f t="shared" si="3"/>
        <v>0</v>
      </c>
      <c r="T19" s="109"/>
      <c r="U19" s="109"/>
      <c r="V19" s="109"/>
      <c r="W19" s="109"/>
      <c r="X19" s="109"/>
      <c r="Y19" s="109"/>
      <c r="Z19" s="98"/>
      <c r="AA19" s="109"/>
      <c r="AB19" s="109"/>
      <c r="AC19" s="109"/>
      <c r="AD19" s="109"/>
      <c r="AE19" s="109"/>
      <c r="AF19" s="156">
        <v>1.9801637E7</v>
      </c>
      <c r="AG19" s="109"/>
      <c r="AH19" s="109"/>
      <c r="AI19" s="109"/>
      <c r="AJ19" s="109"/>
      <c r="AK19" s="109"/>
      <c r="AL19" s="109"/>
      <c r="AM19" s="109"/>
      <c r="AN19" s="109"/>
      <c r="AO19" s="109"/>
      <c r="AP19" s="109"/>
      <c r="AQ19" s="109"/>
      <c r="AR19" s="109"/>
      <c r="AS19" s="109"/>
      <c r="AT19" s="109"/>
      <c r="AU19" s="109"/>
      <c r="AV19" s="109"/>
      <c r="AW19" s="109"/>
      <c r="AX19" s="109"/>
      <c r="AY19" s="109"/>
      <c r="AZ19" s="109"/>
      <c r="BA19" s="109"/>
      <c r="BB19" s="109"/>
      <c r="BC19" s="109"/>
      <c r="BD19" s="109"/>
      <c r="BE19" s="109"/>
      <c r="BF19" s="109"/>
      <c r="BG19" s="109"/>
      <c r="BH19" s="109"/>
      <c r="BI19" s="109"/>
      <c r="BJ19" s="109"/>
      <c r="BK19" s="109"/>
      <c r="BL19" s="109"/>
      <c r="BM19" s="109"/>
      <c r="BN19" s="109"/>
      <c r="BO19" s="109"/>
      <c r="BP19" s="109"/>
      <c r="BQ19" s="109"/>
      <c r="BR19" s="109"/>
      <c r="BS19" s="109"/>
      <c r="BT19" s="109"/>
      <c r="BU19" s="109"/>
    </row>
    <row r="20" ht="22.5" customHeight="1">
      <c r="A20" s="90" t="s">
        <v>18</v>
      </c>
      <c r="B20" s="90" t="s">
        <v>194</v>
      </c>
      <c r="C20" s="95">
        <v>2637.0</v>
      </c>
      <c r="D20" s="95">
        <v>2500.0</v>
      </c>
      <c r="E20" s="90" t="s">
        <v>219</v>
      </c>
      <c r="F20" s="90" t="s">
        <v>198</v>
      </c>
      <c r="G20" s="90" t="s">
        <v>340</v>
      </c>
      <c r="H20" s="90"/>
      <c r="I20" s="95" t="s">
        <v>341</v>
      </c>
      <c r="J20" s="98">
        <v>1328150.0</v>
      </c>
      <c r="K20" s="99"/>
      <c r="L20" s="99">
        <f t="shared" si="2"/>
        <v>1328150</v>
      </c>
      <c r="M20" s="102"/>
      <c r="N20" s="90" t="s">
        <v>259</v>
      </c>
      <c r="O20" s="90" t="s">
        <v>117</v>
      </c>
      <c r="P20" s="95" t="s">
        <v>342</v>
      </c>
      <c r="Q20" s="105">
        <v>46140.0</v>
      </c>
      <c r="R20" s="107">
        <v>0.6158101851851852</v>
      </c>
      <c r="S20" s="99">
        <f t="shared" si="3"/>
        <v>0</v>
      </c>
      <c r="T20" s="109"/>
      <c r="U20" s="109"/>
      <c r="V20" s="109"/>
      <c r="W20" s="109"/>
      <c r="X20" s="109"/>
      <c r="Y20" s="109"/>
      <c r="Z20" s="98"/>
      <c r="AA20" s="109"/>
      <c r="AB20" s="109"/>
      <c r="AC20" s="109"/>
      <c r="AD20" s="109"/>
      <c r="AE20" s="109"/>
      <c r="AF20" s="109"/>
      <c r="AG20" s="109"/>
      <c r="AH20" s="109"/>
      <c r="AI20" s="113">
        <v>1328150.0</v>
      </c>
      <c r="AJ20" s="109"/>
      <c r="AK20" s="109"/>
      <c r="AL20" s="109"/>
      <c r="AM20" s="109"/>
      <c r="AN20" s="109"/>
      <c r="AO20" s="109"/>
      <c r="AP20" s="109"/>
      <c r="AQ20" s="109"/>
      <c r="AR20" s="109"/>
      <c r="AS20" s="109"/>
      <c r="AT20" s="109"/>
      <c r="AU20" s="109"/>
      <c r="AV20" s="109"/>
      <c r="AW20" s="109"/>
      <c r="AX20" s="109"/>
      <c r="AY20" s="109"/>
      <c r="AZ20" s="109"/>
      <c r="BA20" s="109"/>
      <c r="BB20" s="109"/>
      <c r="BC20" s="109"/>
      <c r="BD20" s="109"/>
      <c r="BE20" s="109"/>
      <c r="BF20" s="109"/>
      <c r="BG20" s="109"/>
      <c r="BH20" s="109"/>
      <c r="BI20" s="109"/>
      <c r="BJ20" s="109"/>
      <c r="BK20" s="109"/>
      <c r="BL20" s="109"/>
      <c r="BM20" s="109"/>
      <c r="BN20" s="109"/>
      <c r="BO20" s="109"/>
      <c r="BP20" s="109"/>
      <c r="BQ20" s="109"/>
      <c r="BR20" s="109"/>
      <c r="BS20" s="109"/>
      <c r="BT20" s="109"/>
      <c r="BU20" s="109"/>
    </row>
    <row r="21" ht="22.5" customHeight="1">
      <c r="A21" s="90" t="s">
        <v>18</v>
      </c>
      <c r="B21" s="90" t="s">
        <v>348</v>
      </c>
      <c r="C21" s="95">
        <v>794.0</v>
      </c>
      <c r="D21" s="95">
        <v>861.0</v>
      </c>
      <c r="E21" s="90"/>
      <c r="F21" s="90"/>
      <c r="G21" s="90"/>
      <c r="H21" s="90"/>
      <c r="I21" s="95" t="s">
        <v>349</v>
      </c>
      <c r="J21" s="98">
        <v>1.6082457E7</v>
      </c>
      <c r="K21" s="99"/>
      <c r="L21" s="99">
        <f t="shared" si="2"/>
        <v>16082457</v>
      </c>
      <c r="M21" s="102"/>
      <c r="N21" s="90" t="s">
        <v>350</v>
      </c>
      <c r="O21" s="90" t="s">
        <v>189</v>
      </c>
      <c r="P21" s="95" t="s">
        <v>351</v>
      </c>
      <c r="Q21" s="105">
        <v>46084.0</v>
      </c>
      <c r="R21" s="107">
        <v>0.4259837962962963</v>
      </c>
      <c r="S21" s="99">
        <f t="shared" si="3"/>
        <v>0</v>
      </c>
      <c r="T21" s="109"/>
      <c r="U21" s="109"/>
      <c r="V21" s="109"/>
      <c r="W21" s="109"/>
      <c r="X21" s="109"/>
      <c r="Y21" s="109"/>
      <c r="Z21" s="98"/>
      <c r="AA21" s="109"/>
      <c r="AB21" s="156">
        <v>1.6082457E7</v>
      </c>
      <c r="AC21" s="109"/>
      <c r="AD21" s="109"/>
      <c r="AE21" s="109"/>
      <c r="AF21" s="109"/>
      <c r="AG21" s="109"/>
      <c r="AH21" s="109"/>
      <c r="AI21" s="109"/>
      <c r="AJ21" s="109"/>
      <c r="AK21" s="109"/>
      <c r="AL21" s="109"/>
      <c r="AM21" s="109"/>
      <c r="AN21" s="109"/>
      <c r="AO21" s="109"/>
      <c r="AP21" s="109"/>
      <c r="AQ21" s="109"/>
      <c r="AR21" s="109"/>
      <c r="AS21" s="109"/>
      <c r="AT21" s="109"/>
      <c r="AU21" s="109"/>
      <c r="AV21" s="109"/>
      <c r="AW21" s="109"/>
      <c r="AX21" s="109"/>
      <c r="AY21" s="109"/>
      <c r="AZ21" s="109"/>
      <c r="BA21" s="109"/>
      <c r="BB21" s="109"/>
      <c r="BC21" s="109"/>
      <c r="BD21" s="109"/>
      <c r="BE21" s="109"/>
      <c r="BF21" s="109"/>
      <c r="BG21" s="109"/>
      <c r="BH21" s="109"/>
      <c r="BI21" s="109"/>
      <c r="BJ21" s="109"/>
      <c r="BK21" s="109"/>
      <c r="BL21" s="109"/>
      <c r="BM21" s="109"/>
      <c r="BN21" s="109"/>
      <c r="BO21" s="109"/>
      <c r="BP21" s="109"/>
      <c r="BQ21" s="109"/>
      <c r="BR21" s="109"/>
      <c r="BS21" s="109"/>
      <c r="BT21" s="109"/>
      <c r="BU21" s="109"/>
    </row>
    <row r="22" ht="22.5" customHeight="1">
      <c r="A22" s="90" t="s">
        <v>18</v>
      </c>
      <c r="B22" s="90" t="s">
        <v>348</v>
      </c>
      <c r="C22" s="95">
        <v>1223.0</v>
      </c>
      <c r="D22" s="95">
        <v>1230.0</v>
      </c>
      <c r="E22" s="90" t="s">
        <v>244</v>
      </c>
      <c r="F22" s="90" t="s">
        <v>198</v>
      </c>
      <c r="G22" s="90"/>
      <c r="H22" s="90" t="s">
        <v>300</v>
      </c>
      <c r="I22" s="95" t="s">
        <v>353</v>
      </c>
      <c r="J22" s="98">
        <v>511700.0</v>
      </c>
      <c r="K22" s="99"/>
      <c r="L22" s="99">
        <f t="shared" si="2"/>
        <v>511700</v>
      </c>
      <c r="M22" s="102"/>
      <c r="N22" s="90" t="s">
        <v>350</v>
      </c>
      <c r="O22" s="90" t="s">
        <v>189</v>
      </c>
      <c r="P22" s="95" t="s">
        <v>354</v>
      </c>
      <c r="Q22" s="105">
        <v>46092.0</v>
      </c>
      <c r="R22" s="107">
        <v>0.8255439814814814</v>
      </c>
      <c r="S22" s="99">
        <f t="shared" si="3"/>
        <v>0</v>
      </c>
      <c r="T22" s="109"/>
      <c r="U22" s="109"/>
      <c r="V22" s="109"/>
      <c r="W22" s="109"/>
      <c r="X22" s="109"/>
      <c r="Y22" s="109"/>
      <c r="Z22" s="98"/>
      <c r="AA22" s="109"/>
      <c r="AB22" s="109"/>
      <c r="AC22" s="156">
        <v>511700.0</v>
      </c>
      <c r="AD22" s="109"/>
      <c r="AE22" s="109"/>
      <c r="AF22" s="109"/>
      <c r="AG22" s="109"/>
      <c r="AH22" s="109"/>
      <c r="AI22" s="109"/>
      <c r="AJ22" s="109"/>
      <c r="AK22" s="109"/>
      <c r="AL22" s="109"/>
      <c r="AM22" s="109"/>
      <c r="AN22" s="109"/>
      <c r="AO22" s="109"/>
      <c r="AP22" s="109"/>
      <c r="AQ22" s="109"/>
      <c r="AR22" s="109"/>
      <c r="AS22" s="109"/>
      <c r="AT22" s="109"/>
      <c r="AU22" s="109"/>
      <c r="AV22" s="109"/>
      <c r="AW22" s="109"/>
      <c r="AX22" s="109"/>
      <c r="AY22" s="109"/>
      <c r="AZ22" s="109"/>
      <c r="BA22" s="109"/>
      <c r="BB22" s="109"/>
      <c r="BC22" s="109"/>
      <c r="BD22" s="109"/>
      <c r="BE22" s="109"/>
      <c r="BF22" s="109"/>
      <c r="BG22" s="109"/>
      <c r="BH22" s="109"/>
      <c r="BI22" s="109"/>
      <c r="BJ22" s="109"/>
      <c r="BK22" s="109"/>
      <c r="BL22" s="109"/>
      <c r="BM22" s="109"/>
      <c r="BN22" s="109"/>
      <c r="BO22" s="109"/>
      <c r="BP22" s="109"/>
      <c r="BQ22" s="109"/>
      <c r="BR22" s="109"/>
      <c r="BS22" s="109"/>
      <c r="BT22" s="109"/>
      <c r="BU22" s="109"/>
    </row>
    <row r="23" ht="22.5" customHeight="1">
      <c r="A23" s="90" t="s">
        <v>75</v>
      </c>
      <c r="B23" s="90" t="s">
        <v>141</v>
      </c>
      <c r="C23" s="95">
        <v>91.0</v>
      </c>
      <c r="D23" s="95">
        <v>66.0</v>
      </c>
      <c r="E23" s="90" t="s">
        <v>244</v>
      </c>
      <c r="F23" s="90" t="s">
        <v>322</v>
      </c>
      <c r="G23" s="90" t="s">
        <v>211</v>
      </c>
      <c r="H23" s="90" t="s">
        <v>200</v>
      </c>
      <c r="I23" s="95" t="s">
        <v>241</v>
      </c>
      <c r="J23" s="98">
        <v>6.64691208E8</v>
      </c>
      <c r="K23" s="98">
        <f>186646382+118263881+132505939</f>
        <v>437416202</v>
      </c>
      <c r="L23" s="99">
        <f t="shared" si="2"/>
        <v>227275006</v>
      </c>
      <c r="M23" s="102"/>
      <c r="N23" s="90" t="s">
        <v>205</v>
      </c>
      <c r="O23" s="90" t="s">
        <v>142</v>
      </c>
      <c r="P23" s="95" t="s">
        <v>359</v>
      </c>
      <c r="Q23" s="105">
        <v>46085.0</v>
      </c>
      <c r="R23" s="107">
        <v>0.619537037037037</v>
      </c>
      <c r="S23" s="99">
        <f t="shared" si="3"/>
        <v>18000001</v>
      </c>
      <c r="T23" s="109"/>
      <c r="U23" s="109"/>
      <c r="V23" s="109"/>
      <c r="W23" s="109"/>
      <c r="X23" s="109"/>
      <c r="Y23" s="109"/>
      <c r="Z23" s="98"/>
      <c r="AA23" s="109"/>
      <c r="AB23" s="141">
        <v>2.09275005E8</v>
      </c>
      <c r="AC23" s="109"/>
      <c r="AD23" s="109"/>
      <c r="AE23" s="109"/>
      <c r="AF23" s="256"/>
      <c r="AG23" s="256"/>
      <c r="AH23" s="256"/>
      <c r="AI23" s="256"/>
      <c r="AJ23" s="256"/>
      <c r="AK23" s="256"/>
      <c r="AL23" s="256"/>
      <c r="AM23" s="256"/>
      <c r="AN23" s="256"/>
      <c r="AO23" s="256"/>
      <c r="AP23" s="256"/>
      <c r="AQ23" s="256"/>
      <c r="AR23" s="256"/>
      <c r="AS23" s="256"/>
      <c r="AT23" s="256"/>
      <c r="AU23" s="256"/>
      <c r="AV23" s="256"/>
      <c r="AW23" s="256"/>
      <c r="AX23" s="256"/>
      <c r="AY23" s="256"/>
      <c r="AZ23" s="256"/>
      <c r="BA23" s="256"/>
      <c r="BB23" s="256"/>
      <c r="BC23" s="256"/>
      <c r="BD23" s="256"/>
      <c r="BE23" s="256"/>
      <c r="BF23" s="256"/>
      <c r="BG23" s="256"/>
      <c r="BH23" s="256"/>
      <c r="BI23" s="256"/>
      <c r="BJ23" s="256"/>
      <c r="BK23" s="256"/>
      <c r="BL23" s="256"/>
      <c r="BM23" s="256"/>
      <c r="BN23" s="109"/>
      <c r="BO23" s="109"/>
      <c r="BP23" s="109"/>
      <c r="BQ23" s="109"/>
      <c r="BR23" s="109"/>
      <c r="BS23" s="109"/>
      <c r="BT23" s="109"/>
      <c r="BU23" s="109"/>
    </row>
    <row r="24" ht="22.5" customHeight="1">
      <c r="A24" s="90" t="s">
        <v>98</v>
      </c>
      <c r="B24" s="90" t="s">
        <v>210</v>
      </c>
      <c r="C24" s="95">
        <v>1434.0</v>
      </c>
      <c r="D24" s="95">
        <v>1426.0</v>
      </c>
      <c r="E24" s="90" t="s">
        <v>364</v>
      </c>
      <c r="F24" s="90" t="s">
        <v>198</v>
      </c>
      <c r="G24" s="90" t="s">
        <v>365</v>
      </c>
      <c r="H24" s="90" t="s">
        <v>291</v>
      </c>
      <c r="I24" s="95" t="s">
        <v>366</v>
      </c>
      <c r="J24" s="98">
        <v>8.55200912E8</v>
      </c>
      <c r="K24" s="99"/>
      <c r="L24" s="99">
        <f t="shared" si="2"/>
        <v>855200912</v>
      </c>
      <c r="M24" s="102"/>
      <c r="N24" s="90" t="s">
        <v>205</v>
      </c>
      <c r="O24" s="90" t="s">
        <v>142</v>
      </c>
      <c r="P24" s="95" t="s">
        <v>367</v>
      </c>
      <c r="Q24" s="226" t="e">
        <v>#N/A</v>
      </c>
      <c r="R24" s="226"/>
      <c r="S24" s="99">
        <f t="shared" si="3"/>
        <v>-1</v>
      </c>
      <c r="T24" s="262"/>
      <c r="U24" s="262"/>
      <c r="V24" s="262"/>
      <c r="W24" s="262"/>
      <c r="X24" s="262"/>
      <c r="Y24" s="262"/>
      <c r="Z24" s="99"/>
      <c r="AA24" s="262"/>
      <c r="AB24" s="263"/>
      <c r="AC24" s="263"/>
      <c r="AD24" s="263"/>
      <c r="AE24" s="263"/>
      <c r="AF24" s="264">
        <v>1.44479558E8</v>
      </c>
      <c r="AG24" s="265"/>
      <c r="AH24" s="265"/>
      <c r="AI24" s="265"/>
      <c r="AJ24" s="266">
        <v>6.9931126E7</v>
      </c>
      <c r="AK24" s="267"/>
      <c r="AL24" s="268"/>
      <c r="AM24" s="268"/>
      <c r="AN24" s="268"/>
      <c r="AO24" s="267">
        <v>1.67082324E8</v>
      </c>
      <c r="AP24" s="268"/>
      <c r="AQ24" s="268"/>
      <c r="AR24" s="268"/>
      <c r="AS24" s="267">
        <v>1.55127189E8</v>
      </c>
      <c r="AT24" s="268"/>
      <c r="AU24" s="268"/>
      <c r="AV24" s="268"/>
      <c r="AW24" s="267">
        <v>1.78457507E8</v>
      </c>
      <c r="AX24" s="273"/>
      <c r="AY24" s="268"/>
      <c r="AZ24" s="273"/>
      <c r="BA24" s="268"/>
      <c r="BB24" s="268">
        <v>9.7363163E7</v>
      </c>
      <c r="BC24" s="268"/>
      <c r="BD24" s="268"/>
      <c r="BE24" s="268"/>
      <c r="BF24" s="268">
        <v>4.2760046E7</v>
      </c>
      <c r="BG24" s="268"/>
      <c r="BH24" s="268"/>
      <c r="BI24" s="268"/>
      <c r="BJ24" s="268"/>
      <c r="BK24" s="268"/>
      <c r="BL24" s="265"/>
      <c r="BM24" s="265"/>
      <c r="BN24" s="275"/>
      <c r="BO24" s="275"/>
      <c r="BP24" s="109"/>
      <c r="BQ24" s="109"/>
      <c r="BR24" s="109"/>
      <c r="BS24" s="109"/>
      <c r="BT24" s="109"/>
      <c r="BU24" s="109"/>
    </row>
    <row r="25" ht="22.5" customHeight="1">
      <c r="A25" s="90" t="s">
        <v>18</v>
      </c>
      <c r="B25" s="90" t="s">
        <v>194</v>
      </c>
      <c r="C25" s="95">
        <v>503.0</v>
      </c>
      <c r="D25" s="95">
        <v>449.0</v>
      </c>
      <c r="E25" s="90" t="s">
        <v>244</v>
      </c>
      <c r="F25" s="90" t="s">
        <v>277</v>
      </c>
      <c r="G25" s="90" t="s">
        <v>375</v>
      </c>
      <c r="H25" s="90" t="s">
        <v>376</v>
      </c>
      <c r="I25" s="95" t="s">
        <v>377</v>
      </c>
      <c r="J25" s="98">
        <v>1522909.0</v>
      </c>
      <c r="K25" s="99"/>
      <c r="L25" s="99">
        <f t="shared" si="2"/>
        <v>1522909</v>
      </c>
      <c r="M25" s="102"/>
      <c r="N25" s="90" t="s">
        <v>338</v>
      </c>
      <c r="O25" s="90" t="s">
        <v>142</v>
      </c>
      <c r="P25" s="95" t="s">
        <v>378</v>
      </c>
      <c r="Q25" s="105">
        <v>46083.0</v>
      </c>
      <c r="R25" s="107">
        <v>0.5632407407407407</v>
      </c>
      <c r="S25" s="99">
        <f t="shared" si="3"/>
        <v>0</v>
      </c>
      <c r="T25" s="109"/>
      <c r="U25" s="109"/>
      <c r="V25" s="109"/>
      <c r="W25" s="109"/>
      <c r="X25" s="109"/>
      <c r="Y25" s="109"/>
      <c r="Z25" s="98"/>
      <c r="AA25" s="109"/>
      <c r="AB25" s="156">
        <v>1522909.0</v>
      </c>
      <c r="AC25" s="109"/>
      <c r="AD25" s="109"/>
      <c r="AE25" s="109"/>
      <c r="AF25" s="256"/>
      <c r="AG25" s="158"/>
      <c r="AH25" s="158"/>
      <c r="AI25" s="158"/>
      <c r="AJ25" s="158"/>
      <c r="AK25" s="158"/>
      <c r="AL25" s="158"/>
      <c r="AM25" s="158"/>
      <c r="AN25" s="158"/>
      <c r="AO25" s="158"/>
      <c r="AP25" s="158"/>
      <c r="AQ25" s="158"/>
      <c r="AR25" s="158"/>
      <c r="AS25" s="158"/>
      <c r="AT25" s="158"/>
      <c r="AU25" s="158"/>
      <c r="AV25" s="158"/>
      <c r="AW25" s="158"/>
      <c r="AX25" s="158"/>
      <c r="AY25" s="158"/>
      <c r="AZ25" s="158"/>
      <c r="BA25" s="158"/>
      <c r="BB25" s="158"/>
      <c r="BC25" s="158"/>
      <c r="BD25" s="158"/>
      <c r="BE25" s="158"/>
      <c r="BF25" s="158"/>
      <c r="BG25" s="158"/>
      <c r="BH25" s="158"/>
      <c r="BI25" s="158"/>
      <c r="BJ25" s="158"/>
      <c r="BK25" s="158"/>
      <c r="BL25" s="158"/>
      <c r="BM25" s="158"/>
      <c r="BN25" s="158"/>
      <c r="BO25" s="158"/>
      <c r="BP25" s="158"/>
      <c r="BQ25" s="158"/>
      <c r="BR25" s="158"/>
      <c r="BS25" s="158"/>
      <c r="BT25" s="158"/>
      <c r="BU25" s="158"/>
    </row>
    <row r="26" ht="22.5" customHeight="1">
      <c r="A26" s="90" t="s">
        <v>18</v>
      </c>
      <c r="B26" s="90" t="s">
        <v>194</v>
      </c>
      <c r="C26" s="95">
        <v>800.0</v>
      </c>
      <c r="D26" s="95">
        <v>733.0</v>
      </c>
      <c r="E26" s="90" t="s">
        <v>321</v>
      </c>
      <c r="F26" s="90" t="s">
        <v>198</v>
      </c>
      <c r="G26" s="90" t="s">
        <v>340</v>
      </c>
      <c r="H26" s="90" t="s">
        <v>300</v>
      </c>
      <c r="I26" s="95" t="s">
        <v>382</v>
      </c>
      <c r="J26" s="98">
        <v>2.3807821E7</v>
      </c>
      <c r="K26" s="99"/>
      <c r="L26" s="99">
        <f t="shared" si="2"/>
        <v>23807821</v>
      </c>
      <c r="M26" s="102"/>
      <c r="N26" s="90" t="s">
        <v>384</v>
      </c>
      <c r="O26" s="90" t="s">
        <v>142</v>
      </c>
      <c r="P26" s="95" t="s">
        <v>386</v>
      </c>
      <c r="Q26" s="226" t="e">
        <v>#N/A</v>
      </c>
      <c r="R26" s="226"/>
      <c r="S26" s="99">
        <f t="shared" si="3"/>
        <v>-5881058.7</v>
      </c>
      <c r="T26" s="109"/>
      <c r="U26" s="109"/>
      <c r="V26" s="109"/>
      <c r="W26" s="141">
        <f>$L$15*0.3</f>
        <v>13023405</v>
      </c>
      <c r="X26" s="109"/>
      <c r="Y26" s="109"/>
      <c r="Z26" s="98"/>
      <c r="AA26" s="109"/>
      <c r="AB26" s="141">
        <v>1.0713519E7</v>
      </c>
      <c r="AC26" s="109"/>
      <c r="AD26" s="109"/>
      <c r="AE26" s="109"/>
      <c r="AF26" s="256"/>
      <c r="AG26" s="158"/>
      <c r="AH26" s="241">
        <v>5951955.699999999</v>
      </c>
      <c r="AI26" s="158"/>
      <c r="AJ26" s="158"/>
      <c r="AK26" s="158"/>
      <c r="AL26" s="158"/>
      <c r="AM26" s="158"/>
      <c r="AN26" s="158"/>
      <c r="AO26" s="158"/>
      <c r="AP26" s="158"/>
      <c r="AQ26" s="158"/>
      <c r="AR26" s="158"/>
      <c r="AS26" s="158"/>
      <c r="AT26" s="158"/>
      <c r="AU26" s="158"/>
      <c r="AV26" s="158"/>
      <c r="AW26" s="158"/>
      <c r="AX26" s="158"/>
      <c r="AY26" s="158"/>
      <c r="AZ26" s="158"/>
      <c r="BA26" s="158"/>
      <c r="BB26" s="158"/>
      <c r="BC26" s="158"/>
      <c r="BD26" s="158"/>
      <c r="BE26" s="158"/>
      <c r="BF26" s="158"/>
      <c r="BG26" s="158"/>
      <c r="BH26" s="158"/>
      <c r="BI26" s="158"/>
      <c r="BJ26" s="158"/>
      <c r="BK26" s="158"/>
      <c r="BL26" s="158"/>
      <c r="BM26" s="158"/>
      <c r="BN26" s="158"/>
      <c r="BO26" s="158"/>
      <c r="BP26" s="158"/>
      <c r="BQ26" s="158"/>
      <c r="BR26" s="158"/>
      <c r="BS26" s="158"/>
      <c r="BT26" s="158"/>
      <c r="BU26" s="158"/>
    </row>
    <row r="27" ht="22.5" customHeight="1">
      <c r="A27" s="90" t="s">
        <v>18</v>
      </c>
      <c r="B27" s="90" t="s">
        <v>344</v>
      </c>
      <c r="C27" s="95">
        <v>796.0</v>
      </c>
      <c r="D27" s="95">
        <v>752.0</v>
      </c>
      <c r="E27" s="90"/>
      <c r="F27" s="90"/>
      <c r="G27" s="90"/>
      <c r="H27" s="90"/>
      <c r="I27" s="95" t="s">
        <v>392</v>
      </c>
      <c r="J27" s="98">
        <v>5.3297921E7</v>
      </c>
      <c r="K27" s="99"/>
      <c r="L27" s="99">
        <f t="shared" si="2"/>
        <v>53297921</v>
      </c>
      <c r="M27" s="102"/>
      <c r="N27" s="90" t="s">
        <v>338</v>
      </c>
      <c r="O27" s="90" t="s">
        <v>142</v>
      </c>
      <c r="P27" s="95" t="s">
        <v>394</v>
      </c>
      <c r="Q27" s="226" t="e">
        <v>#N/A</v>
      </c>
      <c r="R27" s="226"/>
      <c r="S27" s="99">
        <f t="shared" si="3"/>
        <v>0</v>
      </c>
      <c r="T27" s="109"/>
      <c r="U27" s="109"/>
      <c r="V27" s="109"/>
      <c r="W27" s="141">
        <v>1.5989376299999999E7</v>
      </c>
      <c r="X27" s="281"/>
      <c r="Y27" s="281"/>
      <c r="Z27" s="281"/>
      <c r="AA27" s="281"/>
      <c r="AB27" s="141">
        <v>2.1319172E7</v>
      </c>
      <c r="AC27" s="275"/>
      <c r="AD27" s="275"/>
      <c r="AE27" s="275"/>
      <c r="AF27" s="282"/>
      <c r="AG27" s="158"/>
      <c r="AH27" s="158"/>
      <c r="AI27" s="177">
        <v>1.5989372700000003E7</v>
      </c>
      <c r="AJ27" s="158"/>
      <c r="AK27" s="158"/>
      <c r="AL27" s="158"/>
      <c r="AM27" s="158"/>
      <c r="AN27" s="158"/>
      <c r="AO27" s="158"/>
      <c r="AP27" s="158"/>
      <c r="AQ27" s="158"/>
      <c r="AR27" s="158"/>
      <c r="AS27" s="158"/>
      <c r="AT27" s="158"/>
      <c r="AU27" s="158"/>
      <c r="AV27" s="158"/>
      <c r="AW27" s="158"/>
      <c r="AX27" s="158"/>
      <c r="AY27" s="158"/>
      <c r="AZ27" s="158"/>
      <c r="BA27" s="158"/>
      <c r="BB27" s="158"/>
      <c r="BC27" s="158"/>
      <c r="BD27" s="158"/>
      <c r="BE27" s="158"/>
      <c r="BF27" s="158"/>
      <c r="BG27" s="158"/>
      <c r="BH27" s="158"/>
      <c r="BI27" s="158"/>
      <c r="BJ27" s="158"/>
      <c r="BK27" s="158"/>
      <c r="BL27" s="158"/>
      <c r="BM27" s="158"/>
      <c r="BN27" s="158"/>
      <c r="BO27" s="158"/>
      <c r="BP27" s="158"/>
      <c r="BQ27" s="158"/>
      <c r="BR27" s="158"/>
      <c r="BS27" s="158"/>
      <c r="BT27" s="158"/>
      <c r="BU27" s="158"/>
    </row>
    <row r="28" ht="22.5" customHeight="1">
      <c r="A28" s="90" t="s">
        <v>75</v>
      </c>
      <c r="B28" s="90" t="s">
        <v>141</v>
      </c>
      <c r="C28" s="95">
        <v>788.0</v>
      </c>
      <c r="D28" s="95">
        <v>731.0</v>
      </c>
      <c r="E28" s="90" t="s">
        <v>219</v>
      </c>
      <c r="F28" s="90" t="s">
        <v>198</v>
      </c>
      <c r="G28" s="90" t="s">
        <v>211</v>
      </c>
      <c r="H28" s="90" t="s">
        <v>376</v>
      </c>
      <c r="I28" s="95" t="s">
        <v>262</v>
      </c>
      <c r="J28" s="98">
        <v>2.5523715E7</v>
      </c>
      <c r="K28" s="99"/>
      <c r="L28" s="99">
        <f t="shared" si="2"/>
        <v>25523715</v>
      </c>
      <c r="M28" s="102"/>
      <c r="N28" s="90" t="s">
        <v>233</v>
      </c>
      <c r="O28" s="90" t="s">
        <v>142</v>
      </c>
      <c r="P28" s="95" t="s">
        <v>399</v>
      </c>
      <c r="Q28" s="226" t="e">
        <v>#N/A</v>
      </c>
      <c r="R28" s="226"/>
      <c r="S28" s="99">
        <f t="shared" si="3"/>
        <v>1.5</v>
      </c>
      <c r="T28" s="109"/>
      <c r="U28" s="109"/>
      <c r="V28" s="109"/>
      <c r="W28" s="141">
        <f t="shared" ref="W28:W29" si="4">J28*0.3</f>
        <v>7657114.5</v>
      </c>
      <c r="X28" s="109"/>
      <c r="Y28" s="109"/>
      <c r="Z28" s="98"/>
      <c r="AA28" s="109"/>
      <c r="AB28" s="141">
        <v>1.7866599E7</v>
      </c>
      <c r="AC28" s="109"/>
      <c r="AD28" s="109"/>
      <c r="AE28" s="109"/>
      <c r="AF28" s="256"/>
      <c r="AG28" s="158"/>
      <c r="AH28" s="158"/>
      <c r="AI28" s="158"/>
      <c r="AJ28" s="158"/>
      <c r="AK28" s="158"/>
      <c r="AL28" s="158"/>
      <c r="AM28" s="158"/>
      <c r="AN28" s="158"/>
      <c r="AO28" s="158"/>
      <c r="AP28" s="158"/>
      <c r="AQ28" s="158"/>
      <c r="AR28" s="158"/>
      <c r="AS28" s="158"/>
      <c r="AT28" s="158"/>
      <c r="AU28" s="158"/>
      <c r="AV28" s="158"/>
      <c r="AW28" s="158"/>
      <c r="AX28" s="158"/>
      <c r="AY28" s="158"/>
      <c r="AZ28" s="158"/>
      <c r="BA28" s="158"/>
      <c r="BB28" s="158"/>
      <c r="BC28" s="158"/>
      <c r="BD28" s="158"/>
      <c r="BE28" s="158"/>
      <c r="BF28" s="158"/>
      <c r="BG28" s="158"/>
      <c r="BH28" s="158"/>
      <c r="BI28" s="158"/>
      <c r="BJ28" s="158"/>
      <c r="BK28" s="158"/>
      <c r="BL28" s="158"/>
      <c r="BM28" s="158"/>
      <c r="BN28" s="158"/>
      <c r="BO28" s="158"/>
      <c r="BP28" s="158"/>
      <c r="BQ28" s="158"/>
      <c r="BR28" s="158"/>
      <c r="BS28" s="158"/>
      <c r="BT28" s="158"/>
      <c r="BU28" s="158"/>
    </row>
    <row r="29" ht="22.5" customHeight="1">
      <c r="A29" s="90" t="s">
        <v>75</v>
      </c>
      <c r="B29" s="90" t="s">
        <v>141</v>
      </c>
      <c r="C29" s="95">
        <v>789.0</v>
      </c>
      <c r="D29" s="95">
        <v>732.0</v>
      </c>
      <c r="E29" s="90" t="s">
        <v>219</v>
      </c>
      <c r="F29" s="90" t="s">
        <v>198</v>
      </c>
      <c r="G29" s="90" t="s">
        <v>211</v>
      </c>
      <c r="H29" s="90" t="s">
        <v>200</v>
      </c>
      <c r="I29" s="95" t="s">
        <v>266</v>
      </c>
      <c r="J29" s="98">
        <v>8425200.0</v>
      </c>
      <c r="K29" s="99"/>
      <c r="L29" s="99">
        <f t="shared" si="2"/>
        <v>8425200</v>
      </c>
      <c r="M29" s="102"/>
      <c r="N29" s="90" t="s">
        <v>233</v>
      </c>
      <c r="O29" s="90" t="s">
        <v>142</v>
      </c>
      <c r="P29" s="95" t="s">
        <v>406</v>
      </c>
      <c r="Q29" s="226" t="e">
        <v>#N/A</v>
      </c>
      <c r="R29" s="226"/>
      <c r="S29" s="99">
        <f t="shared" si="3"/>
        <v>0</v>
      </c>
      <c r="T29" s="109"/>
      <c r="U29" s="109"/>
      <c r="V29" s="109"/>
      <c r="W29" s="141">
        <f t="shared" si="4"/>
        <v>2527560</v>
      </c>
      <c r="X29" s="109"/>
      <c r="Y29" s="109"/>
      <c r="Z29" s="98"/>
      <c r="AA29" s="109"/>
      <c r="AB29" s="141"/>
      <c r="AC29" s="141">
        <v>5897640.0</v>
      </c>
      <c r="AD29" s="109"/>
      <c r="AE29" s="109"/>
      <c r="AF29" s="256"/>
      <c r="AG29" s="158"/>
      <c r="AH29" s="158"/>
      <c r="AI29" s="158"/>
      <c r="AJ29" s="158"/>
      <c r="AK29" s="158"/>
      <c r="AL29" s="158"/>
      <c r="AM29" s="158"/>
      <c r="AN29" s="158"/>
      <c r="AO29" s="158"/>
      <c r="AP29" s="158"/>
      <c r="AQ29" s="158"/>
      <c r="AR29" s="158"/>
      <c r="AS29" s="158"/>
      <c r="AT29" s="158"/>
      <c r="AU29" s="158"/>
      <c r="AV29" s="158"/>
      <c r="AW29" s="158"/>
      <c r="AX29" s="158"/>
      <c r="AY29" s="158"/>
      <c r="AZ29" s="158"/>
      <c r="BA29" s="158"/>
      <c r="BB29" s="158"/>
      <c r="BC29" s="158"/>
      <c r="BD29" s="158"/>
      <c r="BE29" s="158"/>
      <c r="BF29" s="158"/>
      <c r="BG29" s="158"/>
      <c r="BH29" s="158"/>
      <c r="BI29" s="158"/>
      <c r="BJ29" s="158"/>
      <c r="BK29" s="158"/>
      <c r="BL29" s="158"/>
      <c r="BM29" s="158"/>
      <c r="BN29" s="158"/>
      <c r="BO29" s="158"/>
      <c r="BP29" s="158"/>
      <c r="BQ29" s="158"/>
      <c r="BR29" s="158"/>
      <c r="BS29" s="158"/>
      <c r="BT29" s="158"/>
      <c r="BU29" s="158"/>
    </row>
    <row r="30" ht="22.5" customHeight="1">
      <c r="A30" s="90" t="s">
        <v>75</v>
      </c>
      <c r="B30" s="90" t="s">
        <v>141</v>
      </c>
      <c r="C30" s="95">
        <v>1803.0</v>
      </c>
      <c r="D30" s="95">
        <v>1788.0</v>
      </c>
      <c r="E30" s="90" t="s">
        <v>219</v>
      </c>
      <c r="F30" s="90" t="s">
        <v>198</v>
      </c>
      <c r="G30" s="90" t="s">
        <v>211</v>
      </c>
      <c r="H30" s="90"/>
      <c r="I30" s="95" t="s">
        <v>289</v>
      </c>
      <c r="J30" s="98">
        <v>856800.0</v>
      </c>
      <c r="K30" s="99"/>
      <c r="L30" s="99">
        <f t="shared" si="2"/>
        <v>856800</v>
      </c>
      <c r="M30" s="102"/>
      <c r="N30" s="90" t="s">
        <v>233</v>
      </c>
      <c r="O30" s="90" t="s">
        <v>142</v>
      </c>
      <c r="P30" s="95" t="s">
        <v>409</v>
      </c>
      <c r="Q30" s="105">
        <v>46115.0</v>
      </c>
      <c r="R30" s="107">
        <v>0.9966087962962963</v>
      </c>
      <c r="S30" s="99">
        <f t="shared" si="3"/>
        <v>0</v>
      </c>
      <c r="T30" s="109"/>
      <c r="U30" s="109"/>
      <c r="V30" s="109"/>
      <c r="W30" s="109"/>
      <c r="X30" s="109"/>
      <c r="Y30" s="109"/>
      <c r="Z30" s="98"/>
      <c r="AA30" s="109"/>
      <c r="AB30" s="109"/>
      <c r="AC30" s="109"/>
      <c r="AD30" s="109"/>
      <c r="AE30" s="109"/>
      <c r="AF30" s="256"/>
      <c r="AG30" s="158"/>
      <c r="AH30" s="158"/>
      <c r="AI30" s="113">
        <v>856800.0</v>
      </c>
      <c r="AJ30" s="158"/>
      <c r="AK30" s="158"/>
      <c r="AL30" s="158"/>
      <c r="AM30" s="158"/>
      <c r="AN30" s="158"/>
      <c r="AO30" s="158"/>
      <c r="AP30" s="158"/>
      <c r="AQ30" s="158"/>
      <c r="AR30" s="158"/>
      <c r="AS30" s="158"/>
      <c r="AT30" s="158"/>
      <c r="AU30" s="158"/>
      <c r="AV30" s="158"/>
      <c r="AW30" s="158"/>
      <c r="AX30" s="158"/>
      <c r="AY30" s="158"/>
      <c r="AZ30" s="158"/>
      <c r="BA30" s="158"/>
      <c r="BB30" s="158"/>
      <c r="BC30" s="158"/>
      <c r="BD30" s="158"/>
      <c r="BE30" s="158"/>
      <c r="BF30" s="158"/>
      <c r="BG30" s="158"/>
      <c r="BH30" s="158"/>
      <c r="BI30" s="158"/>
      <c r="BJ30" s="158"/>
      <c r="BK30" s="158"/>
      <c r="BL30" s="158"/>
      <c r="BM30" s="158"/>
      <c r="BN30" s="158"/>
      <c r="BO30" s="158"/>
      <c r="BP30" s="158"/>
      <c r="BQ30" s="158"/>
      <c r="BR30" s="158"/>
      <c r="BS30" s="158"/>
      <c r="BT30" s="158"/>
      <c r="BU30" s="158"/>
    </row>
    <row r="31" ht="22.5" customHeight="1">
      <c r="A31" s="90" t="s">
        <v>18</v>
      </c>
      <c r="B31" s="90" t="s">
        <v>194</v>
      </c>
      <c r="C31" s="95">
        <v>1806.0</v>
      </c>
      <c r="D31" s="95">
        <v>1845.0</v>
      </c>
      <c r="E31" s="90" t="s">
        <v>244</v>
      </c>
      <c r="F31" s="90" t="s">
        <v>198</v>
      </c>
      <c r="G31" s="90" t="s">
        <v>340</v>
      </c>
      <c r="H31" s="90"/>
      <c r="I31" s="95" t="s">
        <v>429</v>
      </c>
      <c r="J31" s="98">
        <v>1536340.0</v>
      </c>
      <c r="K31" s="99"/>
      <c r="L31" s="99">
        <f t="shared" si="2"/>
        <v>1536340</v>
      </c>
      <c r="M31" s="102"/>
      <c r="N31" s="90" t="s">
        <v>384</v>
      </c>
      <c r="O31" s="90" t="s">
        <v>142</v>
      </c>
      <c r="P31" s="95" t="s">
        <v>433</v>
      </c>
      <c r="Q31" s="105">
        <v>46120.0</v>
      </c>
      <c r="R31" s="107">
        <v>0.4157638888888889</v>
      </c>
      <c r="S31" s="99">
        <f t="shared" si="3"/>
        <v>0</v>
      </c>
      <c r="T31" s="109"/>
      <c r="U31" s="109"/>
      <c r="V31" s="109"/>
      <c r="W31" s="109"/>
      <c r="X31" s="109"/>
      <c r="Y31" s="109"/>
      <c r="Z31" s="98"/>
      <c r="AA31" s="109"/>
      <c r="AB31" s="109"/>
      <c r="AC31" s="109"/>
      <c r="AD31" s="109"/>
      <c r="AE31" s="109"/>
      <c r="AF31" s="256"/>
      <c r="AG31" s="177"/>
      <c r="AH31" s="177">
        <v>1536340.0</v>
      </c>
      <c r="AI31" s="158"/>
      <c r="AJ31" s="158"/>
      <c r="AK31" s="158"/>
      <c r="AL31" s="158"/>
      <c r="AM31" s="158"/>
      <c r="AN31" s="158"/>
      <c r="AO31" s="158"/>
      <c r="AP31" s="158"/>
      <c r="AQ31" s="158"/>
      <c r="AR31" s="158"/>
      <c r="AS31" s="158"/>
      <c r="AT31" s="158"/>
      <c r="AU31" s="158"/>
      <c r="AV31" s="158"/>
      <c r="AW31" s="158"/>
      <c r="AX31" s="158"/>
      <c r="AY31" s="158"/>
      <c r="AZ31" s="158"/>
      <c r="BA31" s="158"/>
      <c r="BB31" s="158"/>
      <c r="BC31" s="158"/>
      <c r="BD31" s="158"/>
      <c r="BE31" s="158"/>
      <c r="BF31" s="158"/>
      <c r="BG31" s="158"/>
      <c r="BH31" s="158"/>
      <c r="BI31" s="158"/>
      <c r="BJ31" s="158"/>
      <c r="BK31" s="158"/>
      <c r="BL31" s="158"/>
      <c r="BM31" s="158"/>
      <c r="BN31" s="158"/>
      <c r="BO31" s="158"/>
      <c r="BP31" s="158"/>
      <c r="BQ31" s="158"/>
      <c r="BR31" s="158"/>
      <c r="BS31" s="158"/>
      <c r="BT31" s="158"/>
      <c r="BU31" s="158"/>
    </row>
    <row r="32" ht="22.5" customHeight="1">
      <c r="A32" s="90" t="s">
        <v>75</v>
      </c>
      <c r="B32" s="90" t="s">
        <v>141</v>
      </c>
      <c r="C32" s="95">
        <v>2055.0</v>
      </c>
      <c r="D32" s="95">
        <v>1991.0</v>
      </c>
      <c r="E32" s="90" t="s">
        <v>219</v>
      </c>
      <c r="F32" s="90" t="s">
        <v>198</v>
      </c>
      <c r="G32" s="90" t="s">
        <v>211</v>
      </c>
      <c r="H32" s="90"/>
      <c r="I32" s="95" t="s">
        <v>298</v>
      </c>
      <c r="J32" s="98">
        <v>1266755.0</v>
      </c>
      <c r="K32" s="99"/>
      <c r="L32" s="99">
        <f t="shared" si="2"/>
        <v>1266755</v>
      </c>
      <c r="M32" s="102"/>
      <c r="N32" s="90" t="s">
        <v>299</v>
      </c>
      <c r="O32" s="90" t="s">
        <v>142</v>
      </c>
      <c r="P32" s="200"/>
      <c r="Q32" s="201" t="e">
        <v>#N/A</v>
      </c>
      <c r="R32" s="201"/>
      <c r="S32" s="99">
        <f t="shared" si="3"/>
        <v>0</v>
      </c>
      <c r="T32" s="109"/>
      <c r="U32" s="109"/>
      <c r="V32" s="109"/>
      <c r="W32" s="109"/>
      <c r="X32" s="109"/>
      <c r="Y32" s="109"/>
      <c r="Z32" s="98"/>
      <c r="AA32" s="109"/>
      <c r="AB32" s="109"/>
      <c r="AC32" s="109"/>
      <c r="AD32" s="109"/>
      <c r="AE32" s="109"/>
      <c r="AF32" s="256"/>
      <c r="AG32" s="158"/>
      <c r="AH32" s="158"/>
      <c r="AI32" s="158"/>
      <c r="AJ32" s="177">
        <v>1266755.0</v>
      </c>
      <c r="AK32" s="158"/>
      <c r="AL32" s="158"/>
      <c r="AM32" s="158"/>
      <c r="AN32" s="158"/>
      <c r="AO32" s="158"/>
      <c r="AP32" s="158"/>
      <c r="AQ32" s="158"/>
      <c r="AR32" s="158"/>
      <c r="AS32" s="158"/>
      <c r="AT32" s="158"/>
      <c r="AU32" s="158"/>
      <c r="AV32" s="158"/>
      <c r="AW32" s="158"/>
      <c r="AX32" s="158"/>
      <c r="AY32" s="158"/>
      <c r="AZ32" s="158"/>
      <c r="BA32" s="158"/>
      <c r="BB32" s="158"/>
      <c r="BC32" s="158"/>
      <c r="BD32" s="158"/>
      <c r="BE32" s="158"/>
      <c r="BF32" s="158"/>
      <c r="BG32" s="158"/>
      <c r="BH32" s="158"/>
      <c r="BI32" s="158"/>
      <c r="BJ32" s="158"/>
      <c r="BK32" s="158"/>
      <c r="BL32" s="158"/>
      <c r="BM32" s="158"/>
      <c r="BN32" s="158"/>
      <c r="BO32" s="158"/>
      <c r="BP32" s="158"/>
      <c r="BQ32" s="158"/>
      <c r="BR32" s="158"/>
      <c r="BS32" s="158"/>
      <c r="BT32" s="158"/>
      <c r="BU32" s="158"/>
    </row>
    <row r="33" ht="22.5" customHeight="1">
      <c r="A33" s="90" t="s">
        <v>75</v>
      </c>
      <c r="B33" s="90" t="s">
        <v>141</v>
      </c>
      <c r="C33" s="95">
        <v>2071.0</v>
      </c>
      <c r="D33" s="95">
        <v>2025.0</v>
      </c>
      <c r="E33" s="90" t="s">
        <v>219</v>
      </c>
      <c r="F33" s="90" t="s">
        <v>198</v>
      </c>
      <c r="G33" s="90" t="s">
        <v>211</v>
      </c>
      <c r="H33" s="90"/>
      <c r="I33" s="95" t="s">
        <v>317</v>
      </c>
      <c r="J33" s="98">
        <v>3599892.0</v>
      </c>
      <c r="K33" s="99"/>
      <c r="L33" s="99">
        <f t="shared" si="2"/>
        <v>3599892</v>
      </c>
      <c r="M33" s="102"/>
      <c r="N33" s="90"/>
      <c r="O33" s="90" t="s">
        <v>142</v>
      </c>
      <c r="P33" s="95" t="s">
        <v>497</v>
      </c>
      <c r="Q33" s="226" t="e">
        <v>#N/A</v>
      </c>
      <c r="R33" s="226"/>
      <c r="S33" s="99">
        <f t="shared" si="3"/>
        <v>0</v>
      </c>
      <c r="T33" s="109"/>
      <c r="U33" s="109"/>
      <c r="V33" s="109"/>
      <c r="W33" s="109"/>
      <c r="X33" s="109"/>
      <c r="Y33" s="109"/>
      <c r="Z33" s="98"/>
      <c r="AA33" s="109"/>
      <c r="AB33" s="109"/>
      <c r="AC33" s="109"/>
      <c r="AD33" s="109"/>
      <c r="AE33" s="109"/>
      <c r="AF33" s="256"/>
      <c r="AG33" s="158"/>
      <c r="AH33" s="158"/>
      <c r="AI33" s="177">
        <v>3599892.0</v>
      </c>
      <c r="AJ33" s="158"/>
      <c r="AK33" s="158"/>
      <c r="AL33" s="158"/>
      <c r="AM33" s="158"/>
      <c r="AN33" s="158"/>
      <c r="AO33" s="158"/>
      <c r="AP33" s="158"/>
      <c r="AQ33" s="158"/>
      <c r="AR33" s="158"/>
      <c r="AS33" s="158"/>
      <c r="AT33" s="158"/>
      <c r="AU33" s="158"/>
      <c r="AV33" s="158"/>
      <c r="AW33" s="158"/>
      <c r="AX33" s="158"/>
      <c r="AY33" s="158"/>
      <c r="AZ33" s="158"/>
      <c r="BA33" s="158"/>
      <c r="BB33" s="158"/>
      <c r="BC33" s="158"/>
      <c r="BD33" s="158"/>
      <c r="BE33" s="158"/>
      <c r="BF33" s="158"/>
      <c r="BG33" s="158"/>
      <c r="BH33" s="158"/>
      <c r="BI33" s="158"/>
      <c r="BJ33" s="158"/>
      <c r="BK33" s="158"/>
      <c r="BL33" s="158"/>
      <c r="BM33" s="158"/>
      <c r="BN33" s="158"/>
      <c r="BO33" s="158"/>
      <c r="BP33" s="158"/>
      <c r="BQ33" s="158"/>
      <c r="BR33" s="158"/>
      <c r="BS33" s="158"/>
      <c r="BT33" s="158"/>
      <c r="BU33" s="158"/>
    </row>
    <row r="34" ht="22.5" customHeight="1">
      <c r="A34" s="90" t="s">
        <v>75</v>
      </c>
      <c r="B34" s="90" t="s">
        <v>141</v>
      </c>
      <c r="C34" s="95">
        <v>2809.0</v>
      </c>
      <c r="D34" s="95">
        <v>2692.0</v>
      </c>
      <c r="E34" s="90" t="s">
        <v>219</v>
      </c>
      <c r="F34" s="90" t="s">
        <v>198</v>
      </c>
      <c r="G34" s="90" t="s">
        <v>211</v>
      </c>
      <c r="H34" s="90"/>
      <c r="I34" s="95" t="s">
        <v>339</v>
      </c>
      <c r="J34" s="98">
        <v>2.846837E7</v>
      </c>
      <c r="K34" s="99"/>
      <c r="L34" s="99">
        <f t="shared" si="2"/>
        <v>28468370</v>
      </c>
      <c r="M34" s="102"/>
      <c r="N34" s="90" t="s">
        <v>233</v>
      </c>
      <c r="O34" s="90" t="s">
        <v>142</v>
      </c>
      <c r="P34" s="95" t="s">
        <v>502</v>
      </c>
      <c r="Q34" s="226" t="e">
        <v>#N/A</v>
      </c>
      <c r="R34" s="226"/>
      <c r="S34" s="99">
        <f t="shared" si="3"/>
        <v>0</v>
      </c>
      <c r="T34" s="109"/>
      <c r="U34" s="109"/>
      <c r="V34" s="109"/>
      <c r="W34" s="109"/>
      <c r="X34" s="109"/>
      <c r="Y34" s="109"/>
      <c r="Z34" s="98"/>
      <c r="AA34" s="109"/>
      <c r="AB34" s="109"/>
      <c r="AC34" s="109"/>
      <c r="AD34" s="109"/>
      <c r="AE34" s="109"/>
      <c r="AF34" s="256"/>
      <c r="AG34" s="158"/>
      <c r="AH34" s="158"/>
      <c r="AI34" s="158"/>
      <c r="AJ34" s="158"/>
      <c r="AK34" s="341">
        <v>2.846837E7</v>
      </c>
      <c r="AL34" s="158"/>
      <c r="AM34" s="158"/>
      <c r="AN34" s="158"/>
      <c r="AO34" s="158"/>
      <c r="AP34" s="158"/>
      <c r="AQ34" s="158"/>
      <c r="AR34" s="158"/>
      <c r="AS34" s="158"/>
      <c r="AT34" s="158"/>
      <c r="AU34" s="158"/>
      <c r="AV34" s="158"/>
      <c r="AW34" s="158"/>
      <c r="AX34" s="158"/>
      <c r="AY34" s="158"/>
      <c r="AZ34" s="158"/>
      <c r="BA34" s="158"/>
      <c r="BB34" s="158"/>
      <c r="BC34" s="158"/>
      <c r="BD34" s="158"/>
      <c r="BE34" s="158"/>
      <c r="BF34" s="158"/>
      <c r="BG34" s="158"/>
      <c r="BH34" s="158"/>
      <c r="BI34" s="158"/>
      <c r="BJ34" s="158"/>
      <c r="BK34" s="158"/>
      <c r="BL34" s="158"/>
      <c r="BM34" s="158"/>
      <c r="BN34" s="158"/>
      <c r="BO34" s="158"/>
      <c r="BP34" s="158"/>
      <c r="BQ34" s="158"/>
      <c r="BR34" s="158"/>
      <c r="BS34" s="158"/>
      <c r="BT34" s="158"/>
      <c r="BU34" s="158"/>
    </row>
    <row r="35" ht="22.5" customHeight="1">
      <c r="A35" s="90" t="s">
        <v>18</v>
      </c>
      <c r="B35" s="90" t="s">
        <v>515</v>
      </c>
      <c r="C35" s="95">
        <v>651.0</v>
      </c>
      <c r="D35" s="95">
        <v>633.0</v>
      </c>
      <c r="E35" s="90" t="s">
        <v>197</v>
      </c>
      <c r="F35" s="90" t="s">
        <v>277</v>
      </c>
      <c r="G35" s="90" t="s">
        <v>516</v>
      </c>
      <c r="H35" s="90" t="s">
        <v>376</v>
      </c>
      <c r="I35" s="95" t="s">
        <v>517</v>
      </c>
      <c r="J35" s="98">
        <v>1997415.0</v>
      </c>
      <c r="K35" s="99"/>
      <c r="L35" s="99">
        <f t="shared" si="2"/>
        <v>1997415</v>
      </c>
      <c r="M35" s="352"/>
      <c r="N35" s="90" t="s">
        <v>519</v>
      </c>
      <c r="O35" s="90" t="s">
        <v>144</v>
      </c>
      <c r="P35" s="200"/>
      <c r="Q35" s="201" t="e">
        <v>#N/A</v>
      </c>
      <c r="R35" s="201"/>
      <c r="S35" s="99">
        <f t="shared" si="3"/>
        <v>0</v>
      </c>
      <c r="T35" s="109"/>
      <c r="U35" s="109"/>
      <c r="V35" s="109"/>
      <c r="W35" s="109"/>
      <c r="X35" s="109"/>
      <c r="Y35" s="109"/>
      <c r="Z35" s="98"/>
      <c r="AA35" s="109"/>
      <c r="AB35" s="141">
        <v>1997415.0</v>
      </c>
      <c r="AC35" s="109"/>
      <c r="AD35" s="109"/>
      <c r="AE35" s="109"/>
      <c r="AF35" s="109"/>
      <c r="AG35" s="109"/>
      <c r="AH35" s="109"/>
      <c r="AI35" s="109"/>
      <c r="AJ35" s="109"/>
      <c r="AK35" s="109"/>
      <c r="AL35" s="109"/>
      <c r="AM35" s="109"/>
      <c r="AN35" s="109"/>
      <c r="AO35" s="109"/>
      <c r="AP35" s="109"/>
      <c r="AQ35" s="109"/>
      <c r="AR35" s="109"/>
      <c r="AS35" s="109"/>
      <c r="AT35" s="109"/>
      <c r="AU35" s="109"/>
      <c r="AV35" s="109"/>
      <c r="AW35" s="109"/>
      <c r="AX35" s="109"/>
      <c r="AY35" s="109"/>
      <c r="AZ35" s="109"/>
      <c r="BA35" s="109"/>
      <c r="BB35" s="109"/>
      <c r="BC35" s="109"/>
      <c r="BD35" s="109"/>
      <c r="BE35" s="109"/>
      <c r="BF35" s="109"/>
      <c r="BG35" s="109"/>
      <c r="BH35" s="109"/>
      <c r="BI35" s="109"/>
      <c r="BJ35" s="109"/>
      <c r="BK35" s="109"/>
      <c r="BL35" s="109"/>
      <c r="BM35" s="109"/>
      <c r="BN35" s="109"/>
      <c r="BO35" s="109"/>
      <c r="BP35" s="109"/>
      <c r="BQ35" s="109"/>
      <c r="BR35" s="109"/>
      <c r="BS35" s="109"/>
      <c r="BT35" s="109"/>
      <c r="BU35" s="109"/>
    </row>
    <row r="36" ht="22.5" customHeight="1">
      <c r="A36" s="90" t="s">
        <v>18</v>
      </c>
      <c r="B36" s="90" t="s">
        <v>412</v>
      </c>
      <c r="C36" s="95">
        <v>2790.0</v>
      </c>
      <c r="D36" s="95">
        <v>2598.0</v>
      </c>
      <c r="E36" s="90" t="s">
        <v>219</v>
      </c>
      <c r="F36" s="90" t="s">
        <v>198</v>
      </c>
      <c r="G36" s="90" t="s">
        <v>211</v>
      </c>
      <c r="H36" s="90"/>
      <c r="I36" s="95" t="s">
        <v>523</v>
      </c>
      <c r="J36" s="98">
        <v>1074618.0</v>
      </c>
      <c r="K36" s="99"/>
      <c r="L36" s="99">
        <f t="shared" si="2"/>
        <v>1074618</v>
      </c>
      <c r="M36" s="102"/>
      <c r="N36" s="90" t="s">
        <v>524</v>
      </c>
      <c r="O36" s="90" t="s">
        <v>144</v>
      </c>
      <c r="P36" s="95" t="s">
        <v>526</v>
      </c>
      <c r="Q36" s="105">
        <v>46136.0</v>
      </c>
      <c r="R36" s="107">
        <v>0.4450115740740741</v>
      </c>
      <c r="S36" s="99">
        <f t="shared" si="3"/>
        <v>0</v>
      </c>
      <c r="T36" s="109"/>
      <c r="U36" s="109"/>
      <c r="V36" s="109"/>
      <c r="W36" s="109"/>
      <c r="X36" s="109"/>
      <c r="Y36" s="109"/>
      <c r="Z36" s="98"/>
      <c r="AA36" s="109"/>
      <c r="AB36" s="109"/>
      <c r="AC36" s="109"/>
      <c r="AD36" s="109"/>
      <c r="AE36" s="109"/>
      <c r="AF36" s="109"/>
      <c r="AG36" s="109"/>
      <c r="AH36" s="109"/>
      <c r="AI36" s="113">
        <v>1074618.0</v>
      </c>
      <c r="AJ36" s="109"/>
      <c r="AK36" s="109"/>
      <c r="AL36" s="109"/>
      <c r="AM36" s="109"/>
      <c r="AN36" s="109"/>
      <c r="AO36" s="109"/>
      <c r="AP36" s="109"/>
      <c r="AQ36" s="109"/>
      <c r="AR36" s="109"/>
      <c r="AS36" s="109"/>
      <c r="AT36" s="109"/>
      <c r="AU36" s="109"/>
      <c r="AV36" s="109"/>
      <c r="AW36" s="109"/>
      <c r="AX36" s="109"/>
      <c r="AY36" s="109"/>
      <c r="AZ36" s="109"/>
      <c r="BA36" s="109"/>
      <c r="BB36" s="109"/>
      <c r="BC36" s="109"/>
      <c r="BD36" s="109"/>
      <c r="BE36" s="109"/>
      <c r="BF36" s="109"/>
      <c r="BG36" s="109"/>
      <c r="BH36" s="109"/>
      <c r="BI36" s="109"/>
      <c r="BJ36" s="109"/>
      <c r="BK36" s="109"/>
      <c r="BL36" s="109"/>
      <c r="BM36" s="109"/>
      <c r="BN36" s="109"/>
      <c r="BO36" s="109"/>
      <c r="BP36" s="109"/>
      <c r="BQ36" s="109"/>
      <c r="BR36" s="109"/>
      <c r="BS36" s="109"/>
      <c r="BT36" s="109"/>
      <c r="BU36" s="109"/>
    </row>
    <row r="37" ht="22.5" customHeight="1">
      <c r="A37" s="90" t="s">
        <v>18</v>
      </c>
      <c r="B37" s="90" t="s">
        <v>397</v>
      </c>
      <c r="C37" s="95">
        <v>3170.0</v>
      </c>
      <c r="D37" s="95">
        <v>2873.0</v>
      </c>
      <c r="E37" s="90" t="s">
        <v>321</v>
      </c>
      <c r="F37" s="90" t="s">
        <v>277</v>
      </c>
      <c r="G37" s="90" t="s">
        <v>529</v>
      </c>
      <c r="H37" s="90"/>
      <c r="I37" s="95" t="s">
        <v>530</v>
      </c>
      <c r="J37" s="98">
        <v>1.2630236E7</v>
      </c>
      <c r="K37" s="99"/>
      <c r="L37" s="99">
        <f t="shared" si="2"/>
        <v>12630236</v>
      </c>
      <c r="M37" s="102"/>
      <c r="N37" s="90" t="s">
        <v>531</v>
      </c>
      <c r="O37" s="90" t="s">
        <v>144</v>
      </c>
      <c r="P37" s="95" t="s">
        <v>532</v>
      </c>
      <c r="Q37" s="105">
        <v>46135.0</v>
      </c>
      <c r="R37" s="107">
        <v>0.561863425925926</v>
      </c>
      <c r="S37" s="99">
        <f t="shared" si="3"/>
        <v>0</v>
      </c>
      <c r="T37" s="109"/>
      <c r="U37" s="109"/>
      <c r="V37" s="109"/>
      <c r="W37" s="109"/>
      <c r="X37" s="109"/>
      <c r="Y37" s="109"/>
      <c r="Z37" s="98"/>
      <c r="AA37" s="109"/>
      <c r="AB37" s="109"/>
      <c r="AC37" s="109"/>
      <c r="AD37" s="109"/>
      <c r="AE37" s="109"/>
      <c r="AF37" s="109"/>
      <c r="AG37" s="109"/>
      <c r="AH37" s="99"/>
      <c r="AI37" s="177"/>
      <c r="AJ37" s="177">
        <v>1.2630236E7</v>
      </c>
      <c r="AK37" s="109"/>
      <c r="AL37" s="109"/>
      <c r="AM37" s="109"/>
      <c r="AN37" s="109"/>
      <c r="AO37" s="109"/>
      <c r="AP37" s="109"/>
      <c r="AQ37" s="109"/>
      <c r="AR37" s="109"/>
      <c r="AS37" s="109"/>
      <c r="AT37" s="109"/>
      <c r="AU37" s="109"/>
      <c r="AV37" s="109"/>
      <c r="AW37" s="109"/>
      <c r="AX37" s="109"/>
      <c r="AY37" s="109"/>
      <c r="AZ37" s="109"/>
      <c r="BA37" s="109"/>
      <c r="BB37" s="109"/>
      <c r="BC37" s="109"/>
      <c r="BD37" s="109"/>
      <c r="BE37" s="109"/>
      <c r="BF37" s="109"/>
      <c r="BG37" s="109"/>
      <c r="BH37" s="109"/>
      <c r="BI37" s="109"/>
      <c r="BJ37" s="109"/>
      <c r="BK37" s="109"/>
      <c r="BL37" s="109"/>
      <c r="BM37" s="109"/>
      <c r="BN37" s="109"/>
      <c r="BO37" s="109"/>
      <c r="BP37" s="109"/>
      <c r="BQ37" s="109"/>
      <c r="BR37" s="109"/>
      <c r="BS37" s="109"/>
      <c r="BT37" s="109"/>
      <c r="BU37" s="109"/>
    </row>
    <row r="38" ht="22.5" customHeight="1">
      <c r="A38" s="90" t="s">
        <v>18</v>
      </c>
      <c r="B38" s="90" t="s">
        <v>234</v>
      </c>
      <c r="C38" s="95">
        <v>666.0</v>
      </c>
      <c r="D38" s="95">
        <v>663.0</v>
      </c>
      <c r="E38" s="90" t="s">
        <v>197</v>
      </c>
      <c r="F38" s="90" t="s">
        <v>290</v>
      </c>
      <c r="G38" s="90" t="s">
        <v>227</v>
      </c>
      <c r="H38" s="90" t="s">
        <v>300</v>
      </c>
      <c r="I38" s="95" t="s">
        <v>534</v>
      </c>
      <c r="J38" s="98">
        <v>4699310.0</v>
      </c>
      <c r="K38" s="99"/>
      <c r="L38" s="99">
        <f t="shared" si="2"/>
        <v>4699310</v>
      </c>
      <c r="M38" s="102"/>
      <c r="N38" s="90" t="s">
        <v>145</v>
      </c>
      <c r="O38" s="90" t="s">
        <v>101</v>
      </c>
      <c r="P38" s="95" t="s">
        <v>535</v>
      </c>
      <c r="Q38" s="105">
        <v>46154.0</v>
      </c>
      <c r="R38" s="107">
        <v>0.656875</v>
      </c>
      <c r="S38" s="99">
        <f t="shared" si="3"/>
        <v>0</v>
      </c>
      <c r="T38" s="109"/>
      <c r="U38" s="109"/>
      <c r="V38" s="109"/>
      <c r="W38" s="109"/>
      <c r="X38" s="109"/>
      <c r="Y38" s="109"/>
      <c r="Z38" s="98"/>
      <c r="AA38" s="109"/>
      <c r="AB38" s="98"/>
      <c r="AC38" s="109"/>
      <c r="AD38" s="109"/>
      <c r="AE38" s="109"/>
      <c r="AF38" s="109"/>
      <c r="AG38" s="109"/>
      <c r="AH38" s="109"/>
      <c r="AI38" s="109"/>
      <c r="AJ38" s="113">
        <v>4699310.0</v>
      </c>
      <c r="AK38" s="109"/>
      <c r="AL38" s="109"/>
      <c r="AM38" s="109"/>
      <c r="AN38" s="109"/>
      <c r="AO38" s="109"/>
      <c r="AP38" s="109"/>
      <c r="AQ38" s="109"/>
      <c r="AR38" s="109"/>
      <c r="AS38" s="109"/>
      <c r="AT38" s="109"/>
      <c r="AU38" s="109"/>
      <c r="AV38" s="109"/>
      <c r="AW38" s="109"/>
      <c r="AX38" s="109"/>
      <c r="AY38" s="109"/>
      <c r="AZ38" s="109"/>
      <c r="BA38" s="109"/>
      <c r="BB38" s="109"/>
      <c r="BC38" s="109"/>
      <c r="BD38" s="109"/>
      <c r="BE38" s="109"/>
      <c r="BF38" s="109"/>
      <c r="BG38" s="109"/>
      <c r="BH38" s="109"/>
      <c r="BI38" s="109"/>
      <c r="BJ38" s="109"/>
      <c r="BK38" s="109"/>
      <c r="BL38" s="109"/>
      <c r="BM38" s="109"/>
      <c r="BN38" s="109"/>
      <c r="BO38" s="109"/>
      <c r="BP38" s="109"/>
      <c r="BQ38" s="109"/>
      <c r="BR38" s="109"/>
      <c r="BS38" s="109"/>
      <c r="BT38" s="109"/>
      <c r="BU38" s="109"/>
    </row>
    <row r="39" ht="22.5" customHeight="1">
      <c r="A39" s="90" t="s">
        <v>75</v>
      </c>
      <c r="B39" s="90" t="s">
        <v>141</v>
      </c>
      <c r="C39" s="95">
        <v>699.0</v>
      </c>
      <c r="D39" s="95">
        <v>703.0</v>
      </c>
      <c r="E39" s="90" t="s">
        <v>197</v>
      </c>
      <c r="F39" s="90" t="s">
        <v>198</v>
      </c>
      <c r="G39" s="90" t="s">
        <v>211</v>
      </c>
      <c r="H39" s="90" t="s">
        <v>200</v>
      </c>
      <c r="I39" s="95" t="s">
        <v>251</v>
      </c>
      <c r="J39" s="98">
        <v>2416890.0</v>
      </c>
      <c r="K39" s="99"/>
      <c r="L39" s="99">
        <f t="shared" si="2"/>
        <v>2416890</v>
      </c>
      <c r="M39" s="102"/>
      <c r="N39" s="90" t="s">
        <v>145</v>
      </c>
      <c r="O39" s="90" t="s">
        <v>101</v>
      </c>
      <c r="P39" s="95" t="s">
        <v>558</v>
      </c>
      <c r="Q39" s="105">
        <v>46107.0</v>
      </c>
      <c r="R39" s="107">
        <v>0.4341087962962963</v>
      </c>
      <c r="S39" s="99">
        <f t="shared" si="3"/>
        <v>0</v>
      </c>
      <c r="T39" s="109"/>
      <c r="U39" s="109"/>
      <c r="V39" s="109"/>
      <c r="W39" s="109"/>
      <c r="X39" s="109"/>
      <c r="Y39" s="109"/>
      <c r="Z39" s="98"/>
      <c r="AA39" s="109"/>
      <c r="AB39" s="98"/>
      <c r="AC39" s="109"/>
      <c r="AD39" s="109"/>
      <c r="AE39" s="109"/>
      <c r="AF39" s="156">
        <v>2416890.0</v>
      </c>
      <c r="AG39" s="109"/>
      <c r="AH39" s="109"/>
      <c r="AI39" s="109"/>
      <c r="AJ39" s="109"/>
      <c r="AK39" s="109"/>
      <c r="AL39" s="109"/>
      <c r="AM39" s="109"/>
      <c r="AN39" s="109"/>
      <c r="AO39" s="109"/>
      <c r="AP39" s="109"/>
      <c r="AQ39" s="109"/>
      <c r="AR39" s="109"/>
      <c r="AS39" s="109"/>
      <c r="AT39" s="109"/>
      <c r="AU39" s="109"/>
      <c r="AV39" s="109"/>
      <c r="AW39" s="109"/>
      <c r="AX39" s="109"/>
      <c r="AY39" s="109"/>
      <c r="AZ39" s="109"/>
      <c r="BA39" s="109"/>
      <c r="BB39" s="109"/>
      <c r="BC39" s="109"/>
      <c r="BD39" s="109"/>
      <c r="BE39" s="109"/>
      <c r="BF39" s="109"/>
      <c r="BG39" s="109"/>
      <c r="BH39" s="109"/>
      <c r="BI39" s="109"/>
      <c r="BJ39" s="109"/>
      <c r="BK39" s="109"/>
      <c r="BL39" s="109"/>
      <c r="BM39" s="109"/>
      <c r="BN39" s="109"/>
      <c r="BO39" s="109"/>
      <c r="BP39" s="109"/>
      <c r="BQ39" s="109"/>
      <c r="BR39" s="109"/>
      <c r="BS39" s="109"/>
      <c r="BT39" s="109"/>
      <c r="BU39" s="109"/>
    </row>
    <row r="40" ht="22.5" customHeight="1">
      <c r="A40" s="90" t="s">
        <v>18</v>
      </c>
      <c r="B40" s="90" t="s">
        <v>397</v>
      </c>
      <c r="C40" s="95">
        <v>803.0</v>
      </c>
      <c r="D40" s="95">
        <v>869.0</v>
      </c>
      <c r="E40" s="90" t="s">
        <v>197</v>
      </c>
      <c r="F40" s="90" t="s">
        <v>277</v>
      </c>
      <c r="G40" s="90" t="s">
        <v>529</v>
      </c>
      <c r="H40" s="90" t="s">
        <v>200</v>
      </c>
      <c r="I40" s="95" t="s">
        <v>567</v>
      </c>
      <c r="J40" s="98">
        <v>3.0530278E7</v>
      </c>
      <c r="K40" s="99"/>
      <c r="L40" s="99">
        <f t="shared" si="2"/>
        <v>30530278</v>
      </c>
      <c r="M40" s="102"/>
      <c r="N40" s="90" t="s">
        <v>568</v>
      </c>
      <c r="O40" s="90" t="s">
        <v>101</v>
      </c>
      <c r="P40" s="95" t="s">
        <v>569</v>
      </c>
      <c r="Q40" s="105">
        <v>46085.0</v>
      </c>
      <c r="R40" s="107">
        <v>0.7235185185185186</v>
      </c>
      <c r="S40" s="99">
        <f t="shared" si="3"/>
        <v>0</v>
      </c>
      <c r="T40" s="109"/>
      <c r="U40" s="109"/>
      <c r="V40" s="109"/>
      <c r="W40" s="109"/>
      <c r="X40" s="109"/>
      <c r="Y40" s="109"/>
      <c r="Z40" s="98"/>
      <c r="AA40" s="109"/>
      <c r="AB40" s="141">
        <v>2.4424223E7</v>
      </c>
      <c r="AC40" s="109"/>
      <c r="AD40" s="109"/>
      <c r="AE40" s="109"/>
      <c r="AF40" s="109"/>
      <c r="AG40" s="109"/>
      <c r="AH40" s="109"/>
      <c r="AI40" s="109"/>
      <c r="AJ40" s="109"/>
      <c r="AK40" s="177">
        <v>6106055.0</v>
      </c>
      <c r="AL40" s="109"/>
      <c r="AM40" s="109"/>
      <c r="AN40" s="109"/>
      <c r="AO40" s="109"/>
      <c r="AP40" s="109"/>
      <c r="AQ40" s="109"/>
      <c r="AR40" s="109"/>
      <c r="AS40" s="109"/>
      <c r="AT40" s="109"/>
      <c r="AU40" s="109"/>
      <c r="AV40" s="109"/>
      <c r="AW40" s="109"/>
      <c r="AX40" s="109"/>
      <c r="AY40" s="109"/>
      <c r="AZ40" s="109"/>
      <c r="BA40" s="109"/>
      <c r="BB40" s="109"/>
      <c r="BC40" s="109"/>
      <c r="BD40" s="109"/>
      <c r="BE40" s="109"/>
      <c r="BF40" s="109"/>
      <c r="BG40" s="109"/>
      <c r="BH40" s="109"/>
      <c r="BI40" s="109"/>
      <c r="BJ40" s="109"/>
      <c r="BK40" s="109"/>
      <c r="BL40" s="109"/>
      <c r="BM40" s="109"/>
      <c r="BN40" s="109"/>
      <c r="BO40" s="109"/>
      <c r="BP40" s="109"/>
      <c r="BQ40" s="109"/>
      <c r="BR40" s="109"/>
      <c r="BS40" s="109"/>
      <c r="BT40" s="109"/>
      <c r="BU40" s="109"/>
    </row>
    <row r="41" ht="22.5" customHeight="1">
      <c r="A41" s="235" t="s">
        <v>18</v>
      </c>
      <c r="B41" s="235" t="s">
        <v>194</v>
      </c>
      <c r="C41" s="95"/>
      <c r="D41" s="95"/>
      <c r="E41" s="235"/>
      <c r="F41" s="235"/>
      <c r="G41" s="235"/>
      <c r="H41" s="235"/>
      <c r="I41" s="95" t="s">
        <v>570</v>
      </c>
      <c r="J41" s="98">
        <v>1.871474E7</v>
      </c>
      <c r="K41" s="99"/>
      <c r="L41" s="99">
        <f t="shared" si="2"/>
        <v>18714740</v>
      </c>
      <c r="M41" s="102"/>
      <c r="N41" s="235"/>
      <c r="O41" s="235"/>
      <c r="P41" s="99"/>
      <c r="Q41" s="201" t="e">
        <v>#N/A</v>
      </c>
      <c r="R41" s="201"/>
      <c r="S41" s="99">
        <f t="shared" si="3"/>
        <v>0</v>
      </c>
      <c r="T41" s="109">
        <v>1905200.0</v>
      </c>
      <c r="U41" s="109"/>
      <c r="V41" s="109"/>
      <c r="W41" s="109"/>
      <c r="X41" s="109">
        <v>2200000.0</v>
      </c>
      <c r="Y41" s="109"/>
      <c r="Z41" s="98"/>
      <c r="AA41" s="109">
        <v>4349400.0</v>
      </c>
      <c r="AB41" s="141"/>
      <c r="AC41" s="109"/>
      <c r="AD41" s="109"/>
      <c r="AE41" s="109"/>
      <c r="AF41" s="109">
        <v>4598000.0</v>
      </c>
      <c r="AG41" s="109"/>
      <c r="AH41" s="109"/>
      <c r="AI41" s="109"/>
      <c r="AJ41" s="109">
        <v>3293280.0</v>
      </c>
      <c r="AK41" s="177"/>
      <c r="AL41" s="109"/>
      <c r="AM41" s="109"/>
      <c r="AN41" s="109"/>
      <c r="AO41" s="109">
        <v>2368860.0</v>
      </c>
      <c r="AP41" s="109"/>
      <c r="AQ41" s="109"/>
      <c r="AR41" s="109"/>
      <c r="AS41" s="109"/>
      <c r="AT41" s="109"/>
      <c r="AU41" s="109"/>
      <c r="AV41" s="109"/>
      <c r="AW41" s="109"/>
      <c r="AX41" s="109"/>
      <c r="AY41" s="109"/>
      <c r="AZ41" s="109"/>
      <c r="BA41" s="109"/>
      <c r="BB41" s="109"/>
      <c r="BC41" s="109"/>
      <c r="BD41" s="109"/>
      <c r="BE41" s="109"/>
      <c r="BF41" s="109"/>
      <c r="BG41" s="109"/>
      <c r="BH41" s="109"/>
      <c r="BI41" s="109"/>
      <c r="BJ41" s="109"/>
      <c r="BK41" s="109"/>
      <c r="BL41" s="109"/>
      <c r="BM41" s="109"/>
      <c r="BN41" s="109"/>
      <c r="BO41" s="109"/>
      <c r="BP41" s="109"/>
      <c r="BQ41" s="109"/>
      <c r="BR41" s="109"/>
      <c r="BS41" s="109"/>
      <c r="BT41" s="109"/>
      <c r="BU41" s="109"/>
    </row>
    <row r="42" ht="22.5" customHeight="1">
      <c r="A42" s="90" t="s">
        <v>98</v>
      </c>
      <c r="B42" s="90" t="s">
        <v>210</v>
      </c>
      <c r="C42" s="95"/>
      <c r="D42" s="200"/>
      <c r="E42" s="90"/>
      <c r="F42" s="90"/>
      <c r="G42" s="90"/>
      <c r="H42" s="90"/>
      <c r="I42" s="95" t="s">
        <v>307</v>
      </c>
      <c r="J42" s="98">
        <f>3426436+215219</f>
        <v>3641655</v>
      </c>
      <c r="K42" s="99"/>
      <c r="L42" s="99">
        <f t="shared" si="2"/>
        <v>3641655</v>
      </c>
      <c r="M42" s="102"/>
      <c r="N42" s="90"/>
      <c r="O42" s="90"/>
      <c r="P42" s="200"/>
      <c r="Q42" s="201" t="e">
        <v>#N/A</v>
      </c>
      <c r="R42" s="201"/>
      <c r="S42" s="99">
        <f t="shared" si="3"/>
        <v>3641655</v>
      </c>
      <c r="T42" s="109"/>
      <c r="U42" s="109"/>
      <c r="V42" s="109"/>
      <c r="W42" s="109"/>
      <c r="X42" s="109"/>
      <c r="Y42" s="109"/>
      <c r="Z42" s="98"/>
      <c r="AA42" s="109"/>
      <c r="AB42" s="109"/>
      <c r="AC42" s="109"/>
      <c r="AD42" s="109"/>
      <c r="AE42" s="109"/>
      <c r="AF42" s="109"/>
      <c r="AG42" s="109"/>
      <c r="AH42" s="109"/>
      <c r="AI42" s="109"/>
      <c r="AJ42" s="109"/>
      <c r="AK42" s="109"/>
      <c r="AL42" s="109"/>
      <c r="AM42" s="109"/>
      <c r="AN42" s="109"/>
      <c r="AO42" s="109"/>
      <c r="AP42" s="109"/>
      <c r="AQ42" s="109"/>
      <c r="AR42" s="109"/>
      <c r="AS42" s="109"/>
      <c r="AT42" s="109"/>
      <c r="AU42" s="109"/>
      <c r="AV42" s="109"/>
      <c r="AW42" s="109"/>
      <c r="AX42" s="109"/>
      <c r="AY42" s="109"/>
      <c r="AZ42" s="109"/>
      <c r="BA42" s="109"/>
      <c r="BB42" s="109"/>
      <c r="BC42" s="109"/>
      <c r="BD42" s="109"/>
      <c r="BE42" s="109"/>
      <c r="BF42" s="109"/>
      <c r="BG42" s="109"/>
      <c r="BH42" s="109"/>
      <c r="BI42" s="109"/>
      <c r="BJ42" s="109"/>
      <c r="BK42" s="109"/>
      <c r="BL42" s="109"/>
      <c r="BM42" s="109"/>
      <c r="BN42" s="109"/>
      <c r="BO42" s="109"/>
      <c r="BP42" s="109"/>
      <c r="BQ42" s="109"/>
      <c r="BR42" s="109"/>
      <c r="BS42" s="109"/>
      <c r="BT42" s="109"/>
      <c r="BU42" s="109"/>
    </row>
    <row r="43" ht="22.5" customHeight="1">
      <c r="A43" s="90" t="s">
        <v>75</v>
      </c>
      <c r="B43" s="90" t="s">
        <v>141</v>
      </c>
      <c r="C43" s="95"/>
      <c r="D43" s="200"/>
      <c r="E43" s="90"/>
      <c r="F43" s="90"/>
      <c r="G43" s="90"/>
      <c r="H43" s="90"/>
      <c r="I43" s="95" t="s">
        <v>307</v>
      </c>
      <c r="J43" s="98">
        <f>4183240+238448</f>
        <v>4421688</v>
      </c>
      <c r="K43" s="99"/>
      <c r="L43" s="99">
        <f t="shared" si="2"/>
        <v>4421688</v>
      </c>
      <c r="M43" s="102"/>
      <c r="N43" s="90"/>
      <c r="O43" s="90"/>
      <c r="P43" s="200"/>
      <c r="Q43" s="201" t="e">
        <v>#N/A</v>
      </c>
      <c r="R43" s="201"/>
      <c r="S43" s="99">
        <f t="shared" si="3"/>
        <v>4421688</v>
      </c>
      <c r="T43" s="109"/>
      <c r="U43" s="109"/>
      <c r="V43" s="109"/>
      <c r="W43" s="109"/>
      <c r="X43" s="109"/>
      <c r="Y43" s="109"/>
      <c r="Z43" s="98"/>
      <c r="AA43" s="109"/>
      <c r="AB43" s="109"/>
      <c r="AC43" s="109"/>
      <c r="AD43" s="109"/>
      <c r="AE43" s="109"/>
      <c r="AF43" s="109"/>
      <c r="AG43" s="109"/>
      <c r="AH43" s="109"/>
      <c r="AI43" s="109"/>
      <c r="AJ43" s="109"/>
      <c r="AK43" s="109"/>
      <c r="AL43" s="109"/>
      <c r="AM43" s="109"/>
      <c r="AN43" s="109"/>
      <c r="AO43" s="109"/>
      <c r="AP43" s="109"/>
      <c r="AQ43" s="109"/>
      <c r="AR43" s="109"/>
      <c r="AS43" s="109"/>
      <c r="AT43" s="109"/>
      <c r="AU43" s="109"/>
      <c r="AV43" s="109"/>
      <c r="AW43" s="109"/>
      <c r="AX43" s="109"/>
      <c r="AY43" s="109"/>
      <c r="AZ43" s="109"/>
      <c r="BA43" s="109"/>
      <c r="BB43" s="109"/>
      <c r="BC43" s="109"/>
      <c r="BD43" s="109"/>
      <c r="BE43" s="109"/>
      <c r="BF43" s="109"/>
      <c r="BG43" s="109"/>
      <c r="BH43" s="109"/>
      <c r="BI43" s="109"/>
      <c r="BJ43" s="109"/>
      <c r="BK43" s="109"/>
      <c r="BL43" s="109"/>
      <c r="BM43" s="109"/>
      <c r="BN43" s="109"/>
      <c r="BO43" s="109"/>
      <c r="BP43" s="109"/>
      <c r="BQ43" s="109"/>
      <c r="BR43" s="109"/>
      <c r="BS43" s="109"/>
      <c r="BT43" s="109"/>
      <c r="BU43" s="109"/>
    </row>
    <row r="44" ht="22.5" customHeight="1">
      <c r="A44" s="90" t="s">
        <v>18</v>
      </c>
      <c r="B44" s="90" t="s">
        <v>194</v>
      </c>
      <c r="C44" s="95"/>
      <c r="D44" s="200"/>
      <c r="E44" s="90"/>
      <c r="F44" s="90"/>
      <c r="G44" s="90"/>
      <c r="H44" s="90"/>
      <c r="I44" s="95" t="s">
        <v>307</v>
      </c>
      <c r="J44" s="98">
        <f>2265645+142340+200000</f>
        <v>2607985</v>
      </c>
      <c r="K44" s="99"/>
      <c r="L44" s="99">
        <f t="shared" si="2"/>
        <v>2607985</v>
      </c>
      <c r="M44" s="102"/>
      <c r="N44" s="90"/>
      <c r="O44" s="90"/>
      <c r="P44" s="200"/>
      <c r="Q44" s="201" t="e">
        <v>#N/A</v>
      </c>
      <c r="R44" s="201"/>
      <c r="S44" s="99">
        <f t="shared" si="3"/>
        <v>2607985</v>
      </c>
      <c r="T44" s="109"/>
      <c r="U44" s="109"/>
      <c r="V44" s="109"/>
      <c r="W44" s="109"/>
      <c r="X44" s="109"/>
      <c r="Y44" s="109"/>
      <c r="Z44" s="98"/>
      <c r="AA44" s="109"/>
      <c r="AB44" s="109"/>
      <c r="AC44" s="109"/>
      <c r="AD44" s="109"/>
      <c r="AE44" s="109"/>
      <c r="AF44" s="109"/>
      <c r="AG44" s="109"/>
      <c r="AH44" s="109"/>
      <c r="AI44" s="109"/>
      <c r="AJ44" s="109"/>
      <c r="AK44" s="109"/>
      <c r="AL44" s="109"/>
      <c r="AM44" s="109"/>
      <c r="AN44" s="109"/>
      <c r="AO44" s="109"/>
      <c r="AP44" s="109"/>
      <c r="AQ44" s="109"/>
      <c r="AR44" s="109"/>
      <c r="AS44" s="109"/>
      <c r="AT44" s="109"/>
      <c r="AU44" s="109"/>
      <c r="AV44" s="109"/>
      <c r="AW44" s="109"/>
      <c r="AX44" s="109"/>
      <c r="AY44" s="109"/>
      <c r="AZ44" s="109"/>
      <c r="BA44" s="109"/>
      <c r="BB44" s="109"/>
      <c r="BC44" s="109"/>
      <c r="BD44" s="109"/>
      <c r="BE44" s="109"/>
      <c r="BF44" s="109"/>
      <c r="BG44" s="109"/>
      <c r="BH44" s="109"/>
      <c r="BI44" s="109"/>
      <c r="BJ44" s="109"/>
      <c r="BK44" s="109"/>
      <c r="BL44" s="109"/>
      <c r="BM44" s="109"/>
      <c r="BN44" s="109"/>
      <c r="BO44" s="109"/>
      <c r="BP44" s="109"/>
      <c r="BQ44" s="109"/>
      <c r="BR44" s="109"/>
      <c r="BS44" s="109"/>
      <c r="BT44" s="109"/>
      <c r="BU44" s="109"/>
    </row>
    <row r="45" ht="22.5" customHeight="1">
      <c r="A45" s="90" t="s">
        <v>75</v>
      </c>
      <c r="B45" s="90" t="s">
        <v>141</v>
      </c>
      <c r="C45" s="95">
        <v>208.0</v>
      </c>
      <c r="D45" s="95">
        <v>1940.0</v>
      </c>
      <c r="E45" s="90" t="s">
        <v>261</v>
      </c>
      <c r="F45" s="90" t="s">
        <v>198</v>
      </c>
      <c r="G45" s="90" t="s">
        <v>211</v>
      </c>
      <c r="H45" s="90"/>
      <c r="I45" s="95" t="s">
        <v>347</v>
      </c>
      <c r="J45" s="98">
        <v>1796409.0</v>
      </c>
      <c r="K45" s="99"/>
      <c r="L45" s="99">
        <f t="shared" si="2"/>
        <v>1796409</v>
      </c>
      <c r="M45" s="102"/>
      <c r="N45" s="90"/>
      <c r="O45" s="90"/>
      <c r="P45" s="200"/>
      <c r="Q45" s="201" t="e">
        <v>#N/A</v>
      </c>
      <c r="R45" s="201"/>
      <c r="S45" s="99">
        <f t="shared" si="3"/>
        <v>0</v>
      </c>
      <c r="T45" s="109"/>
      <c r="U45" s="109"/>
      <c r="V45" s="109"/>
      <c r="W45" s="109"/>
      <c r="X45" s="109"/>
      <c r="Y45" s="109"/>
      <c r="Z45" s="98"/>
      <c r="AA45" s="109"/>
      <c r="AB45" s="109"/>
      <c r="AC45" s="109"/>
      <c r="AD45" s="109"/>
      <c r="AE45" s="156">
        <v>1796409.0</v>
      </c>
      <c r="AF45" s="109"/>
      <c r="AG45" s="109"/>
      <c r="AH45" s="109"/>
      <c r="AI45" s="109"/>
      <c r="AJ45" s="109"/>
      <c r="AK45" s="109"/>
      <c r="AL45" s="109"/>
      <c r="AM45" s="109"/>
      <c r="AN45" s="109"/>
      <c r="AO45" s="109"/>
      <c r="AP45" s="109"/>
      <c r="AQ45" s="109"/>
      <c r="AR45" s="109"/>
      <c r="AS45" s="109"/>
      <c r="AT45" s="109"/>
      <c r="AU45" s="109"/>
      <c r="AV45" s="109"/>
      <c r="AW45" s="109"/>
      <c r="AX45" s="109"/>
      <c r="AY45" s="109"/>
      <c r="AZ45" s="109"/>
      <c r="BA45" s="109"/>
      <c r="BB45" s="109"/>
      <c r="BC45" s="109"/>
      <c r="BD45" s="109"/>
      <c r="BE45" s="109"/>
      <c r="BF45" s="109"/>
      <c r="BG45" s="109"/>
      <c r="BH45" s="109"/>
      <c r="BI45" s="109"/>
      <c r="BJ45" s="109"/>
      <c r="BK45" s="109"/>
      <c r="BL45" s="109"/>
      <c r="BM45" s="109"/>
      <c r="BN45" s="109"/>
      <c r="BO45" s="109"/>
      <c r="BP45" s="109"/>
      <c r="BQ45" s="109"/>
      <c r="BR45" s="109"/>
      <c r="BS45" s="109"/>
      <c r="BT45" s="109"/>
      <c r="BU45" s="109"/>
    </row>
    <row r="46" ht="22.5" customHeight="1">
      <c r="A46" s="90" t="s">
        <v>75</v>
      </c>
      <c r="B46" s="90" t="s">
        <v>194</v>
      </c>
      <c r="C46" s="95">
        <v>777.0</v>
      </c>
      <c r="D46" s="95">
        <v>561.0</v>
      </c>
      <c r="E46" s="90"/>
      <c r="F46" s="90"/>
      <c r="G46" s="90"/>
      <c r="H46" s="90"/>
      <c r="I46" s="95" t="s">
        <v>870</v>
      </c>
      <c r="J46" s="98">
        <v>114030.0</v>
      </c>
      <c r="K46" s="99"/>
      <c r="L46" s="99">
        <f t="shared" si="2"/>
        <v>114030</v>
      </c>
      <c r="M46" s="102"/>
      <c r="N46" s="90" t="s">
        <v>875</v>
      </c>
      <c r="O46" s="90"/>
      <c r="P46" s="200"/>
      <c r="Q46" s="201" t="e">
        <v>#N/A</v>
      </c>
      <c r="R46" s="201"/>
      <c r="S46" s="99">
        <f t="shared" si="3"/>
        <v>114030</v>
      </c>
      <c r="T46" s="109"/>
      <c r="U46" s="109"/>
      <c r="V46" s="109"/>
      <c r="W46" s="109"/>
      <c r="X46" s="109"/>
      <c r="Y46" s="109"/>
      <c r="Z46" s="98"/>
      <c r="AA46" s="109"/>
      <c r="AB46" s="109"/>
      <c r="AC46" s="109"/>
      <c r="AD46" s="109"/>
      <c r="AE46" s="156"/>
      <c r="AF46" s="109"/>
      <c r="AG46" s="109"/>
      <c r="AH46" s="109"/>
      <c r="AI46" s="109"/>
      <c r="AJ46" s="109"/>
      <c r="AK46" s="109"/>
      <c r="AL46" s="109"/>
      <c r="AM46" s="109"/>
      <c r="AN46" s="109"/>
      <c r="AO46" s="109"/>
      <c r="AP46" s="109"/>
      <c r="AQ46" s="109"/>
      <c r="AR46" s="109"/>
      <c r="AS46" s="109"/>
      <c r="AT46" s="109"/>
      <c r="AU46" s="109"/>
      <c r="AV46" s="109"/>
      <c r="AW46" s="109"/>
      <c r="AX46" s="109"/>
      <c r="AY46" s="109"/>
      <c r="AZ46" s="109"/>
      <c r="BA46" s="109"/>
      <c r="BB46" s="109"/>
      <c r="BC46" s="109"/>
      <c r="BD46" s="109"/>
      <c r="BE46" s="109"/>
      <c r="BF46" s="109"/>
      <c r="BG46" s="109"/>
      <c r="BH46" s="109"/>
      <c r="BI46" s="109"/>
      <c r="BJ46" s="109"/>
      <c r="BK46" s="109"/>
      <c r="BL46" s="109"/>
      <c r="BM46" s="109"/>
      <c r="BN46" s="109"/>
      <c r="BO46" s="109"/>
      <c r="BP46" s="109"/>
      <c r="BQ46" s="109"/>
      <c r="BR46" s="109"/>
      <c r="BS46" s="109"/>
      <c r="BT46" s="109"/>
      <c r="BU46" s="109"/>
    </row>
    <row r="47" ht="22.5" customHeight="1">
      <c r="A47" s="90" t="s">
        <v>18</v>
      </c>
      <c r="B47" s="90" t="s">
        <v>194</v>
      </c>
      <c r="C47" s="95">
        <v>2865.0</v>
      </c>
      <c r="D47" s="95">
        <v>2773.0</v>
      </c>
      <c r="E47" s="90" t="s">
        <v>257</v>
      </c>
      <c r="F47" s="90" t="s">
        <v>277</v>
      </c>
      <c r="G47" s="90" t="s">
        <v>278</v>
      </c>
      <c r="H47" s="90" t="s">
        <v>200</v>
      </c>
      <c r="I47" s="95" t="s">
        <v>930</v>
      </c>
      <c r="J47" s="463">
        <v>4538444.0</v>
      </c>
      <c r="K47" s="99"/>
      <c r="L47" s="99">
        <f t="shared" si="2"/>
        <v>4538444</v>
      </c>
      <c r="M47" s="102"/>
      <c r="N47" s="90" t="s">
        <v>901</v>
      </c>
      <c r="O47" s="90" t="s">
        <v>147</v>
      </c>
      <c r="P47" s="200"/>
      <c r="Q47" s="201" t="e">
        <v>#N/A</v>
      </c>
      <c r="R47" s="201"/>
      <c r="S47" s="99">
        <f t="shared" si="3"/>
        <v>4538444</v>
      </c>
      <c r="T47" s="109"/>
      <c r="U47" s="109"/>
      <c r="V47" s="109"/>
      <c r="W47" s="109"/>
      <c r="X47" s="109"/>
      <c r="Y47" s="109"/>
      <c r="Z47" s="98"/>
      <c r="AA47" s="109"/>
      <c r="AB47" s="109"/>
      <c r="AC47" s="109"/>
      <c r="AD47" s="109"/>
      <c r="AE47" s="156"/>
      <c r="AF47" s="109"/>
      <c r="AG47" s="109"/>
      <c r="AH47" s="109"/>
      <c r="AI47" s="109"/>
      <c r="AJ47" s="109"/>
      <c r="AK47" s="109"/>
      <c r="AL47" s="109"/>
      <c r="AM47" s="109"/>
      <c r="AN47" s="109"/>
      <c r="AO47" s="109"/>
      <c r="AP47" s="109"/>
      <c r="AQ47" s="109"/>
      <c r="AR47" s="109"/>
      <c r="AS47" s="109"/>
      <c r="AT47" s="109"/>
      <c r="AU47" s="109"/>
      <c r="AV47" s="109"/>
      <c r="AW47" s="109"/>
      <c r="AX47" s="109"/>
      <c r="AY47" s="109"/>
      <c r="AZ47" s="109"/>
      <c r="BA47" s="109"/>
      <c r="BB47" s="109"/>
      <c r="BC47" s="109"/>
      <c r="BD47" s="109"/>
      <c r="BE47" s="109"/>
      <c r="BF47" s="109"/>
      <c r="BG47" s="109"/>
      <c r="BH47" s="109"/>
      <c r="BI47" s="109"/>
      <c r="BJ47" s="109"/>
      <c r="BK47" s="109"/>
      <c r="BL47" s="109"/>
      <c r="BM47" s="109"/>
      <c r="BN47" s="109"/>
      <c r="BO47" s="109"/>
      <c r="BP47" s="109"/>
      <c r="BQ47" s="109"/>
      <c r="BR47" s="109"/>
      <c r="BS47" s="109"/>
      <c r="BT47" s="109"/>
      <c r="BU47" s="109"/>
    </row>
    <row r="48" ht="22.5" customHeight="1">
      <c r="A48" s="90" t="s">
        <v>75</v>
      </c>
      <c r="B48" s="90" t="s">
        <v>141</v>
      </c>
      <c r="C48" s="95">
        <v>2924.0</v>
      </c>
      <c r="D48" s="95">
        <v>2856.0</v>
      </c>
      <c r="E48" s="90" t="s">
        <v>257</v>
      </c>
      <c r="F48" s="90" t="s">
        <v>198</v>
      </c>
      <c r="G48" s="90" t="s">
        <v>211</v>
      </c>
      <c r="H48" s="90"/>
      <c r="I48" s="95" t="s">
        <v>974</v>
      </c>
      <c r="J48" s="98">
        <v>1302683.0</v>
      </c>
      <c r="K48" s="99"/>
      <c r="L48" s="99">
        <f t="shared" si="2"/>
        <v>1302683</v>
      </c>
      <c r="M48" s="102"/>
      <c r="N48" s="90" t="s">
        <v>856</v>
      </c>
      <c r="O48" s="90" t="s">
        <v>142</v>
      </c>
      <c r="P48" s="200"/>
      <c r="Q48" s="201" t="e">
        <v>#N/A</v>
      </c>
      <c r="R48" s="201"/>
      <c r="S48" s="99">
        <f t="shared" si="3"/>
        <v>1302683</v>
      </c>
      <c r="T48" s="109"/>
      <c r="U48" s="109"/>
      <c r="V48" s="109"/>
      <c r="W48" s="109"/>
      <c r="X48" s="109"/>
      <c r="Y48" s="109"/>
      <c r="Z48" s="98"/>
      <c r="AA48" s="109"/>
      <c r="AB48" s="109"/>
      <c r="AC48" s="109"/>
      <c r="AD48" s="109"/>
      <c r="AE48" s="156"/>
      <c r="AF48" s="109"/>
      <c r="AG48" s="109"/>
      <c r="AH48" s="109"/>
      <c r="AI48" s="109"/>
      <c r="AJ48" s="109"/>
      <c r="AK48" s="109"/>
      <c r="AL48" s="109"/>
      <c r="AM48" s="109"/>
      <c r="AN48" s="109"/>
      <c r="AO48" s="109"/>
      <c r="AP48" s="109"/>
      <c r="AQ48" s="109"/>
      <c r="AR48" s="109"/>
      <c r="AS48" s="109"/>
      <c r="AT48" s="109"/>
      <c r="AU48" s="109"/>
      <c r="AV48" s="109"/>
      <c r="AW48" s="109"/>
      <c r="AX48" s="109"/>
      <c r="AY48" s="109"/>
      <c r="AZ48" s="109"/>
      <c r="BA48" s="109"/>
      <c r="BB48" s="109"/>
      <c r="BC48" s="109"/>
      <c r="BD48" s="109"/>
      <c r="BE48" s="109"/>
      <c r="BF48" s="109"/>
      <c r="BG48" s="109"/>
      <c r="BH48" s="109"/>
      <c r="BI48" s="109"/>
      <c r="BJ48" s="109"/>
      <c r="BK48" s="109"/>
      <c r="BL48" s="109"/>
      <c r="BM48" s="109"/>
      <c r="BN48" s="109"/>
      <c r="BO48" s="109"/>
      <c r="BP48" s="109"/>
      <c r="BQ48" s="109"/>
      <c r="BR48" s="109"/>
      <c r="BS48" s="109"/>
      <c r="BT48" s="109"/>
      <c r="BU48" s="109"/>
    </row>
    <row r="49" ht="22.5" customHeight="1">
      <c r="A49" s="90" t="s">
        <v>75</v>
      </c>
      <c r="B49" s="90" t="s">
        <v>141</v>
      </c>
      <c r="C49" s="95">
        <v>2925.0</v>
      </c>
      <c r="D49" s="95">
        <v>3090.0</v>
      </c>
      <c r="E49" s="90" t="s">
        <v>257</v>
      </c>
      <c r="F49" s="90" t="s">
        <v>198</v>
      </c>
      <c r="G49" s="90" t="s">
        <v>211</v>
      </c>
      <c r="H49" s="90"/>
      <c r="I49" s="95" t="s">
        <v>1038</v>
      </c>
      <c r="J49" s="98">
        <v>2019430.0</v>
      </c>
      <c r="K49" s="99"/>
      <c r="L49" s="99">
        <f t="shared" si="2"/>
        <v>2019430</v>
      </c>
      <c r="M49" s="102"/>
      <c r="N49" s="90" t="s">
        <v>1043</v>
      </c>
      <c r="O49" s="90" t="s">
        <v>142</v>
      </c>
      <c r="P49" s="200"/>
      <c r="Q49" s="201" t="e">
        <v>#N/A</v>
      </c>
      <c r="R49" s="201"/>
      <c r="S49" s="99">
        <f t="shared" si="3"/>
        <v>2019430</v>
      </c>
      <c r="T49" s="109"/>
      <c r="U49" s="109"/>
      <c r="V49" s="109"/>
      <c r="W49" s="109"/>
      <c r="X49" s="109"/>
      <c r="Y49" s="109"/>
      <c r="Z49" s="98"/>
      <c r="AA49" s="109"/>
      <c r="AB49" s="109"/>
      <c r="AC49" s="109"/>
      <c r="AD49" s="109"/>
      <c r="AE49" s="156"/>
      <c r="AF49" s="109"/>
      <c r="AG49" s="109"/>
      <c r="AH49" s="109"/>
      <c r="AI49" s="109"/>
      <c r="AJ49" s="109"/>
      <c r="AK49" s="109"/>
      <c r="AL49" s="109"/>
      <c r="AM49" s="109"/>
      <c r="AN49" s="109"/>
      <c r="AO49" s="109"/>
      <c r="AP49" s="109"/>
      <c r="AQ49" s="109"/>
      <c r="AR49" s="109"/>
      <c r="AS49" s="109"/>
      <c r="AT49" s="109"/>
      <c r="AU49" s="109"/>
      <c r="AV49" s="109"/>
      <c r="AW49" s="109"/>
      <c r="AX49" s="109"/>
      <c r="AY49" s="109"/>
      <c r="AZ49" s="109"/>
      <c r="BA49" s="109"/>
      <c r="BB49" s="109"/>
      <c r="BC49" s="109"/>
      <c r="BD49" s="109"/>
      <c r="BE49" s="109"/>
      <c r="BF49" s="109"/>
      <c r="BG49" s="109"/>
      <c r="BH49" s="109"/>
      <c r="BI49" s="109"/>
      <c r="BJ49" s="109"/>
      <c r="BK49" s="109"/>
      <c r="BL49" s="109"/>
      <c r="BM49" s="109"/>
      <c r="BN49" s="109"/>
      <c r="BO49" s="109"/>
      <c r="BP49" s="109"/>
      <c r="BQ49" s="109"/>
      <c r="BR49" s="109"/>
      <c r="BS49" s="109"/>
      <c r="BT49" s="109"/>
      <c r="BU49" s="109"/>
    </row>
    <row r="50" ht="22.5" customHeight="1">
      <c r="A50" s="90" t="s">
        <v>18</v>
      </c>
      <c r="B50" s="90" t="s">
        <v>513</v>
      </c>
      <c r="C50" s="95">
        <v>2947.0</v>
      </c>
      <c r="D50" s="95">
        <v>2867.0</v>
      </c>
      <c r="E50" s="90" t="s">
        <v>321</v>
      </c>
      <c r="F50" s="90" t="s">
        <v>653</v>
      </c>
      <c r="G50" s="90" t="s">
        <v>895</v>
      </c>
      <c r="H50" s="90"/>
      <c r="I50" s="95" t="s">
        <v>1092</v>
      </c>
      <c r="J50" s="98">
        <v>484030.0</v>
      </c>
      <c r="K50" s="99"/>
      <c r="L50" s="99">
        <f t="shared" si="2"/>
        <v>484030</v>
      </c>
      <c r="M50" s="102"/>
      <c r="N50" s="469" t="s">
        <v>1096</v>
      </c>
      <c r="O50" s="90" t="s">
        <v>135</v>
      </c>
      <c r="P50" s="95" t="s">
        <v>1098</v>
      </c>
      <c r="Q50" s="201" t="e">
        <v>#N/A</v>
      </c>
      <c r="R50" s="201"/>
      <c r="S50" s="99">
        <f t="shared" si="3"/>
        <v>484030</v>
      </c>
      <c r="T50" s="109"/>
      <c r="U50" s="109"/>
      <c r="V50" s="109"/>
      <c r="W50" s="109"/>
      <c r="X50" s="109"/>
      <c r="Y50" s="109"/>
      <c r="Z50" s="98"/>
      <c r="AA50" s="109"/>
      <c r="AB50" s="109"/>
      <c r="AC50" s="109"/>
      <c r="AD50" s="109"/>
      <c r="AE50" s="156"/>
      <c r="AF50" s="109"/>
      <c r="AG50" s="109"/>
      <c r="AH50" s="109"/>
      <c r="AI50" s="109"/>
      <c r="AJ50" s="109"/>
      <c r="AK50" s="109"/>
      <c r="AL50" s="109"/>
      <c r="AM50" s="109"/>
      <c r="AN50" s="109"/>
      <c r="AO50" s="109"/>
      <c r="AP50" s="109"/>
      <c r="AQ50" s="109"/>
      <c r="AR50" s="109"/>
      <c r="AS50" s="109"/>
      <c r="AT50" s="109"/>
      <c r="AU50" s="109"/>
      <c r="AV50" s="109"/>
      <c r="AW50" s="109"/>
      <c r="AX50" s="109"/>
      <c r="AY50" s="109"/>
      <c r="AZ50" s="109"/>
      <c r="BA50" s="109"/>
      <c r="BB50" s="109"/>
      <c r="BC50" s="109"/>
      <c r="BD50" s="109"/>
      <c r="BE50" s="109"/>
      <c r="BF50" s="109"/>
      <c r="BG50" s="109"/>
      <c r="BH50" s="109"/>
      <c r="BI50" s="109"/>
      <c r="BJ50" s="109"/>
      <c r="BK50" s="109"/>
      <c r="BL50" s="109"/>
      <c r="BM50" s="109"/>
      <c r="BN50" s="109"/>
      <c r="BO50" s="109"/>
      <c r="BP50" s="109"/>
      <c r="BQ50" s="109"/>
      <c r="BR50" s="109"/>
      <c r="BS50" s="109"/>
      <c r="BT50" s="109"/>
      <c r="BU50" s="109"/>
    </row>
    <row r="51" ht="22.5" customHeight="1">
      <c r="A51" s="90" t="s">
        <v>75</v>
      </c>
      <c r="B51" s="90" t="s">
        <v>141</v>
      </c>
      <c r="C51" s="95">
        <v>3004.0</v>
      </c>
      <c r="D51" s="95">
        <v>2954.0</v>
      </c>
      <c r="E51" s="90" t="s">
        <v>257</v>
      </c>
      <c r="F51" s="90" t="s">
        <v>198</v>
      </c>
      <c r="G51" s="90" t="s">
        <v>211</v>
      </c>
      <c r="H51" s="90"/>
      <c r="I51" s="95" t="s">
        <v>1156</v>
      </c>
      <c r="J51" s="98">
        <v>312730.0</v>
      </c>
      <c r="K51" s="99"/>
      <c r="L51" s="99">
        <f t="shared" si="2"/>
        <v>312730</v>
      </c>
      <c r="M51" s="102"/>
      <c r="N51" s="90" t="s">
        <v>777</v>
      </c>
      <c r="O51" s="90" t="s">
        <v>142</v>
      </c>
      <c r="P51" s="95" t="s">
        <v>1162</v>
      </c>
      <c r="Q51" s="105">
        <v>46136.0</v>
      </c>
      <c r="R51" s="107">
        <v>0.660162037037037</v>
      </c>
      <c r="S51" s="99">
        <f t="shared" si="3"/>
        <v>312730</v>
      </c>
      <c r="T51" s="109"/>
      <c r="U51" s="109"/>
      <c r="V51" s="109"/>
      <c r="W51" s="109"/>
      <c r="X51" s="109"/>
      <c r="Y51" s="109"/>
      <c r="Z51" s="98"/>
      <c r="AA51" s="109"/>
      <c r="AB51" s="109"/>
      <c r="AC51" s="109"/>
      <c r="AD51" s="109"/>
      <c r="AE51" s="156"/>
      <c r="AF51" s="109"/>
      <c r="AG51" s="109"/>
      <c r="AH51" s="109"/>
      <c r="AI51" s="109"/>
      <c r="AJ51" s="109"/>
      <c r="AK51" s="109"/>
      <c r="AL51" s="109"/>
      <c r="AM51" s="109"/>
      <c r="AN51" s="109"/>
      <c r="AO51" s="109"/>
      <c r="AP51" s="109"/>
      <c r="AQ51" s="109"/>
      <c r="AR51" s="109"/>
      <c r="AS51" s="109"/>
      <c r="AT51" s="109"/>
      <c r="AU51" s="109"/>
      <c r="AV51" s="109"/>
      <c r="AW51" s="109"/>
      <c r="AX51" s="109"/>
      <c r="AY51" s="109"/>
      <c r="AZ51" s="109"/>
      <c r="BA51" s="109"/>
      <c r="BB51" s="109"/>
      <c r="BC51" s="109"/>
      <c r="BD51" s="109"/>
      <c r="BE51" s="109"/>
      <c r="BF51" s="109"/>
      <c r="BG51" s="109"/>
      <c r="BH51" s="109"/>
      <c r="BI51" s="109"/>
      <c r="BJ51" s="109"/>
      <c r="BK51" s="109"/>
      <c r="BL51" s="109"/>
      <c r="BM51" s="109"/>
      <c r="BN51" s="109"/>
      <c r="BO51" s="109"/>
      <c r="BP51" s="109"/>
      <c r="BQ51" s="109"/>
      <c r="BR51" s="109"/>
      <c r="BS51" s="109"/>
      <c r="BT51" s="109"/>
      <c r="BU51" s="109"/>
    </row>
    <row r="52" ht="22.5" customHeight="1">
      <c r="A52" s="90" t="s">
        <v>18</v>
      </c>
      <c r="B52" s="90" t="s">
        <v>234</v>
      </c>
      <c r="C52" s="95">
        <v>3108.0</v>
      </c>
      <c r="D52" s="95">
        <v>3008.0</v>
      </c>
      <c r="E52" s="90"/>
      <c r="F52" s="90" t="s">
        <v>290</v>
      </c>
      <c r="G52" s="90"/>
      <c r="H52" s="90"/>
      <c r="I52" s="95" t="s">
        <v>1205</v>
      </c>
      <c r="J52" s="98">
        <v>3388430.0</v>
      </c>
      <c r="K52" s="99"/>
      <c r="L52" s="99">
        <f t="shared" si="2"/>
        <v>3388430</v>
      </c>
      <c r="M52" s="102"/>
      <c r="N52" s="90" t="s">
        <v>205</v>
      </c>
      <c r="O52" s="90" t="s">
        <v>74</v>
      </c>
      <c r="P52" s="95" t="s">
        <v>1207</v>
      </c>
      <c r="Q52" s="105">
        <v>46168.0</v>
      </c>
      <c r="R52" s="105"/>
      <c r="S52" s="99">
        <f t="shared" si="3"/>
        <v>0</v>
      </c>
      <c r="T52" s="109"/>
      <c r="U52" s="109"/>
      <c r="V52" s="109"/>
      <c r="W52" s="109"/>
      <c r="X52" s="109"/>
      <c r="Y52" s="109"/>
      <c r="Z52" s="98"/>
      <c r="AA52" s="109"/>
      <c r="AB52" s="109"/>
      <c r="AC52" s="109"/>
      <c r="AD52" s="109"/>
      <c r="AE52" s="156"/>
      <c r="AF52" s="109"/>
      <c r="AG52" s="109"/>
      <c r="AH52" s="109"/>
      <c r="AI52" s="109"/>
      <c r="AJ52" s="109"/>
      <c r="AK52" s="109"/>
      <c r="AL52" s="109"/>
      <c r="AM52" s="109"/>
      <c r="AN52" s="109">
        <v>3388430.0</v>
      </c>
      <c r="AO52" s="109"/>
      <c r="AP52" s="109"/>
      <c r="AQ52" s="109"/>
      <c r="AR52" s="109"/>
      <c r="AS52" s="109"/>
      <c r="AT52" s="109"/>
      <c r="AU52" s="109"/>
      <c r="AV52" s="109"/>
      <c r="AW52" s="109"/>
      <c r="AX52" s="109"/>
      <c r="AY52" s="109"/>
      <c r="AZ52" s="109"/>
      <c r="BA52" s="109"/>
      <c r="BB52" s="109"/>
      <c r="BC52" s="109"/>
      <c r="BD52" s="109"/>
      <c r="BE52" s="109"/>
      <c r="BF52" s="109"/>
      <c r="BG52" s="109"/>
      <c r="BH52" s="109"/>
      <c r="BI52" s="109"/>
      <c r="BJ52" s="109"/>
      <c r="BK52" s="109"/>
      <c r="BL52" s="109"/>
      <c r="BM52" s="109"/>
      <c r="BN52" s="109"/>
      <c r="BO52" s="109"/>
      <c r="BP52" s="109"/>
      <c r="BQ52" s="109"/>
      <c r="BR52" s="109"/>
      <c r="BS52" s="109"/>
      <c r="BT52" s="109"/>
      <c r="BU52" s="109"/>
    </row>
    <row r="53" ht="22.5" customHeight="1">
      <c r="A53" s="90" t="s">
        <v>18</v>
      </c>
      <c r="B53" s="90" t="s">
        <v>234</v>
      </c>
      <c r="C53" s="95">
        <v>3109.0</v>
      </c>
      <c r="D53" s="95">
        <v>3010.0</v>
      </c>
      <c r="E53" s="90"/>
      <c r="F53" s="90"/>
      <c r="G53" s="90"/>
      <c r="H53" s="90"/>
      <c r="I53" s="95" t="s">
        <v>1208</v>
      </c>
      <c r="J53" s="98">
        <v>2772537.0</v>
      </c>
      <c r="K53" s="99"/>
      <c r="L53" s="99">
        <f t="shared" si="2"/>
        <v>2772537</v>
      </c>
      <c r="M53" s="102"/>
      <c r="N53" s="90" t="s">
        <v>205</v>
      </c>
      <c r="O53" s="90" t="s">
        <v>74</v>
      </c>
      <c r="P53" s="95" t="s">
        <v>1209</v>
      </c>
      <c r="Q53" s="105">
        <v>46168.0</v>
      </c>
      <c r="R53" s="105"/>
      <c r="S53" s="99">
        <f t="shared" si="3"/>
        <v>0</v>
      </c>
      <c r="T53" s="109"/>
      <c r="U53" s="109"/>
      <c r="V53" s="109"/>
      <c r="W53" s="109"/>
      <c r="X53" s="109"/>
      <c r="Y53" s="109"/>
      <c r="Z53" s="98"/>
      <c r="AA53" s="109"/>
      <c r="AB53" s="109"/>
      <c r="AC53" s="109"/>
      <c r="AD53" s="109"/>
      <c r="AE53" s="156"/>
      <c r="AF53" s="109"/>
      <c r="AG53" s="109"/>
      <c r="AH53" s="109"/>
      <c r="AI53" s="109"/>
      <c r="AJ53" s="109"/>
      <c r="AK53" s="109"/>
      <c r="AL53" s="109">
        <v>2772537.0</v>
      </c>
      <c r="AM53" s="109"/>
      <c r="AN53" s="109"/>
      <c r="AO53" s="109"/>
      <c r="AP53" s="109"/>
      <c r="AQ53" s="109"/>
      <c r="AR53" s="109"/>
      <c r="AS53" s="109"/>
      <c r="AT53" s="109"/>
      <c r="AU53" s="109"/>
      <c r="AV53" s="109"/>
      <c r="AW53" s="109"/>
      <c r="AX53" s="109"/>
      <c r="AY53" s="109"/>
      <c r="AZ53" s="109"/>
      <c r="BA53" s="109"/>
      <c r="BB53" s="109"/>
      <c r="BC53" s="109"/>
      <c r="BD53" s="109"/>
      <c r="BE53" s="109"/>
      <c r="BF53" s="109"/>
      <c r="BG53" s="109"/>
      <c r="BH53" s="109"/>
      <c r="BI53" s="109"/>
      <c r="BJ53" s="109"/>
      <c r="BK53" s="109"/>
      <c r="BL53" s="109"/>
      <c r="BM53" s="109"/>
      <c r="BN53" s="109"/>
      <c r="BO53" s="109"/>
      <c r="BP53" s="109"/>
      <c r="BQ53" s="109"/>
      <c r="BR53" s="109"/>
      <c r="BS53" s="109"/>
      <c r="BT53" s="109"/>
      <c r="BU53" s="109"/>
    </row>
    <row r="54" ht="22.5" customHeight="1">
      <c r="A54" s="90" t="s">
        <v>18</v>
      </c>
      <c r="B54" s="90" t="s">
        <v>397</v>
      </c>
      <c r="C54" s="95">
        <v>3123.0</v>
      </c>
      <c r="D54" s="95">
        <v>3011.0</v>
      </c>
      <c r="E54" s="90" t="s">
        <v>244</v>
      </c>
      <c r="F54" s="90" t="s">
        <v>277</v>
      </c>
      <c r="G54" s="90"/>
      <c r="H54" s="90"/>
      <c r="I54" s="95" t="s">
        <v>1210</v>
      </c>
      <c r="J54" s="98">
        <v>8315145.0</v>
      </c>
      <c r="K54" s="99"/>
      <c r="L54" s="99">
        <f t="shared" si="2"/>
        <v>8315145</v>
      </c>
      <c r="M54" s="102"/>
      <c r="N54" s="90" t="s">
        <v>568</v>
      </c>
      <c r="O54" s="90" t="s">
        <v>147</v>
      </c>
      <c r="P54" s="95" t="s">
        <v>1211</v>
      </c>
      <c r="Q54" s="105">
        <v>46139.0</v>
      </c>
      <c r="R54" s="105"/>
      <c r="S54" s="99">
        <f t="shared" si="3"/>
        <v>0</v>
      </c>
      <c r="T54" s="109"/>
      <c r="U54" s="109"/>
      <c r="V54" s="109"/>
      <c r="W54" s="109"/>
      <c r="X54" s="109"/>
      <c r="Y54" s="109"/>
      <c r="Z54" s="98"/>
      <c r="AA54" s="109"/>
      <c r="AB54" s="109"/>
      <c r="AC54" s="109"/>
      <c r="AD54" s="109"/>
      <c r="AE54" s="156"/>
      <c r="AF54" s="109"/>
      <c r="AG54" s="109"/>
      <c r="AH54" s="109"/>
      <c r="AI54" s="109"/>
      <c r="AJ54" s="99">
        <v>8315145.0</v>
      </c>
      <c r="AK54" s="109"/>
      <c r="AL54" s="109"/>
      <c r="AM54" s="109"/>
      <c r="AN54" s="109"/>
      <c r="AO54" s="109"/>
      <c r="AP54" s="109"/>
      <c r="AQ54" s="109"/>
      <c r="AR54" s="109"/>
      <c r="AS54" s="109"/>
      <c r="AT54" s="109"/>
      <c r="AU54" s="109"/>
      <c r="AV54" s="109"/>
      <c r="AW54" s="109"/>
      <c r="AX54" s="109"/>
      <c r="AY54" s="109"/>
      <c r="AZ54" s="109"/>
      <c r="BA54" s="109"/>
      <c r="BB54" s="109"/>
      <c r="BC54" s="109"/>
      <c r="BD54" s="109"/>
      <c r="BE54" s="109"/>
      <c r="BF54" s="109"/>
      <c r="BG54" s="109"/>
      <c r="BH54" s="109"/>
      <c r="BI54" s="109"/>
      <c r="BJ54" s="109"/>
      <c r="BK54" s="109"/>
      <c r="BL54" s="109"/>
      <c r="BM54" s="109"/>
      <c r="BN54" s="109"/>
      <c r="BO54" s="109"/>
      <c r="BP54" s="109"/>
      <c r="BQ54" s="109"/>
      <c r="BR54" s="109"/>
      <c r="BS54" s="109"/>
      <c r="BT54" s="109"/>
      <c r="BU54" s="109"/>
    </row>
    <row r="55" ht="22.5" customHeight="1">
      <c r="A55" s="90" t="s">
        <v>18</v>
      </c>
      <c r="B55" s="90" t="s">
        <v>397</v>
      </c>
      <c r="C55" s="95">
        <v>3126.0</v>
      </c>
      <c r="D55" s="95">
        <v>3645.0</v>
      </c>
      <c r="E55" s="90" t="s">
        <v>244</v>
      </c>
      <c r="F55" s="90" t="s">
        <v>277</v>
      </c>
      <c r="G55" s="90"/>
      <c r="H55" s="90"/>
      <c r="I55" s="95" t="s">
        <v>1213</v>
      </c>
      <c r="J55" s="98">
        <v>4960920.0</v>
      </c>
      <c r="K55" s="99"/>
      <c r="L55" s="99">
        <f t="shared" si="2"/>
        <v>4960920</v>
      </c>
      <c r="M55" s="102"/>
      <c r="N55" s="90" t="s">
        <v>531</v>
      </c>
      <c r="O55" s="90" t="s">
        <v>144</v>
      </c>
      <c r="P55" s="95" t="s">
        <v>1214</v>
      </c>
      <c r="Q55" s="105">
        <v>46160.0</v>
      </c>
      <c r="R55" s="105"/>
      <c r="S55" s="99">
        <f t="shared" si="3"/>
        <v>0</v>
      </c>
      <c r="T55" s="109"/>
      <c r="U55" s="109"/>
      <c r="V55" s="109"/>
      <c r="W55" s="109"/>
      <c r="X55" s="109"/>
      <c r="Y55" s="109"/>
      <c r="Z55" s="98"/>
      <c r="AA55" s="109"/>
      <c r="AB55" s="109"/>
      <c r="AC55" s="109"/>
      <c r="AD55" s="109"/>
      <c r="AE55" s="156"/>
      <c r="AF55" s="109"/>
      <c r="AG55" s="109"/>
      <c r="AH55" s="109"/>
      <c r="AI55" s="109"/>
      <c r="AJ55" s="109"/>
      <c r="AK55" s="109"/>
      <c r="AL55" s="95">
        <v>4960920.0</v>
      </c>
      <c r="AM55" s="109"/>
      <c r="AN55" s="109"/>
      <c r="AO55" s="109"/>
      <c r="AP55" s="109"/>
      <c r="AQ55" s="109"/>
      <c r="AR55" s="109"/>
      <c r="AS55" s="109"/>
      <c r="AT55" s="109"/>
      <c r="AU55" s="109"/>
      <c r="AV55" s="109"/>
      <c r="AW55" s="109"/>
      <c r="AX55" s="109"/>
      <c r="AY55" s="109"/>
      <c r="AZ55" s="109"/>
      <c r="BA55" s="109"/>
      <c r="BB55" s="109"/>
      <c r="BC55" s="109"/>
      <c r="BD55" s="109"/>
      <c r="BE55" s="109"/>
      <c r="BF55" s="109"/>
      <c r="BG55" s="109"/>
      <c r="BH55" s="109"/>
      <c r="BI55" s="109"/>
      <c r="BJ55" s="109"/>
      <c r="BK55" s="109"/>
      <c r="BL55" s="109"/>
      <c r="BM55" s="109"/>
      <c r="BN55" s="109"/>
      <c r="BO55" s="109"/>
      <c r="BP55" s="109"/>
      <c r="BQ55" s="109"/>
      <c r="BR55" s="109"/>
      <c r="BS55" s="109"/>
      <c r="BT55" s="109"/>
      <c r="BU55" s="109"/>
    </row>
    <row r="56" ht="22.5" customHeight="1">
      <c r="A56" s="90" t="s">
        <v>18</v>
      </c>
      <c r="B56" s="90" t="s">
        <v>312</v>
      </c>
      <c r="C56" s="95">
        <v>3231.0</v>
      </c>
      <c r="D56" s="95">
        <v>3119.0</v>
      </c>
      <c r="E56" s="90" t="s">
        <v>244</v>
      </c>
      <c r="F56" s="90" t="s">
        <v>277</v>
      </c>
      <c r="G56" s="90"/>
      <c r="H56" s="90"/>
      <c r="I56" s="95" t="s">
        <v>1215</v>
      </c>
      <c r="J56" s="98">
        <v>8504097.0</v>
      </c>
      <c r="K56" s="99"/>
      <c r="L56" s="99">
        <f t="shared" si="2"/>
        <v>8504097</v>
      </c>
      <c r="M56" s="102"/>
      <c r="N56" s="90" t="s">
        <v>314</v>
      </c>
      <c r="O56" s="90" t="s">
        <v>74</v>
      </c>
      <c r="P56" s="95" t="s">
        <v>1216</v>
      </c>
      <c r="Q56" s="105">
        <v>46146.0</v>
      </c>
      <c r="R56" s="105"/>
      <c r="S56" s="99">
        <f t="shared" si="3"/>
        <v>0</v>
      </c>
      <c r="T56" s="109"/>
      <c r="U56" s="109"/>
      <c r="V56" s="109"/>
      <c r="W56" s="109"/>
      <c r="X56" s="109"/>
      <c r="Y56" s="109"/>
      <c r="Z56" s="98"/>
      <c r="AA56" s="109"/>
      <c r="AB56" s="109"/>
      <c r="AC56" s="109"/>
      <c r="AD56" s="109"/>
      <c r="AE56" s="156"/>
      <c r="AF56" s="109"/>
      <c r="AG56" s="109"/>
      <c r="AH56" s="109"/>
      <c r="AI56" s="109"/>
      <c r="AJ56" s="109"/>
      <c r="AK56" s="109"/>
      <c r="AL56" s="95">
        <v>8504097.0</v>
      </c>
      <c r="AM56" s="109"/>
      <c r="AN56" s="109"/>
      <c r="AO56" s="109"/>
      <c r="AP56" s="109"/>
      <c r="AQ56" s="109"/>
      <c r="AR56" s="109"/>
      <c r="AS56" s="109"/>
      <c r="AT56" s="109"/>
      <c r="AU56" s="109"/>
      <c r="AV56" s="109"/>
      <c r="AW56" s="109"/>
      <c r="AX56" s="109"/>
      <c r="AY56" s="109"/>
      <c r="AZ56" s="109"/>
      <c r="BA56" s="109"/>
      <c r="BB56" s="109"/>
      <c r="BC56" s="109"/>
      <c r="BD56" s="109"/>
      <c r="BE56" s="109"/>
      <c r="BF56" s="109"/>
      <c r="BG56" s="109"/>
      <c r="BH56" s="109"/>
      <c r="BI56" s="109"/>
      <c r="BJ56" s="109"/>
      <c r="BK56" s="109"/>
      <c r="BL56" s="109"/>
      <c r="BM56" s="109"/>
      <c r="BN56" s="109"/>
      <c r="BO56" s="109"/>
      <c r="BP56" s="109"/>
      <c r="BQ56" s="109"/>
      <c r="BR56" s="109"/>
      <c r="BS56" s="109"/>
      <c r="BT56" s="109"/>
      <c r="BU56" s="109"/>
    </row>
    <row r="57" ht="22.5" customHeight="1">
      <c r="A57" s="90" t="s">
        <v>18</v>
      </c>
      <c r="B57" s="90" t="s">
        <v>397</v>
      </c>
      <c r="C57" s="95">
        <v>3234.0</v>
      </c>
      <c r="D57" s="95">
        <v>3082.0</v>
      </c>
      <c r="E57" s="90" t="s">
        <v>219</v>
      </c>
      <c r="F57" s="90" t="s">
        <v>277</v>
      </c>
      <c r="G57" s="90" t="s">
        <v>1217</v>
      </c>
      <c r="H57" s="90"/>
      <c r="I57" s="95" t="s">
        <v>1218</v>
      </c>
      <c r="J57" s="98">
        <v>1000000.0</v>
      </c>
      <c r="K57" s="99"/>
      <c r="L57" s="99">
        <f t="shared" si="2"/>
        <v>1000000</v>
      </c>
      <c r="M57" s="102"/>
      <c r="N57" s="90" t="s">
        <v>1147</v>
      </c>
      <c r="O57" s="90" t="s">
        <v>139</v>
      </c>
      <c r="P57" s="95" t="s">
        <v>1219</v>
      </c>
      <c r="Q57" s="105">
        <v>46182.0</v>
      </c>
      <c r="R57" s="105"/>
      <c r="S57" s="99">
        <f t="shared" si="3"/>
        <v>0</v>
      </c>
      <c r="T57" s="109"/>
      <c r="U57" s="109"/>
      <c r="V57" s="109"/>
      <c r="W57" s="109"/>
      <c r="X57" s="109"/>
      <c r="Y57" s="109"/>
      <c r="Z57" s="98"/>
      <c r="AA57" s="109"/>
      <c r="AB57" s="109"/>
      <c r="AC57" s="109"/>
      <c r="AD57" s="109"/>
      <c r="AE57" s="156"/>
      <c r="AF57" s="109"/>
      <c r="AG57" s="109"/>
      <c r="AH57" s="109"/>
      <c r="AI57" s="109"/>
      <c r="AJ57" s="109"/>
      <c r="AK57" s="109"/>
      <c r="AL57" s="95"/>
      <c r="AM57" s="109"/>
      <c r="AN57" s="109"/>
      <c r="AO57" s="95">
        <v>1000000.0</v>
      </c>
      <c r="AP57" s="109"/>
      <c r="AQ57" s="109"/>
      <c r="AR57" s="109"/>
      <c r="AS57" s="109"/>
      <c r="AT57" s="109"/>
      <c r="AU57" s="109"/>
      <c r="AV57" s="109"/>
      <c r="AW57" s="109"/>
      <c r="AX57" s="109"/>
      <c r="AY57" s="109"/>
      <c r="AZ57" s="109"/>
      <c r="BA57" s="109"/>
      <c r="BB57" s="109"/>
      <c r="BC57" s="109"/>
      <c r="BD57" s="109"/>
      <c r="BE57" s="109"/>
      <c r="BF57" s="109"/>
      <c r="BG57" s="109"/>
      <c r="BH57" s="109"/>
      <c r="BI57" s="109"/>
      <c r="BJ57" s="109"/>
      <c r="BK57" s="109"/>
      <c r="BL57" s="109"/>
      <c r="BM57" s="109"/>
      <c r="BN57" s="109"/>
      <c r="BO57" s="109"/>
      <c r="BP57" s="109"/>
      <c r="BQ57" s="109"/>
      <c r="BR57" s="109"/>
      <c r="BS57" s="109"/>
      <c r="BT57" s="109"/>
      <c r="BU57" s="109"/>
    </row>
    <row r="58" ht="22.5" customHeight="1">
      <c r="A58" s="90" t="s">
        <v>75</v>
      </c>
      <c r="B58" s="90" t="s">
        <v>141</v>
      </c>
      <c r="C58" s="95">
        <v>2925.0</v>
      </c>
      <c r="D58" s="95">
        <v>3090.0</v>
      </c>
      <c r="E58" s="90" t="s">
        <v>261</v>
      </c>
      <c r="F58" s="90" t="s">
        <v>198</v>
      </c>
      <c r="G58" s="90" t="s">
        <v>211</v>
      </c>
      <c r="H58" s="90"/>
      <c r="I58" s="95" t="s">
        <v>1038</v>
      </c>
      <c r="J58" s="98">
        <v>2019430.0</v>
      </c>
      <c r="K58" s="99"/>
      <c r="L58" s="99">
        <f t="shared" si="2"/>
        <v>2019430</v>
      </c>
      <c r="M58" s="102"/>
      <c r="N58" s="469" t="s">
        <v>1203</v>
      </c>
      <c r="O58" s="90" t="s">
        <v>142</v>
      </c>
      <c r="P58" s="200"/>
      <c r="Q58" s="201" t="e">
        <v>#N/A</v>
      </c>
      <c r="R58" s="201"/>
      <c r="S58" s="99">
        <f t="shared" si="3"/>
        <v>0</v>
      </c>
      <c r="T58" s="109"/>
      <c r="U58" s="109"/>
      <c r="V58" s="109"/>
      <c r="W58" s="109"/>
      <c r="X58" s="109"/>
      <c r="Y58" s="109"/>
      <c r="Z58" s="98"/>
      <c r="AA58" s="109"/>
      <c r="AB58" s="109"/>
      <c r="AC58" s="109"/>
      <c r="AD58" s="109"/>
      <c r="AE58" s="156"/>
      <c r="AF58" s="109"/>
      <c r="AG58" s="109"/>
      <c r="AH58" s="109"/>
      <c r="AI58" s="109"/>
      <c r="AJ58" s="109"/>
      <c r="AK58" s="109"/>
      <c r="AL58" s="95"/>
      <c r="AM58" s="109"/>
      <c r="AN58" s="109">
        <v>2019430.0</v>
      </c>
      <c r="AO58" s="95"/>
      <c r="AP58" s="109"/>
      <c r="AQ58" s="109"/>
      <c r="AR58" s="109"/>
      <c r="AS58" s="109"/>
      <c r="AT58" s="109"/>
      <c r="AU58" s="109"/>
      <c r="AV58" s="109"/>
      <c r="AW58" s="109"/>
      <c r="AX58" s="109"/>
      <c r="AY58" s="109"/>
      <c r="AZ58" s="109"/>
      <c r="BA58" s="109"/>
      <c r="BB58" s="109"/>
      <c r="BC58" s="109"/>
      <c r="BD58" s="109"/>
      <c r="BE58" s="109"/>
      <c r="BF58" s="109"/>
      <c r="BG58" s="109"/>
      <c r="BH58" s="109"/>
      <c r="BI58" s="109"/>
      <c r="BJ58" s="109"/>
      <c r="BK58" s="109"/>
      <c r="BL58" s="109"/>
      <c r="BM58" s="109"/>
      <c r="BN58" s="109"/>
      <c r="BO58" s="109"/>
      <c r="BP58" s="109"/>
      <c r="BQ58" s="109"/>
      <c r="BR58" s="109"/>
      <c r="BS58" s="109"/>
      <c r="BT58" s="109"/>
      <c r="BU58" s="109"/>
    </row>
    <row r="59" ht="22.5" customHeight="1">
      <c r="A59" s="90" t="s">
        <v>75</v>
      </c>
      <c r="B59" s="90" t="s">
        <v>141</v>
      </c>
      <c r="C59" s="220">
        <v>3290.0</v>
      </c>
      <c r="D59" s="95"/>
      <c r="E59" s="90" t="s">
        <v>219</v>
      </c>
      <c r="F59" s="90" t="s">
        <v>198</v>
      </c>
      <c r="G59" s="90" t="s">
        <v>211</v>
      </c>
      <c r="H59" s="90"/>
      <c r="I59" s="95" t="s">
        <v>1220</v>
      </c>
      <c r="J59" s="98">
        <v>3685318.0</v>
      </c>
      <c r="K59" s="99"/>
      <c r="L59" s="99">
        <f t="shared" si="2"/>
        <v>3685318</v>
      </c>
      <c r="M59" s="102"/>
      <c r="N59" s="90" t="s">
        <v>303</v>
      </c>
      <c r="O59" s="90" t="s">
        <v>74</v>
      </c>
      <c r="P59" s="200"/>
      <c r="Q59" s="201" t="e">
        <v>#N/A</v>
      </c>
      <c r="R59" s="201"/>
      <c r="S59" s="99">
        <f t="shared" si="3"/>
        <v>0</v>
      </c>
      <c r="T59" s="109"/>
      <c r="U59" s="109"/>
      <c r="V59" s="109"/>
      <c r="W59" s="109"/>
      <c r="X59" s="109"/>
      <c r="Y59" s="109"/>
      <c r="Z59" s="98"/>
      <c r="AA59" s="109"/>
      <c r="AB59" s="109"/>
      <c r="AC59" s="109"/>
      <c r="AD59" s="109"/>
      <c r="AE59" s="156"/>
      <c r="AF59" s="109"/>
      <c r="AG59" s="109"/>
      <c r="AH59" s="109"/>
      <c r="AI59" s="109"/>
      <c r="AJ59" s="109"/>
      <c r="AK59" s="109"/>
      <c r="AL59" s="95"/>
      <c r="AM59" s="109">
        <v>3685318.0</v>
      </c>
      <c r="AN59" s="109"/>
      <c r="AO59" s="95"/>
      <c r="AP59" s="109"/>
      <c r="AQ59" s="109"/>
      <c r="AR59" s="109"/>
      <c r="AS59" s="109"/>
      <c r="AT59" s="109"/>
      <c r="AU59" s="109"/>
      <c r="AV59" s="109"/>
      <c r="AW59" s="109"/>
      <c r="AX59" s="109"/>
      <c r="AY59" s="109"/>
      <c r="AZ59" s="109"/>
      <c r="BA59" s="109"/>
      <c r="BB59" s="109"/>
      <c r="BC59" s="109"/>
      <c r="BD59" s="109"/>
      <c r="BE59" s="109"/>
      <c r="BF59" s="109"/>
      <c r="BG59" s="109"/>
      <c r="BH59" s="109"/>
      <c r="BI59" s="109"/>
      <c r="BJ59" s="109"/>
      <c r="BK59" s="109"/>
      <c r="BL59" s="109"/>
      <c r="BM59" s="109"/>
      <c r="BN59" s="109"/>
      <c r="BO59" s="109"/>
      <c r="BP59" s="109"/>
      <c r="BQ59" s="109"/>
      <c r="BR59" s="109"/>
      <c r="BS59" s="109"/>
      <c r="BT59" s="109"/>
      <c r="BU59" s="109"/>
    </row>
    <row r="60" ht="22.5" customHeight="1">
      <c r="A60" s="90" t="s">
        <v>18</v>
      </c>
      <c r="B60" s="90" t="s">
        <v>234</v>
      </c>
      <c r="C60" s="95">
        <v>3388.0</v>
      </c>
      <c r="D60" s="95">
        <v>3147.0</v>
      </c>
      <c r="E60" s="90"/>
      <c r="F60" s="90"/>
      <c r="G60" s="90"/>
      <c r="H60" s="90"/>
      <c r="I60" s="95" t="s">
        <v>1221</v>
      </c>
      <c r="J60" s="98">
        <v>663760.0</v>
      </c>
      <c r="K60" s="99"/>
      <c r="L60" s="99">
        <f t="shared" si="2"/>
        <v>663760</v>
      </c>
      <c r="M60" s="102"/>
      <c r="N60" s="90" t="s">
        <v>875</v>
      </c>
      <c r="O60" s="90" t="s">
        <v>139</v>
      </c>
      <c r="P60" s="200"/>
      <c r="Q60" s="201" t="e">
        <v>#N/A</v>
      </c>
      <c r="R60" s="201"/>
      <c r="S60" s="99">
        <f t="shared" si="3"/>
        <v>663760</v>
      </c>
      <c r="T60" s="109"/>
      <c r="U60" s="109"/>
      <c r="V60" s="109"/>
      <c r="W60" s="109"/>
      <c r="X60" s="109"/>
      <c r="Y60" s="109"/>
      <c r="Z60" s="98"/>
      <c r="AA60" s="109"/>
      <c r="AB60" s="109"/>
      <c r="AC60" s="109"/>
      <c r="AD60" s="109"/>
      <c r="AE60" s="156"/>
      <c r="AF60" s="109"/>
      <c r="AG60" s="109"/>
      <c r="AH60" s="109"/>
      <c r="AI60" s="109"/>
      <c r="AJ60" s="109"/>
      <c r="AK60" s="109"/>
      <c r="AL60" s="95"/>
      <c r="AM60" s="109"/>
      <c r="AN60" s="109"/>
      <c r="AO60" s="95"/>
      <c r="AP60" s="109"/>
      <c r="AQ60" s="109"/>
      <c r="AR60" s="109"/>
      <c r="AS60" s="109"/>
      <c r="AT60" s="109"/>
      <c r="AU60" s="109"/>
      <c r="AV60" s="109"/>
      <c r="AW60" s="109"/>
      <c r="AX60" s="109"/>
      <c r="AY60" s="109"/>
      <c r="AZ60" s="109"/>
      <c r="BA60" s="109"/>
      <c r="BB60" s="109"/>
      <c r="BC60" s="109"/>
      <c r="BD60" s="109"/>
      <c r="BE60" s="109"/>
      <c r="BF60" s="109"/>
      <c r="BG60" s="109"/>
      <c r="BH60" s="109"/>
      <c r="BI60" s="109"/>
      <c r="BJ60" s="109"/>
      <c r="BK60" s="109"/>
      <c r="BL60" s="109"/>
      <c r="BM60" s="109"/>
      <c r="BN60" s="109"/>
      <c r="BO60" s="109"/>
      <c r="BP60" s="109"/>
      <c r="BQ60" s="109"/>
      <c r="BR60" s="109"/>
      <c r="BS60" s="109"/>
      <c r="BT60" s="109"/>
      <c r="BU60" s="109"/>
    </row>
    <row r="61" ht="22.5" customHeight="1">
      <c r="A61" s="90" t="s">
        <v>18</v>
      </c>
      <c r="B61" s="90" t="s">
        <v>234</v>
      </c>
      <c r="C61" s="95">
        <v>3397.0</v>
      </c>
      <c r="D61" s="95">
        <v>3149.0</v>
      </c>
      <c r="E61" s="90"/>
      <c r="F61" s="90"/>
      <c r="G61" s="90"/>
      <c r="H61" s="90"/>
      <c r="I61" s="95" t="s">
        <v>1221</v>
      </c>
      <c r="J61" s="98">
        <v>683812.0</v>
      </c>
      <c r="K61" s="99"/>
      <c r="L61" s="99">
        <f t="shared" si="2"/>
        <v>683812</v>
      </c>
      <c r="M61" s="102"/>
      <c r="N61" s="90" t="s">
        <v>875</v>
      </c>
      <c r="O61" s="90" t="s">
        <v>139</v>
      </c>
      <c r="P61" s="200"/>
      <c r="Q61" s="201" t="e">
        <v>#N/A</v>
      </c>
      <c r="R61" s="201"/>
      <c r="S61" s="99">
        <f t="shared" si="3"/>
        <v>683812</v>
      </c>
      <c r="T61" s="109"/>
      <c r="U61" s="109"/>
      <c r="V61" s="109"/>
      <c r="W61" s="109"/>
      <c r="X61" s="109"/>
      <c r="Y61" s="109"/>
      <c r="Z61" s="98"/>
      <c r="AA61" s="109"/>
      <c r="AB61" s="109"/>
      <c r="AC61" s="109"/>
      <c r="AD61" s="109"/>
      <c r="AE61" s="156"/>
      <c r="AF61" s="109"/>
      <c r="AG61" s="109"/>
      <c r="AH61" s="109"/>
      <c r="AI61" s="109"/>
      <c r="AJ61" s="109"/>
      <c r="AK61" s="109"/>
      <c r="AL61" s="95"/>
      <c r="AM61" s="109"/>
      <c r="AN61" s="109"/>
      <c r="AO61" s="95"/>
      <c r="AP61" s="109"/>
      <c r="AQ61" s="109"/>
      <c r="AR61" s="109"/>
      <c r="AS61" s="109"/>
      <c r="AT61" s="109"/>
      <c r="AU61" s="109"/>
      <c r="AV61" s="109"/>
      <c r="AW61" s="109"/>
      <c r="AX61" s="109"/>
      <c r="AY61" s="109"/>
      <c r="AZ61" s="109"/>
      <c r="BA61" s="109"/>
      <c r="BB61" s="109"/>
      <c r="BC61" s="109"/>
      <c r="BD61" s="109"/>
      <c r="BE61" s="109"/>
      <c r="BF61" s="109"/>
      <c r="BG61" s="109"/>
      <c r="BH61" s="109"/>
      <c r="BI61" s="109"/>
      <c r="BJ61" s="109"/>
      <c r="BK61" s="109"/>
      <c r="BL61" s="109"/>
      <c r="BM61" s="109"/>
      <c r="BN61" s="109"/>
      <c r="BO61" s="109"/>
      <c r="BP61" s="109"/>
      <c r="BQ61" s="109"/>
      <c r="BR61" s="109"/>
      <c r="BS61" s="109"/>
      <c r="BT61" s="109"/>
      <c r="BU61" s="109"/>
    </row>
    <row r="62" ht="22.5" customHeight="1">
      <c r="A62" s="90" t="s">
        <v>18</v>
      </c>
      <c r="B62" s="90" t="s">
        <v>243</v>
      </c>
      <c r="C62" s="95">
        <v>3527.0</v>
      </c>
      <c r="D62" s="95">
        <v>3332.0</v>
      </c>
      <c r="E62" s="90"/>
      <c r="F62" s="90"/>
      <c r="G62" s="90"/>
      <c r="H62" s="90"/>
      <c r="I62" s="95" t="s">
        <v>1222</v>
      </c>
      <c r="J62" s="98">
        <v>1.4669999E7</v>
      </c>
      <c r="K62" s="99"/>
      <c r="L62" s="99">
        <f t="shared" si="2"/>
        <v>14669999</v>
      </c>
      <c r="M62" s="102"/>
      <c r="N62" s="90" t="s">
        <v>145</v>
      </c>
      <c r="O62" s="90" t="s">
        <v>147</v>
      </c>
      <c r="P62" s="95" t="s">
        <v>1223</v>
      </c>
      <c r="Q62" s="201" t="e">
        <v>#N/A</v>
      </c>
      <c r="R62" s="201"/>
      <c r="S62" s="99">
        <f t="shared" si="3"/>
        <v>0</v>
      </c>
      <c r="T62" s="109"/>
      <c r="U62" s="109"/>
      <c r="V62" s="109"/>
      <c r="W62" s="109"/>
      <c r="X62" s="109"/>
      <c r="Y62" s="109"/>
      <c r="Z62" s="98"/>
      <c r="AA62" s="109"/>
      <c r="AB62" s="109"/>
      <c r="AC62" s="109"/>
      <c r="AD62" s="109"/>
      <c r="AE62" s="156"/>
      <c r="AF62" s="109"/>
      <c r="AG62" s="109"/>
      <c r="AH62" s="109"/>
      <c r="AI62" s="109"/>
      <c r="AJ62" s="109"/>
      <c r="AK62" s="109"/>
      <c r="AL62" s="95"/>
      <c r="AM62" s="109"/>
      <c r="AN62" s="99">
        <v>1.4669999E7</v>
      </c>
      <c r="AO62" s="95"/>
      <c r="AP62" s="109"/>
      <c r="AQ62" s="109"/>
      <c r="AR62" s="109"/>
      <c r="AS62" s="109"/>
      <c r="AT62" s="109"/>
      <c r="AU62" s="109"/>
      <c r="AV62" s="109"/>
      <c r="AW62" s="109"/>
      <c r="AX62" s="109"/>
      <c r="AY62" s="109"/>
      <c r="AZ62" s="109"/>
      <c r="BA62" s="109"/>
      <c r="BB62" s="109"/>
      <c r="BC62" s="109"/>
      <c r="BD62" s="109"/>
      <c r="BE62" s="109"/>
      <c r="BF62" s="109"/>
      <c r="BG62" s="109"/>
      <c r="BH62" s="109"/>
      <c r="BI62" s="109"/>
      <c r="BJ62" s="109"/>
      <c r="BK62" s="109"/>
      <c r="BL62" s="109"/>
      <c r="BM62" s="109"/>
      <c r="BN62" s="109"/>
      <c r="BO62" s="109"/>
      <c r="BP62" s="109"/>
      <c r="BQ62" s="109"/>
      <c r="BR62" s="109"/>
      <c r="BS62" s="109"/>
      <c r="BT62" s="109"/>
      <c r="BU62" s="109"/>
    </row>
    <row r="63" ht="22.5" customHeight="1">
      <c r="A63" s="90" t="s">
        <v>75</v>
      </c>
      <c r="B63" s="90" t="s">
        <v>141</v>
      </c>
      <c r="C63" s="95">
        <v>3477.0</v>
      </c>
      <c r="D63" s="95">
        <v>3296.0</v>
      </c>
      <c r="E63" s="90" t="s">
        <v>219</v>
      </c>
      <c r="F63" s="90" t="s">
        <v>198</v>
      </c>
      <c r="G63" s="90" t="s">
        <v>211</v>
      </c>
      <c r="H63" s="90"/>
      <c r="I63" s="95" t="s">
        <v>1224</v>
      </c>
      <c r="J63" s="98">
        <v>78000.0</v>
      </c>
      <c r="K63" s="99"/>
      <c r="L63" s="99">
        <f t="shared" si="2"/>
        <v>78000</v>
      </c>
      <c r="M63" s="102"/>
      <c r="N63" s="90" t="s">
        <v>777</v>
      </c>
      <c r="O63" s="90" t="s">
        <v>142</v>
      </c>
      <c r="P63" s="95" t="s">
        <v>1225</v>
      </c>
      <c r="Q63" s="226" t="e">
        <v>#N/A</v>
      </c>
      <c r="R63" s="226"/>
      <c r="S63" s="99">
        <f t="shared" si="3"/>
        <v>0</v>
      </c>
      <c r="T63" s="109"/>
      <c r="U63" s="109"/>
      <c r="V63" s="109"/>
      <c r="W63" s="109"/>
      <c r="X63" s="109"/>
      <c r="Y63" s="109"/>
      <c r="Z63" s="98"/>
      <c r="AA63" s="109"/>
      <c r="AB63" s="109"/>
      <c r="AC63" s="109"/>
      <c r="AD63" s="109"/>
      <c r="AE63" s="156"/>
      <c r="AF63" s="109"/>
      <c r="AG63" s="109"/>
      <c r="AH63" s="109"/>
      <c r="AI63" s="109"/>
      <c r="AJ63" s="109"/>
      <c r="AK63" s="109"/>
      <c r="AL63" s="95"/>
      <c r="AM63" s="109"/>
      <c r="AN63" s="109"/>
      <c r="AO63" s="95"/>
      <c r="AP63" s="109"/>
      <c r="AQ63" s="109"/>
      <c r="AR63" s="109"/>
      <c r="AS63" s="109">
        <v>78000.0</v>
      </c>
      <c r="AT63" s="109"/>
      <c r="AU63" s="109"/>
      <c r="AV63" s="109"/>
      <c r="AW63" s="109"/>
      <c r="AX63" s="109"/>
      <c r="AY63" s="109"/>
      <c r="AZ63" s="109"/>
      <c r="BA63" s="109"/>
      <c r="BB63" s="109"/>
      <c r="BC63" s="109"/>
      <c r="BD63" s="109"/>
      <c r="BE63" s="109"/>
      <c r="BF63" s="109"/>
      <c r="BG63" s="109"/>
      <c r="BH63" s="109"/>
      <c r="BI63" s="109"/>
      <c r="BJ63" s="109"/>
      <c r="BK63" s="109"/>
      <c r="BL63" s="109"/>
      <c r="BM63" s="109"/>
      <c r="BN63" s="109"/>
      <c r="BO63" s="109"/>
      <c r="BP63" s="109"/>
      <c r="BQ63" s="109"/>
      <c r="BR63" s="109"/>
      <c r="BS63" s="109"/>
      <c r="BT63" s="109"/>
      <c r="BU63" s="109"/>
    </row>
    <row r="64" ht="22.5" customHeight="1">
      <c r="A64" s="90" t="s">
        <v>75</v>
      </c>
      <c r="B64" s="90" t="s">
        <v>141</v>
      </c>
      <c r="C64" s="95">
        <v>3597.0</v>
      </c>
      <c r="D64" s="95">
        <v>3405.0</v>
      </c>
      <c r="E64" s="90" t="s">
        <v>219</v>
      </c>
      <c r="F64" s="90" t="s">
        <v>198</v>
      </c>
      <c r="G64" s="90" t="s">
        <v>211</v>
      </c>
      <c r="H64" s="90"/>
      <c r="I64" s="95" t="s">
        <v>1226</v>
      </c>
      <c r="J64" s="98">
        <v>493850.0</v>
      </c>
      <c r="K64" s="99"/>
      <c r="L64" s="99">
        <f t="shared" si="2"/>
        <v>493850</v>
      </c>
      <c r="M64" s="102"/>
      <c r="N64" s="90" t="s">
        <v>233</v>
      </c>
      <c r="O64" s="90" t="s">
        <v>142</v>
      </c>
      <c r="P64" s="95" t="s">
        <v>1227</v>
      </c>
      <c r="Q64" s="105">
        <v>46175.0</v>
      </c>
      <c r="R64" s="105"/>
      <c r="S64" s="99">
        <f t="shared" si="3"/>
        <v>0</v>
      </c>
      <c r="T64" s="109"/>
      <c r="U64" s="109"/>
      <c r="V64" s="109"/>
      <c r="W64" s="109"/>
      <c r="X64" s="109"/>
      <c r="Y64" s="109"/>
      <c r="Z64" s="98"/>
      <c r="AA64" s="109"/>
      <c r="AB64" s="109"/>
      <c r="AC64" s="109"/>
      <c r="AD64" s="109"/>
      <c r="AE64" s="156"/>
      <c r="AF64" s="109"/>
      <c r="AG64" s="109"/>
      <c r="AH64" s="109"/>
      <c r="AI64" s="109"/>
      <c r="AJ64" s="109"/>
      <c r="AK64" s="109"/>
      <c r="AL64" s="95"/>
      <c r="AM64" s="109"/>
      <c r="AN64" s="109">
        <v>493850.0</v>
      </c>
      <c r="AO64" s="95"/>
      <c r="AP64" s="109"/>
      <c r="AQ64" s="109"/>
      <c r="AR64" s="109"/>
      <c r="AS64" s="109"/>
      <c r="AT64" s="109"/>
      <c r="AU64" s="109"/>
      <c r="AV64" s="109"/>
      <c r="AW64" s="109"/>
      <c r="AX64" s="109"/>
      <c r="AY64" s="109"/>
      <c r="AZ64" s="109"/>
      <c r="BA64" s="109"/>
      <c r="BB64" s="109"/>
      <c r="BC64" s="109"/>
      <c r="BD64" s="109"/>
      <c r="BE64" s="109"/>
      <c r="BF64" s="109"/>
      <c r="BG64" s="109"/>
      <c r="BH64" s="109"/>
      <c r="BI64" s="109"/>
      <c r="BJ64" s="109"/>
      <c r="BK64" s="109"/>
      <c r="BL64" s="109"/>
      <c r="BM64" s="109"/>
      <c r="BN64" s="109"/>
      <c r="BO64" s="109"/>
      <c r="BP64" s="109"/>
      <c r="BQ64" s="109"/>
      <c r="BR64" s="109"/>
      <c r="BS64" s="109"/>
      <c r="BT64" s="109"/>
      <c r="BU64" s="109"/>
    </row>
    <row r="65" ht="22.5" customHeight="1">
      <c r="A65" s="90" t="s">
        <v>18</v>
      </c>
      <c r="B65" s="90" t="s">
        <v>194</v>
      </c>
      <c r="C65" s="95">
        <v>3610.0</v>
      </c>
      <c r="D65" s="95">
        <v>3416.0</v>
      </c>
      <c r="E65" s="90" t="s">
        <v>219</v>
      </c>
      <c r="F65" s="90" t="s">
        <v>245</v>
      </c>
      <c r="G65" s="90"/>
      <c r="H65" s="90"/>
      <c r="I65" s="95" t="s">
        <v>1229</v>
      </c>
      <c r="J65" s="98">
        <v>2648916.0</v>
      </c>
      <c r="K65" s="99"/>
      <c r="L65" s="99">
        <f t="shared" si="2"/>
        <v>2648916</v>
      </c>
      <c r="M65" s="102"/>
      <c r="N65" s="90" t="s">
        <v>519</v>
      </c>
      <c r="O65" s="90" t="s">
        <v>135</v>
      </c>
      <c r="P65" s="95" t="s">
        <v>1230</v>
      </c>
      <c r="Q65" s="105">
        <v>46162.0</v>
      </c>
      <c r="R65" s="105"/>
      <c r="S65" s="99">
        <f t="shared" si="3"/>
        <v>0</v>
      </c>
      <c r="T65" s="109"/>
      <c r="U65" s="109"/>
      <c r="V65" s="109"/>
      <c r="W65" s="109"/>
      <c r="X65" s="109"/>
      <c r="Y65" s="109"/>
      <c r="Z65" s="98"/>
      <c r="AA65" s="109"/>
      <c r="AB65" s="109"/>
      <c r="AC65" s="109"/>
      <c r="AD65" s="109"/>
      <c r="AE65" s="156"/>
      <c r="AF65" s="109"/>
      <c r="AG65" s="109"/>
      <c r="AH65" s="109"/>
      <c r="AI65" s="109"/>
      <c r="AJ65" s="109"/>
      <c r="AK65" s="109"/>
      <c r="AL65" s="95"/>
      <c r="AM65" s="99">
        <v>2648916.0</v>
      </c>
      <c r="AN65" s="109"/>
      <c r="AO65" s="95"/>
      <c r="AP65" s="109"/>
      <c r="AQ65" s="109"/>
      <c r="AR65" s="109"/>
      <c r="AS65" s="109"/>
      <c r="AT65" s="109"/>
      <c r="AU65" s="109"/>
      <c r="AV65" s="109"/>
      <c r="AW65" s="109"/>
      <c r="AX65" s="109"/>
      <c r="AY65" s="109"/>
      <c r="AZ65" s="109"/>
      <c r="BA65" s="109"/>
      <c r="BB65" s="109"/>
      <c r="BC65" s="109"/>
      <c r="BD65" s="109"/>
      <c r="BE65" s="109"/>
      <c r="BF65" s="109"/>
      <c r="BG65" s="109"/>
      <c r="BH65" s="109"/>
      <c r="BI65" s="109"/>
      <c r="BJ65" s="109"/>
      <c r="BK65" s="109"/>
      <c r="BL65" s="109"/>
      <c r="BM65" s="109"/>
      <c r="BN65" s="109"/>
      <c r="BO65" s="109"/>
      <c r="BP65" s="109"/>
      <c r="BQ65" s="109"/>
      <c r="BR65" s="109"/>
      <c r="BS65" s="109"/>
      <c r="BT65" s="109"/>
      <c r="BU65" s="109"/>
    </row>
    <row r="66" ht="22.5" customHeight="1">
      <c r="A66" s="90" t="s">
        <v>18</v>
      </c>
      <c r="B66" s="90" t="s">
        <v>194</v>
      </c>
      <c r="C66" s="95">
        <v>3677.0</v>
      </c>
      <c r="D66" s="95">
        <v>3520.0</v>
      </c>
      <c r="E66" s="90" t="s">
        <v>197</v>
      </c>
      <c r="F66" s="90" t="s">
        <v>588</v>
      </c>
      <c r="G66" s="90"/>
      <c r="H66" s="90"/>
      <c r="I66" s="95" t="s">
        <v>1232</v>
      </c>
      <c r="J66" s="98">
        <v>1011500.0</v>
      </c>
      <c r="K66" s="99"/>
      <c r="L66" s="99">
        <f t="shared" si="2"/>
        <v>1011500</v>
      </c>
      <c r="M66" s="102"/>
      <c r="N66" s="90" t="s">
        <v>1076</v>
      </c>
      <c r="O66" s="90" t="s">
        <v>147</v>
      </c>
      <c r="P66" s="95" t="s">
        <v>1233</v>
      </c>
      <c r="Q66" s="105">
        <v>46160.0</v>
      </c>
      <c r="R66" s="105"/>
      <c r="S66" s="99">
        <f t="shared" si="3"/>
        <v>0</v>
      </c>
      <c r="T66" s="109"/>
      <c r="U66" s="109"/>
      <c r="V66" s="109"/>
      <c r="W66" s="109"/>
      <c r="X66" s="109"/>
      <c r="Y66" s="109"/>
      <c r="Z66" s="98"/>
      <c r="AA66" s="109"/>
      <c r="AB66" s="109"/>
      <c r="AC66" s="109"/>
      <c r="AD66" s="109"/>
      <c r="AE66" s="156"/>
      <c r="AF66" s="109"/>
      <c r="AG66" s="109"/>
      <c r="AH66" s="109"/>
      <c r="AI66" s="109"/>
      <c r="AJ66" s="109"/>
      <c r="AK66" s="109"/>
      <c r="AL66" s="95"/>
      <c r="AM66" s="99">
        <v>1011500.0</v>
      </c>
      <c r="AN66" s="109"/>
      <c r="AO66" s="95"/>
      <c r="AP66" s="109"/>
      <c r="AQ66" s="109"/>
      <c r="AR66" s="109"/>
      <c r="AS66" s="109"/>
      <c r="AT66" s="109"/>
      <c r="AU66" s="109"/>
      <c r="AV66" s="109"/>
      <c r="AW66" s="109"/>
      <c r="AX66" s="109"/>
      <c r="AY66" s="109"/>
      <c r="AZ66" s="109"/>
      <c r="BA66" s="109"/>
      <c r="BB66" s="109"/>
      <c r="BC66" s="109"/>
      <c r="BD66" s="109"/>
      <c r="BE66" s="109"/>
      <c r="BF66" s="109"/>
      <c r="BG66" s="109"/>
      <c r="BH66" s="109"/>
      <c r="BI66" s="109"/>
      <c r="BJ66" s="109"/>
      <c r="BK66" s="109"/>
      <c r="BL66" s="109"/>
      <c r="BM66" s="109"/>
      <c r="BN66" s="109"/>
      <c r="BO66" s="109"/>
      <c r="BP66" s="109"/>
      <c r="BQ66" s="109"/>
      <c r="BR66" s="109"/>
      <c r="BS66" s="109"/>
      <c r="BT66" s="109"/>
      <c r="BU66" s="109"/>
    </row>
    <row r="67" ht="22.5" customHeight="1">
      <c r="A67" s="90" t="s">
        <v>75</v>
      </c>
      <c r="B67" s="90" t="s">
        <v>141</v>
      </c>
      <c r="C67" s="95">
        <v>3796.0</v>
      </c>
      <c r="D67" s="95">
        <v>3647.0</v>
      </c>
      <c r="E67" s="90" t="s">
        <v>219</v>
      </c>
      <c r="F67" s="90" t="s">
        <v>198</v>
      </c>
      <c r="G67" s="90" t="s">
        <v>211</v>
      </c>
      <c r="H67" s="90"/>
      <c r="I67" s="95" t="s">
        <v>1234</v>
      </c>
      <c r="J67" s="98">
        <v>821100.0</v>
      </c>
      <c r="K67" s="99"/>
      <c r="L67" s="99">
        <f t="shared" si="2"/>
        <v>821100</v>
      </c>
      <c r="M67" s="102"/>
      <c r="N67" s="90" t="s">
        <v>999</v>
      </c>
      <c r="O67" s="90" t="s">
        <v>74</v>
      </c>
      <c r="P67" s="95" t="s">
        <v>1235</v>
      </c>
      <c r="Q67" s="226" t="e">
        <v>#N/A</v>
      </c>
      <c r="R67" s="226"/>
      <c r="S67" s="99">
        <f t="shared" si="3"/>
        <v>0</v>
      </c>
      <c r="T67" s="109"/>
      <c r="U67" s="109"/>
      <c r="V67" s="109"/>
      <c r="W67" s="109"/>
      <c r="X67" s="109"/>
      <c r="Y67" s="109"/>
      <c r="Z67" s="98"/>
      <c r="AA67" s="109"/>
      <c r="AB67" s="109"/>
      <c r="AC67" s="109"/>
      <c r="AD67" s="109"/>
      <c r="AE67" s="156"/>
      <c r="AF67" s="109"/>
      <c r="AG67" s="109"/>
      <c r="AH67" s="109"/>
      <c r="AI67" s="109"/>
      <c r="AJ67" s="109"/>
      <c r="AK67" s="109"/>
      <c r="AL67" s="95"/>
      <c r="AM67" s="99">
        <v>821100.0</v>
      </c>
      <c r="AN67" s="109"/>
      <c r="AO67" s="95"/>
      <c r="AP67" s="109"/>
      <c r="AQ67" s="109"/>
      <c r="AR67" s="109"/>
      <c r="AS67" s="109"/>
      <c r="AT67" s="109"/>
      <c r="AU67" s="109"/>
      <c r="AV67" s="109"/>
      <c r="AW67" s="109"/>
      <c r="AX67" s="109"/>
      <c r="AY67" s="109"/>
      <c r="AZ67" s="109"/>
      <c r="BA67" s="109"/>
      <c r="BB67" s="109"/>
      <c r="BC67" s="109"/>
      <c r="BD67" s="109"/>
      <c r="BE67" s="109"/>
      <c r="BF67" s="109"/>
      <c r="BG67" s="109"/>
      <c r="BH67" s="109"/>
      <c r="BI67" s="109"/>
      <c r="BJ67" s="109"/>
      <c r="BK67" s="109"/>
      <c r="BL67" s="109"/>
      <c r="BM67" s="109"/>
      <c r="BN67" s="109"/>
      <c r="BO67" s="109"/>
      <c r="BP67" s="109"/>
      <c r="BQ67" s="109"/>
      <c r="BR67" s="109"/>
      <c r="BS67" s="109"/>
      <c r="BT67" s="109"/>
      <c r="BU67" s="109"/>
    </row>
    <row r="68" ht="22.5" customHeight="1">
      <c r="A68" s="90" t="s">
        <v>75</v>
      </c>
      <c r="B68" s="90" t="s">
        <v>141</v>
      </c>
      <c r="C68" s="95">
        <v>3854.0</v>
      </c>
      <c r="D68" s="95">
        <v>3661.0</v>
      </c>
      <c r="E68" s="90" t="s">
        <v>197</v>
      </c>
      <c r="F68" s="90" t="s">
        <v>646</v>
      </c>
      <c r="G68" s="90" t="s">
        <v>211</v>
      </c>
      <c r="H68" s="90"/>
      <c r="I68" s="95" t="s">
        <v>1237</v>
      </c>
      <c r="J68" s="98">
        <v>86882.0</v>
      </c>
      <c r="K68" s="99"/>
      <c r="L68" s="99">
        <f t="shared" si="2"/>
        <v>86882</v>
      </c>
      <c r="M68" s="102"/>
      <c r="N68" s="90" t="s">
        <v>1206</v>
      </c>
      <c r="O68" s="90" t="s">
        <v>147</v>
      </c>
      <c r="P68" s="95" t="s">
        <v>1238</v>
      </c>
      <c r="Q68" s="105">
        <v>46170.0</v>
      </c>
      <c r="R68" s="105"/>
      <c r="S68" s="99">
        <f t="shared" si="3"/>
        <v>0</v>
      </c>
      <c r="T68" s="109"/>
      <c r="U68" s="109"/>
      <c r="V68" s="109"/>
      <c r="W68" s="109"/>
      <c r="X68" s="109"/>
      <c r="Y68" s="109"/>
      <c r="Z68" s="98"/>
      <c r="AA68" s="109"/>
      <c r="AB68" s="109"/>
      <c r="AC68" s="109"/>
      <c r="AD68" s="109"/>
      <c r="AE68" s="156"/>
      <c r="AF68" s="109"/>
      <c r="AG68" s="109"/>
      <c r="AH68" s="109"/>
      <c r="AI68" s="109"/>
      <c r="AJ68" s="109"/>
      <c r="AK68" s="109"/>
      <c r="AL68" s="95"/>
      <c r="AM68" s="99"/>
      <c r="AN68" s="109">
        <v>86882.0</v>
      </c>
      <c r="AO68" s="95"/>
      <c r="AP68" s="109"/>
      <c r="AQ68" s="109"/>
      <c r="AR68" s="109"/>
      <c r="AS68" s="109"/>
      <c r="AT68" s="109"/>
      <c r="AU68" s="109"/>
      <c r="AV68" s="109"/>
      <c r="AW68" s="109"/>
      <c r="AX68" s="109"/>
      <c r="AY68" s="109"/>
      <c r="AZ68" s="109"/>
      <c r="BA68" s="109"/>
      <c r="BB68" s="109"/>
      <c r="BC68" s="109"/>
      <c r="BD68" s="109"/>
      <c r="BE68" s="109"/>
      <c r="BF68" s="109"/>
      <c r="BG68" s="109"/>
      <c r="BH68" s="109"/>
      <c r="BI68" s="109"/>
      <c r="BJ68" s="109"/>
      <c r="BK68" s="109"/>
      <c r="BL68" s="109"/>
      <c r="BM68" s="109"/>
      <c r="BN68" s="109"/>
      <c r="BO68" s="109"/>
      <c r="BP68" s="109"/>
      <c r="BQ68" s="109"/>
      <c r="BR68" s="109"/>
      <c r="BS68" s="109"/>
      <c r="BT68" s="109"/>
      <c r="BU68" s="109"/>
    </row>
    <row r="69" ht="22.5" customHeight="1">
      <c r="A69" s="90" t="s">
        <v>75</v>
      </c>
      <c r="B69" s="90" t="s">
        <v>141</v>
      </c>
      <c r="C69" s="95">
        <v>3943.0</v>
      </c>
      <c r="D69" s="95">
        <v>3758.0</v>
      </c>
      <c r="E69" s="90" t="s">
        <v>197</v>
      </c>
      <c r="F69" s="90" t="s">
        <v>646</v>
      </c>
      <c r="G69" s="90" t="s">
        <v>211</v>
      </c>
      <c r="H69" s="90"/>
      <c r="I69" s="95" t="s">
        <v>1239</v>
      </c>
      <c r="J69" s="98">
        <v>1.749776E7</v>
      </c>
      <c r="K69" s="99"/>
      <c r="L69" s="99">
        <f t="shared" si="2"/>
        <v>17497760</v>
      </c>
      <c r="M69" s="102"/>
      <c r="N69" s="90" t="s">
        <v>145</v>
      </c>
      <c r="O69" s="90" t="s">
        <v>649</v>
      </c>
      <c r="P69" s="200"/>
      <c r="Q69" s="201" t="e">
        <v>#N/A</v>
      </c>
      <c r="R69" s="201"/>
      <c r="S69" s="99">
        <f t="shared" si="3"/>
        <v>0</v>
      </c>
      <c r="T69" s="109"/>
      <c r="U69" s="109"/>
      <c r="V69" s="109"/>
      <c r="W69" s="109"/>
      <c r="X69" s="109"/>
      <c r="Y69" s="109"/>
      <c r="Z69" s="98"/>
      <c r="AA69" s="109"/>
      <c r="AB69" s="109"/>
      <c r="AC69" s="109"/>
      <c r="AD69" s="109"/>
      <c r="AE69" s="156"/>
      <c r="AF69" s="109"/>
      <c r="AG69" s="109"/>
      <c r="AH69" s="109"/>
      <c r="AI69" s="109"/>
      <c r="AJ69" s="109"/>
      <c r="AK69" s="109"/>
      <c r="AL69" s="95"/>
      <c r="AM69" s="99"/>
      <c r="AN69" s="109"/>
      <c r="AO69" s="99"/>
      <c r="AP69" s="99"/>
      <c r="AQ69" s="109"/>
      <c r="AR69" s="109"/>
      <c r="AS69" s="109"/>
      <c r="AT69" s="109"/>
      <c r="AU69" s="99"/>
      <c r="AV69" s="99"/>
      <c r="AW69" s="99">
        <v>1.749776E7</v>
      </c>
      <c r="AX69" s="109"/>
      <c r="AY69" s="109"/>
      <c r="AZ69" s="109"/>
      <c r="BA69" s="109"/>
      <c r="BB69" s="109"/>
      <c r="BC69" s="109"/>
      <c r="BD69" s="109"/>
      <c r="BE69" s="109"/>
      <c r="BF69" s="109"/>
      <c r="BG69" s="109"/>
      <c r="BH69" s="109"/>
      <c r="BI69" s="109"/>
      <c r="BJ69" s="109"/>
      <c r="BK69" s="109"/>
      <c r="BL69" s="109"/>
      <c r="BM69" s="109"/>
      <c r="BN69" s="109"/>
      <c r="BO69" s="109"/>
      <c r="BP69" s="109"/>
      <c r="BQ69" s="109"/>
      <c r="BR69" s="109"/>
      <c r="BS69" s="109"/>
      <c r="BT69" s="109"/>
      <c r="BU69" s="109"/>
    </row>
    <row r="70" ht="22.5" customHeight="1">
      <c r="A70" s="90" t="s">
        <v>75</v>
      </c>
      <c r="B70" s="90" t="s">
        <v>141</v>
      </c>
      <c r="C70" s="95">
        <v>3964.0</v>
      </c>
      <c r="D70" s="95">
        <v>3774.0</v>
      </c>
      <c r="E70" s="90" t="s">
        <v>219</v>
      </c>
      <c r="F70" s="90" t="s">
        <v>646</v>
      </c>
      <c r="G70" s="90" t="s">
        <v>211</v>
      </c>
      <c r="H70" s="90"/>
      <c r="I70" s="95" t="s">
        <v>1240</v>
      </c>
      <c r="J70" s="98">
        <v>404600.0</v>
      </c>
      <c r="K70" s="99"/>
      <c r="L70" s="99">
        <f t="shared" si="2"/>
        <v>404600</v>
      </c>
      <c r="M70" s="102"/>
      <c r="N70" s="90" t="s">
        <v>233</v>
      </c>
      <c r="O70" s="90" t="s">
        <v>142</v>
      </c>
      <c r="P70" s="95" t="s">
        <v>1241</v>
      </c>
      <c r="Q70" s="105">
        <v>46175.0</v>
      </c>
      <c r="R70" s="105"/>
      <c r="S70" s="99">
        <f t="shared" si="3"/>
        <v>404600</v>
      </c>
      <c r="T70" s="109"/>
      <c r="U70" s="109"/>
      <c r="V70" s="109"/>
      <c r="W70" s="109"/>
      <c r="X70" s="109"/>
      <c r="Y70" s="109"/>
      <c r="Z70" s="98"/>
      <c r="AA70" s="109"/>
      <c r="AB70" s="109"/>
      <c r="AC70" s="109"/>
      <c r="AD70" s="109"/>
      <c r="AE70" s="156"/>
      <c r="AF70" s="109"/>
      <c r="AG70" s="109"/>
      <c r="AH70" s="109"/>
      <c r="AI70" s="109"/>
      <c r="AJ70" s="109"/>
      <c r="AK70" s="109"/>
      <c r="AL70" s="95"/>
      <c r="AM70" s="99"/>
      <c r="AN70" s="109"/>
      <c r="AO70" s="99"/>
      <c r="AP70" s="99"/>
      <c r="AQ70" s="109"/>
      <c r="AR70" s="109"/>
      <c r="AS70" s="109"/>
      <c r="AT70" s="109"/>
      <c r="AU70" s="109"/>
      <c r="AV70" s="109"/>
      <c r="AW70" s="109"/>
      <c r="AX70" s="109"/>
      <c r="AY70" s="109"/>
      <c r="AZ70" s="109"/>
      <c r="BA70" s="109"/>
      <c r="BB70" s="109"/>
      <c r="BC70" s="109"/>
      <c r="BD70" s="109"/>
      <c r="BE70" s="109"/>
      <c r="BF70" s="109"/>
      <c r="BG70" s="109"/>
      <c r="BH70" s="109"/>
      <c r="BI70" s="109"/>
      <c r="BJ70" s="109"/>
      <c r="BK70" s="109"/>
      <c r="BL70" s="109"/>
      <c r="BM70" s="109"/>
      <c r="BN70" s="109"/>
      <c r="BO70" s="109"/>
      <c r="BP70" s="109"/>
      <c r="BQ70" s="109"/>
      <c r="BR70" s="109"/>
      <c r="BS70" s="109"/>
      <c r="BT70" s="109"/>
      <c r="BU70" s="109"/>
    </row>
    <row r="71" ht="22.5" customHeight="1">
      <c r="A71" s="90" t="s">
        <v>75</v>
      </c>
      <c r="B71" s="90" t="s">
        <v>141</v>
      </c>
      <c r="C71" s="95">
        <v>3968.0</v>
      </c>
      <c r="D71" s="95">
        <v>3775.0</v>
      </c>
      <c r="E71" s="90" t="s">
        <v>219</v>
      </c>
      <c r="F71" s="90" t="s">
        <v>646</v>
      </c>
      <c r="G71" s="90" t="s">
        <v>211</v>
      </c>
      <c r="H71" s="90"/>
      <c r="I71" s="95" t="s">
        <v>1242</v>
      </c>
      <c r="J71" s="98">
        <v>739704.0</v>
      </c>
      <c r="K71" s="99"/>
      <c r="L71" s="99">
        <f t="shared" si="2"/>
        <v>739704</v>
      </c>
      <c r="M71" s="102"/>
      <c r="N71" s="90" t="s">
        <v>233</v>
      </c>
      <c r="O71" s="90" t="s">
        <v>142</v>
      </c>
      <c r="P71" s="95" t="s">
        <v>1243</v>
      </c>
      <c r="Q71" s="105">
        <v>46175.0</v>
      </c>
      <c r="R71" s="105"/>
      <c r="S71" s="99">
        <f t="shared" si="3"/>
        <v>739704</v>
      </c>
      <c r="T71" s="109"/>
      <c r="U71" s="109"/>
      <c r="V71" s="109"/>
      <c r="W71" s="109"/>
      <c r="X71" s="109"/>
      <c r="Y71" s="109"/>
      <c r="Z71" s="98"/>
      <c r="AA71" s="109"/>
      <c r="AB71" s="109"/>
      <c r="AC71" s="109"/>
      <c r="AD71" s="109"/>
      <c r="AE71" s="156"/>
      <c r="AF71" s="109"/>
      <c r="AG71" s="109"/>
      <c r="AH71" s="109"/>
      <c r="AI71" s="109"/>
      <c r="AJ71" s="109"/>
      <c r="AK71" s="109"/>
      <c r="AL71" s="95"/>
      <c r="AM71" s="99"/>
      <c r="AN71" s="109"/>
      <c r="AO71" s="99"/>
      <c r="AP71" s="99"/>
      <c r="AQ71" s="109"/>
      <c r="AR71" s="109"/>
      <c r="AS71" s="109"/>
      <c r="AT71" s="109"/>
      <c r="AU71" s="109"/>
      <c r="AV71" s="109"/>
      <c r="AW71" s="109"/>
      <c r="AX71" s="109"/>
      <c r="AY71" s="109"/>
      <c r="AZ71" s="109"/>
      <c r="BA71" s="109"/>
      <c r="BB71" s="109"/>
      <c r="BC71" s="109"/>
      <c r="BD71" s="109"/>
      <c r="BE71" s="109"/>
      <c r="BF71" s="109"/>
      <c r="BG71" s="109"/>
      <c r="BH71" s="109"/>
      <c r="BI71" s="109"/>
      <c r="BJ71" s="109"/>
      <c r="BK71" s="109"/>
      <c r="BL71" s="109"/>
      <c r="BM71" s="109"/>
      <c r="BN71" s="109"/>
      <c r="BO71" s="109"/>
      <c r="BP71" s="109"/>
      <c r="BQ71" s="109"/>
      <c r="BR71" s="109"/>
      <c r="BS71" s="109"/>
      <c r="BT71" s="109"/>
      <c r="BU71" s="109"/>
    </row>
    <row r="72" ht="22.5" customHeight="1">
      <c r="A72" s="90" t="s">
        <v>18</v>
      </c>
      <c r="B72" s="90" t="s">
        <v>412</v>
      </c>
      <c r="C72" s="95">
        <v>4026.0</v>
      </c>
      <c r="D72" s="95">
        <v>3808.0</v>
      </c>
      <c r="E72" s="90" t="s">
        <v>219</v>
      </c>
      <c r="F72" s="90" t="s">
        <v>646</v>
      </c>
      <c r="G72" s="90"/>
      <c r="H72" s="90"/>
      <c r="I72" s="95" t="s">
        <v>1244</v>
      </c>
      <c r="J72" s="98">
        <v>159936.0</v>
      </c>
      <c r="K72" s="99"/>
      <c r="L72" s="99">
        <f t="shared" si="2"/>
        <v>159936</v>
      </c>
      <c r="M72" s="102"/>
      <c r="N72" s="90" t="s">
        <v>524</v>
      </c>
      <c r="O72" s="90" t="s">
        <v>144</v>
      </c>
      <c r="P72" s="95" t="s">
        <v>1245</v>
      </c>
      <c r="Q72" s="105">
        <v>46185.0</v>
      </c>
      <c r="R72" s="105"/>
      <c r="S72" s="99">
        <f t="shared" si="3"/>
        <v>159936</v>
      </c>
      <c r="T72" s="109"/>
      <c r="U72" s="109"/>
      <c r="V72" s="109"/>
      <c r="W72" s="109"/>
      <c r="X72" s="109"/>
      <c r="Y72" s="109"/>
      <c r="Z72" s="98"/>
      <c r="AA72" s="109"/>
      <c r="AB72" s="109"/>
      <c r="AC72" s="109"/>
      <c r="AD72" s="109"/>
      <c r="AE72" s="156"/>
      <c r="AF72" s="109"/>
      <c r="AG72" s="109"/>
      <c r="AH72" s="109"/>
      <c r="AI72" s="109"/>
      <c r="AJ72" s="109"/>
      <c r="AK72" s="109"/>
      <c r="AL72" s="95"/>
      <c r="AM72" s="99"/>
      <c r="AN72" s="109"/>
      <c r="AO72" s="99"/>
      <c r="AP72" s="99"/>
      <c r="AQ72" s="109"/>
      <c r="AR72" s="109"/>
      <c r="AS72" s="109"/>
      <c r="AT72" s="109"/>
      <c r="AU72" s="109"/>
      <c r="AV72" s="109"/>
      <c r="AW72" s="109"/>
      <c r="AX72" s="109"/>
      <c r="AY72" s="109"/>
      <c r="AZ72" s="109"/>
      <c r="BA72" s="109"/>
      <c r="BB72" s="109"/>
      <c r="BC72" s="109"/>
      <c r="BD72" s="109"/>
      <c r="BE72" s="109"/>
      <c r="BF72" s="109"/>
      <c r="BG72" s="109"/>
      <c r="BH72" s="109"/>
      <c r="BI72" s="109"/>
      <c r="BJ72" s="109"/>
      <c r="BK72" s="109"/>
      <c r="BL72" s="109"/>
      <c r="BM72" s="109"/>
      <c r="BN72" s="109"/>
      <c r="BO72" s="109"/>
      <c r="BP72" s="109"/>
      <c r="BQ72" s="109"/>
      <c r="BR72" s="109"/>
      <c r="BS72" s="109"/>
      <c r="BT72" s="109"/>
      <c r="BU72" s="109"/>
    </row>
    <row r="73" ht="22.5" customHeight="1">
      <c r="A73" s="90" t="s">
        <v>18</v>
      </c>
      <c r="B73" s="90" t="s">
        <v>412</v>
      </c>
      <c r="C73" s="95">
        <v>4027.0</v>
      </c>
      <c r="D73" s="95">
        <v>3810.0</v>
      </c>
      <c r="E73" s="90" t="s">
        <v>261</v>
      </c>
      <c r="F73" s="90" t="s">
        <v>653</v>
      </c>
      <c r="G73" s="90"/>
      <c r="H73" s="90"/>
      <c r="I73" s="95" t="s">
        <v>1246</v>
      </c>
      <c r="J73" s="98">
        <v>196350.0</v>
      </c>
      <c r="K73" s="99"/>
      <c r="L73" s="99">
        <f t="shared" si="2"/>
        <v>196350</v>
      </c>
      <c r="M73" s="102"/>
      <c r="N73" s="90" t="s">
        <v>777</v>
      </c>
      <c r="O73" s="90" t="s">
        <v>144</v>
      </c>
      <c r="P73" s="95" t="s">
        <v>1247</v>
      </c>
      <c r="Q73" s="105">
        <v>46168.0</v>
      </c>
      <c r="R73" s="105"/>
      <c r="S73" s="99">
        <f t="shared" si="3"/>
        <v>196350</v>
      </c>
      <c r="T73" s="109"/>
      <c r="U73" s="109"/>
      <c r="V73" s="109"/>
      <c r="W73" s="109"/>
      <c r="X73" s="109"/>
      <c r="Y73" s="109"/>
      <c r="Z73" s="98"/>
      <c r="AA73" s="109"/>
      <c r="AB73" s="109"/>
      <c r="AC73" s="109"/>
      <c r="AD73" s="109"/>
      <c r="AE73" s="156"/>
      <c r="AF73" s="109"/>
      <c r="AG73" s="109"/>
      <c r="AH73" s="109"/>
      <c r="AI73" s="109"/>
      <c r="AJ73" s="109"/>
      <c r="AK73" s="109"/>
      <c r="AL73" s="95"/>
      <c r="AM73" s="99"/>
      <c r="AN73" s="109"/>
      <c r="AO73" s="99"/>
      <c r="AP73" s="99"/>
      <c r="AQ73" s="109"/>
      <c r="AR73" s="109"/>
      <c r="AS73" s="109"/>
      <c r="AT73" s="109"/>
      <c r="AU73" s="109"/>
      <c r="AV73" s="109"/>
      <c r="AW73" s="109"/>
      <c r="AX73" s="109"/>
      <c r="AY73" s="109"/>
      <c r="AZ73" s="109"/>
      <c r="BA73" s="109"/>
      <c r="BB73" s="109"/>
      <c r="BC73" s="109"/>
      <c r="BD73" s="109"/>
      <c r="BE73" s="109"/>
      <c r="BF73" s="109"/>
      <c r="BG73" s="109"/>
      <c r="BH73" s="109"/>
      <c r="BI73" s="109"/>
      <c r="BJ73" s="109"/>
      <c r="BK73" s="109"/>
      <c r="BL73" s="109"/>
      <c r="BM73" s="109"/>
      <c r="BN73" s="109"/>
      <c r="BO73" s="109"/>
      <c r="BP73" s="109"/>
      <c r="BQ73" s="109"/>
      <c r="BR73" s="109"/>
      <c r="BS73" s="109"/>
      <c r="BT73" s="109"/>
      <c r="BU73" s="109"/>
    </row>
    <row r="74" ht="22.5" customHeight="1">
      <c r="A74" s="90" t="s">
        <v>18</v>
      </c>
      <c r="B74" s="90" t="s">
        <v>412</v>
      </c>
      <c r="C74" s="95">
        <v>4037.0</v>
      </c>
      <c r="D74" s="95">
        <v>3815.0</v>
      </c>
      <c r="E74" s="90" t="s">
        <v>261</v>
      </c>
      <c r="F74" s="90" t="s">
        <v>245</v>
      </c>
      <c r="G74" s="90"/>
      <c r="H74" s="90"/>
      <c r="I74" s="95" t="s">
        <v>1248</v>
      </c>
      <c r="J74" s="98">
        <v>85323.0</v>
      </c>
      <c r="K74" s="99"/>
      <c r="L74" s="99">
        <f t="shared" si="2"/>
        <v>85323</v>
      </c>
      <c r="M74" s="102"/>
      <c r="N74" s="90" t="s">
        <v>303</v>
      </c>
      <c r="O74" s="90" t="s">
        <v>144</v>
      </c>
      <c r="P74" s="95" t="s">
        <v>1249</v>
      </c>
      <c r="Q74" s="105">
        <v>46182.0</v>
      </c>
      <c r="R74" s="105"/>
      <c r="S74" s="99">
        <f t="shared" si="3"/>
        <v>85323</v>
      </c>
      <c r="T74" s="109"/>
      <c r="U74" s="109"/>
      <c r="V74" s="109"/>
      <c r="W74" s="109"/>
      <c r="X74" s="109"/>
      <c r="Y74" s="109"/>
      <c r="Z74" s="98"/>
      <c r="AA74" s="109"/>
      <c r="AB74" s="109"/>
      <c r="AC74" s="109"/>
      <c r="AD74" s="109"/>
      <c r="AE74" s="156"/>
      <c r="AF74" s="109"/>
      <c r="AG74" s="109"/>
      <c r="AH74" s="109"/>
      <c r="AI74" s="109"/>
      <c r="AJ74" s="109"/>
      <c r="AK74" s="109"/>
      <c r="AL74" s="95"/>
      <c r="AM74" s="99"/>
      <c r="AN74" s="109"/>
      <c r="AO74" s="99"/>
      <c r="AP74" s="99"/>
      <c r="AQ74" s="109"/>
      <c r="AR74" s="109"/>
      <c r="AS74" s="109"/>
      <c r="AT74" s="109"/>
      <c r="AU74" s="109"/>
      <c r="AV74" s="109"/>
      <c r="AW74" s="109"/>
      <c r="AX74" s="109"/>
      <c r="AY74" s="109"/>
      <c r="AZ74" s="109"/>
      <c r="BA74" s="109"/>
      <c r="BB74" s="109"/>
      <c r="BC74" s="109"/>
      <c r="BD74" s="109"/>
      <c r="BE74" s="109"/>
      <c r="BF74" s="109"/>
      <c r="BG74" s="109"/>
      <c r="BH74" s="109"/>
      <c r="BI74" s="109"/>
      <c r="BJ74" s="109"/>
      <c r="BK74" s="109"/>
      <c r="BL74" s="109"/>
      <c r="BM74" s="109"/>
      <c r="BN74" s="109"/>
      <c r="BO74" s="109"/>
      <c r="BP74" s="109"/>
      <c r="BQ74" s="109"/>
      <c r="BR74" s="109"/>
      <c r="BS74" s="109"/>
      <c r="BT74" s="109"/>
      <c r="BU74" s="109"/>
    </row>
    <row r="75" ht="22.5" customHeight="1">
      <c r="A75" s="90" t="s">
        <v>75</v>
      </c>
      <c r="B75" s="90" t="s">
        <v>141</v>
      </c>
      <c r="C75" s="95">
        <v>4239.0</v>
      </c>
      <c r="D75" s="95">
        <v>4005.0</v>
      </c>
      <c r="E75" s="90" t="s">
        <v>261</v>
      </c>
      <c r="F75" s="90"/>
      <c r="G75" s="90"/>
      <c r="H75" s="90"/>
      <c r="I75" s="95" t="s">
        <v>1250</v>
      </c>
      <c r="J75" s="98">
        <v>1.0851688E7</v>
      </c>
      <c r="K75" s="99"/>
      <c r="L75" s="99">
        <f t="shared" si="2"/>
        <v>10851688</v>
      </c>
      <c r="M75" s="102"/>
      <c r="N75" s="90" t="s">
        <v>1251</v>
      </c>
      <c r="O75" s="90" t="s">
        <v>142</v>
      </c>
      <c r="P75" s="200"/>
      <c r="Q75" s="201" t="e">
        <v>#N/A</v>
      </c>
      <c r="R75" s="201"/>
      <c r="S75" s="99">
        <f t="shared" si="3"/>
        <v>0</v>
      </c>
      <c r="T75" s="109"/>
      <c r="U75" s="109"/>
      <c r="V75" s="109"/>
      <c r="W75" s="109"/>
      <c r="X75" s="109"/>
      <c r="Y75" s="109"/>
      <c r="Z75" s="98"/>
      <c r="AA75" s="109"/>
      <c r="AB75" s="109"/>
      <c r="AC75" s="109"/>
      <c r="AD75" s="109"/>
      <c r="AE75" s="156"/>
      <c r="AF75" s="109"/>
      <c r="AG75" s="109"/>
      <c r="AH75" s="109"/>
      <c r="AI75" s="109"/>
      <c r="AJ75" s="109"/>
      <c r="AK75" s="109"/>
      <c r="AL75" s="95"/>
      <c r="AM75" s="99"/>
      <c r="AN75" s="109"/>
      <c r="AO75" s="98">
        <v>1.0851688E7</v>
      </c>
      <c r="AP75" s="99"/>
      <c r="AQ75" s="109"/>
      <c r="AR75" s="109"/>
      <c r="AS75" s="109"/>
      <c r="AT75" s="109"/>
      <c r="AU75" s="109"/>
      <c r="AV75" s="109"/>
      <c r="AW75" s="109"/>
      <c r="AX75" s="109"/>
      <c r="AY75" s="109"/>
      <c r="AZ75" s="109"/>
      <c r="BA75" s="109"/>
      <c r="BB75" s="109"/>
      <c r="BC75" s="109"/>
      <c r="BD75" s="109"/>
      <c r="BE75" s="109"/>
      <c r="BF75" s="109"/>
      <c r="BG75" s="109"/>
      <c r="BH75" s="109"/>
      <c r="BI75" s="109"/>
      <c r="BJ75" s="109"/>
      <c r="BK75" s="109"/>
      <c r="BL75" s="109"/>
      <c r="BM75" s="109"/>
      <c r="BN75" s="109"/>
      <c r="BO75" s="109"/>
      <c r="BP75" s="109"/>
      <c r="BQ75" s="109"/>
      <c r="BR75" s="109"/>
      <c r="BS75" s="109"/>
      <c r="BT75" s="109"/>
      <c r="BU75" s="109"/>
    </row>
    <row r="76" ht="22.5" customHeight="1">
      <c r="A76" s="90" t="s">
        <v>18</v>
      </c>
      <c r="B76" s="90" t="s">
        <v>500</v>
      </c>
      <c r="C76" s="95">
        <v>4313.0</v>
      </c>
      <c r="D76" s="95">
        <v>4097.0</v>
      </c>
      <c r="E76" s="90" t="s">
        <v>321</v>
      </c>
      <c r="F76" s="90" t="s">
        <v>653</v>
      </c>
      <c r="G76" s="90"/>
      <c r="H76" s="90"/>
      <c r="I76" s="95" t="s">
        <v>1252</v>
      </c>
      <c r="J76" s="98">
        <v>1333871.0</v>
      </c>
      <c r="K76" s="99"/>
      <c r="L76" s="99">
        <f t="shared" si="2"/>
        <v>1333871</v>
      </c>
      <c r="M76" s="102"/>
      <c r="N76" s="90" t="s">
        <v>519</v>
      </c>
      <c r="O76" s="90" t="s">
        <v>144</v>
      </c>
      <c r="P76" s="95" t="s">
        <v>1253</v>
      </c>
      <c r="Q76" s="105">
        <v>46182.0</v>
      </c>
      <c r="R76" s="105"/>
      <c r="S76" s="99">
        <f t="shared" si="3"/>
        <v>0</v>
      </c>
      <c r="T76" s="109"/>
      <c r="U76" s="109"/>
      <c r="V76" s="109"/>
      <c r="W76" s="109"/>
      <c r="X76" s="109"/>
      <c r="Y76" s="109"/>
      <c r="Z76" s="98"/>
      <c r="AA76" s="109"/>
      <c r="AB76" s="109"/>
      <c r="AC76" s="109"/>
      <c r="AD76" s="109"/>
      <c r="AE76" s="156"/>
      <c r="AF76" s="109"/>
      <c r="AG76" s="109"/>
      <c r="AH76" s="109"/>
      <c r="AI76" s="109"/>
      <c r="AJ76" s="109"/>
      <c r="AK76" s="109"/>
      <c r="AL76" s="95"/>
      <c r="AM76" s="99"/>
      <c r="AN76" s="109"/>
      <c r="AO76" s="98">
        <v>1333871.0</v>
      </c>
      <c r="AP76" s="99"/>
      <c r="AQ76" s="109"/>
      <c r="AR76" s="109"/>
      <c r="AS76" s="109"/>
      <c r="AT76" s="109"/>
      <c r="AU76" s="109"/>
      <c r="AV76" s="109"/>
      <c r="AW76" s="109"/>
      <c r="AX76" s="109"/>
      <c r="AY76" s="109"/>
      <c r="AZ76" s="109"/>
      <c r="BA76" s="109"/>
      <c r="BB76" s="109"/>
      <c r="BC76" s="109"/>
      <c r="BD76" s="109"/>
      <c r="BE76" s="109"/>
      <c r="BF76" s="109"/>
      <c r="BG76" s="109"/>
      <c r="BH76" s="109"/>
      <c r="BI76" s="109"/>
      <c r="BJ76" s="109"/>
      <c r="BK76" s="109"/>
      <c r="BL76" s="109"/>
      <c r="BM76" s="109"/>
      <c r="BN76" s="109"/>
      <c r="BO76" s="109"/>
      <c r="BP76" s="109"/>
      <c r="BQ76" s="109"/>
      <c r="BR76" s="109"/>
      <c r="BS76" s="109"/>
      <c r="BT76" s="109"/>
      <c r="BU76" s="109"/>
    </row>
    <row r="77" ht="22.5" customHeight="1">
      <c r="A77" s="90" t="s">
        <v>18</v>
      </c>
      <c r="B77" s="90" t="s">
        <v>412</v>
      </c>
      <c r="C77" s="95">
        <v>4317.0</v>
      </c>
      <c r="D77" s="95">
        <v>4100.0</v>
      </c>
      <c r="E77" s="90"/>
      <c r="F77" s="90"/>
      <c r="G77" s="90"/>
      <c r="H77" s="90"/>
      <c r="I77" s="95" t="s">
        <v>1255</v>
      </c>
      <c r="J77" s="98">
        <v>220150.0</v>
      </c>
      <c r="K77" s="99"/>
      <c r="L77" s="99">
        <f t="shared" si="2"/>
        <v>220150</v>
      </c>
      <c r="M77" s="102"/>
      <c r="N77" s="90" t="s">
        <v>999</v>
      </c>
      <c r="O77" s="90" t="s">
        <v>144</v>
      </c>
      <c r="P77" s="95" t="s">
        <v>1256</v>
      </c>
      <c r="Q77" s="201" t="e">
        <v>#N/A</v>
      </c>
      <c r="R77" s="201"/>
      <c r="S77" s="99">
        <f t="shared" si="3"/>
        <v>0</v>
      </c>
      <c r="T77" s="109"/>
      <c r="U77" s="109"/>
      <c r="V77" s="109"/>
      <c r="W77" s="109"/>
      <c r="X77" s="109"/>
      <c r="Y77" s="109"/>
      <c r="Z77" s="98"/>
      <c r="AA77" s="109"/>
      <c r="AB77" s="109"/>
      <c r="AC77" s="109"/>
      <c r="AD77" s="109"/>
      <c r="AE77" s="156"/>
      <c r="AF77" s="109"/>
      <c r="AG77" s="109"/>
      <c r="AH77" s="109"/>
      <c r="AI77" s="109"/>
      <c r="AJ77" s="109"/>
      <c r="AK77" s="109"/>
      <c r="AL77" s="95"/>
      <c r="AM77" s="99"/>
      <c r="AN77" s="109"/>
      <c r="AO77" s="98">
        <v>220150.0</v>
      </c>
      <c r="AP77" s="99"/>
      <c r="AQ77" s="109"/>
      <c r="AR77" s="109"/>
      <c r="AS77" s="109"/>
      <c r="AT77" s="109"/>
      <c r="AU77" s="109"/>
      <c r="AV77" s="109"/>
      <c r="AW77" s="109"/>
      <c r="AX77" s="109"/>
      <c r="AY77" s="109"/>
      <c r="AZ77" s="109"/>
      <c r="BA77" s="109"/>
      <c r="BB77" s="109"/>
      <c r="BC77" s="109"/>
      <c r="BD77" s="109"/>
      <c r="BE77" s="109"/>
      <c r="BF77" s="109"/>
      <c r="BG77" s="109"/>
      <c r="BH77" s="109"/>
      <c r="BI77" s="109"/>
      <c r="BJ77" s="109"/>
      <c r="BK77" s="109"/>
      <c r="BL77" s="109"/>
      <c r="BM77" s="109"/>
      <c r="BN77" s="109"/>
      <c r="BO77" s="109"/>
      <c r="BP77" s="109"/>
      <c r="BQ77" s="109"/>
      <c r="BR77" s="109"/>
      <c r="BS77" s="109"/>
      <c r="BT77" s="109"/>
      <c r="BU77" s="109"/>
    </row>
    <row r="78" ht="22.5" customHeight="1">
      <c r="A78" s="90" t="s">
        <v>18</v>
      </c>
      <c r="B78" s="90" t="s">
        <v>194</v>
      </c>
      <c r="C78" s="95">
        <v>4319.0</v>
      </c>
      <c r="D78" s="95">
        <v>4103.0</v>
      </c>
      <c r="E78" s="90"/>
      <c r="F78" s="90"/>
      <c r="G78" s="90"/>
      <c r="H78" s="90"/>
      <c r="I78" s="95" t="s">
        <v>1257</v>
      </c>
      <c r="J78" s="98">
        <v>749700.0</v>
      </c>
      <c r="K78" s="99"/>
      <c r="L78" s="99">
        <f t="shared" si="2"/>
        <v>749700</v>
      </c>
      <c r="M78" s="102"/>
      <c r="N78" s="90" t="s">
        <v>610</v>
      </c>
      <c r="O78" s="90" t="s">
        <v>144</v>
      </c>
      <c r="P78" s="95" t="s">
        <v>1258</v>
      </c>
      <c r="Q78" s="105">
        <v>46195.0</v>
      </c>
      <c r="R78" s="105"/>
      <c r="S78" s="99">
        <f t="shared" si="3"/>
        <v>0</v>
      </c>
      <c r="T78" s="109"/>
      <c r="U78" s="109"/>
      <c r="V78" s="109"/>
      <c r="W78" s="109"/>
      <c r="X78" s="109"/>
      <c r="Y78" s="109"/>
      <c r="Z78" s="98"/>
      <c r="AA78" s="109"/>
      <c r="AB78" s="109"/>
      <c r="AC78" s="109"/>
      <c r="AD78" s="109"/>
      <c r="AE78" s="156"/>
      <c r="AF78" s="109"/>
      <c r="AG78" s="109"/>
      <c r="AH78" s="109"/>
      <c r="AI78" s="109"/>
      <c r="AJ78" s="109"/>
      <c r="AK78" s="109"/>
      <c r="AL78" s="95"/>
      <c r="AM78" s="99"/>
      <c r="AN78" s="109"/>
      <c r="AO78" s="98">
        <v>749700.0</v>
      </c>
      <c r="AP78" s="99"/>
      <c r="AQ78" s="109"/>
      <c r="AR78" s="109"/>
      <c r="AS78" s="109"/>
      <c r="AT78" s="109"/>
      <c r="AU78" s="109"/>
      <c r="AV78" s="109"/>
      <c r="AW78" s="109"/>
      <c r="AX78" s="109"/>
      <c r="AY78" s="109"/>
      <c r="AZ78" s="109"/>
      <c r="BA78" s="109"/>
      <c r="BB78" s="109"/>
      <c r="BC78" s="109"/>
      <c r="BD78" s="109"/>
      <c r="BE78" s="109"/>
      <c r="BF78" s="109"/>
      <c r="BG78" s="109"/>
      <c r="BH78" s="109"/>
      <c r="BI78" s="109"/>
      <c r="BJ78" s="109"/>
      <c r="BK78" s="109"/>
      <c r="BL78" s="109"/>
      <c r="BM78" s="109"/>
      <c r="BN78" s="109"/>
      <c r="BO78" s="109"/>
      <c r="BP78" s="109"/>
      <c r="BQ78" s="109"/>
      <c r="BR78" s="109"/>
      <c r="BS78" s="109"/>
      <c r="BT78" s="109"/>
      <c r="BU78" s="109"/>
    </row>
    <row r="79" ht="22.5" customHeight="1">
      <c r="A79" s="90" t="s">
        <v>18</v>
      </c>
      <c r="B79" s="90" t="s">
        <v>194</v>
      </c>
      <c r="C79" s="95">
        <v>4406.0</v>
      </c>
      <c r="D79" s="95">
        <v>4190.0</v>
      </c>
      <c r="E79" s="90"/>
      <c r="F79" s="90"/>
      <c r="G79" s="90"/>
      <c r="H79" s="90"/>
      <c r="I79" s="95" t="s">
        <v>1259</v>
      </c>
      <c r="J79" s="98">
        <v>797300.0</v>
      </c>
      <c r="K79" s="99"/>
      <c r="L79" s="99">
        <f t="shared" si="2"/>
        <v>797300</v>
      </c>
      <c r="M79" s="102"/>
      <c r="N79" s="90" t="s">
        <v>145</v>
      </c>
      <c r="O79" s="90" t="s">
        <v>147</v>
      </c>
      <c r="P79" s="95" t="s">
        <v>1260</v>
      </c>
      <c r="Q79" s="201" t="e">
        <v>#N/A</v>
      </c>
      <c r="R79" s="201"/>
      <c r="S79" s="99">
        <f t="shared" si="3"/>
        <v>0</v>
      </c>
      <c r="T79" s="109"/>
      <c r="U79" s="109"/>
      <c r="V79" s="109"/>
      <c r="W79" s="109"/>
      <c r="X79" s="109"/>
      <c r="Y79" s="109"/>
      <c r="Z79" s="98"/>
      <c r="AA79" s="109"/>
      <c r="AB79" s="109"/>
      <c r="AC79" s="109"/>
      <c r="AD79" s="109"/>
      <c r="AE79" s="156"/>
      <c r="AF79" s="109"/>
      <c r="AG79" s="109"/>
      <c r="AH79" s="109"/>
      <c r="AI79" s="109"/>
      <c r="AJ79" s="109"/>
      <c r="AK79" s="109"/>
      <c r="AL79" s="95"/>
      <c r="AM79" s="99"/>
      <c r="AN79" s="109"/>
      <c r="AO79" s="98">
        <v>797300.0</v>
      </c>
      <c r="AP79" s="99"/>
      <c r="AQ79" s="109"/>
      <c r="AR79" s="109"/>
      <c r="AS79" s="109"/>
      <c r="AT79" s="109"/>
      <c r="AU79" s="109"/>
      <c r="AV79" s="109"/>
      <c r="AW79" s="109"/>
      <c r="AX79" s="109"/>
      <c r="AY79" s="109"/>
      <c r="AZ79" s="109"/>
      <c r="BA79" s="109"/>
      <c r="BB79" s="109"/>
      <c r="BC79" s="109"/>
      <c r="BD79" s="109"/>
      <c r="BE79" s="109"/>
      <c r="BF79" s="109"/>
      <c r="BG79" s="109"/>
      <c r="BH79" s="109"/>
      <c r="BI79" s="109"/>
      <c r="BJ79" s="109"/>
      <c r="BK79" s="109"/>
      <c r="BL79" s="109"/>
      <c r="BM79" s="109"/>
      <c r="BN79" s="109"/>
      <c r="BO79" s="109"/>
      <c r="BP79" s="109"/>
      <c r="BQ79" s="109"/>
      <c r="BR79" s="109"/>
      <c r="BS79" s="109"/>
      <c r="BT79" s="109"/>
      <c r="BU79" s="109"/>
    </row>
    <row r="80" ht="22.5" customHeight="1">
      <c r="A80" s="90" t="s">
        <v>18</v>
      </c>
      <c r="B80" s="90" t="s">
        <v>194</v>
      </c>
      <c r="C80" s="95">
        <v>4411.0</v>
      </c>
      <c r="D80" s="95">
        <v>4219.0</v>
      </c>
      <c r="E80" s="90" t="s">
        <v>321</v>
      </c>
      <c r="F80" s="90" t="s">
        <v>277</v>
      </c>
      <c r="G80" s="90" t="s">
        <v>764</v>
      </c>
      <c r="H80" s="90"/>
      <c r="I80" s="95" t="s">
        <v>1261</v>
      </c>
      <c r="J80" s="98">
        <v>1401043.0</v>
      </c>
      <c r="K80" s="99"/>
      <c r="L80" s="99">
        <f t="shared" si="2"/>
        <v>1401043</v>
      </c>
      <c r="M80" s="102"/>
      <c r="N80" s="90" t="s">
        <v>280</v>
      </c>
      <c r="O80" s="90" t="s">
        <v>135</v>
      </c>
      <c r="P80" s="200"/>
      <c r="Q80" s="201" t="e">
        <v>#N/A</v>
      </c>
      <c r="R80" s="201"/>
      <c r="S80" s="99">
        <f t="shared" si="3"/>
        <v>0</v>
      </c>
      <c r="T80" s="109"/>
      <c r="U80" s="109"/>
      <c r="V80" s="109"/>
      <c r="W80" s="109"/>
      <c r="X80" s="109"/>
      <c r="Y80" s="109"/>
      <c r="Z80" s="98"/>
      <c r="AA80" s="109"/>
      <c r="AB80" s="109"/>
      <c r="AC80" s="109"/>
      <c r="AD80" s="109"/>
      <c r="AE80" s="156"/>
      <c r="AF80" s="109"/>
      <c r="AG80" s="109"/>
      <c r="AH80" s="109"/>
      <c r="AI80" s="109"/>
      <c r="AJ80" s="109"/>
      <c r="AK80" s="109"/>
      <c r="AL80" s="95"/>
      <c r="AM80" s="99"/>
      <c r="AN80" s="109"/>
      <c r="AO80" s="98"/>
      <c r="AP80" s="99"/>
      <c r="AQ80" s="109"/>
      <c r="AR80" s="109"/>
      <c r="AS80" s="98">
        <v>1401043.0</v>
      </c>
      <c r="AT80" s="109"/>
      <c r="AU80" s="109"/>
      <c r="AV80" s="109"/>
      <c r="AW80" s="109"/>
      <c r="AX80" s="109"/>
      <c r="AY80" s="109"/>
      <c r="AZ80" s="109"/>
      <c r="BA80" s="109"/>
      <c r="BB80" s="109"/>
      <c r="BC80" s="109"/>
      <c r="BD80" s="109"/>
      <c r="BE80" s="109"/>
      <c r="BF80" s="109"/>
      <c r="BG80" s="109"/>
      <c r="BH80" s="109"/>
      <c r="BI80" s="109"/>
      <c r="BJ80" s="109"/>
      <c r="BK80" s="109"/>
      <c r="BL80" s="109"/>
      <c r="BM80" s="109"/>
      <c r="BN80" s="109"/>
      <c r="BO80" s="109"/>
      <c r="BP80" s="109"/>
      <c r="BQ80" s="109"/>
      <c r="BR80" s="109"/>
      <c r="BS80" s="109"/>
      <c r="BT80" s="109"/>
      <c r="BU80" s="109"/>
    </row>
    <row r="81" ht="22.5" customHeight="1">
      <c r="A81" s="90" t="s">
        <v>18</v>
      </c>
      <c r="B81" s="90" t="s">
        <v>412</v>
      </c>
      <c r="C81" s="95">
        <v>4634.0</v>
      </c>
      <c r="D81" s="95">
        <v>4475.0</v>
      </c>
      <c r="E81" s="90"/>
      <c r="F81" s="90"/>
      <c r="G81" s="90" t="s">
        <v>879</v>
      </c>
      <c r="H81" s="90"/>
      <c r="I81" s="95" t="s">
        <v>1262</v>
      </c>
      <c r="J81" s="98">
        <v>48900.0</v>
      </c>
      <c r="K81" s="99"/>
      <c r="L81" s="99">
        <f t="shared" si="2"/>
        <v>48900</v>
      </c>
      <c r="M81" s="102"/>
      <c r="N81" s="90" t="s">
        <v>777</v>
      </c>
      <c r="O81" s="90" t="s">
        <v>144</v>
      </c>
      <c r="P81" s="95" t="s">
        <v>1263</v>
      </c>
      <c r="Q81" s="105">
        <v>46195.0</v>
      </c>
      <c r="R81" s="105"/>
      <c r="S81" s="99">
        <f t="shared" si="3"/>
        <v>48900</v>
      </c>
      <c r="T81" s="109"/>
      <c r="U81" s="109"/>
      <c r="V81" s="109"/>
      <c r="W81" s="109"/>
      <c r="X81" s="109"/>
      <c r="Y81" s="109"/>
      <c r="Z81" s="98"/>
      <c r="AA81" s="109"/>
      <c r="AB81" s="109"/>
      <c r="AC81" s="109"/>
      <c r="AD81" s="109"/>
      <c r="AE81" s="156"/>
      <c r="AF81" s="109"/>
      <c r="AG81" s="109"/>
      <c r="AH81" s="109"/>
      <c r="AI81" s="109"/>
      <c r="AJ81" s="109"/>
      <c r="AK81" s="109"/>
      <c r="AL81" s="95"/>
      <c r="AM81" s="99"/>
      <c r="AN81" s="109"/>
      <c r="AO81" s="98"/>
      <c r="AP81" s="99"/>
      <c r="AQ81" s="109"/>
      <c r="AR81" s="109"/>
      <c r="AS81" s="98"/>
      <c r="AT81" s="109"/>
      <c r="AU81" s="109"/>
      <c r="AV81" s="109"/>
      <c r="AW81" s="109"/>
      <c r="AX81" s="109"/>
      <c r="AY81" s="109"/>
      <c r="AZ81" s="109"/>
      <c r="BA81" s="109"/>
      <c r="BB81" s="109"/>
      <c r="BC81" s="109"/>
      <c r="BD81" s="109"/>
      <c r="BE81" s="109"/>
      <c r="BF81" s="109"/>
      <c r="BG81" s="109"/>
      <c r="BH81" s="109"/>
      <c r="BI81" s="109"/>
      <c r="BJ81" s="109"/>
      <c r="BK81" s="109"/>
      <c r="BL81" s="109"/>
      <c r="BM81" s="109"/>
      <c r="BN81" s="109"/>
      <c r="BO81" s="109"/>
      <c r="BP81" s="109"/>
      <c r="BQ81" s="109"/>
      <c r="BR81" s="109"/>
      <c r="BS81" s="109"/>
      <c r="BT81" s="109"/>
      <c r="BU81" s="109"/>
    </row>
    <row r="82" ht="22.5" customHeight="1">
      <c r="A82" s="90" t="s">
        <v>18</v>
      </c>
      <c r="B82" s="90" t="s">
        <v>194</v>
      </c>
      <c r="C82" s="95">
        <v>4641.0</v>
      </c>
      <c r="D82" s="95">
        <v>4534.0</v>
      </c>
      <c r="E82" s="90" t="s">
        <v>364</v>
      </c>
      <c r="F82" s="90" t="s">
        <v>198</v>
      </c>
      <c r="G82" s="90"/>
      <c r="H82" s="90"/>
      <c r="I82" s="95" t="s">
        <v>1264</v>
      </c>
      <c r="J82" s="98">
        <v>799502.0</v>
      </c>
      <c r="K82" s="99"/>
      <c r="L82" s="99">
        <f t="shared" si="2"/>
        <v>799502</v>
      </c>
      <c r="M82" s="102"/>
      <c r="N82" s="90" t="s">
        <v>610</v>
      </c>
      <c r="O82" s="90" t="s">
        <v>135</v>
      </c>
      <c r="P82" s="95" t="s">
        <v>1265</v>
      </c>
      <c r="Q82" s="105">
        <v>46196.0</v>
      </c>
      <c r="R82" s="105"/>
      <c r="S82" s="99">
        <f t="shared" si="3"/>
        <v>0</v>
      </c>
      <c r="T82" s="109"/>
      <c r="U82" s="109"/>
      <c r="V82" s="109"/>
      <c r="W82" s="109"/>
      <c r="X82" s="109"/>
      <c r="Y82" s="109"/>
      <c r="Z82" s="98"/>
      <c r="AA82" s="109"/>
      <c r="AB82" s="109"/>
      <c r="AC82" s="109"/>
      <c r="AD82" s="109"/>
      <c r="AE82" s="156"/>
      <c r="AF82" s="109"/>
      <c r="AG82" s="109"/>
      <c r="AH82" s="109"/>
      <c r="AI82" s="109"/>
      <c r="AJ82" s="109"/>
      <c r="AK82" s="109"/>
      <c r="AL82" s="95"/>
      <c r="AM82" s="99"/>
      <c r="AN82" s="109"/>
      <c r="AO82" s="98"/>
      <c r="AP82" s="99">
        <f>J82</f>
        <v>799502</v>
      </c>
      <c r="AQ82" s="109"/>
      <c r="AR82" s="109"/>
      <c r="AS82" s="98"/>
      <c r="AT82" s="109"/>
      <c r="AU82" s="109"/>
      <c r="AV82" s="109"/>
      <c r="AW82" s="109"/>
      <c r="AX82" s="109"/>
      <c r="AY82" s="109"/>
      <c r="AZ82" s="109"/>
      <c r="BA82" s="109"/>
      <c r="BB82" s="109"/>
      <c r="BC82" s="109"/>
      <c r="BD82" s="109"/>
      <c r="BE82" s="109"/>
      <c r="BF82" s="109"/>
      <c r="BG82" s="109"/>
      <c r="BH82" s="109"/>
      <c r="BI82" s="109"/>
      <c r="BJ82" s="109"/>
      <c r="BK82" s="109"/>
      <c r="BL82" s="109"/>
      <c r="BM82" s="109"/>
      <c r="BN82" s="109"/>
      <c r="BO82" s="109"/>
      <c r="BP82" s="109"/>
      <c r="BQ82" s="109"/>
      <c r="BR82" s="109"/>
      <c r="BS82" s="109"/>
      <c r="BT82" s="109"/>
      <c r="BU82" s="109"/>
    </row>
    <row r="83" ht="22.5" customHeight="1">
      <c r="A83" s="90" t="s">
        <v>18</v>
      </c>
      <c r="B83" s="90" t="s">
        <v>194</v>
      </c>
      <c r="C83" s="95">
        <v>4719.0</v>
      </c>
      <c r="D83" s="95">
        <v>4569.0</v>
      </c>
      <c r="E83" s="90"/>
      <c r="F83" s="90"/>
      <c r="G83" s="90"/>
      <c r="H83" s="90"/>
      <c r="I83" s="95" t="s">
        <v>1266</v>
      </c>
      <c r="J83" s="98">
        <v>796575.0</v>
      </c>
      <c r="K83" s="99"/>
      <c r="L83" s="99">
        <f t="shared" si="2"/>
        <v>796575</v>
      </c>
      <c r="M83" s="102"/>
      <c r="N83" s="90" t="s">
        <v>568</v>
      </c>
      <c r="O83" s="90" t="s">
        <v>144</v>
      </c>
      <c r="P83" s="95" t="s">
        <v>1267</v>
      </c>
      <c r="Q83" s="105">
        <v>46196.0</v>
      </c>
      <c r="R83" s="105"/>
      <c r="S83" s="99">
        <f t="shared" si="3"/>
        <v>0</v>
      </c>
      <c r="T83" s="109"/>
      <c r="U83" s="109"/>
      <c r="V83" s="109"/>
      <c r="W83" s="109"/>
      <c r="X83" s="109"/>
      <c r="Y83" s="109"/>
      <c r="Z83" s="98"/>
      <c r="AA83" s="109"/>
      <c r="AB83" s="109"/>
      <c r="AC83" s="109"/>
      <c r="AD83" s="109"/>
      <c r="AE83" s="156"/>
      <c r="AF83" s="109"/>
      <c r="AG83" s="109"/>
      <c r="AH83" s="109"/>
      <c r="AI83" s="109"/>
      <c r="AJ83" s="109"/>
      <c r="AK83" s="109"/>
      <c r="AL83" s="95"/>
      <c r="AM83" s="99"/>
      <c r="AN83" s="109"/>
      <c r="AO83" s="98"/>
      <c r="AP83" s="99">
        <v>796575.0</v>
      </c>
      <c r="AQ83" s="109"/>
      <c r="AR83" s="109"/>
      <c r="AS83" s="98"/>
      <c r="AT83" s="109"/>
      <c r="AU83" s="109"/>
      <c r="AV83" s="109"/>
      <c r="AW83" s="109"/>
      <c r="AX83" s="109"/>
      <c r="AY83" s="109"/>
      <c r="AZ83" s="109"/>
      <c r="BA83" s="109"/>
      <c r="BB83" s="109"/>
      <c r="BC83" s="109"/>
      <c r="BD83" s="109"/>
      <c r="BE83" s="109"/>
      <c r="BF83" s="109"/>
      <c r="BG83" s="109"/>
      <c r="BH83" s="109"/>
      <c r="BI83" s="109"/>
      <c r="BJ83" s="109"/>
      <c r="BK83" s="109"/>
      <c r="BL83" s="109"/>
      <c r="BM83" s="109"/>
      <c r="BN83" s="109"/>
      <c r="BO83" s="109"/>
      <c r="BP83" s="109"/>
      <c r="BQ83" s="109"/>
      <c r="BR83" s="109"/>
      <c r="BS83" s="109"/>
      <c r="BT83" s="109"/>
      <c r="BU83" s="109"/>
    </row>
    <row r="84" ht="22.5" customHeight="1">
      <c r="A84" s="90" t="s">
        <v>18</v>
      </c>
      <c r="B84" s="90" t="s">
        <v>412</v>
      </c>
      <c r="C84" s="95">
        <v>4720.0</v>
      </c>
      <c r="D84" s="95">
        <v>4596.0</v>
      </c>
      <c r="E84" s="90"/>
      <c r="F84" s="90"/>
      <c r="G84" s="90"/>
      <c r="H84" s="90"/>
      <c r="I84" s="95" t="s">
        <v>1268</v>
      </c>
      <c r="J84" s="98">
        <v>1523295.0</v>
      </c>
      <c r="K84" s="99"/>
      <c r="L84" s="99">
        <f t="shared" si="2"/>
        <v>1523295</v>
      </c>
      <c r="M84" s="102"/>
      <c r="N84" s="90" t="s">
        <v>303</v>
      </c>
      <c r="O84" s="90" t="s">
        <v>144</v>
      </c>
      <c r="P84" s="200"/>
      <c r="Q84" s="201" t="e">
        <v>#N/A</v>
      </c>
      <c r="R84" s="201"/>
      <c r="S84" s="99">
        <f t="shared" si="3"/>
        <v>0</v>
      </c>
      <c r="T84" s="109"/>
      <c r="U84" s="109"/>
      <c r="V84" s="109"/>
      <c r="W84" s="109"/>
      <c r="X84" s="109"/>
      <c r="Y84" s="109"/>
      <c r="Z84" s="98"/>
      <c r="AA84" s="109"/>
      <c r="AB84" s="109"/>
      <c r="AC84" s="109"/>
      <c r="AD84" s="109"/>
      <c r="AE84" s="156"/>
      <c r="AF84" s="109"/>
      <c r="AG84" s="109"/>
      <c r="AH84" s="109"/>
      <c r="AI84" s="109"/>
      <c r="AJ84" s="109"/>
      <c r="AK84" s="109"/>
      <c r="AL84" s="95"/>
      <c r="AM84" s="99"/>
      <c r="AN84" s="109"/>
      <c r="AO84" s="98"/>
      <c r="AP84" s="99"/>
      <c r="AQ84" s="98">
        <v>1523295.0</v>
      </c>
      <c r="AR84" s="109"/>
      <c r="AS84" s="98"/>
      <c r="AT84" s="109"/>
      <c r="AU84" s="109"/>
      <c r="AV84" s="109"/>
      <c r="AW84" s="109"/>
      <c r="AX84" s="109"/>
      <c r="AY84" s="109"/>
      <c r="AZ84" s="109"/>
      <c r="BA84" s="109"/>
      <c r="BB84" s="109"/>
      <c r="BC84" s="109"/>
      <c r="BD84" s="109"/>
      <c r="BE84" s="109"/>
      <c r="BF84" s="109"/>
      <c r="BG84" s="109"/>
      <c r="BH84" s="109"/>
      <c r="BI84" s="109"/>
      <c r="BJ84" s="109"/>
      <c r="BK84" s="109"/>
      <c r="BL84" s="109"/>
      <c r="BM84" s="109"/>
      <c r="BN84" s="109"/>
      <c r="BO84" s="109"/>
      <c r="BP84" s="109"/>
      <c r="BQ84" s="109"/>
      <c r="BR84" s="109"/>
      <c r="BS84" s="109"/>
      <c r="BT84" s="109"/>
      <c r="BU84" s="109"/>
    </row>
    <row r="85" ht="22.5" customHeight="1">
      <c r="A85" s="90" t="s">
        <v>75</v>
      </c>
      <c r="B85" s="90" t="s">
        <v>141</v>
      </c>
      <c r="C85" s="95">
        <v>4723.0</v>
      </c>
      <c r="D85" s="95">
        <v>4609.0</v>
      </c>
      <c r="E85" s="90" t="s">
        <v>244</v>
      </c>
      <c r="F85" s="90" t="s">
        <v>198</v>
      </c>
      <c r="G85" s="90" t="s">
        <v>211</v>
      </c>
      <c r="H85" s="90"/>
      <c r="I85" s="95" t="s">
        <v>1269</v>
      </c>
      <c r="J85" s="98">
        <v>1.35040474E8</v>
      </c>
      <c r="K85" s="99"/>
      <c r="L85" s="99">
        <f t="shared" si="2"/>
        <v>135040474</v>
      </c>
      <c r="M85" s="102"/>
      <c r="N85" s="90" t="s">
        <v>205</v>
      </c>
      <c r="O85" s="90" t="s">
        <v>142</v>
      </c>
      <c r="P85" s="95" t="s">
        <v>1270</v>
      </c>
      <c r="Q85" s="105">
        <v>46188.0</v>
      </c>
      <c r="R85" s="105"/>
      <c r="S85" s="99">
        <f t="shared" si="3"/>
        <v>0</v>
      </c>
      <c r="T85" s="109"/>
      <c r="U85" s="109"/>
      <c r="V85" s="109"/>
      <c r="W85" s="109"/>
      <c r="X85" s="109"/>
      <c r="Y85" s="109"/>
      <c r="Z85" s="98"/>
      <c r="AA85" s="109"/>
      <c r="AB85" s="109"/>
      <c r="AC85" s="109"/>
      <c r="AD85" s="109"/>
      <c r="AE85" s="156"/>
      <c r="AF85" s="109"/>
      <c r="AG85" s="109"/>
      <c r="AH85" s="109"/>
      <c r="AI85" s="109"/>
      <c r="AJ85" s="109"/>
      <c r="AK85" s="109"/>
      <c r="AL85" s="95"/>
      <c r="AM85" s="99"/>
      <c r="AN85" s="109"/>
      <c r="AO85" s="98"/>
      <c r="AP85" s="98">
        <v>1.35040474E8</v>
      </c>
      <c r="AQ85" s="98"/>
      <c r="AR85" s="109"/>
      <c r="AS85" s="98"/>
      <c r="AT85" s="109"/>
      <c r="AU85" s="109"/>
      <c r="AV85" s="109"/>
      <c r="AW85" s="109"/>
      <c r="AX85" s="109"/>
      <c r="AY85" s="109"/>
      <c r="AZ85" s="109"/>
      <c r="BA85" s="109"/>
      <c r="BB85" s="109"/>
      <c r="BC85" s="109"/>
      <c r="BD85" s="109"/>
      <c r="BE85" s="109"/>
      <c r="BF85" s="109"/>
      <c r="BG85" s="109"/>
      <c r="BH85" s="109"/>
      <c r="BI85" s="109"/>
      <c r="BJ85" s="109"/>
      <c r="BK85" s="109"/>
      <c r="BL85" s="109"/>
      <c r="BM85" s="109"/>
      <c r="BN85" s="109"/>
      <c r="BO85" s="109"/>
      <c r="BP85" s="109"/>
      <c r="BQ85" s="109"/>
      <c r="BR85" s="109"/>
      <c r="BS85" s="109"/>
      <c r="BT85" s="109"/>
      <c r="BU85" s="109"/>
    </row>
    <row r="86" ht="22.5" customHeight="1">
      <c r="A86" s="90" t="s">
        <v>18</v>
      </c>
      <c r="B86" s="90" t="s">
        <v>412</v>
      </c>
      <c r="C86" s="95">
        <v>4797.0</v>
      </c>
      <c r="D86" s="95">
        <v>4634.0</v>
      </c>
      <c r="E86" s="90"/>
      <c r="F86" s="90"/>
      <c r="G86" s="90"/>
      <c r="H86" s="90"/>
      <c r="I86" s="95" t="s">
        <v>1271</v>
      </c>
      <c r="J86" s="98">
        <v>6277571.0</v>
      </c>
      <c r="K86" s="99"/>
      <c r="L86" s="99">
        <f t="shared" si="2"/>
        <v>6277571</v>
      </c>
      <c r="M86" s="102"/>
      <c r="N86" s="90" t="s">
        <v>303</v>
      </c>
      <c r="O86" s="90" t="s">
        <v>144</v>
      </c>
      <c r="P86" s="200"/>
      <c r="Q86" s="201" t="e">
        <v>#N/A</v>
      </c>
      <c r="R86" s="201"/>
      <c r="S86" s="99">
        <f t="shared" si="3"/>
        <v>0</v>
      </c>
      <c r="T86" s="109"/>
      <c r="U86" s="109"/>
      <c r="V86" s="109"/>
      <c r="W86" s="109"/>
      <c r="X86" s="109"/>
      <c r="Y86" s="109"/>
      <c r="Z86" s="98"/>
      <c r="AA86" s="109"/>
      <c r="AB86" s="109"/>
      <c r="AC86" s="109"/>
      <c r="AD86" s="109"/>
      <c r="AE86" s="156"/>
      <c r="AF86" s="109"/>
      <c r="AG86" s="109"/>
      <c r="AH86" s="109"/>
      <c r="AI86" s="109"/>
      <c r="AJ86" s="109"/>
      <c r="AK86" s="109"/>
      <c r="AL86" s="95"/>
      <c r="AM86" s="99"/>
      <c r="AN86" s="109"/>
      <c r="AO86" s="98"/>
      <c r="AP86" s="98"/>
      <c r="AQ86" s="98"/>
      <c r="AR86" s="98">
        <v>6277571.0</v>
      </c>
      <c r="AS86" s="98"/>
      <c r="AT86" s="109"/>
      <c r="AU86" s="109"/>
      <c r="AV86" s="109"/>
      <c r="AW86" s="109"/>
      <c r="AX86" s="109"/>
      <c r="AY86" s="109"/>
      <c r="AZ86" s="109"/>
      <c r="BA86" s="109"/>
      <c r="BB86" s="109"/>
      <c r="BC86" s="109"/>
      <c r="BD86" s="109"/>
      <c r="BE86" s="109"/>
      <c r="BF86" s="109"/>
      <c r="BG86" s="109"/>
      <c r="BH86" s="109"/>
      <c r="BI86" s="109"/>
      <c r="BJ86" s="109"/>
      <c r="BK86" s="109"/>
      <c r="BL86" s="109"/>
      <c r="BM86" s="109"/>
      <c r="BN86" s="109"/>
      <c r="BO86" s="109"/>
      <c r="BP86" s="109"/>
      <c r="BQ86" s="109"/>
      <c r="BR86" s="109"/>
      <c r="BS86" s="109"/>
      <c r="BT86" s="109"/>
      <c r="BU86" s="109"/>
    </row>
    <row r="87" ht="22.5" customHeight="1">
      <c r="A87" s="90" t="s">
        <v>18</v>
      </c>
      <c r="B87" s="90" t="s">
        <v>194</v>
      </c>
      <c r="C87" s="95">
        <v>4869.0</v>
      </c>
      <c r="D87" s="95">
        <v>4807.0</v>
      </c>
      <c r="E87" s="90"/>
      <c r="F87" s="90"/>
      <c r="G87" s="90"/>
      <c r="H87" s="90"/>
      <c r="I87" s="95" t="s">
        <v>1272</v>
      </c>
      <c r="J87" s="98">
        <v>143012.0</v>
      </c>
      <c r="K87" s="99"/>
      <c r="L87" s="99">
        <f t="shared" si="2"/>
        <v>143012</v>
      </c>
      <c r="M87" s="102"/>
      <c r="N87" s="90" t="s">
        <v>1273</v>
      </c>
      <c r="O87" s="90" t="s">
        <v>135</v>
      </c>
      <c r="P87" s="200"/>
      <c r="Q87" s="201" t="e">
        <v>#N/A</v>
      </c>
      <c r="R87" s="201"/>
      <c r="S87" s="99">
        <f t="shared" si="3"/>
        <v>143012</v>
      </c>
      <c r="T87" s="109"/>
      <c r="U87" s="109"/>
      <c r="V87" s="109"/>
      <c r="W87" s="109"/>
      <c r="X87" s="109"/>
      <c r="Y87" s="109"/>
      <c r="Z87" s="98"/>
      <c r="AA87" s="109"/>
      <c r="AB87" s="109"/>
      <c r="AC87" s="109"/>
      <c r="AD87" s="109"/>
      <c r="AE87" s="156"/>
      <c r="AF87" s="109"/>
      <c r="AG87" s="109"/>
      <c r="AH87" s="109"/>
      <c r="AI87" s="109"/>
      <c r="AJ87" s="109"/>
      <c r="AK87" s="109"/>
      <c r="AL87" s="95"/>
      <c r="AM87" s="99"/>
      <c r="AN87" s="109"/>
      <c r="AO87" s="98"/>
      <c r="AP87" s="98"/>
      <c r="AQ87" s="98"/>
      <c r="AR87" s="98"/>
      <c r="AS87" s="98"/>
      <c r="AT87" s="109"/>
      <c r="AU87" s="109"/>
      <c r="AV87" s="109"/>
      <c r="AW87" s="109"/>
      <c r="AX87" s="109"/>
      <c r="AY87" s="109"/>
      <c r="AZ87" s="109"/>
      <c r="BA87" s="109"/>
      <c r="BB87" s="109"/>
      <c r="BC87" s="109"/>
      <c r="BD87" s="109"/>
      <c r="BE87" s="109"/>
      <c r="BF87" s="109"/>
      <c r="BG87" s="109"/>
      <c r="BH87" s="109"/>
      <c r="BI87" s="109"/>
      <c r="BJ87" s="109"/>
      <c r="BK87" s="109"/>
      <c r="BL87" s="109"/>
      <c r="BM87" s="109"/>
      <c r="BN87" s="109"/>
      <c r="BO87" s="109"/>
      <c r="BP87" s="109"/>
      <c r="BQ87" s="109"/>
      <c r="BR87" s="109"/>
      <c r="BS87" s="109"/>
      <c r="BT87" s="109"/>
      <c r="BU87" s="109"/>
    </row>
    <row r="88" ht="22.5" customHeight="1">
      <c r="A88" s="90" t="s">
        <v>18</v>
      </c>
      <c r="B88" s="90" t="s">
        <v>194</v>
      </c>
      <c r="C88" s="95">
        <v>4957.0</v>
      </c>
      <c r="D88" s="95">
        <v>4806.0</v>
      </c>
      <c r="E88" s="90" t="s">
        <v>197</v>
      </c>
      <c r="F88" s="90"/>
      <c r="G88" s="90"/>
      <c r="H88" s="90"/>
      <c r="I88" s="95" t="s">
        <v>1274</v>
      </c>
      <c r="J88" s="98">
        <v>3888798.0</v>
      </c>
      <c r="K88" s="99"/>
      <c r="L88" s="99">
        <f t="shared" si="2"/>
        <v>3888798</v>
      </c>
      <c r="M88" s="102"/>
      <c r="N88" s="90" t="s">
        <v>203</v>
      </c>
      <c r="O88" s="90" t="s">
        <v>147</v>
      </c>
      <c r="P88" s="95" t="s">
        <v>1275</v>
      </c>
      <c r="Q88" s="105">
        <v>46192.0</v>
      </c>
      <c r="R88" s="105"/>
      <c r="S88" s="99">
        <f t="shared" si="3"/>
        <v>0</v>
      </c>
      <c r="T88" s="109"/>
      <c r="U88" s="109"/>
      <c r="V88" s="109"/>
      <c r="W88" s="109"/>
      <c r="X88" s="109"/>
      <c r="Y88" s="109"/>
      <c r="Z88" s="98"/>
      <c r="AA88" s="109"/>
      <c r="AB88" s="109"/>
      <c r="AC88" s="109"/>
      <c r="AD88" s="109"/>
      <c r="AE88" s="156"/>
      <c r="AF88" s="109"/>
      <c r="AG88" s="109"/>
      <c r="AH88" s="109"/>
      <c r="AI88" s="109"/>
      <c r="AJ88" s="109"/>
      <c r="AK88" s="109"/>
      <c r="AL88" s="95"/>
      <c r="AM88" s="99"/>
      <c r="AN88" s="109"/>
      <c r="AO88" s="98"/>
      <c r="AP88" s="98"/>
      <c r="AQ88" s="98">
        <v>3888798.0</v>
      </c>
      <c r="AR88" s="98"/>
      <c r="AS88" s="98"/>
      <c r="AT88" s="109"/>
      <c r="AU88" s="109"/>
      <c r="AV88" s="109"/>
      <c r="AW88" s="109"/>
      <c r="AX88" s="109"/>
      <c r="AY88" s="109"/>
      <c r="AZ88" s="109"/>
      <c r="BA88" s="109"/>
      <c r="BB88" s="109"/>
      <c r="BC88" s="109"/>
      <c r="BD88" s="109"/>
      <c r="BE88" s="109"/>
      <c r="BF88" s="109"/>
      <c r="BG88" s="109"/>
      <c r="BH88" s="109"/>
      <c r="BI88" s="109"/>
      <c r="BJ88" s="109"/>
      <c r="BK88" s="109"/>
      <c r="BL88" s="109"/>
      <c r="BM88" s="109"/>
      <c r="BN88" s="109"/>
      <c r="BO88" s="109"/>
      <c r="BP88" s="109"/>
      <c r="BQ88" s="109"/>
      <c r="BR88" s="109"/>
      <c r="BS88" s="109"/>
      <c r="BT88" s="109"/>
      <c r="BU88" s="109"/>
    </row>
    <row r="89" ht="22.5" customHeight="1">
      <c r="A89" s="90" t="s">
        <v>98</v>
      </c>
      <c r="B89" s="90" t="s">
        <v>210</v>
      </c>
      <c r="C89" s="95">
        <v>5068.0</v>
      </c>
      <c r="D89" s="95">
        <v>4997.0</v>
      </c>
      <c r="E89" s="90" t="s">
        <v>197</v>
      </c>
      <c r="F89" s="90"/>
      <c r="G89" s="90"/>
      <c r="H89" s="90"/>
      <c r="I89" s="95" t="s">
        <v>1276</v>
      </c>
      <c r="J89" s="98">
        <v>797300.0</v>
      </c>
      <c r="K89" s="99"/>
      <c r="L89" s="99">
        <f t="shared" si="2"/>
        <v>797300</v>
      </c>
      <c r="M89" s="102"/>
      <c r="N89" s="90" t="s">
        <v>967</v>
      </c>
      <c r="O89" s="90" t="s">
        <v>142</v>
      </c>
      <c r="P89" s="95" t="s">
        <v>1277</v>
      </c>
      <c r="Q89" s="105">
        <v>46198.0</v>
      </c>
      <c r="R89" s="105"/>
      <c r="S89" s="99">
        <f t="shared" si="3"/>
        <v>0</v>
      </c>
      <c r="T89" s="109"/>
      <c r="U89" s="109"/>
      <c r="V89" s="109"/>
      <c r="W89" s="109"/>
      <c r="X89" s="109"/>
      <c r="Y89" s="109"/>
      <c r="Z89" s="98"/>
      <c r="AA89" s="109"/>
      <c r="AB89" s="109"/>
      <c r="AC89" s="109"/>
      <c r="AD89" s="109"/>
      <c r="AE89" s="156"/>
      <c r="AF89" s="109"/>
      <c r="AG89" s="109"/>
      <c r="AH89" s="109"/>
      <c r="AI89" s="109"/>
      <c r="AJ89" s="109"/>
      <c r="AK89" s="109"/>
      <c r="AL89" s="95"/>
      <c r="AM89" s="99"/>
      <c r="AN89" s="109"/>
      <c r="AO89" s="98"/>
      <c r="AP89" s="98"/>
      <c r="AQ89" s="98">
        <v>797300.0</v>
      </c>
      <c r="AR89" s="98"/>
      <c r="AS89" s="98"/>
      <c r="AT89" s="109"/>
      <c r="AU89" s="109"/>
      <c r="AV89" s="109"/>
      <c r="AW89" s="109"/>
      <c r="AX89" s="109"/>
      <c r="AY89" s="109"/>
      <c r="AZ89" s="109"/>
      <c r="BA89" s="109"/>
      <c r="BB89" s="109"/>
      <c r="BC89" s="109"/>
      <c r="BD89" s="109"/>
      <c r="BE89" s="109"/>
      <c r="BF89" s="109"/>
      <c r="BG89" s="109"/>
      <c r="BH89" s="109"/>
      <c r="BI89" s="109"/>
      <c r="BJ89" s="109"/>
      <c r="BK89" s="109"/>
      <c r="BL89" s="109"/>
      <c r="BM89" s="109"/>
      <c r="BN89" s="109"/>
      <c r="BO89" s="109"/>
      <c r="BP89" s="109"/>
      <c r="BQ89" s="109"/>
      <c r="BR89" s="109"/>
      <c r="BS89" s="109"/>
      <c r="BT89" s="109"/>
      <c r="BU89" s="109"/>
    </row>
    <row r="90" ht="22.5" customHeight="1">
      <c r="A90" s="90" t="s">
        <v>18</v>
      </c>
      <c r="B90" s="90" t="s">
        <v>194</v>
      </c>
      <c r="C90" s="95">
        <v>5196.0</v>
      </c>
      <c r="D90" s="95">
        <v>5048.0</v>
      </c>
      <c r="E90" s="90"/>
      <c r="F90" s="90"/>
      <c r="G90" s="90"/>
      <c r="H90" s="90"/>
      <c r="I90" s="95" t="s">
        <v>1278</v>
      </c>
      <c r="J90" s="98">
        <v>1015644.0</v>
      </c>
      <c r="K90" s="99"/>
      <c r="L90" s="99">
        <f t="shared" si="2"/>
        <v>1015644</v>
      </c>
      <c r="M90" s="102"/>
      <c r="N90" s="90" t="s">
        <v>280</v>
      </c>
      <c r="O90" s="90" t="s">
        <v>144</v>
      </c>
      <c r="P90" s="200"/>
      <c r="Q90" s="201" t="e">
        <v>#N/A</v>
      </c>
      <c r="R90" s="201"/>
      <c r="S90" s="99">
        <f t="shared" si="3"/>
        <v>0</v>
      </c>
      <c r="T90" s="109"/>
      <c r="U90" s="109"/>
      <c r="V90" s="109"/>
      <c r="W90" s="109"/>
      <c r="X90" s="109"/>
      <c r="Y90" s="109"/>
      <c r="Z90" s="98"/>
      <c r="AA90" s="109"/>
      <c r="AB90" s="109"/>
      <c r="AC90" s="109"/>
      <c r="AD90" s="109"/>
      <c r="AE90" s="156"/>
      <c r="AF90" s="109"/>
      <c r="AG90" s="109"/>
      <c r="AH90" s="109"/>
      <c r="AI90" s="109"/>
      <c r="AJ90" s="109"/>
      <c r="AK90" s="109"/>
      <c r="AL90" s="95"/>
      <c r="AM90" s="99"/>
      <c r="AN90" s="109"/>
      <c r="AO90" s="98"/>
      <c r="AP90" s="98"/>
      <c r="AQ90" s="98"/>
      <c r="AR90" s="98">
        <v>1015644.0</v>
      </c>
      <c r="AS90" s="98"/>
      <c r="AT90" s="109"/>
      <c r="AU90" s="109"/>
      <c r="AV90" s="109"/>
      <c r="AW90" s="109"/>
      <c r="AX90" s="109"/>
      <c r="AY90" s="109"/>
      <c r="AZ90" s="109"/>
      <c r="BA90" s="109"/>
      <c r="BB90" s="109"/>
      <c r="BC90" s="109"/>
      <c r="BD90" s="109"/>
      <c r="BE90" s="109"/>
      <c r="BF90" s="109"/>
      <c r="BG90" s="109"/>
      <c r="BH90" s="109"/>
      <c r="BI90" s="109"/>
      <c r="BJ90" s="109"/>
      <c r="BK90" s="109"/>
      <c r="BL90" s="109"/>
      <c r="BM90" s="109"/>
      <c r="BN90" s="109"/>
      <c r="BO90" s="109"/>
      <c r="BP90" s="109"/>
      <c r="BQ90" s="109"/>
      <c r="BR90" s="109"/>
      <c r="BS90" s="109"/>
      <c r="BT90" s="109"/>
      <c r="BU90" s="109"/>
    </row>
    <row r="91" ht="22.5" customHeight="1">
      <c r="A91" s="90" t="s">
        <v>18</v>
      </c>
      <c r="B91" s="90" t="s">
        <v>194</v>
      </c>
      <c r="C91" s="95"/>
      <c r="D91" s="95"/>
      <c r="E91" s="90"/>
      <c r="F91" s="90"/>
      <c r="G91" s="90"/>
      <c r="H91" s="90"/>
      <c r="I91" s="500" t="s">
        <v>1279</v>
      </c>
      <c r="J91" s="501">
        <v>7.3E7</v>
      </c>
      <c r="K91" s="99"/>
      <c r="L91" s="99">
        <f t="shared" si="2"/>
        <v>73000000</v>
      </c>
      <c r="M91" s="102"/>
      <c r="N91" s="90"/>
      <c r="O91" s="90"/>
      <c r="P91" s="200"/>
      <c r="Q91" s="201" t="e">
        <v>#N/A</v>
      </c>
      <c r="R91" s="201"/>
      <c r="S91" s="99">
        <f t="shared" si="3"/>
        <v>73000000</v>
      </c>
      <c r="T91" s="109"/>
      <c r="U91" s="109"/>
      <c r="V91" s="109"/>
      <c r="W91" s="109"/>
      <c r="X91" s="109"/>
      <c r="Y91" s="109"/>
      <c r="Z91" s="98"/>
      <c r="AA91" s="109"/>
      <c r="AB91" s="109"/>
      <c r="AC91" s="109"/>
      <c r="AD91" s="109"/>
      <c r="AE91" s="156"/>
      <c r="AF91" s="109"/>
      <c r="AG91" s="109"/>
      <c r="AH91" s="109"/>
      <c r="AI91" s="109"/>
      <c r="AJ91" s="109"/>
      <c r="AK91" s="109"/>
      <c r="AL91" s="95"/>
      <c r="AM91" s="99"/>
      <c r="AN91" s="109"/>
      <c r="AO91" s="98"/>
      <c r="AP91" s="98"/>
      <c r="AQ91" s="98"/>
      <c r="AR91" s="98"/>
      <c r="AS91" s="98"/>
      <c r="AT91" s="109"/>
      <c r="AU91" s="109"/>
      <c r="AV91" s="109"/>
      <c r="AW91" s="109"/>
      <c r="AX91" s="109"/>
      <c r="AY91" s="109"/>
      <c r="AZ91" s="109"/>
      <c r="BA91" s="109"/>
      <c r="BB91" s="109"/>
      <c r="BC91" s="109"/>
      <c r="BD91" s="109"/>
      <c r="BE91" s="109"/>
      <c r="BF91" s="109"/>
      <c r="BG91" s="109"/>
      <c r="BH91" s="109"/>
      <c r="BI91" s="109"/>
      <c r="BJ91" s="109"/>
      <c r="BK91" s="109"/>
      <c r="BL91" s="109"/>
      <c r="BM91" s="109"/>
      <c r="BN91" s="109"/>
      <c r="BO91" s="109"/>
      <c r="BP91" s="109"/>
      <c r="BQ91" s="109"/>
      <c r="BR91" s="109"/>
      <c r="BS91" s="109"/>
      <c r="BT91" s="109"/>
      <c r="BU91" s="109"/>
    </row>
    <row r="92" ht="22.5" customHeight="1">
      <c r="A92" s="90" t="s">
        <v>18</v>
      </c>
      <c r="B92" s="90" t="s">
        <v>412</v>
      </c>
      <c r="C92" s="95">
        <v>5437.0</v>
      </c>
      <c r="D92" s="95">
        <v>5188.0</v>
      </c>
      <c r="E92" s="90"/>
      <c r="F92" s="90"/>
      <c r="G92" s="90"/>
      <c r="H92" s="90"/>
      <c r="I92" s="502" t="s">
        <v>1280</v>
      </c>
      <c r="J92" s="503">
        <v>155771.0</v>
      </c>
      <c r="K92" s="99"/>
      <c r="L92" s="99">
        <f t="shared" si="2"/>
        <v>155771</v>
      </c>
      <c r="M92" s="102"/>
      <c r="N92" s="90" t="s">
        <v>999</v>
      </c>
      <c r="O92" s="90" t="s">
        <v>144</v>
      </c>
      <c r="P92" s="95" t="s">
        <v>1281</v>
      </c>
      <c r="Q92" s="201" t="e">
        <v>#N/A</v>
      </c>
      <c r="R92" s="201"/>
      <c r="S92" s="99">
        <f t="shared" si="3"/>
        <v>155771</v>
      </c>
      <c r="T92" s="109"/>
      <c r="U92" s="109"/>
      <c r="V92" s="109"/>
      <c r="W92" s="109"/>
      <c r="X92" s="109"/>
      <c r="Y92" s="109"/>
      <c r="Z92" s="98"/>
      <c r="AA92" s="109"/>
      <c r="AB92" s="109"/>
      <c r="AC92" s="109"/>
      <c r="AD92" s="109"/>
      <c r="AE92" s="156"/>
      <c r="AF92" s="109"/>
      <c r="AG92" s="109"/>
      <c r="AH92" s="109"/>
      <c r="AI92" s="109"/>
      <c r="AJ92" s="109"/>
      <c r="AK92" s="109"/>
      <c r="AL92" s="95"/>
      <c r="AM92" s="99"/>
      <c r="AN92" s="109"/>
      <c r="AO92" s="98"/>
      <c r="AP92" s="98"/>
      <c r="AQ92" s="98"/>
      <c r="AR92" s="98"/>
      <c r="AS92" s="98"/>
      <c r="AT92" s="109"/>
      <c r="AU92" s="109"/>
      <c r="AV92" s="109"/>
      <c r="AW92" s="109"/>
      <c r="AX92" s="109"/>
      <c r="AY92" s="109"/>
      <c r="AZ92" s="109"/>
      <c r="BA92" s="109"/>
      <c r="BB92" s="109"/>
      <c r="BC92" s="109"/>
      <c r="BD92" s="109"/>
      <c r="BE92" s="109"/>
      <c r="BF92" s="109"/>
      <c r="BG92" s="109"/>
      <c r="BH92" s="109"/>
      <c r="BI92" s="109"/>
      <c r="BJ92" s="109"/>
      <c r="BK92" s="109"/>
      <c r="BL92" s="109"/>
      <c r="BM92" s="109"/>
      <c r="BN92" s="109"/>
      <c r="BO92" s="109"/>
      <c r="BP92" s="109"/>
      <c r="BQ92" s="109"/>
      <c r="BR92" s="109"/>
      <c r="BS92" s="109"/>
      <c r="BT92" s="109"/>
      <c r="BU92" s="109"/>
    </row>
    <row r="93" ht="22.5" customHeight="1">
      <c r="A93" s="90" t="s">
        <v>18</v>
      </c>
      <c r="B93" s="90" t="s">
        <v>194</v>
      </c>
      <c r="C93" s="95">
        <v>5549.0</v>
      </c>
      <c r="D93" s="95">
        <v>5315.0</v>
      </c>
      <c r="E93" s="90"/>
      <c r="F93" s="90"/>
      <c r="G93" s="90"/>
      <c r="H93" s="90"/>
      <c r="I93" s="502" t="s">
        <v>1282</v>
      </c>
      <c r="J93" s="503">
        <v>3998400.0</v>
      </c>
      <c r="K93" s="99"/>
      <c r="L93" s="99">
        <f t="shared" si="2"/>
        <v>3998400</v>
      </c>
      <c r="M93" s="102"/>
      <c r="N93" s="90" t="s">
        <v>610</v>
      </c>
      <c r="O93" s="90" t="s">
        <v>135</v>
      </c>
      <c r="P93" s="200"/>
      <c r="Q93" s="201" t="e">
        <v>#N/A</v>
      </c>
      <c r="R93" s="201"/>
      <c r="S93" s="99">
        <f t="shared" si="3"/>
        <v>3998400</v>
      </c>
      <c r="T93" s="109"/>
      <c r="U93" s="109"/>
      <c r="V93" s="109"/>
      <c r="W93" s="109"/>
      <c r="X93" s="109"/>
      <c r="Y93" s="109"/>
      <c r="Z93" s="98"/>
      <c r="AA93" s="109"/>
      <c r="AB93" s="109"/>
      <c r="AC93" s="109"/>
      <c r="AD93" s="109"/>
      <c r="AE93" s="156"/>
      <c r="AF93" s="109"/>
      <c r="AG93" s="109"/>
      <c r="AH93" s="109"/>
      <c r="AI93" s="109"/>
      <c r="AJ93" s="109"/>
      <c r="AK93" s="109"/>
      <c r="AL93" s="95"/>
      <c r="AM93" s="99"/>
      <c r="AN93" s="109"/>
      <c r="AO93" s="98"/>
      <c r="AP93" s="98"/>
      <c r="AQ93" s="98"/>
      <c r="AR93" s="98"/>
      <c r="AS93" s="98"/>
      <c r="AT93" s="109"/>
      <c r="AU93" s="109"/>
      <c r="AV93" s="109"/>
      <c r="AW93" s="109"/>
      <c r="AX93" s="109"/>
      <c r="AY93" s="109"/>
      <c r="AZ93" s="109"/>
      <c r="BA93" s="109"/>
      <c r="BB93" s="109"/>
      <c r="BC93" s="109"/>
      <c r="BD93" s="109"/>
      <c r="BE93" s="109"/>
      <c r="BF93" s="109"/>
      <c r="BG93" s="109"/>
      <c r="BH93" s="109"/>
      <c r="BI93" s="109"/>
      <c r="BJ93" s="109"/>
      <c r="BK93" s="109"/>
      <c r="BL93" s="109"/>
      <c r="BM93" s="109"/>
      <c r="BN93" s="109"/>
      <c r="BO93" s="109"/>
      <c r="BP93" s="109"/>
      <c r="BQ93" s="109"/>
      <c r="BR93" s="109"/>
      <c r="BS93" s="109"/>
      <c r="BT93" s="109"/>
      <c r="BU93" s="109"/>
    </row>
    <row r="94" ht="22.5" customHeight="1">
      <c r="A94" s="90" t="s">
        <v>18</v>
      </c>
      <c r="B94" s="90" t="s">
        <v>412</v>
      </c>
      <c r="C94" s="95">
        <v>5664.0</v>
      </c>
      <c r="D94" s="95">
        <v>5439.0</v>
      </c>
      <c r="E94" s="90"/>
      <c r="F94" s="90"/>
      <c r="G94" s="90"/>
      <c r="H94" s="90"/>
      <c r="I94" s="502" t="s">
        <v>1283</v>
      </c>
      <c r="J94" s="503">
        <v>190780.0</v>
      </c>
      <c r="K94" s="99"/>
      <c r="L94" s="99">
        <f t="shared" si="2"/>
        <v>190780</v>
      </c>
      <c r="M94" s="102"/>
      <c r="N94" s="90" t="s">
        <v>777</v>
      </c>
      <c r="O94" s="90" t="s">
        <v>144</v>
      </c>
      <c r="P94" s="200"/>
      <c r="Q94" s="201"/>
      <c r="R94" s="201"/>
      <c r="S94" s="99">
        <f t="shared" si="3"/>
        <v>190780</v>
      </c>
      <c r="T94" s="109"/>
      <c r="U94" s="109"/>
      <c r="V94" s="109"/>
      <c r="W94" s="109"/>
      <c r="X94" s="109"/>
      <c r="Y94" s="109"/>
      <c r="Z94" s="98"/>
      <c r="AA94" s="109"/>
      <c r="AB94" s="109"/>
      <c r="AC94" s="109"/>
      <c r="AD94" s="109"/>
      <c r="AE94" s="156"/>
      <c r="AF94" s="109"/>
      <c r="AG94" s="109"/>
      <c r="AH94" s="109"/>
      <c r="AI94" s="109"/>
      <c r="AJ94" s="109"/>
      <c r="AK94" s="109"/>
      <c r="AL94" s="95"/>
      <c r="AM94" s="99"/>
      <c r="AN94" s="109"/>
      <c r="AO94" s="98"/>
      <c r="AP94" s="98"/>
      <c r="AQ94" s="98"/>
      <c r="AR94" s="98"/>
      <c r="AS94" s="98"/>
      <c r="AT94" s="109"/>
      <c r="AU94" s="109"/>
      <c r="AV94" s="109"/>
      <c r="AW94" s="109"/>
      <c r="AX94" s="109"/>
      <c r="AY94" s="109"/>
      <c r="AZ94" s="109"/>
      <c r="BA94" s="109"/>
      <c r="BB94" s="109"/>
      <c r="BC94" s="109"/>
      <c r="BD94" s="109"/>
      <c r="BE94" s="109"/>
      <c r="BF94" s="109"/>
      <c r="BG94" s="109"/>
      <c r="BH94" s="109"/>
      <c r="BI94" s="109"/>
      <c r="BJ94" s="109"/>
      <c r="BK94" s="109"/>
      <c r="BL94" s="109"/>
      <c r="BM94" s="109"/>
      <c r="BN94" s="109"/>
      <c r="BO94" s="109"/>
      <c r="BP94" s="109"/>
      <c r="BQ94" s="109"/>
      <c r="BR94" s="109"/>
      <c r="BS94" s="109"/>
      <c r="BT94" s="109"/>
      <c r="BU94" s="109"/>
    </row>
    <row r="95" ht="22.5" customHeight="1">
      <c r="A95" s="90" t="s">
        <v>75</v>
      </c>
      <c r="B95" s="90" t="s">
        <v>141</v>
      </c>
      <c r="C95" s="95">
        <v>5791.0</v>
      </c>
      <c r="D95" s="95">
        <v>5541.0</v>
      </c>
      <c r="E95" s="90"/>
      <c r="F95" s="90"/>
      <c r="G95" s="90"/>
      <c r="H95" s="90"/>
      <c r="I95" s="502" t="s">
        <v>1284</v>
      </c>
      <c r="J95" s="503">
        <v>1.3239702E7</v>
      </c>
      <c r="K95" s="99"/>
      <c r="L95" s="99">
        <f t="shared" si="2"/>
        <v>13239702</v>
      </c>
      <c r="M95" s="102"/>
      <c r="N95" s="90" t="s">
        <v>1094</v>
      </c>
      <c r="O95" s="90" t="s">
        <v>142</v>
      </c>
      <c r="P95" s="200"/>
      <c r="Q95" s="201"/>
      <c r="R95" s="201"/>
      <c r="S95" s="99">
        <f t="shared" si="3"/>
        <v>13239702</v>
      </c>
      <c r="T95" s="109"/>
      <c r="U95" s="109"/>
      <c r="V95" s="109"/>
      <c r="W95" s="109"/>
      <c r="X95" s="109"/>
      <c r="Y95" s="109"/>
      <c r="Z95" s="98"/>
      <c r="AA95" s="109"/>
      <c r="AB95" s="109"/>
      <c r="AC95" s="109"/>
      <c r="AD95" s="109"/>
      <c r="AE95" s="156"/>
      <c r="AF95" s="109"/>
      <c r="AG95" s="109"/>
      <c r="AH95" s="109"/>
      <c r="AI95" s="109"/>
      <c r="AJ95" s="109"/>
      <c r="AK95" s="109"/>
      <c r="AL95" s="95"/>
      <c r="AM95" s="99"/>
      <c r="AN95" s="109"/>
      <c r="AO95" s="98"/>
      <c r="AP95" s="98"/>
      <c r="AQ95" s="98"/>
      <c r="AR95" s="98"/>
      <c r="AS95" s="98"/>
      <c r="AT95" s="109"/>
      <c r="AU95" s="109"/>
      <c r="AV95" s="109"/>
      <c r="AW95" s="109"/>
      <c r="AX95" s="109"/>
      <c r="AY95" s="109"/>
      <c r="AZ95" s="109"/>
      <c r="BA95" s="109"/>
      <c r="BB95" s="109"/>
      <c r="BC95" s="109"/>
      <c r="BD95" s="109"/>
      <c r="BE95" s="109"/>
      <c r="BF95" s="109"/>
      <c r="BG95" s="109"/>
      <c r="BH95" s="109"/>
      <c r="BI95" s="109"/>
      <c r="BJ95" s="109"/>
      <c r="BK95" s="109"/>
      <c r="BL95" s="109"/>
      <c r="BM95" s="109"/>
      <c r="BN95" s="109"/>
      <c r="BO95" s="109"/>
      <c r="BP95" s="109"/>
      <c r="BQ95" s="109"/>
      <c r="BR95" s="109"/>
      <c r="BS95" s="109"/>
      <c r="BT95" s="109"/>
      <c r="BU95" s="109"/>
    </row>
    <row r="96" ht="22.5" customHeight="1">
      <c r="A96" s="90" t="s">
        <v>18</v>
      </c>
      <c r="B96" s="90" t="s">
        <v>194</v>
      </c>
      <c r="C96" s="95">
        <v>5891.0</v>
      </c>
      <c r="D96" s="95">
        <v>5665.0</v>
      </c>
      <c r="E96" s="90"/>
      <c r="F96" s="90"/>
      <c r="G96" s="90"/>
      <c r="H96" s="90"/>
      <c r="I96" s="502" t="s">
        <v>1285</v>
      </c>
      <c r="J96" s="503">
        <v>1.6397359E7</v>
      </c>
      <c r="K96" s="99"/>
      <c r="L96" s="99">
        <f t="shared" si="2"/>
        <v>16397359</v>
      </c>
      <c r="M96" s="102"/>
      <c r="N96" s="90" t="s">
        <v>568</v>
      </c>
      <c r="O96" s="90" t="s">
        <v>101</v>
      </c>
      <c r="P96" s="200"/>
      <c r="Q96" s="201"/>
      <c r="R96" s="201"/>
      <c r="S96" s="99">
        <f t="shared" si="3"/>
        <v>16397359</v>
      </c>
      <c r="T96" s="109"/>
      <c r="U96" s="109"/>
      <c r="V96" s="109"/>
      <c r="W96" s="109"/>
      <c r="X96" s="109"/>
      <c r="Y96" s="109"/>
      <c r="Z96" s="98"/>
      <c r="AA96" s="109"/>
      <c r="AB96" s="109"/>
      <c r="AC96" s="109"/>
      <c r="AD96" s="109"/>
      <c r="AE96" s="156"/>
      <c r="AF96" s="109"/>
      <c r="AG96" s="109"/>
      <c r="AH96" s="109"/>
      <c r="AI96" s="109"/>
      <c r="AJ96" s="109"/>
      <c r="AK96" s="109"/>
      <c r="AL96" s="95"/>
      <c r="AM96" s="99"/>
      <c r="AN96" s="109"/>
      <c r="AO96" s="98"/>
      <c r="AP96" s="98"/>
      <c r="AQ96" s="98"/>
      <c r="AR96" s="98"/>
      <c r="AS96" s="98"/>
      <c r="AT96" s="109"/>
      <c r="AU96" s="109"/>
      <c r="AV96" s="109"/>
      <c r="AW96" s="109"/>
      <c r="AX96" s="109"/>
      <c r="AY96" s="109"/>
      <c r="AZ96" s="109"/>
      <c r="BA96" s="109"/>
      <c r="BB96" s="109"/>
      <c r="BC96" s="109"/>
      <c r="BD96" s="109"/>
      <c r="BE96" s="109"/>
      <c r="BF96" s="109"/>
      <c r="BG96" s="109"/>
      <c r="BH96" s="109"/>
      <c r="BI96" s="109"/>
      <c r="BJ96" s="109"/>
      <c r="BK96" s="109"/>
      <c r="BL96" s="109"/>
      <c r="BM96" s="109"/>
      <c r="BN96" s="109"/>
      <c r="BO96" s="109"/>
      <c r="BP96" s="109"/>
      <c r="BQ96" s="109"/>
      <c r="BR96" s="109"/>
      <c r="BS96" s="109"/>
      <c r="BT96" s="109"/>
      <c r="BU96" s="109"/>
    </row>
    <row r="97" ht="22.5" customHeight="1">
      <c r="A97" s="90" t="s">
        <v>18</v>
      </c>
      <c r="B97" s="90" t="s">
        <v>412</v>
      </c>
      <c r="C97" s="95">
        <v>5955.0</v>
      </c>
      <c r="D97" s="95">
        <v>5639.0</v>
      </c>
      <c r="E97" s="90"/>
      <c r="F97" s="90"/>
      <c r="G97" s="90"/>
      <c r="H97" s="90"/>
      <c r="I97" s="502" t="s">
        <v>1286</v>
      </c>
      <c r="J97" s="503">
        <v>45000.0</v>
      </c>
      <c r="K97" s="99"/>
      <c r="L97" s="99">
        <f t="shared" si="2"/>
        <v>45000</v>
      </c>
      <c r="M97" s="102"/>
      <c r="N97" s="90" t="s">
        <v>777</v>
      </c>
      <c r="O97" s="90" t="s">
        <v>144</v>
      </c>
      <c r="P97" s="200"/>
      <c r="Q97" s="201"/>
      <c r="R97" s="201"/>
      <c r="S97" s="99">
        <f t="shared" si="3"/>
        <v>45000</v>
      </c>
      <c r="T97" s="109"/>
      <c r="U97" s="109"/>
      <c r="V97" s="109"/>
      <c r="W97" s="109"/>
      <c r="X97" s="109"/>
      <c r="Y97" s="109"/>
      <c r="Z97" s="98"/>
      <c r="AA97" s="109"/>
      <c r="AB97" s="109"/>
      <c r="AC97" s="109"/>
      <c r="AD97" s="109"/>
      <c r="AE97" s="156"/>
      <c r="AF97" s="109"/>
      <c r="AG97" s="109"/>
      <c r="AH97" s="109"/>
      <c r="AI97" s="109"/>
      <c r="AJ97" s="109"/>
      <c r="AK97" s="109"/>
      <c r="AL97" s="95"/>
      <c r="AM97" s="99"/>
      <c r="AN97" s="109"/>
      <c r="AO97" s="98"/>
      <c r="AP97" s="98"/>
      <c r="AQ97" s="98"/>
      <c r="AR97" s="98"/>
      <c r="AS97" s="98"/>
      <c r="AT97" s="109"/>
      <c r="AU97" s="109"/>
      <c r="AV97" s="109"/>
      <c r="AW97" s="109"/>
      <c r="AX97" s="109"/>
      <c r="AY97" s="109"/>
      <c r="AZ97" s="109"/>
      <c r="BA97" s="109"/>
      <c r="BB97" s="109"/>
      <c r="BC97" s="109"/>
      <c r="BD97" s="109"/>
      <c r="BE97" s="109"/>
      <c r="BF97" s="109"/>
      <c r="BG97" s="109"/>
      <c r="BH97" s="109"/>
      <c r="BI97" s="109"/>
      <c r="BJ97" s="109"/>
      <c r="BK97" s="109"/>
      <c r="BL97" s="109"/>
      <c r="BM97" s="109"/>
      <c r="BN97" s="109"/>
      <c r="BO97" s="109"/>
      <c r="BP97" s="109"/>
      <c r="BQ97" s="109"/>
      <c r="BR97" s="109"/>
      <c r="BS97" s="109"/>
      <c r="BT97" s="109"/>
      <c r="BU97" s="109"/>
    </row>
    <row r="98" ht="22.5" customHeight="1">
      <c r="A98" s="90" t="s">
        <v>18</v>
      </c>
      <c r="B98" s="90" t="s">
        <v>412</v>
      </c>
      <c r="C98" s="95">
        <v>5956.0</v>
      </c>
      <c r="D98" s="95">
        <v>5640.0</v>
      </c>
      <c r="E98" s="90"/>
      <c r="F98" s="90"/>
      <c r="G98" s="90"/>
      <c r="H98" s="90"/>
      <c r="I98" s="502" t="s">
        <v>1287</v>
      </c>
      <c r="J98" s="503">
        <v>297000.0</v>
      </c>
      <c r="K98" s="99"/>
      <c r="L98" s="99">
        <f t="shared" si="2"/>
        <v>297000</v>
      </c>
      <c r="M98" s="102"/>
      <c r="N98" s="90" t="s">
        <v>777</v>
      </c>
      <c r="O98" s="90" t="s">
        <v>144</v>
      </c>
      <c r="P98" s="200"/>
      <c r="Q98" s="201"/>
      <c r="R98" s="201"/>
      <c r="S98" s="99">
        <f t="shared" si="3"/>
        <v>297000</v>
      </c>
      <c r="T98" s="109"/>
      <c r="U98" s="109"/>
      <c r="V98" s="109"/>
      <c r="W98" s="109"/>
      <c r="X98" s="109"/>
      <c r="Y98" s="109"/>
      <c r="Z98" s="98"/>
      <c r="AA98" s="109"/>
      <c r="AB98" s="109"/>
      <c r="AC98" s="109"/>
      <c r="AD98" s="109"/>
      <c r="AE98" s="156"/>
      <c r="AF98" s="109"/>
      <c r="AG98" s="109"/>
      <c r="AH98" s="109"/>
      <c r="AI98" s="109"/>
      <c r="AJ98" s="109"/>
      <c r="AK98" s="109"/>
      <c r="AL98" s="95"/>
      <c r="AM98" s="99"/>
      <c r="AN98" s="109"/>
      <c r="AO98" s="98"/>
      <c r="AP98" s="98"/>
      <c r="AQ98" s="98"/>
      <c r="AR98" s="98"/>
      <c r="AS98" s="98"/>
      <c r="AT98" s="109"/>
      <c r="AU98" s="109"/>
      <c r="AV98" s="109"/>
      <c r="AW98" s="109"/>
      <c r="AX98" s="109"/>
      <c r="AY98" s="109"/>
      <c r="AZ98" s="109"/>
      <c r="BA98" s="109"/>
      <c r="BB98" s="109"/>
      <c r="BC98" s="109"/>
      <c r="BD98" s="109"/>
      <c r="BE98" s="109"/>
      <c r="BF98" s="109"/>
      <c r="BG98" s="109"/>
      <c r="BH98" s="109"/>
      <c r="BI98" s="109"/>
      <c r="BJ98" s="109"/>
      <c r="BK98" s="109"/>
      <c r="BL98" s="109"/>
      <c r="BM98" s="109"/>
      <c r="BN98" s="109"/>
      <c r="BO98" s="109"/>
      <c r="BP98" s="109"/>
      <c r="BQ98" s="109"/>
      <c r="BR98" s="109"/>
      <c r="BS98" s="109"/>
      <c r="BT98" s="109"/>
      <c r="BU98" s="109"/>
    </row>
    <row r="99" ht="22.5" customHeight="1">
      <c r="A99" s="90" t="s">
        <v>98</v>
      </c>
      <c r="B99" s="90" t="s">
        <v>217</v>
      </c>
      <c r="C99" s="95">
        <v>6054.0</v>
      </c>
      <c r="D99" s="95"/>
      <c r="E99" s="90"/>
      <c r="F99" s="90"/>
      <c r="G99" s="90"/>
      <c r="H99" s="90"/>
      <c r="I99" s="502" t="s">
        <v>1288</v>
      </c>
      <c r="J99" s="503">
        <v>9.806909E7</v>
      </c>
      <c r="K99" s="99"/>
      <c r="L99" s="99">
        <f t="shared" si="2"/>
        <v>98069090</v>
      </c>
      <c r="M99" s="102"/>
      <c r="N99" s="90" t="s">
        <v>233</v>
      </c>
      <c r="O99" s="90" t="s">
        <v>142</v>
      </c>
      <c r="P99" s="200"/>
      <c r="Q99" s="201"/>
      <c r="R99" s="201"/>
      <c r="S99" s="99">
        <f t="shared" si="3"/>
        <v>98069090</v>
      </c>
      <c r="T99" s="109"/>
      <c r="U99" s="109"/>
      <c r="V99" s="109"/>
      <c r="W99" s="109"/>
      <c r="X99" s="109"/>
      <c r="Y99" s="109"/>
      <c r="Z99" s="98"/>
      <c r="AA99" s="109"/>
      <c r="AB99" s="109"/>
      <c r="AC99" s="109"/>
      <c r="AD99" s="109"/>
      <c r="AE99" s="156"/>
      <c r="AF99" s="109"/>
      <c r="AG99" s="109"/>
      <c r="AH99" s="109"/>
      <c r="AI99" s="109"/>
      <c r="AJ99" s="109"/>
      <c r="AK99" s="109"/>
      <c r="AL99" s="95"/>
      <c r="AM99" s="99"/>
      <c r="AN99" s="109"/>
      <c r="AO99" s="98"/>
      <c r="AP99" s="98"/>
      <c r="AQ99" s="98"/>
      <c r="AR99" s="98"/>
      <c r="AS99" s="98"/>
      <c r="AT99" s="109"/>
      <c r="AU99" s="109"/>
      <c r="AV99" s="109"/>
      <c r="AW99" s="109"/>
      <c r="AX99" s="109"/>
      <c r="AY99" s="109"/>
      <c r="AZ99" s="109"/>
      <c r="BA99" s="109"/>
      <c r="BB99" s="109"/>
      <c r="BC99" s="109"/>
      <c r="BD99" s="109"/>
      <c r="BE99" s="109"/>
      <c r="BF99" s="109"/>
      <c r="BG99" s="109"/>
      <c r="BH99" s="109"/>
      <c r="BI99" s="109"/>
      <c r="BJ99" s="109"/>
      <c r="BK99" s="109"/>
      <c r="BL99" s="109"/>
      <c r="BM99" s="109"/>
      <c r="BN99" s="109"/>
      <c r="BO99" s="109"/>
      <c r="BP99" s="109"/>
      <c r="BQ99" s="109"/>
      <c r="BR99" s="109"/>
      <c r="BS99" s="109"/>
      <c r="BT99" s="109"/>
      <c r="BU99" s="109"/>
    </row>
    <row r="100" ht="22.5" customHeight="1">
      <c r="A100" s="90" t="s">
        <v>107</v>
      </c>
      <c r="B100" s="90" t="s">
        <v>234</v>
      </c>
      <c r="C100" s="95">
        <v>6147.0</v>
      </c>
      <c r="D100" s="95"/>
      <c r="E100" s="90"/>
      <c r="F100" s="90"/>
      <c r="G100" s="90"/>
      <c r="H100" s="90"/>
      <c r="I100" s="502" t="s">
        <v>1289</v>
      </c>
      <c r="J100" s="503">
        <v>2196742.0</v>
      </c>
      <c r="K100" s="99"/>
      <c r="L100" s="99">
        <f t="shared" si="2"/>
        <v>2196742</v>
      </c>
      <c r="M100" s="102"/>
      <c r="N100" s="90" t="s">
        <v>280</v>
      </c>
      <c r="O100" s="90" t="s">
        <v>74</v>
      </c>
      <c r="P100" s="200"/>
      <c r="Q100" s="201"/>
      <c r="R100" s="201"/>
      <c r="S100" s="99">
        <f t="shared" si="3"/>
        <v>2196742</v>
      </c>
      <c r="T100" s="109"/>
      <c r="U100" s="109"/>
      <c r="V100" s="109"/>
      <c r="W100" s="109"/>
      <c r="X100" s="109"/>
      <c r="Y100" s="109"/>
      <c r="Z100" s="98"/>
      <c r="AA100" s="109"/>
      <c r="AB100" s="109"/>
      <c r="AC100" s="109"/>
      <c r="AD100" s="109"/>
      <c r="AE100" s="156"/>
      <c r="AF100" s="109"/>
      <c r="AG100" s="109"/>
      <c r="AH100" s="109"/>
      <c r="AI100" s="109"/>
      <c r="AJ100" s="109"/>
      <c r="AK100" s="109"/>
      <c r="AL100" s="95"/>
      <c r="AM100" s="99"/>
      <c r="AN100" s="109"/>
      <c r="AO100" s="98"/>
      <c r="AP100" s="98"/>
      <c r="AQ100" s="98"/>
      <c r="AR100" s="98"/>
      <c r="AS100" s="98"/>
      <c r="AT100" s="109"/>
      <c r="AU100" s="109"/>
      <c r="AV100" s="109"/>
      <c r="AW100" s="109"/>
      <c r="AX100" s="109"/>
      <c r="AY100" s="109"/>
      <c r="AZ100" s="109"/>
      <c r="BA100" s="109"/>
      <c r="BB100" s="109"/>
      <c r="BC100" s="109"/>
      <c r="BD100" s="109"/>
      <c r="BE100" s="109"/>
      <c r="BF100" s="109"/>
      <c r="BG100" s="109"/>
      <c r="BH100" s="109"/>
      <c r="BI100" s="109"/>
      <c r="BJ100" s="109"/>
      <c r="BK100" s="109"/>
      <c r="BL100" s="109"/>
      <c r="BM100" s="109"/>
      <c r="BN100" s="109"/>
      <c r="BO100" s="109"/>
      <c r="BP100" s="109"/>
      <c r="BQ100" s="109"/>
      <c r="BR100" s="109"/>
      <c r="BS100" s="109"/>
      <c r="BT100" s="109"/>
      <c r="BU100" s="109"/>
    </row>
    <row r="101" ht="22.5" customHeight="1">
      <c r="A101" s="90" t="s">
        <v>18</v>
      </c>
      <c r="B101" s="90" t="s">
        <v>194</v>
      </c>
      <c r="C101" s="95">
        <v>6217.0</v>
      </c>
      <c r="D101" s="95"/>
      <c r="E101" s="90"/>
      <c r="F101" s="90"/>
      <c r="G101" s="90"/>
      <c r="H101" s="90"/>
      <c r="I101" s="502" t="s">
        <v>1290</v>
      </c>
      <c r="J101" s="503">
        <v>2438310.0</v>
      </c>
      <c r="K101" s="99"/>
      <c r="L101" s="99">
        <f t="shared" si="2"/>
        <v>2438310</v>
      </c>
      <c r="M101" s="102"/>
      <c r="N101" s="90" t="s">
        <v>233</v>
      </c>
      <c r="O101" s="90" t="s">
        <v>117</v>
      </c>
      <c r="P101" s="200"/>
      <c r="Q101" s="201"/>
      <c r="R101" s="201"/>
      <c r="S101" s="99">
        <f t="shared" si="3"/>
        <v>0</v>
      </c>
      <c r="T101" s="109"/>
      <c r="U101" s="109"/>
      <c r="V101" s="109"/>
      <c r="W101" s="109"/>
      <c r="X101" s="109"/>
      <c r="Y101" s="109"/>
      <c r="Z101" s="98"/>
      <c r="AA101" s="109"/>
      <c r="AB101" s="109"/>
      <c r="AC101" s="109"/>
      <c r="AD101" s="109"/>
      <c r="AE101" s="156"/>
      <c r="AF101" s="109"/>
      <c r="AG101" s="109"/>
      <c r="AH101" s="109"/>
      <c r="AI101" s="109"/>
      <c r="AJ101" s="109"/>
      <c r="AK101" s="109"/>
      <c r="AL101" s="95"/>
      <c r="AM101" s="99"/>
      <c r="AN101" s="109"/>
      <c r="AO101" s="98"/>
      <c r="AP101" s="98"/>
      <c r="AQ101" s="98"/>
      <c r="AR101" s="98"/>
      <c r="AS101" s="98"/>
      <c r="AT101" s="109"/>
      <c r="AU101" s="109"/>
      <c r="AV101" s="109"/>
      <c r="AW101" s="109"/>
      <c r="AX101" s="503">
        <v>2438310.0</v>
      </c>
      <c r="AY101" s="109"/>
      <c r="AZ101" s="109"/>
      <c r="BA101" s="109"/>
      <c r="BB101" s="109"/>
      <c r="BC101" s="109"/>
      <c r="BD101" s="109"/>
      <c r="BE101" s="109"/>
      <c r="BF101" s="109"/>
      <c r="BG101" s="109"/>
      <c r="BH101" s="109"/>
      <c r="BI101" s="109"/>
      <c r="BJ101" s="109"/>
      <c r="BK101" s="109"/>
      <c r="BL101" s="109"/>
      <c r="BM101" s="109"/>
      <c r="BN101" s="109"/>
      <c r="BO101" s="109"/>
      <c r="BP101" s="109"/>
      <c r="BQ101" s="109"/>
      <c r="BR101" s="109"/>
      <c r="BS101" s="109"/>
      <c r="BT101" s="109"/>
      <c r="BU101" s="109"/>
    </row>
    <row r="102">
      <c r="Q102" s="496"/>
    </row>
    <row r="103">
      <c r="Q103" s="496"/>
    </row>
    <row r="104">
      <c r="Q104" s="496"/>
    </row>
    <row r="105">
      <c r="Q105" s="496"/>
    </row>
    <row r="106">
      <c r="Q106" s="496"/>
    </row>
    <row r="107">
      <c r="Q107" s="496"/>
    </row>
    <row r="108">
      <c r="Q108" s="496"/>
    </row>
    <row r="109">
      <c r="Q109" s="496"/>
    </row>
    <row r="110">
      <c r="Q110" s="496"/>
    </row>
    <row r="111">
      <c r="Q111" s="496"/>
    </row>
    <row r="112">
      <c r="Q112" s="496"/>
    </row>
    <row r="113">
      <c r="Q113" s="496"/>
    </row>
    <row r="114">
      <c r="Q114" s="496"/>
    </row>
    <row r="115">
      <c r="Q115" s="496"/>
    </row>
    <row r="116">
      <c r="Q116" s="496"/>
    </row>
    <row r="117">
      <c r="Q117" s="496"/>
    </row>
    <row r="118">
      <c r="Q118" s="496"/>
    </row>
    <row r="119">
      <c r="Q119" s="496"/>
    </row>
    <row r="120">
      <c r="Q120" s="496"/>
    </row>
    <row r="121">
      <c r="Q121" s="496"/>
    </row>
    <row r="122">
      <c r="Q122" s="496"/>
    </row>
    <row r="123">
      <c r="Q123" s="496"/>
    </row>
    <row r="124">
      <c r="Q124" s="496"/>
    </row>
    <row r="125">
      <c r="Q125" s="496"/>
    </row>
    <row r="126">
      <c r="Q126" s="496"/>
    </row>
    <row r="127">
      <c r="Q127" s="496"/>
    </row>
    <row r="128">
      <c r="Q128" s="496"/>
    </row>
    <row r="129">
      <c r="Q129" s="496"/>
    </row>
    <row r="130">
      <c r="Q130" s="496"/>
    </row>
    <row r="131">
      <c r="Q131" s="496"/>
    </row>
    <row r="132">
      <c r="Q132" s="496"/>
    </row>
    <row r="133">
      <c r="Q133" s="496"/>
    </row>
    <row r="134">
      <c r="Q134" s="496"/>
    </row>
    <row r="135">
      <c r="Q135" s="496"/>
    </row>
    <row r="136">
      <c r="Q136" s="496"/>
    </row>
    <row r="137">
      <c r="Q137" s="496"/>
    </row>
    <row r="138">
      <c r="Q138" s="496"/>
    </row>
    <row r="139">
      <c r="Q139" s="496"/>
    </row>
    <row r="140">
      <c r="Q140" s="496"/>
    </row>
    <row r="141">
      <c r="Q141" s="496"/>
    </row>
    <row r="142">
      <c r="Q142" s="496"/>
    </row>
    <row r="143">
      <c r="Q143" s="496"/>
    </row>
    <row r="144">
      <c r="Q144" s="496"/>
    </row>
    <row r="145">
      <c r="Q145" s="496"/>
    </row>
    <row r="146">
      <c r="Q146" s="496"/>
    </row>
    <row r="147">
      <c r="Q147" s="496"/>
    </row>
    <row r="148">
      <c r="Q148" s="496"/>
    </row>
    <row r="149">
      <c r="Q149" s="496"/>
    </row>
    <row r="150">
      <c r="Q150" s="496"/>
    </row>
    <row r="151">
      <c r="Q151" s="496"/>
    </row>
    <row r="152">
      <c r="Q152" s="496"/>
    </row>
    <row r="153">
      <c r="Q153" s="496"/>
    </row>
    <row r="154">
      <c r="Q154" s="496"/>
    </row>
    <row r="155">
      <c r="Q155" s="496"/>
    </row>
    <row r="156">
      <c r="Q156" s="496"/>
    </row>
    <row r="157">
      <c r="Q157" s="496"/>
    </row>
    <row r="158">
      <c r="Q158" s="496"/>
    </row>
    <row r="159">
      <c r="Q159" s="496"/>
    </row>
    <row r="160">
      <c r="Q160" s="496"/>
    </row>
    <row r="161">
      <c r="Q161" s="496"/>
    </row>
    <row r="162">
      <c r="Q162" s="496"/>
    </row>
    <row r="163">
      <c r="Q163" s="496"/>
    </row>
    <row r="164">
      <c r="Q164" s="496"/>
    </row>
    <row r="165">
      <c r="Q165" s="496"/>
    </row>
    <row r="166">
      <c r="Q166" s="496"/>
    </row>
    <row r="167">
      <c r="Q167" s="496"/>
    </row>
    <row r="168">
      <c r="Q168" s="496"/>
    </row>
    <row r="169">
      <c r="Q169" s="496"/>
    </row>
    <row r="170">
      <c r="Q170" s="496"/>
    </row>
    <row r="171">
      <c r="Q171" s="496"/>
    </row>
    <row r="172">
      <c r="Q172" s="496"/>
    </row>
    <row r="173">
      <c r="Q173" s="496"/>
    </row>
    <row r="174">
      <c r="Q174" s="496"/>
    </row>
    <row r="175">
      <c r="Q175" s="496"/>
    </row>
    <row r="176">
      <c r="Q176" s="496"/>
    </row>
    <row r="177">
      <c r="Q177" s="496"/>
    </row>
    <row r="178">
      <c r="Q178" s="496"/>
    </row>
    <row r="179">
      <c r="Q179" s="496"/>
    </row>
    <row r="180">
      <c r="Q180" s="496"/>
    </row>
    <row r="181">
      <c r="Q181" s="496"/>
    </row>
    <row r="182">
      <c r="Q182" s="496"/>
    </row>
    <row r="183">
      <c r="Q183" s="496"/>
    </row>
    <row r="184">
      <c r="Q184" s="496"/>
    </row>
    <row r="185">
      <c r="Q185" s="496"/>
    </row>
    <row r="186">
      <c r="Q186" s="496"/>
    </row>
    <row r="187">
      <c r="Q187" s="496"/>
    </row>
    <row r="188">
      <c r="Q188" s="496"/>
    </row>
    <row r="189">
      <c r="Q189" s="496"/>
    </row>
    <row r="190">
      <c r="Q190" s="496"/>
    </row>
    <row r="191">
      <c r="Q191" s="496"/>
    </row>
    <row r="192">
      <c r="Q192" s="496"/>
    </row>
    <row r="193">
      <c r="Q193" s="496"/>
    </row>
    <row r="194">
      <c r="Q194" s="496"/>
    </row>
    <row r="195">
      <c r="Q195" s="496"/>
    </row>
    <row r="196">
      <c r="Q196" s="496"/>
    </row>
    <row r="197">
      <c r="Q197" s="496"/>
    </row>
    <row r="198">
      <c r="Q198" s="496"/>
    </row>
    <row r="199">
      <c r="Q199" s="496"/>
    </row>
    <row r="200">
      <c r="Q200" s="496"/>
    </row>
    <row r="201">
      <c r="Q201" s="496"/>
    </row>
    <row r="202">
      <c r="Q202" s="496"/>
    </row>
    <row r="203">
      <c r="Q203" s="496"/>
    </row>
    <row r="204">
      <c r="Q204" s="496"/>
    </row>
    <row r="205">
      <c r="Q205" s="496"/>
    </row>
    <row r="206">
      <c r="Q206" s="496"/>
    </row>
    <row r="207">
      <c r="Q207" s="496"/>
    </row>
    <row r="208">
      <c r="Q208" s="496"/>
    </row>
    <row r="209">
      <c r="Q209" s="496"/>
    </row>
    <row r="210">
      <c r="Q210" s="496"/>
    </row>
    <row r="211">
      <c r="Q211" s="496"/>
    </row>
    <row r="212">
      <c r="Q212" s="496"/>
    </row>
    <row r="213">
      <c r="Q213" s="496"/>
    </row>
    <row r="214">
      <c r="Q214" s="496"/>
    </row>
    <row r="215">
      <c r="Q215" s="496"/>
    </row>
    <row r="216">
      <c r="Q216" s="496"/>
    </row>
    <row r="217">
      <c r="Q217" s="496"/>
    </row>
    <row r="218">
      <c r="Q218" s="496"/>
    </row>
    <row r="219">
      <c r="Q219" s="496"/>
    </row>
    <row r="220">
      <c r="Q220" s="496"/>
    </row>
    <row r="221">
      <c r="Q221" s="496"/>
    </row>
    <row r="222">
      <c r="Q222" s="496"/>
    </row>
    <row r="223">
      <c r="Q223" s="496"/>
    </row>
    <row r="224">
      <c r="Q224" s="496"/>
    </row>
    <row r="225">
      <c r="Q225" s="496"/>
    </row>
    <row r="226">
      <c r="Q226" s="496"/>
    </row>
    <row r="227">
      <c r="Q227" s="496"/>
    </row>
    <row r="228">
      <c r="Q228" s="496"/>
    </row>
    <row r="229">
      <c r="Q229" s="496"/>
    </row>
    <row r="230">
      <c r="Q230" s="496"/>
    </row>
    <row r="231">
      <c r="Q231" s="496"/>
    </row>
    <row r="232">
      <c r="Q232" s="496"/>
    </row>
    <row r="233">
      <c r="Q233" s="496"/>
    </row>
    <row r="234">
      <c r="Q234" s="496"/>
    </row>
    <row r="235">
      <c r="Q235" s="496"/>
    </row>
    <row r="236">
      <c r="Q236" s="496"/>
    </row>
    <row r="237">
      <c r="Q237" s="496"/>
    </row>
    <row r="238">
      <c r="Q238" s="496"/>
    </row>
    <row r="239">
      <c r="Q239" s="496"/>
    </row>
    <row r="240">
      <c r="Q240" s="496"/>
    </row>
    <row r="241">
      <c r="Q241" s="496"/>
    </row>
    <row r="242">
      <c r="Q242" s="496"/>
    </row>
    <row r="243">
      <c r="Q243" s="496"/>
    </row>
    <row r="244">
      <c r="Q244" s="496"/>
    </row>
    <row r="245">
      <c r="Q245" s="496"/>
    </row>
    <row r="246">
      <c r="Q246" s="496"/>
    </row>
    <row r="247">
      <c r="Q247" s="496"/>
    </row>
    <row r="248">
      <c r="Q248" s="496"/>
    </row>
    <row r="249">
      <c r="Q249" s="496"/>
    </row>
    <row r="250">
      <c r="Q250" s="496"/>
    </row>
    <row r="251">
      <c r="Q251" s="496"/>
    </row>
    <row r="252">
      <c r="Q252" s="496"/>
    </row>
    <row r="253">
      <c r="Q253" s="496"/>
    </row>
    <row r="254">
      <c r="Q254" s="496"/>
    </row>
    <row r="255">
      <c r="Q255" s="496"/>
    </row>
    <row r="256">
      <c r="Q256" s="496"/>
    </row>
    <row r="257">
      <c r="Q257" s="496"/>
    </row>
    <row r="258">
      <c r="Q258" s="496"/>
    </row>
    <row r="259">
      <c r="Q259" s="496"/>
    </row>
    <row r="260">
      <c r="Q260" s="496"/>
    </row>
    <row r="261">
      <c r="Q261" s="496"/>
    </row>
    <row r="262">
      <c r="Q262" s="496"/>
    </row>
    <row r="263">
      <c r="Q263" s="496"/>
    </row>
    <row r="264">
      <c r="Q264" s="496"/>
    </row>
    <row r="265">
      <c r="Q265" s="496"/>
    </row>
    <row r="266">
      <c r="Q266" s="496"/>
    </row>
    <row r="267">
      <c r="Q267" s="496"/>
    </row>
    <row r="268">
      <c r="Q268" s="496"/>
    </row>
    <row r="269">
      <c r="Q269" s="496"/>
    </row>
    <row r="270">
      <c r="Q270" s="496"/>
    </row>
    <row r="271">
      <c r="Q271" s="496"/>
    </row>
    <row r="272">
      <c r="Q272" s="496"/>
    </row>
    <row r="273">
      <c r="Q273" s="496"/>
    </row>
    <row r="274">
      <c r="Q274" s="496"/>
    </row>
    <row r="275">
      <c r="Q275" s="496"/>
    </row>
    <row r="276">
      <c r="Q276" s="496"/>
    </row>
    <row r="277">
      <c r="Q277" s="496"/>
    </row>
    <row r="278">
      <c r="Q278" s="496"/>
    </row>
    <row r="279">
      <c r="Q279" s="496"/>
    </row>
    <row r="280">
      <c r="Q280" s="496"/>
    </row>
    <row r="281">
      <c r="Q281" s="496"/>
    </row>
    <row r="282">
      <c r="Q282" s="496"/>
    </row>
    <row r="283">
      <c r="Q283" s="496"/>
    </row>
    <row r="284">
      <c r="Q284" s="496"/>
    </row>
    <row r="285">
      <c r="Q285" s="496"/>
    </row>
    <row r="286">
      <c r="Q286" s="496"/>
    </row>
    <row r="287">
      <c r="Q287" s="496"/>
    </row>
    <row r="288">
      <c r="Q288" s="496"/>
    </row>
    <row r="289">
      <c r="Q289" s="496"/>
    </row>
    <row r="290">
      <c r="Q290" s="496"/>
    </row>
    <row r="291">
      <c r="Q291" s="496"/>
    </row>
    <row r="292">
      <c r="Q292" s="496"/>
    </row>
    <row r="293">
      <c r="Q293" s="496"/>
    </row>
    <row r="294">
      <c r="Q294" s="496"/>
    </row>
    <row r="295">
      <c r="Q295" s="496"/>
    </row>
    <row r="296">
      <c r="Q296" s="496"/>
    </row>
    <row r="297">
      <c r="Q297" s="496"/>
    </row>
    <row r="298">
      <c r="Q298" s="496"/>
    </row>
    <row r="299">
      <c r="Q299" s="496"/>
    </row>
    <row r="300">
      <c r="Q300" s="496"/>
    </row>
    <row r="301">
      <c r="Q301" s="496"/>
    </row>
    <row r="302">
      <c r="Q302" s="496"/>
    </row>
    <row r="303">
      <c r="Q303" s="496"/>
    </row>
    <row r="304">
      <c r="Q304" s="496"/>
    </row>
    <row r="305">
      <c r="Q305" s="496"/>
    </row>
    <row r="306">
      <c r="Q306" s="496"/>
    </row>
    <row r="307">
      <c r="Q307" s="496"/>
    </row>
    <row r="308">
      <c r="Q308" s="496"/>
    </row>
    <row r="309">
      <c r="Q309" s="496"/>
    </row>
    <row r="310">
      <c r="Q310" s="496"/>
    </row>
    <row r="311">
      <c r="Q311" s="496"/>
    </row>
    <row r="312">
      <c r="Q312" s="496"/>
    </row>
    <row r="313">
      <c r="Q313" s="496"/>
    </row>
    <row r="314">
      <c r="Q314" s="496"/>
    </row>
    <row r="315">
      <c r="Q315" s="496"/>
    </row>
    <row r="316">
      <c r="Q316" s="496"/>
    </row>
    <row r="317">
      <c r="Q317" s="496"/>
    </row>
    <row r="318">
      <c r="Q318" s="496"/>
    </row>
    <row r="319">
      <c r="Q319" s="496"/>
    </row>
    <row r="320">
      <c r="Q320" s="496"/>
    </row>
    <row r="321">
      <c r="Q321" s="496"/>
    </row>
    <row r="322">
      <c r="Q322" s="496"/>
    </row>
    <row r="323">
      <c r="Q323" s="496"/>
    </row>
    <row r="324">
      <c r="Q324" s="496"/>
    </row>
    <row r="325">
      <c r="Q325" s="496"/>
    </row>
    <row r="326">
      <c r="Q326" s="496"/>
    </row>
    <row r="327">
      <c r="Q327" s="496"/>
    </row>
    <row r="328">
      <c r="Q328" s="496"/>
    </row>
    <row r="329">
      <c r="Q329" s="496"/>
    </row>
    <row r="330">
      <c r="Q330" s="496"/>
    </row>
    <row r="331">
      <c r="Q331" s="496"/>
    </row>
    <row r="332">
      <c r="Q332" s="496"/>
    </row>
    <row r="333">
      <c r="Q333" s="496"/>
    </row>
    <row r="334">
      <c r="Q334" s="496"/>
    </row>
    <row r="335">
      <c r="Q335" s="496"/>
    </row>
    <row r="336">
      <c r="Q336" s="496"/>
    </row>
    <row r="337">
      <c r="Q337" s="496"/>
    </row>
    <row r="338">
      <c r="Q338" s="496"/>
    </row>
    <row r="339">
      <c r="Q339" s="496"/>
    </row>
    <row r="340">
      <c r="Q340" s="496"/>
    </row>
    <row r="341">
      <c r="Q341" s="496"/>
    </row>
    <row r="342">
      <c r="Q342" s="496"/>
    </row>
    <row r="343">
      <c r="Q343" s="496"/>
    </row>
    <row r="344">
      <c r="Q344" s="496"/>
    </row>
    <row r="345">
      <c r="Q345" s="496"/>
    </row>
    <row r="346">
      <c r="Q346" s="496"/>
    </row>
    <row r="347">
      <c r="Q347" s="496"/>
    </row>
    <row r="348">
      <c r="Q348" s="496"/>
    </row>
    <row r="349">
      <c r="Q349" s="496"/>
    </row>
    <row r="350">
      <c r="Q350" s="496"/>
    </row>
    <row r="351">
      <c r="Q351" s="496"/>
    </row>
    <row r="352">
      <c r="Q352" s="496"/>
    </row>
    <row r="353">
      <c r="Q353" s="496"/>
    </row>
    <row r="354">
      <c r="Q354" s="496"/>
    </row>
    <row r="355">
      <c r="Q355" s="496"/>
    </row>
    <row r="356">
      <c r="Q356" s="496"/>
    </row>
    <row r="357">
      <c r="Q357" s="496"/>
    </row>
    <row r="358">
      <c r="Q358" s="496"/>
    </row>
    <row r="359">
      <c r="Q359" s="496"/>
    </row>
    <row r="360">
      <c r="Q360" s="496"/>
    </row>
    <row r="361">
      <c r="Q361" s="496"/>
    </row>
    <row r="362">
      <c r="Q362" s="496"/>
    </row>
    <row r="363">
      <c r="Q363" s="496"/>
    </row>
    <row r="364">
      <c r="Q364" s="496"/>
    </row>
    <row r="365">
      <c r="Q365" s="496"/>
    </row>
    <row r="366">
      <c r="Q366" s="496"/>
    </row>
    <row r="367">
      <c r="Q367" s="496"/>
    </row>
    <row r="368">
      <c r="Q368" s="496"/>
    </row>
    <row r="369">
      <c r="Q369" s="496"/>
    </row>
    <row r="370">
      <c r="Q370" s="496"/>
    </row>
    <row r="371">
      <c r="Q371" s="496"/>
    </row>
    <row r="372">
      <c r="Q372" s="496"/>
    </row>
    <row r="373">
      <c r="Q373" s="496"/>
    </row>
    <row r="374">
      <c r="Q374" s="496"/>
    </row>
    <row r="375">
      <c r="Q375" s="496"/>
    </row>
    <row r="376">
      <c r="Q376" s="496"/>
    </row>
    <row r="377">
      <c r="Q377" s="496"/>
    </row>
    <row r="378">
      <c r="Q378" s="496"/>
    </row>
    <row r="379">
      <c r="Q379" s="496"/>
    </row>
    <row r="380">
      <c r="Q380" s="496"/>
    </row>
    <row r="381">
      <c r="Q381" s="496"/>
    </row>
    <row r="382">
      <c r="Q382" s="496"/>
    </row>
    <row r="383">
      <c r="Q383" s="496"/>
    </row>
    <row r="384">
      <c r="Q384" s="496"/>
    </row>
    <row r="385">
      <c r="Q385" s="496"/>
    </row>
    <row r="386">
      <c r="Q386" s="496"/>
    </row>
    <row r="387">
      <c r="Q387" s="496"/>
    </row>
    <row r="388">
      <c r="Q388" s="496"/>
    </row>
    <row r="389">
      <c r="Q389" s="496"/>
    </row>
    <row r="390">
      <c r="Q390" s="496"/>
    </row>
    <row r="391">
      <c r="Q391" s="496"/>
    </row>
    <row r="392">
      <c r="Q392" s="496"/>
    </row>
    <row r="393">
      <c r="Q393" s="496"/>
    </row>
    <row r="394">
      <c r="Q394" s="496"/>
    </row>
    <row r="395">
      <c r="Q395" s="496"/>
    </row>
    <row r="396">
      <c r="Q396" s="496"/>
    </row>
    <row r="397">
      <c r="Q397" s="496"/>
    </row>
    <row r="398">
      <c r="Q398" s="496"/>
    </row>
    <row r="399">
      <c r="Q399" s="496"/>
    </row>
    <row r="400">
      <c r="Q400" s="496"/>
    </row>
    <row r="401">
      <c r="Q401" s="496"/>
    </row>
    <row r="402">
      <c r="Q402" s="496"/>
    </row>
    <row r="403">
      <c r="Q403" s="496"/>
    </row>
    <row r="404">
      <c r="Q404" s="496"/>
    </row>
    <row r="405">
      <c r="Q405" s="496"/>
    </row>
    <row r="406">
      <c r="Q406" s="496"/>
    </row>
    <row r="407">
      <c r="Q407" s="496"/>
    </row>
    <row r="408">
      <c r="Q408" s="496"/>
    </row>
    <row r="409">
      <c r="Q409" s="496"/>
    </row>
    <row r="410">
      <c r="Q410" s="496"/>
    </row>
    <row r="411">
      <c r="Q411" s="496"/>
    </row>
    <row r="412">
      <c r="Q412" s="496"/>
    </row>
    <row r="413">
      <c r="Q413" s="496"/>
    </row>
    <row r="414">
      <c r="Q414" s="496"/>
    </row>
    <row r="415">
      <c r="Q415" s="496"/>
    </row>
    <row r="416">
      <c r="Q416" s="496"/>
    </row>
    <row r="417">
      <c r="Q417" s="496"/>
    </row>
    <row r="418">
      <c r="Q418" s="496"/>
    </row>
    <row r="419">
      <c r="Q419" s="496"/>
    </row>
    <row r="420">
      <c r="Q420" s="496"/>
    </row>
    <row r="421">
      <c r="Q421" s="496"/>
    </row>
    <row r="422">
      <c r="Q422" s="496"/>
    </row>
    <row r="423">
      <c r="Q423" s="496"/>
    </row>
    <row r="424">
      <c r="Q424" s="496"/>
    </row>
    <row r="425">
      <c r="Q425" s="496"/>
    </row>
    <row r="426">
      <c r="Q426" s="496"/>
    </row>
    <row r="427">
      <c r="Q427" s="496"/>
    </row>
    <row r="428">
      <c r="Q428" s="496"/>
    </row>
    <row r="429">
      <c r="Q429" s="496"/>
    </row>
    <row r="430">
      <c r="Q430" s="496"/>
    </row>
    <row r="431">
      <c r="Q431" s="496"/>
    </row>
    <row r="432">
      <c r="Q432" s="496"/>
    </row>
    <row r="433">
      <c r="Q433" s="496"/>
    </row>
    <row r="434">
      <c r="Q434" s="496"/>
    </row>
    <row r="435">
      <c r="Q435" s="496"/>
    </row>
    <row r="436">
      <c r="Q436" s="496"/>
    </row>
    <row r="437">
      <c r="Q437" s="496"/>
    </row>
    <row r="438">
      <c r="Q438" s="496"/>
    </row>
    <row r="439">
      <c r="Q439" s="496"/>
    </row>
    <row r="440">
      <c r="Q440" s="496"/>
    </row>
    <row r="441">
      <c r="Q441" s="496"/>
    </row>
    <row r="442">
      <c r="Q442" s="496"/>
    </row>
    <row r="443">
      <c r="Q443" s="496"/>
    </row>
    <row r="444">
      <c r="Q444" s="496"/>
    </row>
    <row r="445">
      <c r="Q445" s="496"/>
    </row>
    <row r="446">
      <c r="Q446" s="496"/>
    </row>
    <row r="447">
      <c r="Q447" s="496"/>
    </row>
    <row r="448">
      <c r="Q448" s="496"/>
    </row>
    <row r="449">
      <c r="Q449" s="496"/>
    </row>
    <row r="450">
      <c r="Q450" s="496"/>
    </row>
    <row r="451">
      <c r="Q451" s="496"/>
    </row>
    <row r="452">
      <c r="Q452" s="496"/>
    </row>
    <row r="453">
      <c r="Q453" s="496"/>
    </row>
    <row r="454">
      <c r="Q454" s="496"/>
    </row>
    <row r="455">
      <c r="Q455" s="496"/>
    </row>
    <row r="456">
      <c r="Q456" s="496"/>
    </row>
    <row r="457">
      <c r="Q457" s="496"/>
    </row>
    <row r="458">
      <c r="Q458" s="496"/>
    </row>
    <row r="459">
      <c r="Q459" s="496"/>
    </row>
    <row r="460">
      <c r="Q460" s="496"/>
    </row>
    <row r="461">
      <c r="Q461" s="496"/>
    </row>
    <row r="462">
      <c r="Q462" s="496"/>
    </row>
    <row r="463">
      <c r="Q463" s="496"/>
    </row>
    <row r="464">
      <c r="Q464" s="496"/>
    </row>
    <row r="465">
      <c r="Q465" s="496"/>
    </row>
    <row r="466">
      <c r="Q466" s="496"/>
    </row>
    <row r="467">
      <c r="Q467" s="496"/>
    </row>
    <row r="468">
      <c r="Q468" s="496"/>
    </row>
    <row r="469">
      <c r="Q469" s="496"/>
    </row>
    <row r="470">
      <c r="Q470" s="496"/>
    </row>
    <row r="471">
      <c r="Q471" s="496"/>
    </row>
    <row r="472">
      <c r="Q472" s="496"/>
    </row>
    <row r="473">
      <c r="Q473" s="496"/>
    </row>
    <row r="474">
      <c r="Q474" s="496"/>
    </row>
    <row r="475">
      <c r="Q475" s="496"/>
    </row>
    <row r="476">
      <c r="Q476" s="496"/>
    </row>
    <row r="477">
      <c r="Q477" s="496"/>
    </row>
    <row r="478">
      <c r="Q478" s="496"/>
    </row>
    <row r="479">
      <c r="Q479" s="496"/>
    </row>
    <row r="480">
      <c r="Q480" s="496"/>
    </row>
    <row r="481">
      <c r="Q481" s="496"/>
    </row>
    <row r="482">
      <c r="Q482" s="496"/>
    </row>
    <row r="483">
      <c r="Q483" s="496"/>
    </row>
    <row r="484">
      <c r="Q484" s="496"/>
    </row>
    <row r="485">
      <c r="Q485" s="496"/>
    </row>
    <row r="486">
      <c r="Q486" s="496"/>
    </row>
    <row r="487">
      <c r="Q487" s="496"/>
    </row>
    <row r="488">
      <c r="Q488" s="496"/>
    </row>
    <row r="489">
      <c r="Q489" s="496"/>
    </row>
    <row r="490">
      <c r="Q490" s="496"/>
    </row>
    <row r="491">
      <c r="Q491" s="496"/>
    </row>
    <row r="492">
      <c r="Q492" s="496"/>
    </row>
    <row r="493">
      <c r="Q493" s="496"/>
    </row>
    <row r="494">
      <c r="Q494" s="496"/>
    </row>
    <row r="495">
      <c r="Q495" s="496"/>
    </row>
    <row r="496">
      <c r="Q496" s="496"/>
    </row>
    <row r="497">
      <c r="Q497" s="496"/>
    </row>
    <row r="498">
      <c r="Q498" s="496"/>
    </row>
    <row r="499">
      <c r="Q499" s="496"/>
    </row>
    <row r="500">
      <c r="Q500" s="496"/>
    </row>
    <row r="501">
      <c r="Q501" s="496"/>
    </row>
    <row r="502">
      <c r="Q502" s="496"/>
    </row>
    <row r="503">
      <c r="Q503" s="496"/>
    </row>
    <row r="504">
      <c r="Q504" s="496"/>
    </row>
    <row r="505">
      <c r="Q505" s="496"/>
    </row>
    <row r="506">
      <c r="Q506" s="496"/>
    </row>
    <row r="507">
      <c r="Q507" s="496"/>
    </row>
    <row r="508">
      <c r="Q508" s="496"/>
    </row>
    <row r="509">
      <c r="Q509" s="496"/>
    </row>
    <row r="510">
      <c r="Q510" s="496"/>
    </row>
    <row r="511">
      <c r="Q511" s="496"/>
    </row>
    <row r="512">
      <c r="Q512" s="496"/>
    </row>
    <row r="513">
      <c r="Q513" s="496"/>
    </row>
    <row r="514">
      <c r="Q514" s="496"/>
    </row>
    <row r="515">
      <c r="Q515" s="496"/>
    </row>
    <row r="516">
      <c r="Q516" s="496"/>
    </row>
    <row r="517">
      <c r="Q517" s="496"/>
    </row>
    <row r="518">
      <c r="Q518" s="496"/>
    </row>
    <row r="519">
      <c r="Q519" s="496"/>
    </row>
    <row r="520">
      <c r="Q520" s="496"/>
    </row>
    <row r="521">
      <c r="Q521" s="496"/>
    </row>
    <row r="522">
      <c r="Q522" s="496"/>
    </row>
    <row r="523">
      <c r="Q523" s="496"/>
    </row>
    <row r="524">
      <c r="Q524" s="496"/>
    </row>
    <row r="525">
      <c r="Q525" s="496"/>
    </row>
    <row r="526">
      <c r="Q526" s="496"/>
    </row>
    <row r="527">
      <c r="Q527" s="496"/>
    </row>
    <row r="528">
      <c r="Q528" s="496"/>
    </row>
    <row r="529">
      <c r="Q529" s="496"/>
    </row>
    <row r="530">
      <c r="Q530" s="496"/>
    </row>
    <row r="531">
      <c r="Q531" s="496"/>
    </row>
    <row r="532">
      <c r="Q532" s="496"/>
    </row>
    <row r="533">
      <c r="Q533" s="496"/>
    </row>
    <row r="534">
      <c r="Q534" s="496"/>
    </row>
    <row r="535">
      <c r="Q535" s="496"/>
    </row>
    <row r="536">
      <c r="Q536" s="496"/>
    </row>
    <row r="537">
      <c r="Q537" s="496"/>
    </row>
    <row r="538">
      <c r="Q538" s="496"/>
    </row>
    <row r="539">
      <c r="Q539" s="496"/>
    </row>
    <row r="540">
      <c r="Q540" s="496"/>
    </row>
    <row r="541">
      <c r="Q541" s="496"/>
    </row>
    <row r="542">
      <c r="Q542" s="496"/>
    </row>
    <row r="543">
      <c r="Q543" s="496"/>
    </row>
    <row r="544">
      <c r="Q544" s="496"/>
    </row>
    <row r="545">
      <c r="Q545" s="496"/>
    </row>
    <row r="546">
      <c r="Q546" s="496"/>
    </row>
    <row r="547">
      <c r="Q547" s="496"/>
    </row>
    <row r="548">
      <c r="Q548" s="496"/>
    </row>
    <row r="549">
      <c r="Q549" s="496"/>
    </row>
    <row r="550">
      <c r="Q550" s="496"/>
    </row>
    <row r="551">
      <c r="Q551" s="496"/>
    </row>
    <row r="552">
      <c r="Q552" s="496"/>
    </row>
    <row r="553">
      <c r="Q553" s="496"/>
    </row>
    <row r="554">
      <c r="Q554" s="496"/>
    </row>
    <row r="555">
      <c r="Q555" s="496"/>
    </row>
    <row r="556">
      <c r="Q556" s="496"/>
    </row>
    <row r="557">
      <c r="Q557" s="496"/>
    </row>
    <row r="558">
      <c r="Q558" s="496"/>
    </row>
    <row r="559">
      <c r="Q559" s="496"/>
    </row>
    <row r="560">
      <c r="Q560" s="496"/>
    </row>
    <row r="561">
      <c r="Q561" s="496"/>
    </row>
    <row r="562">
      <c r="Q562" s="496"/>
    </row>
    <row r="563">
      <c r="Q563" s="496"/>
    </row>
    <row r="564">
      <c r="Q564" s="496"/>
    </row>
    <row r="565">
      <c r="Q565" s="496"/>
    </row>
    <row r="566">
      <c r="Q566" s="496"/>
    </row>
    <row r="567">
      <c r="Q567" s="496"/>
    </row>
    <row r="568">
      <c r="Q568" s="496"/>
    </row>
    <row r="569">
      <c r="Q569" s="496"/>
    </row>
    <row r="570">
      <c r="Q570" s="496"/>
    </row>
    <row r="571">
      <c r="Q571" s="496"/>
    </row>
    <row r="572">
      <c r="Q572" s="496"/>
    </row>
    <row r="573">
      <c r="Q573" s="496"/>
    </row>
    <row r="574">
      <c r="Q574" s="496"/>
    </row>
    <row r="575">
      <c r="Q575" s="496"/>
    </row>
    <row r="576">
      <c r="Q576" s="496"/>
    </row>
    <row r="577">
      <c r="Q577" s="496"/>
    </row>
    <row r="578">
      <c r="Q578" s="496"/>
    </row>
    <row r="579">
      <c r="Q579" s="496"/>
    </row>
    <row r="580">
      <c r="Q580" s="496"/>
    </row>
    <row r="581">
      <c r="Q581" s="496"/>
    </row>
    <row r="582">
      <c r="Q582" s="496"/>
    </row>
    <row r="583">
      <c r="Q583" s="496"/>
    </row>
    <row r="584">
      <c r="Q584" s="496"/>
    </row>
    <row r="585">
      <c r="Q585" s="496"/>
    </row>
    <row r="586">
      <c r="Q586" s="496"/>
    </row>
    <row r="587">
      <c r="Q587" s="496"/>
    </row>
    <row r="588">
      <c r="Q588" s="496"/>
    </row>
    <row r="589">
      <c r="Q589" s="496"/>
    </row>
    <row r="590">
      <c r="Q590" s="496"/>
    </row>
    <row r="591">
      <c r="Q591" s="496"/>
    </row>
    <row r="592">
      <c r="Q592" s="496"/>
    </row>
    <row r="593">
      <c r="Q593" s="496"/>
    </row>
    <row r="594">
      <c r="Q594" s="496"/>
    </row>
    <row r="595">
      <c r="Q595" s="496"/>
    </row>
    <row r="596">
      <c r="Q596" s="496"/>
    </row>
    <row r="597">
      <c r="Q597" s="496"/>
    </row>
    <row r="598">
      <c r="Q598" s="496"/>
    </row>
    <row r="599">
      <c r="Q599" s="496"/>
    </row>
    <row r="600">
      <c r="Q600" s="496"/>
    </row>
    <row r="601">
      <c r="Q601" s="496"/>
    </row>
    <row r="602">
      <c r="Q602" s="496"/>
    </row>
    <row r="603">
      <c r="Q603" s="496"/>
    </row>
    <row r="604">
      <c r="Q604" s="496"/>
    </row>
    <row r="605">
      <c r="Q605" s="496"/>
    </row>
    <row r="606">
      <c r="Q606" s="496"/>
    </row>
    <row r="607">
      <c r="Q607" s="496"/>
    </row>
    <row r="608">
      <c r="Q608" s="496"/>
    </row>
    <row r="609">
      <c r="Q609" s="496"/>
    </row>
    <row r="610">
      <c r="Q610" s="496"/>
    </row>
    <row r="611">
      <c r="Q611" s="496"/>
    </row>
    <row r="612">
      <c r="Q612" s="496"/>
    </row>
    <row r="613">
      <c r="Q613" s="496"/>
    </row>
    <row r="614">
      <c r="Q614" s="496"/>
    </row>
    <row r="615">
      <c r="Q615" s="496"/>
    </row>
    <row r="616">
      <c r="Q616" s="496"/>
    </row>
    <row r="617">
      <c r="Q617" s="496"/>
    </row>
    <row r="618">
      <c r="Q618" s="496"/>
    </row>
    <row r="619">
      <c r="Q619" s="496"/>
    </row>
    <row r="620">
      <c r="Q620" s="496"/>
    </row>
    <row r="621">
      <c r="Q621" s="496"/>
    </row>
    <row r="622">
      <c r="Q622" s="496"/>
    </row>
    <row r="623">
      <c r="Q623" s="496"/>
    </row>
    <row r="624">
      <c r="Q624" s="496"/>
    </row>
    <row r="625">
      <c r="Q625" s="496"/>
    </row>
    <row r="626">
      <c r="Q626" s="496"/>
    </row>
    <row r="627">
      <c r="Q627" s="496"/>
    </row>
    <row r="628">
      <c r="Q628" s="496"/>
    </row>
    <row r="629">
      <c r="Q629" s="496"/>
    </row>
    <row r="630">
      <c r="Q630" s="496"/>
    </row>
    <row r="631">
      <c r="Q631" s="496"/>
    </row>
    <row r="632">
      <c r="Q632" s="496"/>
    </row>
    <row r="633">
      <c r="Q633" s="496"/>
    </row>
    <row r="634">
      <c r="Q634" s="496"/>
    </row>
    <row r="635">
      <c r="Q635" s="496"/>
    </row>
    <row r="636">
      <c r="Q636" s="496"/>
    </row>
    <row r="637">
      <c r="Q637" s="496"/>
    </row>
    <row r="638">
      <c r="Q638" s="496"/>
    </row>
    <row r="639">
      <c r="Q639" s="496"/>
    </row>
    <row r="640">
      <c r="Q640" s="496"/>
    </row>
    <row r="641">
      <c r="Q641" s="496"/>
    </row>
    <row r="642">
      <c r="Q642" s="496"/>
    </row>
    <row r="643">
      <c r="Q643" s="496"/>
    </row>
    <row r="644">
      <c r="Q644" s="496"/>
    </row>
    <row r="645">
      <c r="Q645" s="496"/>
    </row>
    <row r="646">
      <c r="Q646" s="496"/>
    </row>
    <row r="647">
      <c r="Q647" s="496"/>
    </row>
    <row r="648">
      <c r="Q648" s="496"/>
    </row>
    <row r="649">
      <c r="Q649" s="496"/>
    </row>
    <row r="650">
      <c r="Q650" s="496"/>
    </row>
    <row r="651">
      <c r="Q651" s="496"/>
    </row>
    <row r="652">
      <c r="Q652" s="496"/>
    </row>
    <row r="653">
      <c r="Q653" s="496"/>
    </row>
    <row r="654">
      <c r="Q654" s="496"/>
    </row>
    <row r="655">
      <c r="Q655" s="496"/>
    </row>
    <row r="656">
      <c r="Q656" s="496"/>
    </row>
    <row r="657">
      <c r="Q657" s="496"/>
    </row>
    <row r="658">
      <c r="Q658" s="496"/>
    </row>
    <row r="659">
      <c r="Q659" s="496"/>
    </row>
    <row r="660">
      <c r="Q660" s="496"/>
    </row>
    <row r="661">
      <c r="Q661" s="496"/>
    </row>
    <row r="662">
      <c r="Q662" s="496"/>
    </row>
    <row r="663">
      <c r="Q663" s="496"/>
    </row>
    <row r="664">
      <c r="Q664" s="496"/>
    </row>
    <row r="665">
      <c r="Q665" s="496"/>
    </row>
    <row r="666">
      <c r="Q666" s="496"/>
    </row>
    <row r="667">
      <c r="Q667" s="496"/>
    </row>
    <row r="668">
      <c r="Q668" s="496"/>
    </row>
    <row r="669">
      <c r="Q669" s="496"/>
    </row>
    <row r="670">
      <c r="Q670" s="496"/>
    </row>
    <row r="671">
      <c r="Q671" s="496"/>
    </row>
    <row r="672">
      <c r="Q672" s="496"/>
    </row>
    <row r="673">
      <c r="Q673" s="496"/>
    </row>
    <row r="674">
      <c r="Q674" s="496"/>
    </row>
    <row r="675">
      <c r="Q675" s="496"/>
    </row>
    <row r="676">
      <c r="Q676" s="496"/>
    </row>
    <row r="677">
      <c r="Q677" s="496"/>
    </row>
    <row r="678">
      <c r="Q678" s="496"/>
    </row>
    <row r="679">
      <c r="Q679" s="496"/>
    </row>
    <row r="680">
      <c r="Q680" s="496"/>
    </row>
    <row r="681">
      <c r="Q681" s="496"/>
    </row>
    <row r="682">
      <c r="Q682" s="496"/>
    </row>
    <row r="683">
      <c r="Q683" s="496"/>
    </row>
    <row r="684">
      <c r="Q684" s="496"/>
    </row>
    <row r="685">
      <c r="Q685" s="496"/>
    </row>
    <row r="686">
      <c r="Q686" s="496"/>
    </row>
    <row r="687">
      <c r="Q687" s="496"/>
    </row>
    <row r="688">
      <c r="Q688" s="496"/>
    </row>
    <row r="689">
      <c r="Q689" s="496"/>
    </row>
    <row r="690">
      <c r="Q690" s="496"/>
    </row>
    <row r="691">
      <c r="Q691" s="496"/>
    </row>
    <row r="692">
      <c r="Q692" s="496"/>
    </row>
    <row r="693">
      <c r="Q693" s="496"/>
    </row>
    <row r="694">
      <c r="Q694" s="496"/>
    </row>
    <row r="695">
      <c r="Q695" s="496"/>
    </row>
    <row r="696">
      <c r="Q696" s="496"/>
    </row>
    <row r="697">
      <c r="Q697" s="496"/>
    </row>
    <row r="698">
      <c r="Q698" s="496"/>
    </row>
    <row r="699">
      <c r="Q699" s="496"/>
    </row>
    <row r="700">
      <c r="Q700" s="496"/>
    </row>
    <row r="701">
      <c r="Q701" s="496"/>
    </row>
    <row r="702">
      <c r="Q702" s="496"/>
    </row>
    <row r="703">
      <c r="Q703" s="496"/>
    </row>
    <row r="704">
      <c r="Q704" s="496"/>
    </row>
    <row r="705">
      <c r="Q705" s="496"/>
    </row>
    <row r="706">
      <c r="Q706" s="496"/>
    </row>
    <row r="707">
      <c r="Q707" s="496"/>
    </row>
    <row r="708">
      <c r="Q708" s="496"/>
    </row>
    <row r="709">
      <c r="Q709" s="496"/>
    </row>
    <row r="710">
      <c r="Q710" s="496"/>
    </row>
    <row r="711">
      <c r="Q711" s="496"/>
    </row>
    <row r="712">
      <c r="Q712" s="496"/>
    </row>
    <row r="713">
      <c r="Q713" s="496"/>
    </row>
    <row r="714">
      <c r="Q714" s="496"/>
    </row>
    <row r="715">
      <c r="Q715" s="496"/>
    </row>
    <row r="716">
      <c r="Q716" s="496"/>
    </row>
    <row r="717">
      <c r="Q717" s="496"/>
    </row>
    <row r="718">
      <c r="Q718" s="496"/>
    </row>
    <row r="719">
      <c r="Q719" s="496"/>
    </row>
    <row r="720">
      <c r="Q720" s="496"/>
    </row>
    <row r="721">
      <c r="Q721" s="496"/>
    </row>
    <row r="722">
      <c r="Q722" s="496"/>
    </row>
    <row r="723">
      <c r="Q723" s="496"/>
    </row>
    <row r="724">
      <c r="Q724" s="496"/>
    </row>
    <row r="725">
      <c r="Q725" s="496"/>
    </row>
    <row r="726">
      <c r="Q726" s="496"/>
    </row>
    <row r="727">
      <c r="Q727" s="496"/>
    </row>
    <row r="728">
      <c r="Q728" s="496"/>
    </row>
    <row r="729">
      <c r="Q729" s="496"/>
    </row>
    <row r="730">
      <c r="Q730" s="496"/>
    </row>
    <row r="731">
      <c r="Q731" s="496"/>
    </row>
    <row r="732">
      <c r="Q732" s="496"/>
    </row>
    <row r="733">
      <c r="Q733" s="496"/>
    </row>
    <row r="734">
      <c r="Q734" s="496"/>
    </row>
    <row r="735">
      <c r="Q735" s="496"/>
    </row>
    <row r="736">
      <c r="Q736" s="496"/>
    </row>
    <row r="737">
      <c r="Q737" s="496"/>
    </row>
    <row r="738">
      <c r="Q738" s="496"/>
    </row>
    <row r="739">
      <c r="Q739" s="496"/>
    </row>
    <row r="740">
      <c r="Q740" s="496"/>
    </row>
    <row r="741">
      <c r="Q741" s="496"/>
    </row>
    <row r="742">
      <c r="Q742" s="496"/>
    </row>
    <row r="743">
      <c r="Q743" s="496"/>
    </row>
    <row r="744">
      <c r="Q744" s="496"/>
    </row>
    <row r="745">
      <c r="Q745" s="496"/>
    </row>
    <row r="746">
      <c r="Q746" s="496"/>
    </row>
    <row r="747">
      <c r="Q747" s="496"/>
    </row>
    <row r="748">
      <c r="Q748" s="496"/>
    </row>
    <row r="749">
      <c r="Q749" s="496"/>
    </row>
    <row r="750">
      <c r="Q750" s="496"/>
    </row>
    <row r="751">
      <c r="Q751" s="496"/>
    </row>
    <row r="752">
      <c r="Q752" s="496"/>
    </row>
    <row r="753">
      <c r="Q753" s="496"/>
    </row>
    <row r="754">
      <c r="Q754" s="496"/>
    </row>
    <row r="755">
      <c r="Q755" s="496"/>
    </row>
    <row r="756">
      <c r="Q756" s="496"/>
    </row>
    <row r="757">
      <c r="Q757" s="496"/>
    </row>
    <row r="758">
      <c r="Q758" s="496"/>
    </row>
    <row r="759">
      <c r="Q759" s="496"/>
    </row>
    <row r="760">
      <c r="Q760" s="496"/>
    </row>
    <row r="761">
      <c r="Q761" s="496"/>
    </row>
    <row r="762">
      <c r="Q762" s="496"/>
    </row>
    <row r="763">
      <c r="Q763" s="496"/>
    </row>
    <row r="764">
      <c r="Q764" s="496"/>
    </row>
    <row r="765">
      <c r="Q765" s="496"/>
    </row>
    <row r="766">
      <c r="Q766" s="496"/>
    </row>
    <row r="767">
      <c r="Q767" s="496"/>
    </row>
    <row r="768">
      <c r="Q768" s="496"/>
    </row>
    <row r="769">
      <c r="Q769" s="496"/>
    </row>
    <row r="770">
      <c r="Q770" s="496"/>
    </row>
    <row r="771">
      <c r="Q771" s="496"/>
    </row>
    <row r="772">
      <c r="Q772" s="496"/>
    </row>
    <row r="773">
      <c r="Q773" s="496"/>
    </row>
    <row r="774">
      <c r="Q774" s="496"/>
    </row>
    <row r="775">
      <c r="Q775" s="496"/>
    </row>
    <row r="776">
      <c r="Q776" s="496"/>
    </row>
    <row r="777">
      <c r="Q777" s="496"/>
    </row>
    <row r="778">
      <c r="Q778" s="496"/>
    </row>
    <row r="779">
      <c r="Q779" s="496"/>
    </row>
    <row r="780">
      <c r="Q780" s="496"/>
    </row>
    <row r="781">
      <c r="Q781" s="496"/>
    </row>
    <row r="782">
      <c r="Q782" s="496"/>
    </row>
    <row r="783">
      <c r="Q783" s="496"/>
    </row>
    <row r="784">
      <c r="Q784" s="496"/>
    </row>
    <row r="785">
      <c r="Q785" s="496"/>
    </row>
    <row r="786">
      <c r="Q786" s="496"/>
    </row>
    <row r="787">
      <c r="Q787" s="496"/>
    </row>
    <row r="788">
      <c r="Q788" s="496"/>
    </row>
    <row r="789">
      <c r="Q789" s="496"/>
    </row>
    <row r="790">
      <c r="Q790" s="496"/>
    </row>
    <row r="791">
      <c r="Q791" s="496"/>
    </row>
    <row r="792">
      <c r="Q792" s="496"/>
    </row>
    <row r="793">
      <c r="Q793" s="496"/>
    </row>
    <row r="794">
      <c r="Q794" s="496"/>
    </row>
    <row r="795">
      <c r="Q795" s="496"/>
    </row>
    <row r="796">
      <c r="Q796" s="496"/>
    </row>
    <row r="797">
      <c r="Q797" s="496"/>
    </row>
    <row r="798">
      <c r="Q798" s="496"/>
    </row>
    <row r="799">
      <c r="Q799" s="496"/>
    </row>
    <row r="800">
      <c r="Q800" s="496"/>
    </row>
    <row r="801">
      <c r="Q801" s="496"/>
    </row>
    <row r="802">
      <c r="Q802" s="496"/>
    </row>
    <row r="803">
      <c r="Q803" s="496"/>
    </row>
    <row r="804">
      <c r="Q804" s="496"/>
    </row>
    <row r="805">
      <c r="Q805" s="496"/>
    </row>
    <row r="806">
      <c r="Q806" s="496"/>
    </row>
    <row r="807">
      <c r="Q807" s="496"/>
    </row>
    <row r="808">
      <c r="Q808" s="496"/>
    </row>
    <row r="809">
      <c r="Q809" s="496"/>
    </row>
    <row r="810">
      <c r="Q810" s="496"/>
    </row>
    <row r="811">
      <c r="Q811" s="496"/>
    </row>
    <row r="812">
      <c r="Q812" s="496"/>
    </row>
    <row r="813">
      <c r="Q813" s="496"/>
    </row>
    <row r="814">
      <c r="Q814" s="496"/>
    </row>
    <row r="815">
      <c r="Q815" s="496"/>
    </row>
    <row r="816">
      <c r="Q816" s="496"/>
    </row>
    <row r="817">
      <c r="Q817" s="496"/>
    </row>
    <row r="818">
      <c r="Q818" s="496"/>
    </row>
    <row r="819">
      <c r="Q819" s="496"/>
    </row>
    <row r="820">
      <c r="Q820" s="496"/>
    </row>
    <row r="821">
      <c r="Q821" s="496"/>
    </row>
    <row r="822">
      <c r="Q822" s="496"/>
    </row>
    <row r="823">
      <c r="Q823" s="496"/>
    </row>
    <row r="824">
      <c r="Q824" s="496"/>
    </row>
    <row r="825">
      <c r="Q825" s="496"/>
    </row>
    <row r="826">
      <c r="Q826" s="496"/>
    </row>
    <row r="827">
      <c r="Q827" s="496"/>
    </row>
    <row r="828">
      <c r="Q828" s="496"/>
    </row>
    <row r="829">
      <c r="Q829" s="496"/>
    </row>
    <row r="830">
      <c r="Q830" s="496"/>
    </row>
    <row r="831">
      <c r="Q831" s="496"/>
    </row>
    <row r="832">
      <c r="Q832" s="496"/>
    </row>
    <row r="833">
      <c r="Q833" s="496"/>
    </row>
    <row r="834">
      <c r="Q834" s="496"/>
    </row>
    <row r="835">
      <c r="Q835" s="496"/>
    </row>
    <row r="836">
      <c r="Q836" s="496"/>
    </row>
    <row r="837">
      <c r="Q837" s="496"/>
    </row>
    <row r="838">
      <c r="Q838" s="496"/>
    </row>
    <row r="839">
      <c r="Q839" s="496"/>
    </row>
    <row r="840">
      <c r="Q840" s="496"/>
    </row>
    <row r="841">
      <c r="Q841" s="496"/>
    </row>
    <row r="842">
      <c r="Q842" s="496"/>
    </row>
    <row r="843">
      <c r="Q843" s="496"/>
    </row>
    <row r="844">
      <c r="Q844" s="496"/>
    </row>
    <row r="845">
      <c r="Q845" s="496"/>
    </row>
    <row r="846">
      <c r="Q846" s="496"/>
    </row>
    <row r="847">
      <c r="Q847" s="496"/>
    </row>
    <row r="848">
      <c r="Q848" s="496"/>
    </row>
    <row r="849">
      <c r="Q849" s="496"/>
    </row>
    <row r="850">
      <c r="Q850" s="496"/>
    </row>
    <row r="851">
      <c r="Q851" s="496"/>
    </row>
    <row r="852">
      <c r="Q852" s="496"/>
    </row>
    <row r="853">
      <c r="Q853" s="496"/>
    </row>
    <row r="854">
      <c r="Q854" s="496"/>
    </row>
    <row r="855">
      <c r="Q855" s="496"/>
    </row>
    <row r="856">
      <c r="Q856" s="496"/>
    </row>
    <row r="857">
      <c r="Q857" s="496"/>
    </row>
    <row r="858">
      <c r="Q858" s="496"/>
    </row>
    <row r="859">
      <c r="Q859" s="496"/>
    </row>
    <row r="860">
      <c r="Q860" s="496"/>
    </row>
    <row r="861">
      <c r="Q861" s="496"/>
    </row>
    <row r="862">
      <c r="Q862" s="496"/>
    </row>
    <row r="863">
      <c r="Q863" s="496"/>
    </row>
    <row r="864">
      <c r="Q864" s="496"/>
    </row>
    <row r="865">
      <c r="Q865" s="496"/>
    </row>
    <row r="866">
      <c r="Q866" s="496"/>
    </row>
    <row r="867">
      <c r="Q867" s="496"/>
    </row>
    <row r="868">
      <c r="Q868" s="496"/>
    </row>
    <row r="869">
      <c r="Q869" s="496"/>
    </row>
    <row r="870">
      <c r="Q870" s="496"/>
    </row>
    <row r="871">
      <c r="Q871" s="496"/>
    </row>
    <row r="872">
      <c r="Q872" s="496"/>
    </row>
    <row r="873">
      <c r="Q873" s="496"/>
    </row>
    <row r="874">
      <c r="Q874" s="496"/>
    </row>
    <row r="875">
      <c r="Q875" s="496"/>
    </row>
    <row r="876">
      <c r="Q876" s="496"/>
    </row>
    <row r="877">
      <c r="Q877" s="496"/>
    </row>
    <row r="878">
      <c r="Q878" s="496"/>
    </row>
    <row r="879">
      <c r="Q879" s="496"/>
    </row>
    <row r="880">
      <c r="Q880" s="496"/>
    </row>
    <row r="881">
      <c r="Q881" s="496"/>
    </row>
    <row r="882">
      <c r="Q882" s="496"/>
    </row>
    <row r="883">
      <c r="Q883" s="496"/>
    </row>
    <row r="884">
      <c r="Q884" s="496"/>
    </row>
    <row r="885">
      <c r="Q885" s="496"/>
    </row>
    <row r="886">
      <c r="Q886" s="496"/>
    </row>
    <row r="887">
      <c r="Q887" s="496"/>
    </row>
    <row r="888">
      <c r="Q888" s="496"/>
    </row>
    <row r="889">
      <c r="Q889" s="496"/>
    </row>
    <row r="890">
      <c r="Q890" s="496"/>
    </row>
    <row r="891">
      <c r="Q891" s="496"/>
    </row>
    <row r="892">
      <c r="Q892" s="496"/>
    </row>
    <row r="893">
      <c r="Q893" s="496"/>
    </row>
    <row r="894">
      <c r="Q894" s="496"/>
    </row>
    <row r="895">
      <c r="Q895" s="496"/>
    </row>
    <row r="896">
      <c r="Q896" s="496"/>
    </row>
    <row r="897">
      <c r="Q897" s="496"/>
    </row>
    <row r="898">
      <c r="Q898" s="496"/>
    </row>
    <row r="899">
      <c r="Q899" s="496"/>
    </row>
    <row r="900">
      <c r="Q900" s="496"/>
    </row>
    <row r="901">
      <c r="Q901" s="496"/>
    </row>
    <row r="902">
      <c r="Q902" s="496"/>
    </row>
    <row r="903">
      <c r="Q903" s="496"/>
    </row>
    <row r="904">
      <c r="Q904" s="496"/>
    </row>
    <row r="905">
      <c r="Q905" s="496"/>
    </row>
    <row r="906">
      <c r="Q906" s="496"/>
    </row>
    <row r="907">
      <c r="Q907" s="496"/>
    </row>
    <row r="908">
      <c r="Q908" s="496"/>
    </row>
    <row r="909">
      <c r="Q909" s="496"/>
    </row>
    <row r="910">
      <c r="Q910" s="496"/>
    </row>
    <row r="911">
      <c r="Q911" s="496"/>
    </row>
    <row r="912">
      <c r="Q912" s="496"/>
    </row>
    <row r="913">
      <c r="Q913" s="496"/>
    </row>
    <row r="914">
      <c r="Q914" s="496"/>
    </row>
    <row r="915">
      <c r="Q915" s="496"/>
    </row>
    <row r="916">
      <c r="Q916" s="496"/>
    </row>
    <row r="917">
      <c r="Q917" s="496"/>
    </row>
    <row r="918">
      <c r="Q918" s="496"/>
    </row>
    <row r="919">
      <c r="Q919" s="496"/>
    </row>
    <row r="920">
      <c r="Q920" s="496"/>
    </row>
    <row r="921">
      <c r="Q921" s="496"/>
    </row>
    <row r="922">
      <c r="Q922" s="496"/>
    </row>
    <row r="923">
      <c r="Q923" s="496"/>
    </row>
    <row r="924">
      <c r="Q924" s="496"/>
    </row>
    <row r="925">
      <c r="Q925" s="496"/>
    </row>
    <row r="926">
      <c r="Q926" s="496"/>
    </row>
    <row r="927">
      <c r="Q927" s="496"/>
    </row>
    <row r="928">
      <c r="Q928" s="496"/>
    </row>
    <row r="929">
      <c r="Q929" s="496"/>
    </row>
    <row r="930">
      <c r="Q930" s="496"/>
    </row>
    <row r="931">
      <c r="Q931" s="496"/>
    </row>
    <row r="932">
      <c r="Q932" s="496"/>
    </row>
    <row r="933">
      <c r="Q933" s="496"/>
    </row>
    <row r="934">
      <c r="Q934" s="496"/>
    </row>
    <row r="935">
      <c r="Q935" s="496"/>
    </row>
    <row r="936">
      <c r="Q936" s="496"/>
    </row>
    <row r="937">
      <c r="Q937" s="496"/>
    </row>
    <row r="938">
      <c r="Q938" s="496"/>
    </row>
    <row r="939">
      <c r="Q939" s="496"/>
    </row>
    <row r="940">
      <c r="Q940" s="496"/>
    </row>
    <row r="941">
      <c r="Q941" s="496"/>
    </row>
    <row r="942">
      <c r="Q942" s="496"/>
    </row>
    <row r="943">
      <c r="Q943" s="496"/>
    </row>
    <row r="944">
      <c r="Q944" s="496"/>
    </row>
    <row r="945">
      <c r="Q945" s="496"/>
    </row>
    <row r="946">
      <c r="Q946" s="496"/>
    </row>
    <row r="947">
      <c r="Q947" s="496"/>
    </row>
    <row r="948">
      <c r="Q948" s="496"/>
    </row>
    <row r="949">
      <c r="Q949" s="496"/>
    </row>
    <row r="950">
      <c r="Q950" s="496"/>
    </row>
    <row r="951">
      <c r="Q951" s="496"/>
    </row>
    <row r="952">
      <c r="Q952" s="496"/>
    </row>
    <row r="953">
      <c r="Q953" s="496"/>
    </row>
    <row r="954">
      <c r="Q954" s="496"/>
    </row>
    <row r="955">
      <c r="Q955" s="496"/>
    </row>
    <row r="956">
      <c r="Q956" s="496"/>
    </row>
    <row r="957">
      <c r="Q957" s="496"/>
    </row>
    <row r="958">
      <c r="Q958" s="496"/>
    </row>
    <row r="959">
      <c r="Q959" s="496"/>
    </row>
    <row r="960">
      <c r="Q960" s="496"/>
    </row>
    <row r="961">
      <c r="Q961" s="496"/>
    </row>
    <row r="962">
      <c r="Q962" s="496"/>
    </row>
    <row r="963">
      <c r="Q963" s="496"/>
    </row>
    <row r="964">
      <c r="Q964" s="496"/>
    </row>
    <row r="965">
      <c r="Q965" s="496"/>
    </row>
    <row r="966">
      <c r="Q966" s="496"/>
    </row>
    <row r="967">
      <c r="Q967" s="496"/>
    </row>
    <row r="968">
      <c r="Q968" s="496"/>
    </row>
    <row r="969">
      <c r="Q969" s="496"/>
    </row>
    <row r="970">
      <c r="Q970" s="496"/>
    </row>
    <row r="971">
      <c r="Q971" s="496"/>
    </row>
    <row r="972">
      <c r="Q972" s="496"/>
    </row>
    <row r="973">
      <c r="Q973" s="496"/>
    </row>
    <row r="974">
      <c r="Q974" s="496"/>
    </row>
    <row r="975">
      <c r="Q975" s="496"/>
    </row>
    <row r="976">
      <c r="Q976" s="496"/>
    </row>
    <row r="977">
      <c r="Q977" s="496"/>
    </row>
    <row r="978">
      <c r="Q978" s="496"/>
    </row>
    <row r="979">
      <c r="Q979" s="496"/>
    </row>
    <row r="980">
      <c r="Q980" s="496"/>
    </row>
    <row r="981">
      <c r="Q981" s="496"/>
    </row>
    <row r="982">
      <c r="Q982" s="496"/>
    </row>
    <row r="983">
      <c r="Q983" s="496"/>
    </row>
    <row r="984">
      <c r="Q984" s="496"/>
    </row>
    <row r="985">
      <c r="Q985" s="496"/>
    </row>
    <row r="986">
      <c r="Q986" s="496"/>
    </row>
    <row r="987">
      <c r="Q987" s="496"/>
    </row>
    <row r="988">
      <c r="Q988" s="496"/>
    </row>
    <row r="989">
      <c r="Q989" s="496"/>
    </row>
    <row r="990">
      <c r="Q990" s="496"/>
    </row>
    <row r="991">
      <c r="Q991" s="496"/>
    </row>
    <row r="992">
      <c r="Q992" s="496"/>
    </row>
    <row r="993">
      <c r="Q993" s="496"/>
    </row>
    <row r="994">
      <c r="Q994" s="496"/>
    </row>
    <row r="995">
      <c r="Q995" s="496"/>
    </row>
    <row r="996">
      <c r="Q996" s="496"/>
    </row>
    <row r="997">
      <c r="Q997" s="496"/>
    </row>
    <row r="998">
      <c r="Q998" s="496"/>
    </row>
  </sheetData>
  <customSheetViews>
    <customSheetView guid="{94ED9FD1-4C26-490D-AFCE-61ADCFEA675D}" filter="1" showAutoFilter="1">
      <autoFilter ref="$C$3:$C$215"/>
    </customSheetView>
  </customSheetViews>
  <dataValidations>
    <dataValidation type="list" allowBlank="1" sqref="A4:A101 G4:H101 N4:O101">
      <formula1>#REF!</formula1>
    </dataValidation>
    <dataValidation type="custom" allowBlank="1" showDropDown="1" sqref="J4:M101 Z4:AA101">
      <formula1>AND(ISNUMBER(J4),(NOT(OR(NOT(ISERROR(DATEVALUE(J4))), AND(ISNUMBER(J4), LEFT(CELL("format", J4))="D")))))</formula1>
    </dataValidation>
    <dataValidation type="list" allowBlank="1" sqref="B4:B101 E4:F101">
      <formula1>#REF!</formula1>
    </dataValidation>
  </dataValidations>
  <drawing r:id="rId4"/>
  <legacyDrawing r:id="rId5"/>
  <tableParts count="1">
    <tablePart r:id="rId7"/>
  </tableParts>
  <extLst>
    <ext uri="{3A4CF648-6AED-40f4-86FF-DC5316D8AED3}">
      <x14:slicerList>
        <x14:slicer r:id="rId8"/>
      </x14:slicerList>
    </ext>
  </extLst>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8.29"/>
    <col customWidth="1" min="2" max="2" width="51.57"/>
    <col customWidth="1" min="3" max="4" width="8.86"/>
    <col customWidth="1" min="5" max="5" width="18.57"/>
    <col customWidth="1" min="6" max="6" width="17.0"/>
    <col customWidth="1" min="9" max="9" width="60.14"/>
    <col customWidth="1" min="10" max="11" width="17.71"/>
    <col customWidth="1" min="12" max="12" width="16.0"/>
    <col customWidth="1" min="13" max="13" width="11.57"/>
    <col customWidth="1" min="14" max="14" width="19.57"/>
    <col customWidth="1" min="15" max="15" width="21.0"/>
    <col customWidth="1" min="16" max="16" width="14.86"/>
    <col customWidth="1" min="17" max="17" width="15.0"/>
    <col customWidth="1" min="18" max="18" width="13.57"/>
    <col customWidth="1" min="19" max="19" width="14.29"/>
    <col customWidth="1" min="20" max="20" width="16.0"/>
    <col customWidth="1" min="21" max="21" width="14.86"/>
    <col customWidth="1" min="22" max="23" width="13.71"/>
    <col customWidth="1" min="24" max="24" width="14.14"/>
    <col customWidth="1" min="25" max="25" width="16.0"/>
    <col customWidth="1" min="26" max="26" width="15.29"/>
    <col customWidth="1" min="27" max="27" width="15.57"/>
    <col customWidth="1" min="32" max="32" width="14.86"/>
    <col customWidth="1" min="34" max="34" width="16.0"/>
  </cols>
  <sheetData>
    <row r="1">
      <c r="A1" s="1"/>
      <c r="B1" s="1"/>
      <c r="C1" s="1"/>
      <c r="D1" s="1"/>
      <c r="E1" s="1"/>
      <c r="F1" s="1"/>
      <c r="G1" s="1"/>
      <c r="H1" s="1"/>
      <c r="I1" s="1"/>
      <c r="J1" s="1"/>
      <c r="K1" s="1"/>
      <c r="L1" s="1"/>
      <c r="M1" s="3"/>
      <c r="N1" s="1"/>
      <c r="O1" s="1"/>
      <c r="P1" s="1"/>
      <c r="Q1" s="7">
        <f t="shared" ref="Q1:BR1" si="1">SUM(Q4:Q1002)</f>
        <v>0</v>
      </c>
      <c r="R1" s="7">
        <f t="shared" si="1"/>
        <v>0</v>
      </c>
      <c r="S1" s="7">
        <f t="shared" si="1"/>
        <v>0</v>
      </c>
      <c r="T1" s="7">
        <f t="shared" si="1"/>
        <v>18533845</v>
      </c>
      <c r="U1" s="7">
        <f t="shared" si="1"/>
        <v>0</v>
      </c>
      <c r="V1" s="7">
        <f t="shared" si="1"/>
        <v>0</v>
      </c>
      <c r="W1" s="7">
        <f t="shared" si="1"/>
        <v>0</v>
      </c>
      <c r="X1" s="7">
        <f t="shared" si="1"/>
        <v>0</v>
      </c>
      <c r="Y1" s="7">
        <f t="shared" si="1"/>
        <v>185222684</v>
      </c>
      <c r="Z1" s="7">
        <f t="shared" si="1"/>
        <v>90587378</v>
      </c>
      <c r="AA1" s="7">
        <f t="shared" si="1"/>
        <v>0</v>
      </c>
      <c r="AB1" s="7">
        <f t="shared" si="1"/>
        <v>0</v>
      </c>
      <c r="AC1" s="7">
        <f t="shared" si="1"/>
        <v>0</v>
      </c>
      <c r="AD1" s="7">
        <f t="shared" si="1"/>
        <v>0</v>
      </c>
      <c r="AE1" s="7">
        <f t="shared" si="1"/>
        <v>47267343.9</v>
      </c>
      <c r="AF1" s="7">
        <f t="shared" si="1"/>
        <v>23016231.6</v>
      </c>
      <c r="AG1" s="7">
        <f t="shared" si="1"/>
        <v>1880200</v>
      </c>
      <c r="AH1" s="7">
        <f t="shared" si="1"/>
        <v>250021224</v>
      </c>
      <c r="AI1" s="7">
        <f t="shared" si="1"/>
        <v>7335127</v>
      </c>
      <c r="AJ1" s="7">
        <f t="shared" si="1"/>
        <v>0</v>
      </c>
      <c r="AK1" s="7">
        <f t="shared" si="1"/>
        <v>14713563.1</v>
      </c>
      <c r="AL1" s="7">
        <f t="shared" si="1"/>
        <v>0</v>
      </c>
      <c r="AM1" s="7">
        <f t="shared" si="1"/>
        <v>0</v>
      </c>
      <c r="AN1" s="7">
        <f t="shared" si="1"/>
        <v>0</v>
      </c>
      <c r="AO1" s="7">
        <f t="shared" si="1"/>
        <v>4304017.95</v>
      </c>
      <c r="AP1" s="7">
        <f t="shared" si="1"/>
        <v>0</v>
      </c>
      <c r="AQ1" s="7">
        <f t="shared" si="1"/>
        <v>0</v>
      </c>
      <c r="AR1" s="7">
        <f t="shared" si="1"/>
        <v>0</v>
      </c>
      <c r="AS1" s="7">
        <f t="shared" si="1"/>
        <v>0</v>
      </c>
      <c r="AT1" s="7">
        <f t="shared" si="1"/>
        <v>4146267</v>
      </c>
      <c r="AU1" s="7">
        <f t="shared" si="1"/>
        <v>0</v>
      </c>
      <c r="AV1" s="7">
        <f t="shared" si="1"/>
        <v>0</v>
      </c>
      <c r="AW1" s="7">
        <f t="shared" si="1"/>
        <v>0</v>
      </c>
      <c r="AX1" s="7">
        <f t="shared" si="1"/>
        <v>0</v>
      </c>
      <c r="AY1" s="7">
        <f t="shared" si="1"/>
        <v>0</v>
      </c>
      <c r="AZ1" s="7">
        <f t="shared" si="1"/>
        <v>0</v>
      </c>
      <c r="BA1" s="7">
        <f t="shared" si="1"/>
        <v>0</v>
      </c>
      <c r="BB1" s="7">
        <f t="shared" si="1"/>
        <v>0</v>
      </c>
      <c r="BC1" s="7">
        <f t="shared" si="1"/>
        <v>0</v>
      </c>
      <c r="BD1" s="7">
        <f t="shared" si="1"/>
        <v>0</v>
      </c>
      <c r="BE1" s="7">
        <f t="shared" si="1"/>
        <v>0</v>
      </c>
      <c r="BF1" s="7">
        <f t="shared" si="1"/>
        <v>0</v>
      </c>
      <c r="BG1" s="7">
        <f t="shared" si="1"/>
        <v>0</v>
      </c>
      <c r="BH1" s="7">
        <f t="shared" si="1"/>
        <v>0</v>
      </c>
      <c r="BI1" s="7">
        <f t="shared" si="1"/>
        <v>0</v>
      </c>
      <c r="BJ1" s="7">
        <f t="shared" si="1"/>
        <v>0</v>
      </c>
      <c r="BK1" s="7">
        <f t="shared" si="1"/>
        <v>0</v>
      </c>
      <c r="BL1" s="7">
        <f t="shared" si="1"/>
        <v>0</v>
      </c>
      <c r="BM1" s="7">
        <f t="shared" si="1"/>
        <v>0</v>
      </c>
      <c r="BN1" s="7">
        <f t="shared" si="1"/>
        <v>0</v>
      </c>
      <c r="BO1" s="7">
        <f t="shared" si="1"/>
        <v>0</v>
      </c>
      <c r="BP1" s="7">
        <f t="shared" si="1"/>
        <v>0</v>
      </c>
      <c r="BQ1" s="7">
        <f t="shared" si="1"/>
        <v>0</v>
      </c>
      <c r="BR1" s="7">
        <f t="shared" si="1"/>
        <v>0</v>
      </c>
    </row>
    <row r="2">
      <c r="A2" s="1"/>
      <c r="B2" s="1"/>
      <c r="C2" s="1"/>
      <c r="D2" s="1"/>
      <c r="E2" s="1"/>
      <c r="F2" s="1"/>
      <c r="G2" s="1"/>
      <c r="H2" s="1"/>
      <c r="I2" s="1"/>
      <c r="J2" s="1"/>
      <c r="K2" s="1"/>
      <c r="L2" s="1"/>
      <c r="M2" s="3"/>
      <c r="N2" s="1"/>
      <c r="O2" s="1"/>
      <c r="P2" s="1"/>
      <c r="Q2" s="21" t="s">
        <v>8</v>
      </c>
      <c r="R2" s="21" t="s">
        <v>10</v>
      </c>
      <c r="S2" s="21" t="s">
        <v>12</v>
      </c>
      <c r="T2" s="23" t="s">
        <v>14</v>
      </c>
      <c r="U2" s="21" t="s">
        <v>15</v>
      </c>
      <c r="V2" s="23" t="s">
        <v>16</v>
      </c>
      <c r="W2" s="21" t="s">
        <v>17</v>
      </c>
      <c r="X2" s="23" t="s">
        <v>19</v>
      </c>
      <c r="Y2" s="21" t="s">
        <v>20</v>
      </c>
      <c r="Z2" s="23" t="s">
        <v>21</v>
      </c>
      <c r="AA2" s="21" t="s">
        <v>22</v>
      </c>
      <c r="AB2" s="23" t="s">
        <v>23</v>
      </c>
      <c r="AC2" s="21" t="s">
        <v>24</v>
      </c>
      <c r="AD2" s="23" t="s">
        <v>25</v>
      </c>
      <c r="AE2" s="21" t="s">
        <v>26</v>
      </c>
      <c r="AF2" s="23" t="s">
        <v>27</v>
      </c>
      <c r="AG2" s="21" t="s">
        <v>28</v>
      </c>
      <c r="AH2" s="23" t="s">
        <v>29</v>
      </c>
      <c r="AI2" s="21" t="s">
        <v>30</v>
      </c>
      <c r="AJ2" s="23" t="s">
        <v>31</v>
      </c>
      <c r="AK2" s="21" t="s">
        <v>32</v>
      </c>
      <c r="AL2" s="23" t="s">
        <v>33</v>
      </c>
      <c r="AM2" s="21" t="s">
        <v>34</v>
      </c>
      <c r="AN2" s="23" t="s">
        <v>35</v>
      </c>
      <c r="AO2" s="21" t="s">
        <v>36</v>
      </c>
      <c r="AP2" s="21" t="s">
        <v>38</v>
      </c>
      <c r="AQ2" s="21" t="s">
        <v>39</v>
      </c>
      <c r="AR2" s="21" t="s">
        <v>40</v>
      </c>
      <c r="AS2" s="21" t="s">
        <v>41</v>
      </c>
      <c r="AT2" s="21" t="s">
        <v>42</v>
      </c>
      <c r="AU2" s="21" t="s">
        <v>43</v>
      </c>
      <c r="AV2" s="21" t="s">
        <v>44</v>
      </c>
      <c r="AW2" s="21" t="s">
        <v>45</v>
      </c>
      <c r="AX2" s="21" t="s">
        <v>46</v>
      </c>
      <c r="AY2" s="21" t="s">
        <v>47</v>
      </c>
      <c r="AZ2" s="21" t="s">
        <v>48</v>
      </c>
      <c r="BA2" s="21" t="s">
        <v>49</v>
      </c>
      <c r="BB2" s="21" t="s">
        <v>50</v>
      </c>
      <c r="BC2" s="21" t="s">
        <v>51</v>
      </c>
      <c r="BD2" s="21" t="s">
        <v>52</v>
      </c>
      <c r="BE2" s="21" t="s">
        <v>53</v>
      </c>
      <c r="BF2" s="21" t="s">
        <v>54</v>
      </c>
      <c r="BG2" s="21" t="s">
        <v>55</v>
      </c>
      <c r="BH2" s="21" t="s">
        <v>56</v>
      </c>
      <c r="BI2" s="21" t="s">
        <v>58</v>
      </c>
      <c r="BJ2" s="21" t="s">
        <v>59</v>
      </c>
      <c r="BK2" s="21" t="s">
        <v>60</v>
      </c>
      <c r="BL2" s="21" t="s">
        <v>61</v>
      </c>
      <c r="BM2" s="21" t="s">
        <v>62</v>
      </c>
      <c r="BN2" s="21" t="s">
        <v>63</v>
      </c>
      <c r="BO2" s="21" t="s">
        <v>64</v>
      </c>
      <c r="BP2" s="21" t="s">
        <v>65</v>
      </c>
      <c r="BQ2" s="21" t="s">
        <v>66</v>
      </c>
      <c r="BR2" s="21" t="s">
        <v>8</v>
      </c>
    </row>
    <row r="3" ht="22.5" customHeight="1">
      <c r="A3" s="38" t="s">
        <v>2</v>
      </c>
      <c r="B3" s="38" t="s">
        <v>67</v>
      </c>
      <c r="C3" s="38" t="s">
        <v>151</v>
      </c>
      <c r="D3" s="38" t="s">
        <v>70</v>
      </c>
      <c r="E3" s="38" t="s">
        <v>73</v>
      </c>
      <c r="F3" s="38" t="s">
        <v>76</v>
      </c>
      <c r="G3" s="38" t="s">
        <v>77</v>
      </c>
      <c r="H3" s="38" t="s">
        <v>78</v>
      </c>
      <c r="I3" s="38" t="s">
        <v>79</v>
      </c>
      <c r="J3" s="38" t="s">
        <v>80</v>
      </c>
      <c r="K3" s="38" t="s">
        <v>81</v>
      </c>
      <c r="L3" s="38" t="s">
        <v>82</v>
      </c>
      <c r="M3" s="53" t="s">
        <v>7</v>
      </c>
      <c r="N3" s="38" t="s">
        <v>83</v>
      </c>
      <c r="O3" s="38" t="s">
        <v>84</v>
      </c>
      <c r="P3" s="38" t="s">
        <v>88</v>
      </c>
      <c r="Q3" s="38" t="s">
        <v>89</v>
      </c>
      <c r="R3" s="63" t="s">
        <v>91</v>
      </c>
      <c r="S3" s="63" t="s">
        <v>92</v>
      </c>
      <c r="T3" s="64" t="s">
        <v>93</v>
      </c>
      <c r="U3" s="63" t="s">
        <v>94</v>
      </c>
      <c r="V3" s="64" t="s">
        <v>95</v>
      </c>
      <c r="W3" s="63" t="s">
        <v>96</v>
      </c>
      <c r="X3" s="64" t="s">
        <v>97</v>
      </c>
      <c r="Y3" s="63" t="s">
        <v>171</v>
      </c>
      <c r="Z3" s="64" t="s">
        <v>172</v>
      </c>
      <c r="AA3" s="63" t="s">
        <v>173</v>
      </c>
      <c r="AB3" s="64" t="s">
        <v>99</v>
      </c>
      <c r="AC3" s="63" t="s">
        <v>100</v>
      </c>
      <c r="AD3" s="64" t="s">
        <v>102</v>
      </c>
      <c r="AE3" s="63" t="s">
        <v>103</v>
      </c>
      <c r="AF3" s="64" t="s">
        <v>104</v>
      </c>
      <c r="AG3" s="63" t="s">
        <v>105</v>
      </c>
      <c r="AH3" s="64" t="s">
        <v>106</v>
      </c>
      <c r="AI3" s="63" t="s">
        <v>108</v>
      </c>
      <c r="AJ3" s="64" t="s">
        <v>109</v>
      </c>
      <c r="AK3" s="63" t="s">
        <v>110</v>
      </c>
      <c r="AL3" s="64" t="s">
        <v>111</v>
      </c>
      <c r="AM3" s="63" t="s">
        <v>112</v>
      </c>
      <c r="AN3" s="64" t="s">
        <v>113</v>
      </c>
      <c r="AO3" s="63" t="s">
        <v>115</v>
      </c>
      <c r="AP3" s="72" t="s">
        <v>116</v>
      </c>
      <c r="AQ3" s="72" t="s">
        <v>176</v>
      </c>
      <c r="AR3" s="72" t="s">
        <v>177</v>
      </c>
      <c r="AS3" s="72" t="s">
        <v>178</v>
      </c>
      <c r="AT3" s="72" t="s">
        <v>118</v>
      </c>
      <c r="AU3" s="72" t="s">
        <v>119</v>
      </c>
      <c r="AV3" s="72" t="s">
        <v>120</v>
      </c>
      <c r="AW3" s="72" t="s">
        <v>121</v>
      </c>
      <c r="AX3" s="72" t="s">
        <v>122</v>
      </c>
      <c r="AY3" s="72" t="s">
        <v>123</v>
      </c>
      <c r="AZ3" s="72" t="s">
        <v>124</v>
      </c>
      <c r="BA3" s="72" t="s">
        <v>125</v>
      </c>
      <c r="BB3" s="72" t="s">
        <v>126</v>
      </c>
      <c r="BC3" s="72" t="s">
        <v>127</v>
      </c>
      <c r="BD3" s="72" t="s">
        <v>180</v>
      </c>
      <c r="BE3" s="72" t="s">
        <v>181</v>
      </c>
      <c r="BF3" s="72" t="s">
        <v>182</v>
      </c>
      <c r="BG3" s="72" t="s">
        <v>183</v>
      </c>
      <c r="BH3" s="72" t="s">
        <v>184</v>
      </c>
      <c r="BI3" s="72" t="s">
        <v>185</v>
      </c>
      <c r="BJ3" s="72" t="s">
        <v>186</v>
      </c>
      <c r="BK3" s="72" t="s">
        <v>187</v>
      </c>
      <c r="BL3" s="72" t="s">
        <v>188</v>
      </c>
      <c r="BM3" s="72" t="s">
        <v>137</v>
      </c>
      <c r="BN3" s="72" t="s">
        <v>190</v>
      </c>
      <c r="BO3" s="72" t="s">
        <v>191</v>
      </c>
      <c r="BP3" s="72" t="s">
        <v>193</v>
      </c>
      <c r="BQ3" s="72" t="s">
        <v>140</v>
      </c>
      <c r="BR3" s="60" t="s">
        <v>196</v>
      </c>
    </row>
    <row r="4" ht="22.5" customHeight="1">
      <c r="A4" s="90" t="s">
        <v>75</v>
      </c>
      <c r="B4" s="90" t="s">
        <v>141</v>
      </c>
      <c r="C4" s="95">
        <v>2024.0</v>
      </c>
      <c r="D4" s="95">
        <v>8022.0</v>
      </c>
      <c r="E4" s="90" t="s">
        <v>244</v>
      </c>
      <c r="F4" s="90" t="s">
        <v>198</v>
      </c>
      <c r="G4" s="90" t="s">
        <v>211</v>
      </c>
      <c r="H4" s="90" t="s">
        <v>200</v>
      </c>
      <c r="I4" s="95" t="s">
        <v>202</v>
      </c>
      <c r="J4" s="98">
        <v>4.40829987E9</v>
      </c>
      <c r="K4" s="98">
        <f>200000000+214576722+451540786+242312734+224174189+155623352+252294712+201102519+155455601+218152853+324983774+366374243+153086824+152511772+102298014+203742698+184685827+170139342</f>
        <v>3973055962</v>
      </c>
      <c r="L4" s="99">
        <f t="shared" ref="L4:L22" si="2">J4-K4</f>
        <v>435243908</v>
      </c>
      <c r="M4" s="102"/>
      <c r="N4" s="90" t="s">
        <v>205</v>
      </c>
      <c r="O4" s="90" t="s">
        <v>142</v>
      </c>
      <c r="P4" s="99">
        <f t="shared" ref="P4:P6" si="3">J4-K4-(SUM(Q4:BR4))</f>
        <v>0</v>
      </c>
      <c r="Q4" s="98"/>
      <c r="R4" s="98"/>
      <c r="S4" s="98"/>
      <c r="T4" s="98"/>
      <c r="U4" s="98"/>
      <c r="V4" s="98"/>
      <c r="W4" s="98"/>
      <c r="X4" s="98"/>
      <c r="Y4" s="156">
        <f>185222684</f>
        <v>185222684</v>
      </c>
      <c r="Z4" s="98"/>
      <c r="AA4" s="98"/>
      <c r="AB4" s="98"/>
      <c r="AC4" s="98"/>
      <c r="AD4" s="98"/>
      <c r="AE4" s="98"/>
      <c r="AF4" s="98"/>
      <c r="AG4" s="98"/>
      <c r="AH4" s="177">
        <v>2.50021224E8</v>
      </c>
      <c r="AI4" s="98"/>
      <c r="AJ4" s="98"/>
      <c r="AK4" s="98"/>
      <c r="AL4" s="98"/>
      <c r="AM4" s="98"/>
      <c r="AN4" s="98"/>
      <c r="AO4" s="98"/>
      <c r="AP4" s="98"/>
      <c r="AQ4" s="98"/>
      <c r="AR4" s="98"/>
      <c r="AS4" s="98"/>
      <c r="AT4" s="98"/>
      <c r="AU4" s="98"/>
      <c r="AV4" s="98"/>
      <c r="AW4" s="98"/>
      <c r="AX4" s="98"/>
      <c r="AY4" s="98"/>
      <c r="AZ4" s="98"/>
      <c r="BA4" s="98"/>
      <c r="BB4" s="98"/>
      <c r="BC4" s="98"/>
      <c r="BD4" s="98"/>
      <c r="BE4" s="98"/>
      <c r="BF4" s="98"/>
      <c r="BG4" s="98"/>
      <c r="BH4" s="98"/>
      <c r="BI4" s="98"/>
      <c r="BJ4" s="98"/>
      <c r="BK4" s="98"/>
      <c r="BL4" s="98"/>
      <c r="BM4" s="98"/>
      <c r="BN4" s="98"/>
      <c r="BO4" s="98"/>
      <c r="BP4" s="98"/>
      <c r="BQ4" s="98"/>
      <c r="BR4" s="98"/>
    </row>
    <row r="5" ht="22.5" customHeight="1">
      <c r="A5" s="90" t="s">
        <v>75</v>
      </c>
      <c r="B5" s="90" t="s">
        <v>141</v>
      </c>
      <c r="C5" s="95">
        <v>2025.0</v>
      </c>
      <c r="D5" s="95">
        <v>9031.0</v>
      </c>
      <c r="E5" s="90" t="s">
        <v>244</v>
      </c>
      <c r="F5" s="90" t="s">
        <v>198</v>
      </c>
      <c r="G5" s="90" t="s">
        <v>211</v>
      </c>
      <c r="H5" s="90" t="s">
        <v>200</v>
      </c>
      <c r="I5" s="95" t="s">
        <v>214</v>
      </c>
      <c r="J5" s="98">
        <v>4.56637235E8</v>
      </c>
      <c r="K5" s="98">
        <f>81204459+170270732+89858090+110752237</f>
        <v>452085518</v>
      </c>
      <c r="L5" s="99">
        <f t="shared" si="2"/>
        <v>4551717</v>
      </c>
      <c r="M5" s="102"/>
      <c r="N5" s="90" t="s">
        <v>205</v>
      </c>
      <c r="O5" s="90" t="s">
        <v>142</v>
      </c>
      <c r="P5" s="99">
        <f t="shared" si="3"/>
        <v>0</v>
      </c>
      <c r="Q5" s="98"/>
      <c r="R5" s="98"/>
      <c r="S5" s="98"/>
      <c r="T5" s="98"/>
      <c r="U5" s="98"/>
      <c r="V5" s="98"/>
      <c r="W5" s="98"/>
      <c r="X5" s="98"/>
      <c r="Y5" s="98"/>
      <c r="Z5" s="98"/>
      <c r="AA5" s="98"/>
      <c r="AB5" s="98"/>
      <c r="AC5" s="98"/>
      <c r="AD5" s="98"/>
      <c r="AE5" s="98"/>
      <c r="AF5" s="98"/>
      <c r="AG5" s="98"/>
      <c r="AH5" s="98"/>
      <c r="AI5" s="177">
        <v>4551717.0</v>
      </c>
      <c r="AJ5" s="98"/>
      <c r="AK5" s="98"/>
      <c r="AL5" s="98"/>
      <c r="AM5" s="98"/>
      <c r="AN5" s="98"/>
      <c r="AO5" s="98"/>
      <c r="AP5" s="98"/>
      <c r="AQ5" s="98"/>
      <c r="AR5" s="98"/>
      <c r="AS5" s="98"/>
      <c r="AT5" s="98"/>
      <c r="AU5" s="98"/>
      <c r="AV5" s="98"/>
      <c r="AW5" s="98"/>
      <c r="AX5" s="98"/>
      <c r="AY5" s="98"/>
      <c r="AZ5" s="98"/>
      <c r="BA5" s="98"/>
      <c r="BB5" s="98"/>
      <c r="BC5" s="98"/>
      <c r="BD5" s="98"/>
      <c r="BE5" s="98"/>
      <c r="BF5" s="98"/>
      <c r="BG5" s="98"/>
      <c r="BH5" s="98"/>
      <c r="BI5" s="98"/>
      <c r="BJ5" s="98"/>
      <c r="BK5" s="98"/>
      <c r="BL5" s="98"/>
      <c r="BM5" s="98"/>
      <c r="BN5" s="98"/>
      <c r="BO5" s="98"/>
      <c r="BP5" s="98"/>
      <c r="BQ5" s="98"/>
      <c r="BR5" s="98"/>
    </row>
    <row r="6" ht="22.5" customHeight="1">
      <c r="A6" s="90" t="s">
        <v>75</v>
      </c>
      <c r="B6" s="90" t="s">
        <v>141</v>
      </c>
      <c r="C6" s="95">
        <v>2024.0</v>
      </c>
      <c r="D6" s="95">
        <v>4075.0</v>
      </c>
      <c r="E6" s="90" t="s">
        <v>261</v>
      </c>
      <c r="F6" s="90" t="s">
        <v>198</v>
      </c>
      <c r="G6" s="90" t="s">
        <v>211</v>
      </c>
      <c r="H6" s="90" t="s">
        <v>200</v>
      </c>
      <c r="I6" s="95" t="s">
        <v>224</v>
      </c>
      <c r="J6" s="98">
        <v>8.6080359E7</v>
      </c>
      <c r="K6" s="98">
        <f>24432144+7173363+12912054+7173363</f>
        <v>51690924</v>
      </c>
      <c r="L6" s="99">
        <f t="shared" si="2"/>
        <v>34389435</v>
      </c>
      <c r="M6" s="102"/>
      <c r="N6" s="90" t="s">
        <v>225</v>
      </c>
      <c r="O6" s="90" t="s">
        <v>142</v>
      </c>
      <c r="P6" s="99">
        <f t="shared" si="3"/>
        <v>14304017.95</v>
      </c>
      <c r="Q6" s="98"/>
      <c r="R6" s="98"/>
      <c r="S6" s="98"/>
      <c r="T6" s="98"/>
      <c r="U6" s="98"/>
      <c r="V6" s="98"/>
      <c r="W6" s="98"/>
      <c r="X6" s="98"/>
      <c r="Y6" s="98"/>
      <c r="Z6" s="98"/>
      <c r="AA6" s="98"/>
      <c r="AB6" s="98"/>
      <c r="AC6" s="98"/>
      <c r="AD6" s="98"/>
      <c r="AE6" s="98"/>
      <c r="AF6" s="113">
        <v>7173363.0</v>
      </c>
      <c r="AG6" s="113"/>
      <c r="AH6" s="113"/>
      <c r="AI6" s="113"/>
      <c r="AJ6" s="113"/>
      <c r="AK6" s="177">
        <v>8608036.100000001</v>
      </c>
      <c r="AL6" s="113"/>
      <c r="AM6" s="113"/>
      <c r="AN6" s="113"/>
      <c r="AO6" s="177">
        <v>4304017.95</v>
      </c>
      <c r="AP6" s="113"/>
      <c r="AQ6" s="98"/>
      <c r="AR6" s="98"/>
      <c r="AS6" s="98"/>
      <c r="AT6" s="98"/>
      <c r="AU6" s="98"/>
      <c r="AV6" s="98"/>
      <c r="AW6" s="98"/>
      <c r="AX6" s="98"/>
      <c r="AY6" s="98"/>
      <c r="AZ6" s="98"/>
      <c r="BA6" s="98"/>
      <c r="BB6" s="98"/>
      <c r="BC6" s="98"/>
      <c r="BD6" s="98"/>
      <c r="BE6" s="98"/>
      <c r="BF6" s="98"/>
      <c r="BG6" s="98"/>
      <c r="BH6" s="98"/>
      <c r="BI6" s="98"/>
      <c r="BJ6" s="98"/>
      <c r="BK6" s="98"/>
      <c r="BL6" s="98"/>
      <c r="BM6" s="98"/>
      <c r="BN6" s="98"/>
      <c r="BO6" s="98"/>
      <c r="BP6" s="98"/>
      <c r="BQ6" s="98"/>
      <c r="BR6" s="98"/>
    </row>
    <row r="7" ht="22.5" customHeight="1">
      <c r="A7" s="219"/>
      <c r="B7" s="219"/>
      <c r="C7" s="220">
        <v>2023.0</v>
      </c>
      <c r="D7" s="220">
        <v>12187.0</v>
      </c>
      <c r="E7" s="219"/>
      <c r="F7" s="219"/>
      <c r="G7" s="219"/>
      <c r="H7" s="219"/>
      <c r="I7" s="220" t="s">
        <v>268</v>
      </c>
      <c r="J7" s="221">
        <v>8.1691879E7</v>
      </c>
      <c r="K7" s="221">
        <f>12253782+12953656+8217395+4686425</f>
        <v>38111258</v>
      </c>
      <c r="L7" s="222">
        <f t="shared" si="2"/>
        <v>43580621</v>
      </c>
      <c r="M7" s="223"/>
      <c r="N7" s="224" t="s">
        <v>271</v>
      </c>
      <c r="O7" s="224" t="s">
        <v>117</v>
      </c>
      <c r="P7" s="225"/>
      <c r="Q7" s="221"/>
      <c r="R7" s="221"/>
      <c r="S7" s="221"/>
      <c r="T7" s="221"/>
      <c r="U7" s="221"/>
      <c r="V7" s="221"/>
      <c r="W7" s="221"/>
      <c r="X7" s="221"/>
      <c r="Y7" s="221"/>
      <c r="Z7" s="221"/>
      <c r="AA7" s="221"/>
      <c r="AB7" s="221"/>
      <c r="AC7" s="221"/>
      <c r="AD7" s="221"/>
      <c r="AE7" s="221"/>
      <c r="AF7" s="221"/>
      <c r="AG7" s="221"/>
      <c r="AH7" s="221"/>
      <c r="AI7" s="221"/>
      <c r="AJ7" s="221"/>
      <c r="AK7" s="221"/>
      <c r="AL7" s="221"/>
      <c r="AM7" s="221"/>
      <c r="AN7" s="221"/>
      <c r="AO7" s="221"/>
      <c r="AP7" s="221"/>
      <c r="AQ7" s="221"/>
      <c r="AR7" s="221"/>
      <c r="AS7" s="221"/>
      <c r="AT7" s="221"/>
      <c r="AU7" s="221"/>
      <c r="AV7" s="221"/>
      <c r="AW7" s="221"/>
      <c r="AX7" s="221"/>
      <c r="AY7" s="221"/>
      <c r="AZ7" s="221"/>
      <c r="BA7" s="221"/>
      <c r="BB7" s="221"/>
      <c r="BC7" s="221"/>
      <c r="BD7" s="221"/>
      <c r="BE7" s="221"/>
      <c r="BF7" s="221"/>
      <c r="BG7" s="221"/>
      <c r="BH7" s="221"/>
      <c r="BI7" s="221"/>
      <c r="BJ7" s="221"/>
      <c r="BK7" s="221"/>
      <c r="BL7" s="221"/>
      <c r="BM7" s="221"/>
      <c r="BN7" s="221"/>
      <c r="BO7" s="221"/>
      <c r="BP7" s="221"/>
      <c r="BQ7" s="221"/>
      <c r="BR7" s="221"/>
    </row>
    <row r="8" ht="22.5" customHeight="1">
      <c r="A8" s="224"/>
      <c r="B8" s="219"/>
      <c r="C8" s="220">
        <v>2024.0</v>
      </c>
      <c r="D8" s="220">
        <v>8440.0</v>
      </c>
      <c r="E8" s="219"/>
      <c r="F8" s="219"/>
      <c r="G8" s="219"/>
      <c r="H8" s="219"/>
      <c r="I8" s="220" t="s">
        <v>274</v>
      </c>
      <c r="J8" s="221">
        <v>4219946.0</v>
      </c>
      <c r="K8" s="221">
        <v>2260686.0</v>
      </c>
      <c r="L8" s="222">
        <f t="shared" si="2"/>
        <v>1959260</v>
      </c>
      <c r="M8" s="223"/>
      <c r="N8" s="224" t="s">
        <v>272</v>
      </c>
      <c r="O8" s="224" t="s">
        <v>135</v>
      </c>
      <c r="P8" s="225"/>
      <c r="Q8" s="221"/>
      <c r="R8" s="221"/>
      <c r="S8" s="221"/>
      <c r="T8" s="221"/>
      <c r="U8" s="221"/>
      <c r="V8" s="221"/>
      <c r="W8" s="221"/>
      <c r="X8" s="221"/>
      <c r="Y8" s="222"/>
      <c r="Z8" s="221"/>
      <c r="AA8" s="221"/>
      <c r="AB8" s="221"/>
      <c r="AC8" s="221"/>
      <c r="AD8" s="221"/>
      <c r="AE8" s="221"/>
      <c r="AF8" s="221"/>
      <c r="AG8" s="221"/>
      <c r="AH8" s="221"/>
      <c r="AI8" s="221"/>
      <c r="AJ8" s="221"/>
      <c r="AK8" s="221"/>
      <c r="AL8" s="221"/>
      <c r="AM8" s="221"/>
      <c r="AN8" s="221"/>
      <c r="AO8" s="221"/>
      <c r="AP8" s="221"/>
      <c r="AQ8" s="221"/>
      <c r="AR8" s="221"/>
      <c r="AS8" s="221"/>
      <c r="AT8" s="221"/>
      <c r="AU8" s="221"/>
      <c r="AV8" s="221"/>
      <c r="AW8" s="221"/>
      <c r="AX8" s="221"/>
      <c r="AY8" s="221"/>
      <c r="AZ8" s="221"/>
      <c r="BA8" s="221"/>
      <c r="BB8" s="221"/>
      <c r="BC8" s="221"/>
      <c r="BD8" s="221"/>
      <c r="BE8" s="221"/>
      <c r="BF8" s="221"/>
      <c r="BG8" s="221"/>
      <c r="BH8" s="221"/>
      <c r="BI8" s="221"/>
      <c r="BJ8" s="221"/>
      <c r="BK8" s="221"/>
      <c r="BL8" s="221"/>
      <c r="BM8" s="221"/>
      <c r="BN8" s="221"/>
      <c r="BO8" s="221"/>
      <c r="BP8" s="221"/>
      <c r="BQ8" s="221"/>
      <c r="BR8" s="221"/>
    </row>
    <row r="9" ht="22.5" customHeight="1">
      <c r="A9" s="219"/>
      <c r="B9" s="219"/>
      <c r="C9" s="220">
        <v>2023.0</v>
      </c>
      <c r="D9" s="220">
        <v>1754.0</v>
      </c>
      <c r="E9" s="219"/>
      <c r="F9" s="219"/>
      <c r="G9" s="219"/>
      <c r="H9" s="219"/>
      <c r="I9" s="220" t="s">
        <v>286</v>
      </c>
      <c r="J9" s="221">
        <v>1.714724E7</v>
      </c>
      <c r="K9" s="221">
        <f>5621069+2953620+7426964</f>
        <v>16001653</v>
      </c>
      <c r="L9" s="222">
        <f t="shared" si="2"/>
        <v>1145587</v>
      </c>
      <c r="M9" s="223"/>
      <c r="N9" s="224" t="s">
        <v>272</v>
      </c>
      <c r="O9" s="224" t="s">
        <v>135</v>
      </c>
      <c r="P9" s="225"/>
      <c r="Q9" s="221"/>
      <c r="R9" s="221"/>
      <c r="S9" s="221"/>
      <c r="T9" s="221"/>
      <c r="U9" s="221"/>
      <c r="V9" s="221"/>
      <c r="W9" s="221"/>
      <c r="X9" s="221"/>
      <c r="Y9" s="221"/>
      <c r="Z9" s="221"/>
      <c r="AA9" s="221"/>
      <c r="AB9" s="221"/>
      <c r="AC9" s="221"/>
      <c r="AD9" s="221"/>
      <c r="AE9" s="221"/>
      <c r="AF9" s="221"/>
      <c r="AG9" s="221"/>
      <c r="AH9" s="221"/>
      <c r="AI9" s="221"/>
      <c r="AJ9" s="221"/>
      <c r="AK9" s="221"/>
      <c r="AL9" s="221"/>
      <c r="AM9" s="221"/>
      <c r="AN9" s="221"/>
      <c r="AO9" s="221"/>
      <c r="AP9" s="221"/>
      <c r="AQ9" s="221"/>
      <c r="AR9" s="221"/>
      <c r="AS9" s="221"/>
      <c r="AT9" s="221"/>
      <c r="AU9" s="221"/>
      <c r="AV9" s="221"/>
      <c r="AW9" s="221"/>
      <c r="AX9" s="221"/>
      <c r="AY9" s="221"/>
      <c r="AZ9" s="221"/>
      <c r="BA9" s="221"/>
      <c r="BB9" s="221"/>
      <c r="BC9" s="221"/>
      <c r="BD9" s="221"/>
      <c r="BE9" s="221"/>
      <c r="BF9" s="221"/>
      <c r="BG9" s="221"/>
      <c r="BH9" s="221"/>
      <c r="BI9" s="221"/>
      <c r="BJ9" s="221"/>
      <c r="BK9" s="221"/>
      <c r="BL9" s="221"/>
      <c r="BM9" s="221"/>
      <c r="BN9" s="221"/>
      <c r="BO9" s="221"/>
      <c r="BP9" s="221"/>
      <c r="BQ9" s="221"/>
      <c r="BR9" s="221"/>
    </row>
    <row r="10" ht="22.5" customHeight="1">
      <c r="A10" s="219"/>
      <c r="B10" s="219"/>
      <c r="C10" s="220">
        <v>2023.0</v>
      </c>
      <c r="D10" s="220">
        <v>1155.0</v>
      </c>
      <c r="E10" s="219"/>
      <c r="F10" s="219"/>
      <c r="G10" s="219"/>
      <c r="H10" s="219"/>
      <c r="I10" s="220" t="s">
        <v>295</v>
      </c>
      <c r="J10" s="221">
        <v>9073025.0</v>
      </c>
      <c r="K10" s="221">
        <f>2721907+5443815</f>
        <v>8165722</v>
      </c>
      <c r="L10" s="222">
        <f t="shared" si="2"/>
        <v>907303</v>
      </c>
      <c r="M10" s="223"/>
      <c r="N10" s="224" t="s">
        <v>272</v>
      </c>
      <c r="O10" s="224" t="s">
        <v>135</v>
      </c>
      <c r="P10" s="225"/>
      <c r="Q10" s="221"/>
      <c r="R10" s="221"/>
      <c r="S10" s="221"/>
      <c r="T10" s="221"/>
      <c r="U10" s="221"/>
      <c r="V10" s="221"/>
      <c r="W10" s="221"/>
      <c r="X10" s="221"/>
      <c r="Y10" s="222"/>
      <c r="Z10" s="221"/>
      <c r="AA10" s="221"/>
      <c r="AB10" s="221"/>
      <c r="AC10" s="221"/>
      <c r="AD10" s="221"/>
      <c r="AE10" s="221"/>
      <c r="AF10" s="221"/>
      <c r="AG10" s="221"/>
      <c r="AH10" s="221"/>
      <c r="AI10" s="221"/>
      <c r="AJ10" s="221"/>
      <c r="AK10" s="221"/>
      <c r="AL10" s="221"/>
      <c r="AM10" s="221"/>
      <c r="AN10" s="221"/>
      <c r="AO10" s="221"/>
      <c r="AP10" s="221"/>
      <c r="AQ10" s="221"/>
      <c r="AR10" s="221"/>
      <c r="AS10" s="221"/>
      <c r="AT10" s="221"/>
      <c r="AU10" s="221"/>
      <c r="AV10" s="221"/>
      <c r="AW10" s="221"/>
      <c r="AX10" s="221"/>
      <c r="AY10" s="221"/>
      <c r="AZ10" s="221"/>
      <c r="BA10" s="221"/>
      <c r="BB10" s="221"/>
      <c r="BC10" s="221"/>
      <c r="BD10" s="221"/>
      <c r="BE10" s="221"/>
      <c r="BF10" s="221"/>
      <c r="BG10" s="221"/>
      <c r="BH10" s="221"/>
      <c r="BI10" s="221"/>
      <c r="BJ10" s="221"/>
      <c r="BK10" s="221"/>
      <c r="BL10" s="221"/>
      <c r="BM10" s="221"/>
      <c r="BN10" s="221"/>
      <c r="BO10" s="221"/>
      <c r="BP10" s="221"/>
      <c r="BQ10" s="221"/>
      <c r="BR10" s="221"/>
    </row>
    <row r="11" ht="22.5" customHeight="1">
      <c r="A11" s="236"/>
      <c r="B11" s="236"/>
      <c r="C11" s="237">
        <v>2025.0</v>
      </c>
      <c r="D11" s="237">
        <v>3946.0</v>
      </c>
      <c r="E11" s="236"/>
      <c r="F11" s="236"/>
      <c r="G11" s="90" t="s">
        <v>227</v>
      </c>
      <c r="H11" s="236"/>
      <c r="I11" s="95" t="s">
        <v>308</v>
      </c>
      <c r="J11" s="98">
        <v>3.16857372E8</v>
      </c>
      <c r="K11" s="98">
        <f>95057212+27725020+27725020+75253626+75253626</f>
        <v>301014504</v>
      </c>
      <c r="L11" s="99">
        <f t="shared" si="2"/>
        <v>15842868</v>
      </c>
      <c r="M11" s="102"/>
      <c r="N11" s="90" t="s">
        <v>293</v>
      </c>
      <c r="O11" s="90" t="s">
        <v>74</v>
      </c>
      <c r="P11" s="99">
        <f t="shared" ref="P11:P15" si="4">J11-K11-(SUM(Q11:BR11))</f>
        <v>-0.6000000015</v>
      </c>
      <c r="Q11" s="98"/>
      <c r="R11" s="98"/>
      <c r="S11" s="98"/>
      <c r="T11" s="98"/>
      <c r="U11" s="98"/>
      <c r="V11" s="98"/>
      <c r="W11" s="98"/>
      <c r="X11" s="98"/>
      <c r="Y11" s="99"/>
      <c r="Z11" s="98"/>
      <c r="AA11" s="98"/>
      <c r="AB11" s="98"/>
      <c r="AC11" s="98"/>
      <c r="AD11" s="98"/>
      <c r="AE11" s="98"/>
      <c r="AF11" s="177">
        <v>1.5842868600000001E7</v>
      </c>
      <c r="AG11" s="177"/>
      <c r="AH11" s="98"/>
      <c r="AI11" s="98"/>
      <c r="AJ11" s="98"/>
      <c r="AK11" s="113"/>
      <c r="AL11" s="113"/>
      <c r="AM11" s="113"/>
      <c r="AN11" s="113"/>
      <c r="AO11" s="113"/>
      <c r="AP11" s="113"/>
      <c r="AQ11" s="113"/>
      <c r="AR11" s="113"/>
      <c r="AS11" s="113"/>
      <c r="AT11" s="113"/>
      <c r="AU11" s="98"/>
      <c r="AV11" s="98"/>
      <c r="AW11" s="98"/>
      <c r="AX11" s="98"/>
      <c r="AY11" s="98"/>
      <c r="AZ11" s="98"/>
      <c r="BA11" s="98"/>
      <c r="BB11" s="98"/>
      <c r="BC11" s="98"/>
      <c r="BD11" s="98"/>
      <c r="BE11" s="98"/>
      <c r="BF11" s="98"/>
      <c r="BG11" s="98"/>
      <c r="BH11" s="98"/>
      <c r="BI11" s="98"/>
      <c r="BJ11" s="98"/>
      <c r="BK11" s="98"/>
      <c r="BL11" s="98"/>
      <c r="BM11" s="98"/>
      <c r="BN11" s="98"/>
      <c r="BO11" s="98"/>
      <c r="BP11" s="98"/>
      <c r="BQ11" s="98"/>
      <c r="BR11" s="98"/>
    </row>
    <row r="12" ht="22.5" customHeight="1">
      <c r="A12" s="236"/>
      <c r="B12" s="236"/>
      <c r="C12" s="237">
        <v>2025.0</v>
      </c>
      <c r="D12" s="237">
        <v>7844.0</v>
      </c>
      <c r="E12" s="236"/>
      <c r="F12" s="236"/>
      <c r="G12" s="236"/>
      <c r="H12" s="236"/>
      <c r="I12" s="237" t="s">
        <v>318</v>
      </c>
      <c r="J12" s="99">
        <v>1.0833477E7</v>
      </c>
      <c r="K12" s="99">
        <v>2540943.0</v>
      </c>
      <c r="L12" s="99">
        <f t="shared" si="2"/>
        <v>8292534</v>
      </c>
      <c r="M12" s="102"/>
      <c r="N12" s="90"/>
      <c r="O12" s="90" t="s">
        <v>135</v>
      </c>
      <c r="P12" s="99">
        <f t="shared" si="4"/>
        <v>0</v>
      </c>
      <c r="Q12" s="98"/>
      <c r="R12" s="98"/>
      <c r="S12" s="98"/>
      <c r="T12" s="98"/>
      <c r="U12" s="98"/>
      <c r="V12" s="98"/>
      <c r="W12" s="98"/>
      <c r="X12" s="98"/>
      <c r="Y12" s="99"/>
      <c r="Z12" s="98"/>
      <c r="AA12" s="98"/>
      <c r="AB12" s="98"/>
      <c r="AC12" s="98"/>
      <c r="AD12" s="98"/>
      <c r="AE12" s="98"/>
      <c r="AF12" s="98"/>
      <c r="AG12" s="98"/>
      <c r="AH12" s="98"/>
      <c r="AI12" s="98"/>
      <c r="AJ12" s="98"/>
      <c r="AK12" s="113">
        <v>4146267.0</v>
      </c>
      <c r="AL12" s="113"/>
      <c r="AM12" s="113"/>
      <c r="AN12" s="113"/>
      <c r="AO12" s="113"/>
      <c r="AP12" s="113"/>
      <c r="AQ12" s="113"/>
      <c r="AR12" s="113"/>
      <c r="AS12" s="113"/>
      <c r="AT12" s="113">
        <v>4146267.0</v>
      </c>
      <c r="AU12" s="98"/>
      <c r="AV12" s="98"/>
      <c r="AW12" s="98"/>
      <c r="AX12" s="98"/>
      <c r="AY12" s="98"/>
      <c r="AZ12" s="98"/>
      <c r="BA12" s="98"/>
      <c r="BB12" s="98"/>
      <c r="BC12" s="98"/>
      <c r="BD12" s="98"/>
      <c r="BE12" s="98"/>
      <c r="BF12" s="98"/>
      <c r="BG12" s="98"/>
      <c r="BH12" s="98"/>
      <c r="BI12" s="98"/>
      <c r="BJ12" s="98"/>
      <c r="BK12" s="98"/>
      <c r="BL12" s="98"/>
      <c r="BM12" s="98"/>
      <c r="BN12" s="98"/>
      <c r="BO12" s="98"/>
      <c r="BP12" s="98"/>
      <c r="BQ12" s="98"/>
      <c r="BR12" s="98"/>
    </row>
    <row r="13" ht="22.5" customHeight="1">
      <c r="A13" s="236"/>
      <c r="B13" s="236"/>
      <c r="C13" s="237">
        <v>2025.0</v>
      </c>
      <c r="D13" s="237">
        <v>10964.0</v>
      </c>
      <c r="E13" s="236"/>
      <c r="F13" s="236"/>
      <c r="G13" s="236"/>
      <c r="H13" s="236"/>
      <c r="I13" s="237" t="s">
        <v>329</v>
      </c>
      <c r="J13" s="99">
        <v>6.7524777E7</v>
      </c>
      <c r="K13" s="98">
        <v>2.0257433E7</v>
      </c>
      <c r="L13" s="99">
        <f t="shared" si="2"/>
        <v>47267344</v>
      </c>
      <c r="M13" s="102"/>
      <c r="N13" s="90" t="s">
        <v>299</v>
      </c>
      <c r="O13" s="90" t="s">
        <v>144</v>
      </c>
      <c r="P13" s="99">
        <f t="shared" si="4"/>
        <v>0.1000000015</v>
      </c>
      <c r="Q13" s="98"/>
      <c r="R13" s="98"/>
      <c r="S13" s="98"/>
      <c r="T13" s="98"/>
      <c r="U13" s="98"/>
      <c r="V13" s="98"/>
      <c r="W13" s="98"/>
      <c r="X13" s="98"/>
      <c r="Y13" s="98"/>
      <c r="Z13" s="98"/>
      <c r="AA13" s="98"/>
      <c r="AB13" s="98"/>
      <c r="AC13" s="98"/>
      <c r="AD13" s="98"/>
      <c r="AE13" s="156">
        <v>4.72673439E7</v>
      </c>
      <c r="AF13" s="98"/>
      <c r="AG13" s="98"/>
      <c r="AH13" s="98"/>
      <c r="AI13" s="98"/>
      <c r="AJ13" s="98"/>
      <c r="AK13" s="113"/>
      <c r="AL13" s="113"/>
      <c r="AM13" s="113"/>
      <c r="AN13" s="113"/>
      <c r="AO13" s="113"/>
      <c r="AP13" s="113"/>
      <c r="AQ13" s="113"/>
      <c r="AR13" s="113"/>
      <c r="AS13" s="113"/>
      <c r="AT13" s="113"/>
      <c r="AU13" s="98"/>
      <c r="AV13" s="98"/>
      <c r="AW13" s="98"/>
      <c r="AX13" s="98"/>
      <c r="AY13" s="98"/>
      <c r="AZ13" s="98"/>
      <c r="BA13" s="98"/>
      <c r="BB13" s="98"/>
      <c r="BC13" s="98"/>
      <c r="BD13" s="98"/>
      <c r="BE13" s="98"/>
      <c r="BF13" s="98"/>
      <c r="BG13" s="98"/>
      <c r="BH13" s="98"/>
      <c r="BI13" s="98"/>
      <c r="BJ13" s="98"/>
      <c r="BK13" s="98"/>
      <c r="BL13" s="98"/>
      <c r="BM13" s="98"/>
      <c r="BN13" s="98"/>
      <c r="BO13" s="98"/>
      <c r="BP13" s="98"/>
      <c r="BQ13" s="98"/>
      <c r="BR13" s="98"/>
    </row>
    <row r="14" ht="22.5" customHeight="1">
      <c r="A14" s="236"/>
      <c r="B14" s="236"/>
      <c r="C14" s="237">
        <v>2025.0</v>
      </c>
      <c r="D14" s="237">
        <v>11875.0</v>
      </c>
      <c r="E14" s="236"/>
      <c r="F14" s="236"/>
      <c r="G14" s="236"/>
      <c r="H14" s="236"/>
      <c r="I14" s="237" t="s">
        <v>336</v>
      </c>
      <c r="J14" s="99">
        <v>2.4367129E7</v>
      </c>
      <c r="K14" s="98">
        <f>7310138+7421966</f>
        <v>14732104</v>
      </c>
      <c r="L14" s="99">
        <f t="shared" si="2"/>
        <v>9635025</v>
      </c>
      <c r="M14" s="102"/>
      <c r="N14" s="90" t="s">
        <v>338</v>
      </c>
      <c r="O14" s="90" t="s">
        <v>142</v>
      </c>
      <c r="P14" s="99">
        <f t="shared" si="4"/>
        <v>0</v>
      </c>
      <c r="Q14" s="98"/>
      <c r="R14" s="98"/>
      <c r="S14" s="98"/>
      <c r="T14" s="156">
        <v>9635025.0</v>
      </c>
      <c r="U14" s="98"/>
      <c r="V14" s="98"/>
      <c r="W14" s="98"/>
      <c r="X14" s="98"/>
      <c r="Y14" s="99"/>
      <c r="Z14" s="98"/>
      <c r="AA14" s="98"/>
      <c r="AB14" s="98"/>
      <c r="AC14" s="98"/>
      <c r="AD14" s="98"/>
      <c r="AE14" s="98"/>
      <c r="AF14" s="98"/>
      <c r="AG14" s="98"/>
      <c r="AH14" s="98"/>
      <c r="AI14" s="98"/>
      <c r="AJ14" s="98"/>
      <c r="AK14" s="98"/>
      <c r="AL14" s="98"/>
      <c r="AM14" s="98"/>
      <c r="AN14" s="98"/>
      <c r="AO14" s="98"/>
      <c r="AP14" s="98"/>
      <c r="AQ14" s="98"/>
      <c r="AR14" s="98"/>
      <c r="AS14" s="98"/>
      <c r="AT14" s="98"/>
      <c r="AU14" s="98"/>
      <c r="AV14" s="98"/>
      <c r="AW14" s="98"/>
      <c r="AX14" s="98"/>
      <c r="AY14" s="98"/>
      <c r="AZ14" s="98"/>
      <c r="BA14" s="98"/>
      <c r="BB14" s="98"/>
      <c r="BC14" s="98"/>
      <c r="BD14" s="98"/>
      <c r="BE14" s="98"/>
      <c r="BF14" s="98"/>
      <c r="BG14" s="98"/>
      <c r="BH14" s="98"/>
      <c r="BI14" s="98"/>
      <c r="BJ14" s="98"/>
      <c r="BK14" s="98"/>
      <c r="BL14" s="98"/>
      <c r="BM14" s="98"/>
      <c r="BN14" s="98"/>
      <c r="BO14" s="98"/>
      <c r="BP14" s="98"/>
      <c r="BQ14" s="98"/>
      <c r="BR14" s="98"/>
    </row>
    <row r="15" ht="22.5" customHeight="1">
      <c r="A15" s="90" t="s">
        <v>75</v>
      </c>
      <c r="B15" s="236"/>
      <c r="C15" s="237">
        <v>2025.0</v>
      </c>
      <c r="D15" s="237">
        <v>13112.0</v>
      </c>
      <c r="E15" s="236"/>
      <c r="F15" s="236"/>
      <c r="G15" s="236"/>
      <c r="H15" s="236"/>
      <c r="I15" s="237" t="s">
        <v>232</v>
      </c>
      <c r="J15" s="99">
        <v>1.391705E7</v>
      </c>
      <c r="K15" s="98">
        <v>5566820.0</v>
      </c>
      <c r="L15" s="99">
        <f t="shared" si="2"/>
        <v>8350230</v>
      </c>
      <c r="M15" s="102"/>
      <c r="N15" s="90" t="s">
        <v>233</v>
      </c>
      <c r="O15" s="90" t="s">
        <v>142</v>
      </c>
      <c r="P15" s="99">
        <f t="shared" si="4"/>
        <v>0</v>
      </c>
      <c r="Q15" s="98"/>
      <c r="R15" s="98"/>
      <c r="S15" s="98"/>
      <c r="T15" s="156">
        <f>2783410+2783410</f>
        <v>5566820</v>
      </c>
      <c r="U15" s="98"/>
      <c r="V15" s="98"/>
      <c r="W15" s="98"/>
      <c r="X15" s="98"/>
      <c r="Y15" s="98"/>
      <c r="Z15" s="98"/>
      <c r="AA15" s="98"/>
      <c r="AB15" s="98"/>
      <c r="AC15" s="98"/>
      <c r="AD15" s="98"/>
      <c r="AE15" s="98"/>
      <c r="AF15" s="98"/>
      <c r="AG15" s="98"/>
      <c r="AH15" s="98"/>
      <c r="AI15" s="177">
        <v>2783410.0</v>
      </c>
      <c r="AJ15" s="98"/>
      <c r="AK15" s="98"/>
      <c r="AL15" s="98"/>
      <c r="AM15" s="98"/>
      <c r="AN15" s="98"/>
      <c r="AO15" s="98"/>
      <c r="AP15" s="98"/>
      <c r="AQ15" s="98"/>
      <c r="AR15" s="98"/>
      <c r="AS15" s="98"/>
      <c r="AT15" s="98"/>
      <c r="AU15" s="98"/>
      <c r="AV15" s="98"/>
      <c r="AW15" s="98"/>
      <c r="AX15" s="98"/>
      <c r="AY15" s="98"/>
      <c r="AZ15" s="98"/>
      <c r="BA15" s="98"/>
      <c r="BB15" s="98"/>
      <c r="BC15" s="98"/>
      <c r="BD15" s="98"/>
      <c r="BE15" s="98"/>
      <c r="BF15" s="98"/>
      <c r="BG15" s="98"/>
      <c r="BH15" s="98"/>
      <c r="BI15" s="98"/>
      <c r="BJ15" s="98"/>
      <c r="BK15" s="98"/>
      <c r="BL15" s="98"/>
      <c r="BM15" s="98"/>
      <c r="BN15" s="98"/>
      <c r="BO15" s="98"/>
      <c r="BP15" s="98"/>
      <c r="BQ15" s="98"/>
      <c r="BR15" s="98"/>
    </row>
    <row r="16" ht="22.5" customHeight="1">
      <c r="A16" s="90" t="s">
        <v>75</v>
      </c>
      <c r="B16" s="236"/>
      <c r="C16" s="237">
        <v>2025.0</v>
      </c>
      <c r="D16" s="237">
        <v>13810.0</v>
      </c>
      <c r="E16" s="236"/>
      <c r="F16" s="236"/>
      <c r="G16" s="236"/>
      <c r="H16" s="236"/>
      <c r="I16" s="237" t="s">
        <v>235</v>
      </c>
      <c r="J16" s="99">
        <v>8.5398978E7</v>
      </c>
      <c r="K16" s="98"/>
      <c r="L16" s="99">
        <f t="shared" si="2"/>
        <v>85398978</v>
      </c>
      <c r="M16" s="102"/>
      <c r="N16" s="90"/>
      <c r="O16" s="90" t="s">
        <v>101</v>
      </c>
      <c r="P16" s="99"/>
      <c r="Q16" s="98"/>
      <c r="R16" s="98"/>
      <c r="S16" s="98"/>
      <c r="T16" s="156"/>
      <c r="U16" s="98"/>
      <c r="V16" s="98"/>
      <c r="W16" s="98"/>
      <c r="X16" s="98"/>
      <c r="Y16" s="99"/>
      <c r="Z16" s="99">
        <v>8.5398978E7</v>
      </c>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98"/>
      <c r="BB16" s="98"/>
      <c r="BC16" s="98"/>
      <c r="BD16" s="98"/>
      <c r="BE16" s="98"/>
      <c r="BF16" s="98"/>
      <c r="BG16" s="98"/>
      <c r="BH16" s="98"/>
      <c r="BI16" s="98"/>
      <c r="BJ16" s="98"/>
      <c r="BK16" s="98"/>
      <c r="BL16" s="98"/>
      <c r="BM16" s="98"/>
      <c r="BN16" s="98"/>
      <c r="BO16" s="98"/>
      <c r="BP16" s="98"/>
      <c r="BQ16" s="98"/>
      <c r="BR16" s="98"/>
    </row>
    <row r="17" ht="22.5" customHeight="1">
      <c r="A17" s="90"/>
      <c r="B17" s="236"/>
      <c r="C17" s="95">
        <v>2025.0</v>
      </c>
      <c r="D17" s="95">
        <v>13310.0</v>
      </c>
      <c r="E17" s="236"/>
      <c r="F17" s="236"/>
      <c r="G17" s="236"/>
      <c r="H17" s="236"/>
      <c r="I17" s="95" t="s">
        <v>356</v>
      </c>
      <c r="J17" s="98">
        <v>4760000.0</v>
      </c>
      <c r="K17" s="98">
        <f>4760000*0.3</f>
        <v>1428000</v>
      </c>
      <c r="L17" s="99">
        <f t="shared" si="2"/>
        <v>3332000</v>
      </c>
      <c r="M17" s="102"/>
      <c r="N17" s="90"/>
      <c r="O17" s="90" t="s">
        <v>117</v>
      </c>
      <c r="P17" s="99">
        <f t="shared" ref="P17:P22" si="5">J17-K17-(SUM(Q17:BR17))</f>
        <v>0</v>
      </c>
      <c r="Q17" s="98"/>
      <c r="R17" s="98"/>
      <c r="S17" s="98"/>
      <c r="T17" s="156">
        <v>3332000.0</v>
      </c>
      <c r="U17" s="98"/>
      <c r="V17" s="98"/>
      <c r="W17" s="98"/>
      <c r="X17" s="98"/>
      <c r="Y17" s="99"/>
      <c r="Z17" s="98"/>
      <c r="AA17" s="98"/>
      <c r="AB17" s="98"/>
      <c r="AC17" s="98"/>
      <c r="AD17" s="98"/>
      <c r="AE17" s="98"/>
      <c r="AF17" s="98"/>
      <c r="AG17" s="98"/>
      <c r="AH17" s="98"/>
      <c r="AI17" s="98"/>
      <c r="AJ17" s="98"/>
      <c r="AK17" s="98"/>
      <c r="AL17" s="98"/>
      <c r="AM17" s="98"/>
      <c r="AN17" s="98"/>
      <c r="AO17" s="98"/>
      <c r="AP17" s="98"/>
      <c r="AQ17" s="98"/>
      <c r="AR17" s="98"/>
      <c r="AS17" s="98"/>
      <c r="AT17" s="98"/>
      <c r="AU17" s="98"/>
      <c r="AV17" s="98"/>
      <c r="AW17" s="98"/>
      <c r="AX17" s="98"/>
      <c r="AY17" s="98"/>
      <c r="AZ17" s="98"/>
      <c r="BA17" s="98"/>
      <c r="BB17" s="98"/>
      <c r="BC17" s="98"/>
      <c r="BD17" s="98"/>
      <c r="BE17" s="98"/>
      <c r="BF17" s="98"/>
      <c r="BG17" s="98"/>
      <c r="BH17" s="98"/>
      <c r="BI17" s="98"/>
      <c r="BJ17" s="98"/>
      <c r="BK17" s="98"/>
      <c r="BL17" s="98"/>
      <c r="BM17" s="98"/>
      <c r="BN17" s="98"/>
      <c r="BO17" s="98"/>
      <c r="BP17" s="98"/>
      <c r="BQ17" s="98"/>
      <c r="BR17" s="98"/>
    </row>
    <row r="18" ht="22.5" customHeight="1">
      <c r="A18" s="90"/>
      <c r="B18" s="236"/>
      <c r="C18" s="237">
        <v>2025.0</v>
      </c>
      <c r="D18" s="237">
        <v>10880.0</v>
      </c>
      <c r="E18" s="236"/>
      <c r="F18" s="236"/>
      <c r="G18" s="236"/>
      <c r="H18" s="236"/>
      <c r="I18" s="237" t="s">
        <v>361</v>
      </c>
      <c r="J18" s="99">
        <v>2808400.0</v>
      </c>
      <c r="K18" s="98"/>
      <c r="L18" s="99">
        <f t="shared" si="2"/>
        <v>2808400</v>
      </c>
      <c r="M18" s="102"/>
      <c r="N18" s="90"/>
      <c r="O18" s="90" t="s">
        <v>142</v>
      </c>
      <c r="P18" s="99">
        <f t="shared" si="5"/>
        <v>0</v>
      </c>
      <c r="Q18" s="98"/>
      <c r="R18" s="98"/>
      <c r="S18" s="98"/>
      <c r="U18" s="98"/>
      <c r="V18" s="98"/>
      <c r="W18" s="98"/>
      <c r="X18" s="98"/>
      <c r="Y18" s="227"/>
      <c r="Z18" s="227">
        <v>2808400.0</v>
      </c>
      <c r="AA18" s="98"/>
      <c r="AB18" s="98"/>
      <c r="AC18" s="98"/>
      <c r="AD18" s="98"/>
      <c r="AE18" s="98"/>
      <c r="AF18" s="98"/>
      <c r="AG18" s="98"/>
      <c r="AH18" s="98"/>
      <c r="AI18" s="98"/>
      <c r="AJ18" s="98"/>
      <c r="AK18" s="98"/>
      <c r="AL18" s="98"/>
      <c r="AM18" s="98"/>
      <c r="AN18" s="98"/>
      <c r="AO18" s="98"/>
      <c r="AP18" s="98"/>
      <c r="AQ18" s="98"/>
      <c r="AR18" s="98"/>
      <c r="AS18" s="98"/>
      <c r="AT18" s="98"/>
      <c r="AU18" s="98"/>
      <c r="AV18" s="98"/>
      <c r="AW18" s="98"/>
      <c r="AX18" s="98"/>
      <c r="AY18" s="98"/>
      <c r="AZ18" s="98"/>
      <c r="BA18" s="98"/>
      <c r="BB18" s="98"/>
      <c r="BC18" s="98"/>
      <c r="BD18" s="98"/>
      <c r="BE18" s="98"/>
      <c r="BF18" s="98"/>
      <c r="BG18" s="98"/>
      <c r="BH18" s="98"/>
      <c r="BI18" s="98"/>
      <c r="BJ18" s="98"/>
      <c r="BK18" s="98"/>
      <c r="BL18" s="98"/>
      <c r="BM18" s="98"/>
      <c r="BN18" s="98"/>
      <c r="BO18" s="98"/>
      <c r="BP18" s="98"/>
      <c r="BQ18" s="98"/>
      <c r="BR18" s="98"/>
    </row>
    <row r="19" ht="22.5" customHeight="1">
      <c r="A19" s="90"/>
      <c r="B19" s="236"/>
      <c r="C19" s="237">
        <v>2025.0</v>
      </c>
      <c r="D19" s="237">
        <v>10877.0</v>
      </c>
      <c r="E19" s="236"/>
      <c r="F19" s="236"/>
      <c r="G19" s="236"/>
      <c r="H19" s="236"/>
      <c r="I19" s="237" t="s">
        <v>368</v>
      </c>
      <c r="J19" s="99">
        <v>2380000.0</v>
      </c>
      <c r="K19" s="98"/>
      <c r="L19" s="99">
        <f t="shared" si="2"/>
        <v>2380000</v>
      </c>
      <c r="M19" s="102"/>
      <c r="N19" s="90"/>
      <c r="O19" s="90" t="s">
        <v>142</v>
      </c>
      <c r="P19" s="99">
        <f t="shared" si="5"/>
        <v>0</v>
      </c>
      <c r="Q19" s="98"/>
      <c r="R19" s="98"/>
      <c r="S19" s="98"/>
      <c r="U19" s="98"/>
      <c r="V19" s="98"/>
      <c r="W19" s="98"/>
      <c r="X19" s="98"/>
      <c r="Y19" s="227"/>
      <c r="Z19" s="227">
        <v>2380000.0</v>
      </c>
      <c r="AA19" s="98"/>
      <c r="AB19" s="98"/>
      <c r="AC19" s="98"/>
      <c r="AD19" s="98"/>
      <c r="AE19" s="98"/>
      <c r="AF19" s="98"/>
      <c r="AG19" s="98"/>
      <c r="AH19" s="98"/>
      <c r="AI19" s="98"/>
      <c r="AJ19" s="98"/>
      <c r="AK19" s="98"/>
      <c r="AL19" s="98"/>
      <c r="AM19" s="98"/>
      <c r="AN19" s="98"/>
      <c r="AO19" s="98"/>
      <c r="AP19" s="98"/>
      <c r="AQ19" s="98"/>
      <c r="AR19" s="98"/>
      <c r="AS19" s="98"/>
      <c r="AT19" s="98"/>
      <c r="AU19" s="98"/>
      <c r="AV19" s="98"/>
      <c r="AW19" s="98"/>
      <c r="AX19" s="98"/>
      <c r="AY19" s="98"/>
      <c r="AZ19" s="98"/>
      <c r="BA19" s="98"/>
      <c r="BB19" s="98"/>
      <c r="BC19" s="98"/>
      <c r="BD19" s="98"/>
      <c r="BE19" s="98"/>
      <c r="BF19" s="98"/>
      <c r="BG19" s="98"/>
      <c r="BH19" s="98"/>
      <c r="BI19" s="98"/>
      <c r="BJ19" s="98"/>
      <c r="BK19" s="98"/>
      <c r="BL19" s="98"/>
      <c r="BM19" s="98"/>
      <c r="BN19" s="98"/>
      <c r="BO19" s="98"/>
      <c r="BP19" s="98"/>
      <c r="BQ19" s="98"/>
      <c r="BR19" s="98"/>
    </row>
    <row r="20" ht="22.5" customHeight="1">
      <c r="A20" s="90"/>
      <c r="B20" s="236"/>
      <c r="C20" s="237">
        <v>2025.0</v>
      </c>
      <c r="D20" s="237">
        <v>12560.0</v>
      </c>
      <c r="E20" s="236"/>
      <c r="F20" s="236"/>
      <c r="G20" s="236"/>
      <c r="H20" s="236"/>
      <c r="I20" s="95" t="s">
        <v>373</v>
      </c>
      <c r="J20" s="99">
        <v>1880200.0</v>
      </c>
      <c r="K20" s="98"/>
      <c r="L20" s="99">
        <f t="shared" si="2"/>
        <v>1880200</v>
      </c>
      <c r="M20" s="102"/>
      <c r="N20" s="90"/>
      <c r="O20" s="90" t="s">
        <v>135</v>
      </c>
      <c r="P20" s="99">
        <f t="shared" si="5"/>
        <v>0</v>
      </c>
      <c r="Q20" s="98"/>
      <c r="R20" s="98"/>
      <c r="S20" s="98"/>
      <c r="U20" s="98"/>
      <c r="V20" s="98"/>
      <c r="W20" s="98"/>
      <c r="X20" s="98"/>
      <c r="Y20" s="99"/>
      <c r="Z20" s="98"/>
      <c r="AA20" s="98"/>
      <c r="AB20" s="98"/>
      <c r="AC20" s="98"/>
      <c r="AD20" s="98"/>
      <c r="AE20" s="98"/>
      <c r="AF20" s="98"/>
      <c r="AG20" s="177">
        <v>1880200.0</v>
      </c>
      <c r="AH20" s="98"/>
      <c r="AI20" s="98"/>
      <c r="AJ20" s="98"/>
      <c r="AK20" s="98"/>
      <c r="AL20" s="98"/>
      <c r="AM20" s="98"/>
      <c r="AN20" s="98"/>
      <c r="AO20" s="98"/>
      <c r="AP20" s="98"/>
      <c r="AQ20" s="98"/>
      <c r="AR20" s="98"/>
      <c r="AS20" s="98"/>
      <c r="AT20" s="98"/>
      <c r="AU20" s="98"/>
      <c r="AV20" s="98"/>
      <c r="AW20" s="98"/>
      <c r="AX20" s="98"/>
      <c r="AY20" s="98"/>
      <c r="AZ20" s="98"/>
      <c r="BA20" s="98"/>
      <c r="BB20" s="98"/>
      <c r="BC20" s="98"/>
      <c r="BD20" s="98"/>
      <c r="BE20" s="98"/>
      <c r="BF20" s="98"/>
      <c r="BG20" s="98"/>
      <c r="BH20" s="98"/>
      <c r="BI20" s="98"/>
      <c r="BJ20" s="98"/>
      <c r="BK20" s="98"/>
      <c r="BL20" s="98"/>
      <c r="BM20" s="98"/>
      <c r="BN20" s="98"/>
      <c r="BO20" s="98"/>
      <c r="BP20" s="98"/>
      <c r="BQ20" s="98"/>
      <c r="BR20" s="98"/>
    </row>
    <row r="21" ht="22.5" customHeight="1">
      <c r="A21" s="90"/>
      <c r="B21" s="236"/>
      <c r="C21" s="237">
        <v>2025.0</v>
      </c>
      <c r="D21" s="237">
        <v>5283.0</v>
      </c>
      <c r="E21" s="236"/>
      <c r="F21" s="236"/>
      <c r="G21" s="236"/>
      <c r="H21" s="236"/>
      <c r="I21" s="95" t="s">
        <v>381</v>
      </c>
      <c r="J21" s="99">
        <v>2519730.0</v>
      </c>
      <c r="K21" s="98"/>
      <c r="L21" s="99">
        <f t="shared" si="2"/>
        <v>2519730</v>
      </c>
      <c r="M21" s="102"/>
      <c r="N21" s="90"/>
      <c r="O21" s="90" t="s">
        <v>101</v>
      </c>
      <c r="P21" s="99">
        <f t="shared" si="5"/>
        <v>2519730</v>
      </c>
      <c r="Q21" s="98"/>
      <c r="R21" s="98"/>
      <c r="S21" s="98"/>
      <c r="T21" s="99"/>
      <c r="U21" s="98"/>
      <c r="V21" s="98"/>
      <c r="W21" s="98"/>
      <c r="X21" s="98"/>
      <c r="Y21" s="99"/>
      <c r="Z21" s="98"/>
      <c r="AA21" s="98"/>
      <c r="AB21" s="98"/>
      <c r="AC21" s="98"/>
      <c r="AD21" s="98"/>
      <c r="AE21" s="98"/>
      <c r="AF21" s="98"/>
      <c r="AG21" s="98"/>
      <c r="AH21" s="98"/>
      <c r="AI21" s="98"/>
      <c r="AJ21" s="98"/>
      <c r="AK21" s="98"/>
      <c r="AL21" s="98"/>
      <c r="AM21" s="98"/>
      <c r="AN21" s="98"/>
      <c r="AO21" s="98"/>
      <c r="AP21" s="98"/>
      <c r="AQ21" s="98"/>
      <c r="AR21" s="98"/>
      <c r="AS21" s="98"/>
      <c r="AT21" s="98"/>
      <c r="AU21" s="98"/>
      <c r="AV21" s="98"/>
      <c r="AW21" s="98"/>
      <c r="AX21" s="98"/>
      <c r="AY21" s="98"/>
      <c r="AZ21" s="98"/>
      <c r="BA21" s="98"/>
      <c r="BB21" s="98"/>
      <c r="BC21" s="98"/>
      <c r="BD21" s="98"/>
      <c r="BE21" s="98"/>
      <c r="BF21" s="98"/>
      <c r="BG21" s="98"/>
      <c r="BH21" s="98"/>
      <c r="BI21" s="98"/>
      <c r="BJ21" s="98"/>
      <c r="BK21" s="98"/>
      <c r="BL21" s="98"/>
      <c r="BM21" s="98"/>
      <c r="BN21" s="98"/>
      <c r="BO21" s="98"/>
      <c r="BP21" s="98"/>
      <c r="BQ21" s="98"/>
      <c r="BR21" s="98"/>
    </row>
    <row r="22" ht="22.5" customHeight="1">
      <c r="A22" s="90"/>
      <c r="B22" s="236"/>
      <c r="C22" s="95">
        <v>2024.0</v>
      </c>
      <c r="D22" s="95">
        <v>7981.0</v>
      </c>
      <c r="E22" s="236"/>
      <c r="F22" s="236"/>
      <c r="G22" s="236"/>
      <c r="H22" s="236"/>
      <c r="I22" s="95" t="s">
        <v>388</v>
      </c>
      <c r="J22" s="98">
        <v>4219946.0</v>
      </c>
      <c r="K22" s="98">
        <v>2260686.0</v>
      </c>
      <c r="L22" s="99">
        <f t="shared" si="2"/>
        <v>1959260</v>
      </c>
      <c r="M22" s="102"/>
      <c r="N22" s="90" t="s">
        <v>389</v>
      </c>
      <c r="O22" s="90" t="s">
        <v>135</v>
      </c>
      <c r="P22" s="99">
        <f t="shared" si="5"/>
        <v>0</v>
      </c>
      <c r="Q22" s="98"/>
      <c r="R22" s="98"/>
      <c r="S22" s="98"/>
      <c r="T22" s="99"/>
      <c r="U22" s="98"/>
      <c r="V22" s="98"/>
      <c r="W22" s="98"/>
      <c r="X22" s="98"/>
      <c r="Y22" s="99"/>
      <c r="Z22" s="98"/>
      <c r="AA22" s="98"/>
      <c r="AB22" s="98"/>
      <c r="AC22" s="98"/>
      <c r="AD22" s="98"/>
      <c r="AE22" s="98"/>
      <c r="AF22" s="98"/>
      <c r="AG22" s="98"/>
      <c r="AH22" s="98"/>
      <c r="AI22" s="98"/>
      <c r="AJ22" s="98"/>
      <c r="AK22" s="98">
        <v>1959260.0</v>
      </c>
      <c r="AL22" s="98"/>
      <c r="AM22" s="98"/>
      <c r="AN22" s="98"/>
      <c r="AO22" s="98"/>
      <c r="AP22" s="98"/>
      <c r="AQ22" s="98"/>
      <c r="AR22" s="98"/>
      <c r="AS22" s="98"/>
      <c r="AT22" s="98"/>
      <c r="AU22" s="98"/>
      <c r="AV22" s="98"/>
      <c r="AW22" s="98"/>
      <c r="AX22" s="98"/>
      <c r="AY22" s="98"/>
      <c r="AZ22" s="98"/>
      <c r="BA22" s="98"/>
      <c r="BB22" s="98"/>
      <c r="BC22" s="98"/>
      <c r="BD22" s="98"/>
      <c r="BE22" s="98"/>
      <c r="BF22" s="98"/>
      <c r="BG22" s="98"/>
      <c r="BH22" s="98"/>
      <c r="BI22" s="98"/>
      <c r="BJ22" s="98"/>
      <c r="BK22" s="98"/>
      <c r="BL22" s="98"/>
      <c r="BM22" s="98"/>
      <c r="BN22" s="98"/>
      <c r="BO22" s="98"/>
      <c r="BP22" s="98"/>
      <c r="BQ22" s="98"/>
      <c r="BR22" s="98"/>
    </row>
    <row r="23">
      <c r="P23" s="280"/>
    </row>
    <row r="24">
      <c r="P24" s="280"/>
    </row>
    <row r="25">
      <c r="P25" s="280"/>
    </row>
    <row r="26">
      <c r="P26" s="280"/>
    </row>
    <row r="27">
      <c r="P27" s="280"/>
    </row>
    <row r="28">
      <c r="P28" s="280"/>
    </row>
  </sheetData>
  <dataValidations>
    <dataValidation type="list" allowBlank="1" sqref="A4:A22 G4:H22 N4:O22">
      <formula1>#REF!</formula1>
    </dataValidation>
    <dataValidation type="custom" allowBlank="1" showDropDown="1" sqref="J4:M22 W4:W22">
      <formula1>AND(ISNUMBER(J4),(NOT(OR(NOT(ISERROR(DATEVALUE(J4))), AND(ISNUMBER(J4), LEFT(CELL("format", J4))="D")))))</formula1>
    </dataValidation>
    <dataValidation type="list" allowBlank="1" sqref="B4:B22 E4:F22">
      <formula1>#REF!</formula1>
    </dataValidation>
  </dataValidations>
  <drawing r:id="rId4"/>
  <legacyDrawing r:id="rId5"/>
  <tableParts count="1">
    <tablePart r:id="rId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3.29"/>
    <col customWidth="1" min="2" max="2" width="15.43"/>
    <col customWidth="1" min="3" max="3" width="15.57"/>
    <col customWidth="1" min="9" max="9" width="9.86"/>
    <col customWidth="1" min="10" max="10" width="14.43"/>
    <col customWidth="1" min="13" max="13" width="15.57"/>
  </cols>
  <sheetData>
    <row r="1">
      <c r="H1" s="148" t="s">
        <v>413</v>
      </c>
    </row>
    <row r="2">
      <c r="A2" s="284"/>
      <c r="B2" s="285">
        <v>2025.0</v>
      </c>
      <c r="C2" s="286">
        <v>2026.0</v>
      </c>
      <c r="H2" s="148" t="s">
        <v>414</v>
      </c>
      <c r="K2" s="287" t="s">
        <v>415</v>
      </c>
    </row>
    <row r="3">
      <c r="A3" s="288" t="s">
        <v>416</v>
      </c>
      <c r="B3" s="289">
        <f t="shared" ref="B3:C3" si="1">B5+B14+B25+B47+B56+B63</f>
        <v>0</v>
      </c>
      <c r="C3" s="289">
        <f t="shared" si="1"/>
        <v>910200912</v>
      </c>
      <c r="H3" s="290"/>
      <c r="I3" s="291" t="s">
        <v>418</v>
      </c>
      <c r="J3" s="31"/>
      <c r="K3" s="31"/>
      <c r="L3" s="292" t="s">
        <v>419</v>
      </c>
      <c r="M3" s="11"/>
      <c r="N3" s="11"/>
      <c r="O3" s="12"/>
    </row>
    <row r="4">
      <c r="A4" s="47"/>
      <c r="B4" s="47"/>
      <c r="C4" s="47"/>
      <c r="H4" s="293" t="s">
        <v>420</v>
      </c>
      <c r="I4" s="293" t="s">
        <v>421</v>
      </c>
      <c r="J4" s="293" t="s">
        <v>422</v>
      </c>
      <c r="K4" s="293" t="s">
        <v>423</v>
      </c>
      <c r="L4" s="293" t="s">
        <v>424</v>
      </c>
      <c r="M4" s="293" t="s">
        <v>425</v>
      </c>
      <c r="N4" s="293" t="s">
        <v>421</v>
      </c>
      <c r="O4" s="293" t="s">
        <v>422</v>
      </c>
    </row>
    <row r="5">
      <c r="A5" s="294"/>
      <c r="B5" s="295">
        <f t="shared" ref="B5:C5" si="2">SUM(B7:B12)</f>
        <v>0</v>
      </c>
      <c r="C5" s="295">
        <f t="shared" si="2"/>
        <v>905200912</v>
      </c>
      <c r="G5" s="296" t="s">
        <v>426</v>
      </c>
      <c r="H5" s="297" t="s">
        <v>427</v>
      </c>
      <c r="I5" s="298">
        <v>0.17</v>
      </c>
      <c r="J5" s="298">
        <v>0.18</v>
      </c>
      <c r="K5" s="299">
        <v>1.44479558E8</v>
      </c>
      <c r="L5" s="299">
        <v>1.44479558E8</v>
      </c>
      <c r="M5" s="300">
        <f>L5</f>
        <v>144479558</v>
      </c>
      <c r="N5" s="301">
        <f t="shared" ref="N5:N10" si="3">L5/$K$13</f>
        <v>0.1689422403</v>
      </c>
      <c r="O5" s="302">
        <f>N5</f>
        <v>0.1689422403</v>
      </c>
    </row>
    <row r="6">
      <c r="A6" s="288" t="s">
        <v>430</v>
      </c>
      <c r="B6" s="285">
        <v>2025.0</v>
      </c>
      <c r="C6" s="286">
        <v>2026.0</v>
      </c>
      <c r="D6" s="304">
        <v>2027.0</v>
      </c>
      <c r="G6" s="296" t="s">
        <v>431</v>
      </c>
      <c r="H6" s="297" t="s">
        <v>432</v>
      </c>
      <c r="I6" s="298">
        <v>0.09</v>
      </c>
      <c r="J6" s="305">
        <f t="shared" ref="J6:J10" si="4">J5+I6</f>
        <v>0.27</v>
      </c>
      <c r="K6" s="299">
        <v>6.9931126E7</v>
      </c>
      <c r="L6" s="299">
        <v>6.9931126E7</v>
      </c>
      <c r="M6" s="300">
        <f t="shared" ref="M6:M10" si="5">L6+M5</f>
        <v>214410684</v>
      </c>
      <c r="N6" s="301">
        <f t="shared" si="3"/>
        <v>0.08177157557</v>
      </c>
      <c r="O6" s="302">
        <f t="shared" ref="O6:O10" si="6">N6+O5</f>
        <v>0.2507138159</v>
      </c>
    </row>
    <row r="7">
      <c r="A7" s="288" t="s">
        <v>434</v>
      </c>
      <c r="B7" s="306"/>
      <c r="C7" s="306"/>
      <c r="G7" s="296" t="s">
        <v>435</v>
      </c>
      <c r="H7" s="297" t="s">
        <v>436</v>
      </c>
      <c r="I7" s="298">
        <v>0.21</v>
      </c>
      <c r="J7" s="305">
        <f t="shared" si="4"/>
        <v>0.48</v>
      </c>
      <c r="K7" s="299">
        <v>1.67082324E8</v>
      </c>
      <c r="L7" s="299">
        <v>1.63704571E8</v>
      </c>
      <c r="M7" s="300">
        <f t="shared" si="5"/>
        <v>378115255</v>
      </c>
      <c r="N7" s="301">
        <f t="shared" si="3"/>
        <v>0.1914223532</v>
      </c>
      <c r="O7" s="302">
        <f t="shared" si="6"/>
        <v>0.4421361691</v>
      </c>
    </row>
    <row r="8">
      <c r="A8" s="288" t="s">
        <v>437</v>
      </c>
      <c r="B8" s="306"/>
      <c r="C8" s="306"/>
      <c r="G8" s="148" t="s">
        <v>438</v>
      </c>
      <c r="H8" s="297" t="s">
        <v>439</v>
      </c>
      <c r="I8" s="298">
        <v>0.19</v>
      </c>
      <c r="J8" s="305">
        <f t="shared" si="4"/>
        <v>0.67</v>
      </c>
      <c r="K8" s="299">
        <v>1.55127189E8</v>
      </c>
      <c r="L8" s="307">
        <v>1.0594718E8</v>
      </c>
      <c r="M8" s="300">
        <f t="shared" si="5"/>
        <v>484062435</v>
      </c>
      <c r="N8" s="301">
        <f t="shared" si="3"/>
        <v>0.1238857191</v>
      </c>
      <c r="O8" s="302">
        <f t="shared" si="6"/>
        <v>0.5660218882</v>
      </c>
    </row>
    <row r="9">
      <c r="A9" s="288" t="s">
        <v>441</v>
      </c>
      <c r="B9" s="308"/>
      <c r="C9" s="309">
        <f>K13</f>
        <v>855200912</v>
      </c>
      <c r="G9" s="148" t="s">
        <v>442</v>
      </c>
      <c r="H9" s="297" t="s">
        <v>443</v>
      </c>
      <c r="I9" s="298">
        <v>0.22</v>
      </c>
      <c r="J9" s="305">
        <f t="shared" si="4"/>
        <v>0.89</v>
      </c>
      <c r="K9" s="299">
        <v>1.78457507E8</v>
      </c>
      <c r="L9" s="307">
        <v>1.08851059E8</v>
      </c>
      <c r="M9" s="300">
        <f t="shared" si="5"/>
        <v>592913494</v>
      </c>
      <c r="N9" s="301">
        <f t="shared" si="3"/>
        <v>0.127281271</v>
      </c>
      <c r="O9" s="302">
        <f t="shared" si="6"/>
        <v>0.6933031592</v>
      </c>
    </row>
    <row r="10">
      <c r="A10" s="288" t="s">
        <v>444</v>
      </c>
      <c r="B10" s="289"/>
      <c r="C10" s="310">
        <v>5.0E7</v>
      </c>
      <c r="G10" s="148" t="s">
        <v>445</v>
      </c>
      <c r="H10" s="297" t="s">
        <v>446</v>
      </c>
      <c r="I10" s="298">
        <v>0.12</v>
      </c>
      <c r="J10" s="305">
        <f t="shared" si="4"/>
        <v>1.01</v>
      </c>
      <c r="K10" s="299">
        <v>9.7363163E7</v>
      </c>
      <c r="L10" s="299"/>
      <c r="M10" s="300">
        <f t="shared" si="5"/>
        <v>592913494</v>
      </c>
      <c r="N10" s="301">
        <f t="shared" si="3"/>
        <v>0</v>
      </c>
      <c r="O10" s="302">
        <f t="shared" si="6"/>
        <v>0.6933031592</v>
      </c>
    </row>
    <row r="11">
      <c r="A11" s="288" t="s">
        <v>447</v>
      </c>
      <c r="B11" s="306"/>
      <c r="C11" s="306"/>
      <c r="D11" s="310">
        <v>1.0E8</v>
      </c>
      <c r="H11" s="293" t="s">
        <v>448</v>
      </c>
      <c r="I11" s="305">
        <f>SUM(I5:I10)</f>
        <v>1</v>
      </c>
      <c r="J11" s="311"/>
      <c r="K11" s="312">
        <f t="shared" ref="K11:L11" si="7">SUM(K5:K10)</f>
        <v>812440867</v>
      </c>
      <c r="L11" s="312">
        <f t="shared" si="7"/>
        <v>592913494</v>
      </c>
      <c r="M11" s="311"/>
      <c r="N11" s="313"/>
    </row>
    <row r="12">
      <c r="A12" s="288" t="s">
        <v>449</v>
      </c>
      <c r="B12" s="306"/>
      <c r="C12" s="309"/>
      <c r="H12" s="293" t="s">
        <v>450</v>
      </c>
      <c r="I12" s="311"/>
      <c r="J12" s="311"/>
      <c r="K12" s="314">
        <f>K13*0.05</f>
        <v>42760045.6</v>
      </c>
      <c r="L12" s="300">
        <f>K11-L11</f>
        <v>219527373</v>
      </c>
      <c r="M12" s="311"/>
      <c r="N12" s="313"/>
    </row>
    <row r="13">
      <c r="A13" s="47"/>
      <c r="B13" s="315"/>
      <c r="C13" s="315"/>
      <c r="H13" s="293" t="s">
        <v>451</v>
      </c>
      <c r="I13" s="311"/>
      <c r="J13" s="311"/>
      <c r="K13" s="312">
        <v>8.55200912E8</v>
      </c>
      <c r="L13" s="300">
        <f>L12+L11</f>
        <v>812440867</v>
      </c>
      <c r="M13" s="311"/>
      <c r="N13" s="313"/>
    </row>
    <row r="14">
      <c r="A14" s="294"/>
      <c r="B14" s="295">
        <f t="shared" ref="B14:C14" si="8">SUM(B16:B23)</f>
        <v>0</v>
      </c>
      <c r="C14" s="295">
        <f t="shared" si="8"/>
        <v>5000000</v>
      </c>
      <c r="M14" s="40">
        <f>M10+K12</f>
        <v>635673539.6</v>
      </c>
      <c r="R14" s="287" t="s">
        <v>453</v>
      </c>
    </row>
    <row r="15">
      <c r="A15" s="288" t="s">
        <v>454</v>
      </c>
      <c r="B15" s="285">
        <v>2025.0</v>
      </c>
      <c r="C15" s="286">
        <v>2026.0</v>
      </c>
    </row>
    <row r="16">
      <c r="A16" s="288" t="s">
        <v>455</v>
      </c>
      <c r="B16" s="316"/>
      <c r="C16" s="316"/>
    </row>
    <row r="17">
      <c r="A17" s="288" t="s">
        <v>456</v>
      </c>
      <c r="B17" s="289"/>
      <c r="C17" s="317">
        <v>5000000.0</v>
      </c>
    </row>
    <row r="18">
      <c r="A18" s="288" t="s">
        <v>457</v>
      </c>
      <c r="B18" s="289"/>
      <c r="C18" s="289"/>
    </row>
    <row r="19">
      <c r="A19" s="288" t="s">
        <v>458</v>
      </c>
      <c r="B19" s="306"/>
      <c r="C19" s="306"/>
    </row>
    <row r="20">
      <c r="A20" s="288" t="s">
        <v>459</v>
      </c>
      <c r="B20" s="289"/>
      <c r="C20" s="318"/>
      <c r="D20" s="318">
        <v>5000000.0</v>
      </c>
    </row>
    <row r="21">
      <c r="A21" s="288" t="s">
        <v>460</v>
      </c>
      <c r="B21" s="306"/>
      <c r="C21" s="289"/>
    </row>
    <row r="22">
      <c r="A22" s="288" t="s">
        <v>461</v>
      </c>
      <c r="B22" s="289"/>
      <c r="C22" s="319"/>
    </row>
    <row r="23">
      <c r="A23" s="288" t="s">
        <v>449</v>
      </c>
      <c r="B23" s="306"/>
      <c r="C23" s="320"/>
      <c r="F23" s="310"/>
    </row>
    <row r="24">
      <c r="A24" s="321"/>
      <c r="B24" s="321"/>
      <c r="C24" s="321"/>
    </row>
    <row r="25">
      <c r="A25" s="322"/>
      <c r="B25" s="295">
        <f t="shared" ref="B25:C25" si="9">SUM(B27:B45)</f>
        <v>0</v>
      </c>
      <c r="C25" s="295">
        <f t="shared" si="9"/>
        <v>0</v>
      </c>
    </row>
    <row r="26">
      <c r="A26" s="288" t="s">
        <v>462</v>
      </c>
      <c r="B26" s="285">
        <v>2025.0</v>
      </c>
      <c r="C26" s="286">
        <v>2026.0</v>
      </c>
    </row>
    <row r="27">
      <c r="A27" s="288" t="s">
        <v>463</v>
      </c>
      <c r="B27" s="47"/>
      <c r="C27" s="324"/>
    </row>
    <row r="28">
      <c r="A28" s="288" t="s">
        <v>464</v>
      </c>
      <c r="B28" s="324"/>
      <c r="C28" s="324"/>
    </row>
    <row r="29">
      <c r="A29" s="288" t="s">
        <v>465</v>
      </c>
      <c r="B29" s="324"/>
      <c r="C29" s="324"/>
    </row>
    <row r="30">
      <c r="A30" s="288" t="s">
        <v>466</v>
      </c>
      <c r="B30" s="324"/>
      <c r="C30" s="324"/>
    </row>
    <row r="31">
      <c r="A31" s="288" t="s">
        <v>467</v>
      </c>
      <c r="B31" s="324"/>
      <c r="C31" s="324"/>
    </row>
    <row r="32">
      <c r="A32" s="288" t="s">
        <v>468</v>
      </c>
      <c r="B32" s="325"/>
      <c r="C32" s="326"/>
    </row>
    <row r="33">
      <c r="A33" s="288" t="s">
        <v>470</v>
      </c>
      <c r="B33" s="309"/>
      <c r="C33" s="309"/>
    </row>
    <row r="34">
      <c r="A34" s="288" t="s">
        <v>471</v>
      </c>
      <c r="B34" s="309"/>
      <c r="C34" s="309"/>
    </row>
    <row r="35">
      <c r="A35" s="288" t="s">
        <v>472</v>
      </c>
      <c r="B35" s="309"/>
      <c r="C35" s="309"/>
    </row>
    <row r="36">
      <c r="A36" s="288" t="s">
        <v>473</v>
      </c>
      <c r="B36" s="306"/>
      <c r="C36" s="306"/>
    </row>
    <row r="37">
      <c r="A37" s="288" t="s">
        <v>474</v>
      </c>
      <c r="B37" s="306"/>
      <c r="C37" s="306"/>
    </row>
    <row r="38">
      <c r="A38" s="288" t="s">
        <v>475</v>
      </c>
      <c r="B38" s="306"/>
      <c r="C38" s="306"/>
    </row>
    <row r="39">
      <c r="A39" s="288" t="s">
        <v>476</v>
      </c>
      <c r="B39" s="324"/>
      <c r="C39" s="324"/>
    </row>
    <row r="40">
      <c r="A40" s="288" t="s">
        <v>477</v>
      </c>
      <c r="B40" s="324"/>
      <c r="C40" s="324"/>
    </row>
    <row r="41">
      <c r="A41" s="288" t="s">
        <v>478</v>
      </c>
      <c r="B41" s="324"/>
      <c r="C41" s="324"/>
    </row>
    <row r="42">
      <c r="A42" s="288" t="s">
        <v>479</v>
      </c>
      <c r="B42" s="289"/>
      <c r="C42" s="309"/>
    </row>
    <row r="43">
      <c r="A43" s="288" t="s">
        <v>480</v>
      </c>
      <c r="B43" s="306"/>
      <c r="C43" s="306"/>
    </row>
    <row r="44">
      <c r="A44" s="288" t="s">
        <v>481</v>
      </c>
      <c r="B44" s="306"/>
      <c r="C44" s="309"/>
    </row>
    <row r="45">
      <c r="A45" s="288" t="s">
        <v>449</v>
      </c>
      <c r="B45" s="289"/>
      <c r="C45" s="309"/>
    </row>
    <row r="46">
      <c r="A46" s="47"/>
      <c r="B46" s="315"/>
      <c r="C46" s="315"/>
    </row>
    <row r="47">
      <c r="A47" s="294"/>
      <c r="B47" s="295">
        <f t="shared" ref="B47:C47" si="10">SUM(B49:B54)</f>
        <v>0</v>
      </c>
      <c r="C47" s="295">
        <f t="shared" si="10"/>
        <v>0</v>
      </c>
    </row>
    <row r="48">
      <c r="A48" s="288" t="s">
        <v>482</v>
      </c>
      <c r="B48" s="285">
        <v>2025.0</v>
      </c>
      <c r="C48" s="286">
        <v>2026.0</v>
      </c>
    </row>
    <row r="49">
      <c r="A49" s="288" t="s">
        <v>483</v>
      </c>
      <c r="B49" s="330"/>
      <c r="C49" s="306"/>
    </row>
    <row r="50">
      <c r="A50" s="288" t="s">
        <v>484</v>
      </c>
      <c r="B50" s="289"/>
      <c r="C50" s="306"/>
    </row>
    <row r="51">
      <c r="A51" s="288" t="s">
        <v>485</v>
      </c>
      <c r="B51" s="306"/>
      <c r="C51" s="306"/>
    </row>
    <row r="52">
      <c r="A52" s="288" t="s">
        <v>486</v>
      </c>
      <c r="B52" s="306"/>
      <c r="C52" s="306"/>
    </row>
    <row r="53">
      <c r="A53" s="288" t="s">
        <v>487</v>
      </c>
      <c r="B53" s="306"/>
      <c r="C53" s="306"/>
    </row>
    <row r="54">
      <c r="A54" s="288" t="s">
        <v>449</v>
      </c>
      <c r="B54" s="306"/>
      <c r="C54" s="306"/>
    </row>
    <row r="55">
      <c r="A55" s="47"/>
      <c r="B55" s="315"/>
      <c r="C55" s="47"/>
    </row>
    <row r="56">
      <c r="A56" s="294"/>
      <c r="B56" s="295">
        <f t="shared" ref="B56:C56" si="11">SUM(B58:B61)</f>
        <v>0</v>
      </c>
      <c r="C56" s="295">
        <f t="shared" si="11"/>
        <v>0</v>
      </c>
    </row>
    <row r="57">
      <c r="A57" s="288" t="s">
        <v>489</v>
      </c>
      <c r="B57" s="285">
        <v>2025.0</v>
      </c>
      <c r="C57" s="286">
        <v>2026.0</v>
      </c>
    </row>
    <row r="58">
      <c r="A58" s="288" t="s">
        <v>490</v>
      </c>
      <c r="B58" s="306"/>
      <c r="C58" s="319"/>
    </row>
    <row r="59">
      <c r="A59" s="288" t="s">
        <v>491</v>
      </c>
      <c r="B59" s="306"/>
      <c r="C59" s="319"/>
    </row>
    <row r="60">
      <c r="A60" s="288" t="s">
        <v>492</v>
      </c>
      <c r="B60" s="316"/>
      <c r="C60" s="306"/>
    </row>
    <row r="61">
      <c r="A61" s="288" t="s">
        <v>449</v>
      </c>
      <c r="B61" s="319"/>
      <c r="C61" s="306"/>
    </row>
    <row r="62">
      <c r="A62" s="47"/>
      <c r="B62" s="315"/>
      <c r="C62" s="47"/>
    </row>
    <row r="63">
      <c r="A63" s="294"/>
      <c r="B63" s="295">
        <f t="shared" ref="B63:C63" si="12">SUM(B65:B67)</f>
        <v>0</v>
      </c>
      <c r="C63" s="295">
        <f t="shared" si="12"/>
        <v>0</v>
      </c>
    </row>
    <row r="64">
      <c r="A64" s="288" t="s">
        <v>493</v>
      </c>
      <c r="B64" s="285">
        <v>2025.0</v>
      </c>
      <c r="C64" s="286">
        <v>2026.0</v>
      </c>
    </row>
    <row r="65">
      <c r="A65" s="288" t="s">
        <v>494</v>
      </c>
      <c r="B65" s="309"/>
      <c r="C65" s="306"/>
    </row>
    <row r="66">
      <c r="A66" s="288" t="s">
        <v>495</v>
      </c>
      <c r="B66" s="309"/>
      <c r="C66" s="306"/>
    </row>
    <row r="67">
      <c r="A67" s="288" t="s">
        <v>449</v>
      </c>
      <c r="B67" s="324"/>
      <c r="C67" s="316"/>
    </row>
  </sheetData>
  <mergeCells count="2">
    <mergeCell ref="I3:K3"/>
    <mergeCell ref="L3:O3"/>
  </mergeCells>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3.29"/>
    <col customWidth="1" min="8" max="8" width="10.43"/>
    <col customWidth="1" min="9" max="9" width="9.86"/>
    <col customWidth="1" min="10" max="10" width="14.71"/>
    <col customWidth="1" min="11" max="11" width="16.29"/>
    <col customWidth="1" min="12" max="12" width="13.29"/>
    <col customWidth="1" min="13" max="13" width="9.86"/>
    <col customWidth="1" min="14" max="14" width="14.71"/>
    <col customWidth="1" min="19" max="19" width="16.29"/>
  </cols>
  <sheetData>
    <row r="2">
      <c r="A2" s="284"/>
      <c r="B2" s="285">
        <v>2022.0</v>
      </c>
      <c r="C2" s="285">
        <v>2023.0</v>
      </c>
      <c r="D2" s="285">
        <v>2024.0</v>
      </c>
      <c r="E2" s="285">
        <v>2025.0</v>
      </c>
      <c r="F2" s="286">
        <v>2026.0</v>
      </c>
    </row>
    <row r="3">
      <c r="A3" s="288" t="s">
        <v>416</v>
      </c>
      <c r="B3" s="289">
        <f t="shared" ref="B3:F3" si="1">B5+B14+B25+B47+B56+B63</f>
        <v>1387792</v>
      </c>
      <c r="C3" s="289">
        <f t="shared" si="1"/>
        <v>73805375</v>
      </c>
      <c r="D3" s="289">
        <f t="shared" si="1"/>
        <v>1607650599</v>
      </c>
      <c r="E3" s="289">
        <f t="shared" si="1"/>
        <v>2991895909</v>
      </c>
      <c r="F3" s="289">
        <f t="shared" si="1"/>
        <v>1561941445</v>
      </c>
      <c r="H3" s="47" t="s">
        <v>501</v>
      </c>
      <c r="I3" s="47"/>
      <c r="J3" s="47"/>
      <c r="K3" s="47"/>
      <c r="L3" s="47"/>
      <c r="M3" s="332"/>
      <c r="N3" s="47"/>
      <c r="O3" s="47"/>
    </row>
    <row r="4">
      <c r="A4" s="47"/>
      <c r="B4" s="47"/>
      <c r="C4" s="47"/>
      <c r="D4" s="47"/>
      <c r="E4" s="47"/>
      <c r="F4" s="47"/>
      <c r="H4" s="334" t="s">
        <v>503</v>
      </c>
      <c r="I4" s="334" t="s">
        <v>504</v>
      </c>
      <c r="J4" s="335" t="s">
        <v>418</v>
      </c>
      <c r="K4" s="11"/>
      <c r="L4" s="11"/>
      <c r="M4" s="12"/>
      <c r="N4" s="334" t="s">
        <v>419</v>
      </c>
      <c r="O4" s="334" t="s">
        <v>505</v>
      </c>
    </row>
    <row r="5">
      <c r="A5" s="294"/>
      <c r="B5" s="295">
        <f t="shared" ref="B5:F5" si="2">SUM(B7:B12)</f>
        <v>0</v>
      </c>
      <c r="C5" s="295">
        <f t="shared" si="2"/>
        <v>44730910</v>
      </c>
      <c r="D5" s="295">
        <f t="shared" si="2"/>
        <v>1341967351</v>
      </c>
      <c r="E5" s="295">
        <f t="shared" si="2"/>
        <v>2922398707</v>
      </c>
      <c r="F5" s="295">
        <f t="shared" si="2"/>
        <v>1281182758</v>
      </c>
      <c r="H5" s="51"/>
      <c r="I5" s="51"/>
      <c r="J5" s="334" t="s">
        <v>506</v>
      </c>
      <c r="K5" s="334" t="s">
        <v>507</v>
      </c>
      <c r="L5" s="334" t="s">
        <v>508</v>
      </c>
      <c r="M5" s="336" t="s">
        <v>509</v>
      </c>
      <c r="N5" s="9"/>
      <c r="O5" s="51"/>
    </row>
    <row r="6">
      <c r="A6" s="288" t="s">
        <v>430</v>
      </c>
      <c r="B6" s="285">
        <v>2022.0</v>
      </c>
      <c r="C6" s="285">
        <v>2023.0</v>
      </c>
      <c r="D6" s="285">
        <v>2024.0</v>
      </c>
      <c r="E6" s="285">
        <v>2025.0</v>
      </c>
      <c r="F6" s="286">
        <v>2026.0</v>
      </c>
      <c r="H6" s="337">
        <v>0.0</v>
      </c>
      <c r="I6" s="338">
        <v>45893.0</v>
      </c>
      <c r="J6" s="289">
        <v>2.0E8</v>
      </c>
      <c r="K6" s="289">
        <f>J6</f>
        <v>200000000</v>
      </c>
      <c r="L6" s="339">
        <f t="shared" ref="L6:M6" si="3">J6/$J$26</f>
        <v>0.04536896444</v>
      </c>
      <c r="M6" s="340">
        <f t="shared" si="3"/>
        <v>0.04536896444</v>
      </c>
      <c r="N6" s="289">
        <v>2.0E8</v>
      </c>
      <c r="O6" s="342" t="s">
        <v>510</v>
      </c>
    </row>
    <row r="7">
      <c r="A7" s="288" t="s">
        <v>434</v>
      </c>
      <c r="B7" s="324"/>
      <c r="C7" s="306"/>
      <c r="D7" s="306"/>
      <c r="E7" s="306"/>
      <c r="F7" s="306"/>
      <c r="H7" s="337">
        <v>1.0</v>
      </c>
      <c r="I7" s="338">
        <v>45893.0</v>
      </c>
      <c r="J7" s="289">
        <v>2.14576722E8</v>
      </c>
      <c r="K7" s="289">
        <f t="shared" ref="K7:K25" si="5">J7+K6</f>
        <v>414576722</v>
      </c>
      <c r="L7" s="339">
        <f t="shared" ref="L7:M7" si="4">J7/$J$26</f>
        <v>0.04867561835</v>
      </c>
      <c r="M7" s="340">
        <f t="shared" si="4"/>
        <v>0.09404458279</v>
      </c>
      <c r="N7" s="289">
        <v>2.14576722E8</v>
      </c>
      <c r="O7" s="342" t="s">
        <v>511</v>
      </c>
    </row>
    <row r="8">
      <c r="A8" s="288" t="s">
        <v>437</v>
      </c>
      <c r="B8" s="324"/>
      <c r="C8" s="289">
        <v>4.1531E7</v>
      </c>
      <c r="D8" s="289">
        <f>535500+8827420</f>
        <v>9362920</v>
      </c>
      <c r="E8" s="306"/>
      <c r="F8" s="306"/>
      <c r="H8" s="337">
        <v>2.0</v>
      </c>
      <c r="I8" s="338">
        <v>45924.0</v>
      </c>
      <c r="J8" s="289">
        <v>4.51540786E8</v>
      </c>
      <c r="K8" s="289">
        <f t="shared" si="5"/>
        <v>866117508</v>
      </c>
      <c r="L8" s="339">
        <f t="shared" ref="L8:M8" si="6">J8/$J$26</f>
        <v>0.1024296893</v>
      </c>
      <c r="M8" s="340">
        <f t="shared" si="6"/>
        <v>0.1964742721</v>
      </c>
      <c r="N8" s="289">
        <v>4.51540786E8</v>
      </c>
      <c r="O8" s="342" t="s">
        <v>511</v>
      </c>
    </row>
    <row r="9">
      <c r="A9" s="288" t="s">
        <v>441</v>
      </c>
      <c r="B9" s="324"/>
      <c r="C9" s="324"/>
      <c r="D9" s="308">
        <v>1.332604431E9</v>
      </c>
      <c r="E9" s="344">
        <v>2.470313188E9</v>
      </c>
      <c r="F9" s="309">
        <f>J23+J24+J25</f>
        <v>574491551</v>
      </c>
      <c r="H9" s="337">
        <v>3.0</v>
      </c>
      <c r="I9" s="338">
        <v>45954.0</v>
      </c>
      <c r="J9" s="289">
        <v>2.42312734E8</v>
      </c>
      <c r="K9" s="289">
        <f t="shared" si="5"/>
        <v>1108430242</v>
      </c>
      <c r="L9" s="339">
        <f t="shared" ref="L9:M9" si="7">J9/$J$26</f>
        <v>0.05496738906</v>
      </c>
      <c r="M9" s="340">
        <f t="shared" si="7"/>
        <v>0.2514416612</v>
      </c>
      <c r="N9" s="289">
        <v>2.42312734E8</v>
      </c>
      <c r="O9" s="342" t="s">
        <v>511</v>
      </c>
    </row>
    <row r="10">
      <c r="A10" s="288" t="s">
        <v>444</v>
      </c>
      <c r="B10" s="306"/>
      <c r="C10" s="306"/>
      <c r="D10" s="306"/>
      <c r="E10" s="289">
        <f>J36</f>
        <v>452085519</v>
      </c>
      <c r="F10" s="309">
        <f>J46</f>
        <v>646691207</v>
      </c>
      <c r="H10" s="345">
        <v>4.0</v>
      </c>
      <c r="I10" s="346">
        <v>45985.0</v>
      </c>
      <c r="J10" s="347">
        <v>2.24174189E8</v>
      </c>
      <c r="K10" s="347">
        <f t="shared" si="5"/>
        <v>1332604431</v>
      </c>
      <c r="L10" s="348">
        <f t="shared" ref="L10:M10" si="8">J10/$J$26</f>
        <v>0.05085275405</v>
      </c>
      <c r="M10" s="349">
        <f t="shared" si="8"/>
        <v>0.3022944152</v>
      </c>
      <c r="N10" s="347">
        <v>2.24174189E8</v>
      </c>
      <c r="O10" s="350" t="s">
        <v>514</v>
      </c>
    </row>
    <row r="11">
      <c r="A11" s="288" t="s">
        <v>447</v>
      </c>
      <c r="B11" s="306"/>
      <c r="C11" s="306"/>
      <c r="D11" s="306"/>
      <c r="E11" s="306"/>
      <c r="F11" s="306"/>
      <c r="H11" s="337">
        <v>5.0</v>
      </c>
      <c r="I11" s="338">
        <v>46015.0</v>
      </c>
      <c r="J11" s="289">
        <v>1.55623352E8</v>
      </c>
      <c r="K11" s="289">
        <f t="shared" si="5"/>
        <v>1488227783</v>
      </c>
      <c r="L11" s="339">
        <f t="shared" ref="L11:M11" si="9">J11/$J$26</f>
        <v>0.03530235162</v>
      </c>
      <c r="M11" s="340">
        <f t="shared" si="9"/>
        <v>0.3375967668</v>
      </c>
      <c r="N11" s="289">
        <v>1.55623352E8</v>
      </c>
      <c r="O11" s="342" t="s">
        <v>511</v>
      </c>
    </row>
    <row r="12">
      <c r="A12" s="288" t="s">
        <v>449</v>
      </c>
      <c r="B12" s="324"/>
      <c r="C12" s="289">
        <v>3199910.0</v>
      </c>
      <c r="D12" s="324"/>
      <c r="E12" s="306"/>
      <c r="F12" s="309">
        <v>6.0E7</v>
      </c>
      <c r="H12" s="337">
        <v>6.0</v>
      </c>
      <c r="I12" s="338">
        <v>45682.0</v>
      </c>
      <c r="J12" s="289">
        <v>2.52294712E8</v>
      </c>
      <c r="K12" s="289">
        <f t="shared" si="5"/>
        <v>1740522495</v>
      </c>
      <c r="L12" s="339">
        <f t="shared" ref="L12:M12" si="10">J12/$J$26</f>
        <v>0.05723174909</v>
      </c>
      <c r="M12" s="340">
        <f t="shared" si="10"/>
        <v>0.3948285159</v>
      </c>
      <c r="N12" s="289">
        <v>2.52294712E8</v>
      </c>
      <c r="O12" s="342" t="s">
        <v>511</v>
      </c>
    </row>
    <row r="13">
      <c r="A13" s="47"/>
      <c r="B13" s="315"/>
      <c r="C13" s="315"/>
      <c r="D13" s="315"/>
      <c r="E13" s="315"/>
      <c r="F13" s="315"/>
      <c r="H13" s="337">
        <v>7.0</v>
      </c>
      <c r="I13" s="351">
        <v>45719.0</v>
      </c>
      <c r="J13" s="289">
        <v>2.01102519E8</v>
      </c>
      <c r="K13" s="289">
        <f t="shared" si="5"/>
        <v>1941625014</v>
      </c>
      <c r="L13" s="339">
        <f t="shared" ref="L13:M13" si="11">J13/$J$26</f>
        <v>0.04561906517</v>
      </c>
      <c r="M13" s="340">
        <f t="shared" si="11"/>
        <v>0.4404475811</v>
      </c>
      <c r="N13" s="289">
        <v>2.01102519E8</v>
      </c>
      <c r="O13" s="342" t="s">
        <v>511</v>
      </c>
    </row>
    <row r="14">
      <c r="A14" s="294"/>
      <c r="B14" s="295">
        <f t="shared" ref="B14:F14" si="12">SUM(B16:B23)</f>
        <v>0</v>
      </c>
      <c r="C14" s="295">
        <f t="shared" si="12"/>
        <v>0</v>
      </c>
      <c r="D14" s="295">
        <f t="shared" si="12"/>
        <v>98018000</v>
      </c>
      <c r="E14" s="295">
        <f t="shared" si="12"/>
        <v>0</v>
      </c>
      <c r="F14" s="295">
        <f t="shared" si="12"/>
        <v>175000000</v>
      </c>
      <c r="H14" s="337">
        <v>8.0</v>
      </c>
      <c r="I14" s="351">
        <v>45748.0</v>
      </c>
      <c r="J14" s="289">
        <v>1.55455601E8</v>
      </c>
      <c r="K14" s="289">
        <f t="shared" si="5"/>
        <v>2097080615</v>
      </c>
      <c r="L14" s="339">
        <f t="shared" ref="L14:M14" si="13">J14/$J$26</f>
        <v>0.03526429817</v>
      </c>
      <c r="M14" s="340">
        <f t="shared" si="13"/>
        <v>0.4757118793</v>
      </c>
      <c r="N14" s="289">
        <v>1.55455601E8</v>
      </c>
      <c r="O14" s="342" t="s">
        <v>511</v>
      </c>
    </row>
    <row r="15">
      <c r="A15" s="288" t="s">
        <v>454</v>
      </c>
      <c r="B15" s="285">
        <v>2022.0</v>
      </c>
      <c r="C15" s="285">
        <v>2023.0</v>
      </c>
      <c r="D15" s="285">
        <v>2024.0</v>
      </c>
      <c r="E15" s="285">
        <v>2025.0</v>
      </c>
      <c r="F15" s="286">
        <v>2026.0</v>
      </c>
      <c r="H15" s="337">
        <v>9.0</v>
      </c>
      <c r="I15" s="338">
        <v>45802.0</v>
      </c>
      <c r="J15" s="289">
        <v>2.18152853E8</v>
      </c>
      <c r="K15" s="289">
        <f t="shared" si="5"/>
        <v>2315233468</v>
      </c>
      <c r="L15" s="339">
        <f t="shared" ref="L15:M15" si="14">J15/$J$26</f>
        <v>0.04948684515</v>
      </c>
      <c r="M15" s="340">
        <f t="shared" si="14"/>
        <v>0.5251987244</v>
      </c>
      <c r="N15" s="289">
        <v>2.18152853E8</v>
      </c>
      <c r="O15" s="342" t="s">
        <v>511</v>
      </c>
    </row>
    <row r="16">
      <c r="A16" s="288" t="s">
        <v>455</v>
      </c>
      <c r="B16" s="306"/>
      <c r="C16" s="306"/>
      <c r="D16" s="289">
        <v>9.8018E7</v>
      </c>
      <c r="E16" s="316"/>
      <c r="F16" s="316">
        <v>5.0E7</v>
      </c>
      <c r="H16" s="337">
        <v>10.0</v>
      </c>
      <c r="I16" s="338">
        <v>45833.0</v>
      </c>
      <c r="J16" s="289">
        <v>3.24983774E8</v>
      </c>
      <c r="K16" s="289">
        <f t="shared" si="5"/>
        <v>2640217242</v>
      </c>
      <c r="L16" s="339">
        <f t="shared" ref="L16:M16" si="15">J16/$J$26</f>
        <v>0.07372088643</v>
      </c>
      <c r="M16" s="340">
        <f t="shared" si="15"/>
        <v>0.5989196108</v>
      </c>
      <c r="N16" s="289">
        <v>3.24983774E8</v>
      </c>
      <c r="O16" s="342" t="s">
        <v>511</v>
      </c>
    </row>
    <row r="17">
      <c r="A17" s="288" t="s">
        <v>456</v>
      </c>
      <c r="B17" s="324"/>
      <c r="C17" s="324"/>
      <c r="D17" s="324"/>
      <c r="E17" s="289"/>
      <c r="F17" s="353">
        <v>1.5E7</v>
      </c>
      <c r="H17" s="337">
        <v>11.0</v>
      </c>
      <c r="I17" s="338">
        <v>45863.0</v>
      </c>
      <c r="J17" s="289">
        <v>3.66374243E8</v>
      </c>
      <c r="K17" s="289">
        <f t="shared" si="5"/>
        <v>3006591485</v>
      </c>
      <c r="L17" s="339">
        <f t="shared" ref="L17:M17" si="16">J17/$J$26</f>
        <v>0.08311010001</v>
      </c>
      <c r="M17" s="340">
        <f t="shared" si="16"/>
        <v>0.6820297109</v>
      </c>
      <c r="N17" s="289">
        <v>3.66374243E8</v>
      </c>
      <c r="O17" s="342" t="s">
        <v>511</v>
      </c>
    </row>
    <row r="18">
      <c r="A18" s="288" t="s">
        <v>457</v>
      </c>
      <c r="B18" s="324"/>
      <c r="C18" s="324"/>
      <c r="D18" s="324"/>
      <c r="E18" s="289"/>
      <c r="F18" s="289">
        <v>5000000.0</v>
      </c>
      <c r="H18" s="337">
        <v>12.0</v>
      </c>
      <c r="I18" s="338">
        <v>45894.0</v>
      </c>
      <c r="J18" s="289">
        <v>1.53086824E8</v>
      </c>
      <c r="K18" s="289">
        <f t="shared" si="5"/>
        <v>3159678309</v>
      </c>
      <c r="L18" s="339">
        <f t="shared" ref="L18:M18" si="17">J18/$J$26</f>
        <v>0.03472695337</v>
      </c>
      <c r="M18" s="340">
        <f t="shared" si="17"/>
        <v>0.7167566642</v>
      </c>
      <c r="N18" s="289">
        <v>1.53086824E8</v>
      </c>
      <c r="O18" s="342" t="s">
        <v>511</v>
      </c>
    </row>
    <row r="19">
      <c r="A19" s="288" t="s">
        <v>458</v>
      </c>
      <c r="B19" s="324"/>
      <c r="C19" s="324"/>
      <c r="D19" s="324"/>
      <c r="E19" s="306"/>
      <c r="F19" s="306"/>
      <c r="H19" s="337">
        <v>13.0</v>
      </c>
      <c r="I19" s="338">
        <v>45925.0</v>
      </c>
      <c r="J19" s="289">
        <v>1.52511772E8</v>
      </c>
      <c r="K19" s="289">
        <f t="shared" si="5"/>
        <v>3312190081</v>
      </c>
      <c r="L19" s="339">
        <f t="shared" ref="L19:M19" si="18">J19/$J$26</f>
        <v>0.0345965058</v>
      </c>
      <c r="M19" s="340">
        <f t="shared" si="18"/>
        <v>0.75135317</v>
      </c>
      <c r="N19" s="289">
        <v>1.52511772E8</v>
      </c>
      <c r="O19" s="342" t="s">
        <v>511</v>
      </c>
    </row>
    <row r="20">
      <c r="A20" s="288" t="s">
        <v>459</v>
      </c>
      <c r="B20" s="306"/>
      <c r="C20" s="306"/>
      <c r="D20" s="306"/>
      <c r="E20" s="289"/>
      <c r="F20" s="289">
        <v>2.0E7</v>
      </c>
      <c r="H20" s="337">
        <v>14.0</v>
      </c>
      <c r="I20" s="338">
        <v>45955.0</v>
      </c>
      <c r="J20" s="289">
        <v>1.02298015E8</v>
      </c>
      <c r="K20" s="289">
        <f t="shared" si="5"/>
        <v>3414488096</v>
      </c>
      <c r="L20" s="339">
        <f t="shared" ref="L20:M20" si="19">J20/$J$26</f>
        <v>0.02320577502</v>
      </c>
      <c r="M20" s="340">
        <f t="shared" si="19"/>
        <v>0.7745589451</v>
      </c>
      <c r="N20" s="289">
        <v>1.02298014E8</v>
      </c>
      <c r="O20" s="342" t="s">
        <v>511</v>
      </c>
    </row>
    <row r="21">
      <c r="A21" s="288" t="s">
        <v>460</v>
      </c>
      <c r="B21" s="355"/>
      <c r="C21" s="355"/>
      <c r="D21" s="355"/>
      <c r="E21" s="306"/>
      <c r="F21" s="289">
        <v>1.5E7</v>
      </c>
      <c r="H21" s="337">
        <v>15.0</v>
      </c>
      <c r="I21" s="338">
        <v>45986.0</v>
      </c>
      <c r="J21" s="289">
        <v>2.05559061E8</v>
      </c>
      <c r="K21" s="289">
        <f t="shared" si="5"/>
        <v>3620047157</v>
      </c>
      <c r="L21" s="339">
        <f t="shared" ref="L21:M21" si="20">J21/$J$26</f>
        <v>0.04663000864</v>
      </c>
      <c r="M21" s="340">
        <f t="shared" si="20"/>
        <v>0.8211889537</v>
      </c>
      <c r="N21" s="289">
        <v>2.03742698E8</v>
      </c>
      <c r="O21" s="342" t="s">
        <v>511</v>
      </c>
    </row>
    <row r="22">
      <c r="A22" s="288" t="s">
        <v>461</v>
      </c>
      <c r="B22" s="355"/>
      <c r="C22" s="355"/>
      <c r="D22" s="47"/>
      <c r="E22" s="289"/>
      <c r="F22" s="319"/>
      <c r="H22" s="345">
        <v>16.0</v>
      </c>
      <c r="I22" s="346">
        <v>46016.0</v>
      </c>
      <c r="J22" s="347">
        <v>2.13761161E8</v>
      </c>
      <c r="K22" s="347">
        <f t="shared" si="5"/>
        <v>3833808318</v>
      </c>
      <c r="L22" s="348">
        <f t="shared" ref="L22:M22" si="21">J22/$J$26</f>
        <v>0.04849061256</v>
      </c>
      <c r="M22" s="349">
        <f t="shared" si="21"/>
        <v>0.8696795663</v>
      </c>
      <c r="N22" s="347">
        <v>1.84685827E8</v>
      </c>
      <c r="O22" s="350" t="s">
        <v>522</v>
      </c>
    </row>
    <row r="23">
      <c r="A23" s="288" t="s">
        <v>449</v>
      </c>
      <c r="B23" s="355"/>
      <c r="C23" s="355"/>
      <c r="D23" s="355"/>
      <c r="E23" s="306"/>
      <c r="F23" s="320">
        <v>7.0E7</v>
      </c>
      <c r="H23" s="337">
        <v>17.0</v>
      </c>
      <c r="I23" s="338">
        <v>45683.0</v>
      </c>
      <c r="J23" s="289">
        <v>2.17950593E8</v>
      </c>
      <c r="K23" s="289">
        <f t="shared" si="5"/>
        <v>4051758911</v>
      </c>
      <c r="L23" s="339">
        <f t="shared" ref="L23:M23" si="22">J23/$J$26</f>
        <v>0.04944096352</v>
      </c>
      <c r="M23" s="340">
        <f t="shared" si="22"/>
        <v>0.9191205298</v>
      </c>
      <c r="N23" s="289">
        <v>1.70139342E8</v>
      </c>
      <c r="O23" s="342" t="s">
        <v>511</v>
      </c>
    </row>
    <row r="24">
      <c r="A24" s="321"/>
      <c r="B24" s="321"/>
      <c r="C24" s="321"/>
      <c r="D24" s="321"/>
      <c r="E24" s="321"/>
      <c r="F24" s="321"/>
      <c r="H24" s="356">
        <v>18.0</v>
      </c>
      <c r="I24" s="357">
        <v>45683.0</v>
      </c>
      <c r="J24" s="358">
        <v>1.36125965E8</v>
      </c>
      <c r="K24" s="358">
        <f t="shared" si="5"/>
        <v>4187884876</v>
      </c>
      <c r="L24" s="359">
        <f t="shared" ref="L24:M24" si="23">J24/$J$26</f>
        <v>0.03087947033</v>
      </c>
      <c r="M24" s="360">
        <f t="shared" si="23"/>
        <v>0.9500000001</v>
      </c>
      <c r="N24" s="361">
        <v>2.14827912E8</v>
      </c>
      <c r="O24" s="362" t="s">
        <v>511</v>
      </c>
    </row>
    <row r="25">
      <c r="A25" s="322"/>
      <c r="B25" s="295">
        <f t="shared" ref="B25:F25" si="24">SUM(B27:B45)</f>
        <v>0</v>
      </c>
      <c r="C25" s="295">
        <f t="shared" si="24"/>
        <v>26864475</v>
      </c>
      <c r="D25" s="295">
        <f t="shared" si="24"/>
        <v>136151095</v>
      </c>
      <c r="E25" s="295">
        <f t="shared" si="24"/>
        <v>0</v>
      </c>
      <c r="F25" s="295">
        <f t="shared" si="24"/>
        <v>85758687</v>
      </c>
      <c r="H25" s="363">
        <v>19.0</v>
      </c>
      <c r="I25" s="364">
        <v>45748.0</v>
      </c>
      <c r="J25" s="320">
        <v>2.20414993E8</v>
      </c>
      <c r="K25" s="320">
        <f t="shared" si="5"/>
        <v>4408299869</v>
      </c>
      <c r="L25" s="366">
        <f t="shared" ref="L25:M25" si="25">J25/$J$26</f>
        <v>0.0499999999</v>
      </c>
      <c r="M25" s="367">
        <f t="shared" si="25"/>
        <v>1</v>
      </c>
      <c r="N25" s="368">
        <v>2.20415164E8</v>
      </c>
      <c r="O25" s="369" t="s">
        <v>525</v>
      </c>
    </row>
    <row r="26">
      <c r="A26" s="288" t="s">
        <v>462</v>
      </c>
      <c r="B26" s="285">
        <v>2022.0</v>
      </c>
      <c r="C26" s="285">
        <v>2023.0</v>
      </c>
      <c r="D26" s="285">
        <v>2024.0</v>
      </c>
      <c r="E26" s="285">
        <v>2025.0</v>
      </c>
      <c r="F26" s="286">
        <v>2026.0</v>
      </c>
      <c r="H26" s="370" t="s">
        <v>527</v>
      </c>
      <c r="I26" s="12"/>
      <c r="J26" s="371">
        <f>SUM(J6:J25)</f>
        <v>4408299869</v>
      </c>
      <c r="K26" s="372"/>
      <c r="L26" s="373">
        <f>SUM(L6:L25)</f>
        <v>1</v>
      </c>
      <c r="M26" s="374"/>
      <c r="N26" s="375">
        <f>SUM(N6:N25)</f>
        <v>4408299038</v>
      </c>
      <c r="O26" s="376">
        <f>N26/J26</f>
        <v>0.9999998115</v>
      </c>
    </row>
    <row r="27">
      <c r="A27" s="288" t="s">
        <v>463</v>
      </c>
      <c r="B27" s="306"/>
      <c r="C27" s="306"/>
      <c r="D27" s="289">
        <f>10000000+86080359</f>
        <v>96080359</v>
      </c>
      <c r="E27" s="47"/>
      <c r="F27" s="324"/>
    </row>
    <row r="28">
      <c r="A28" s="288" t="s">
        <v>464</v>
      </c>
      <c r="B28" s="306"/>
      <c r="C28" s="289">
        <f>20425698+2121030</f>
        <v>22546728</v>
      </c>
      <c r="D28" s="289">
        <v>2121030.0</v>
      </c>
      <c r="E28" s="324"/>
      <c r="F28" s="324"/>
    </row>
    <row r="29">
      <c r="A29" s="288" t="s">
        <v>465</v>
      </c>
      <c r="B29" s="324"/>
      <c r="C29" s="289">
        <v>3717747.0</v>
      </c>
      <c r="D29" s="306"/>
      <c r="E29" s="324"/>
      <c r="F29" s="324"/>
      <c r="H29" s="47" t="s">
        <v>528</v>
      </c>
      <c r="I29" s="47"/>
      <c r="J29" s="47"/>
      <c r="K29" s="47"/>
      <c r="L29" s="47"/>
      <c r="M29" s="332"/>
      <c r="N29" s="47"/>
      <c r="O29" s="47"/>
    </row>
    <row r="30">
      <c r="A30" s="288" t="s">
        <v>466</v>
      </c>
      <c r="B30" s="324"/>
      <c r="C30" s="289">
        <v>600000.0</v>
      </c>
      <c r="D30" s="324"/>
      <c r="E30" s="324"/>
      <c r="F30" s="324"/>
      <c r="H30" s="334" t="s">
        <v>503</v>
      </c>
      <c r="I30" s="334" t="s">
        <v>504</v>
      </c>
      <c r="J30" s="335" t="s">
        <v>418</v>
      </c>
      <c r="K30" s="11"/>
      <c r="L30" s="11"/>
      <c r="M30" s="12"/>
      <c r="N30" s="334" t="s">
        <v>419</v>
      </c>
      <c r="O30" s="334" t="s">
        <v>505</v>
      </c>
    </row>
    <row r="31">
      <c r="A31" s="288" t="s">
        <v>467</v>
      </c>
      <c r="B31" s="306"/>
      <c r="C31" s="306"/>
      <c r="D31" s="289">
        <v>9472400.0</v>
      </c>
      <c r="E31" s="324"/>
      <c r="F31" s="324"/>
      <c r="H31" s="51"/>
      <c r="I31" s="51"/>
      <c r="J31" s="334" t="s">
        <v>506</v>
      </c>
      <c r="K31" s="334" t="s">
        <v>507</v>
      </c>
      <c r="L31" s="334" t="s">
        <v>508</v>
      </c>
      <c r="M31" s="336" t="s">
        <v>509</v>
      </c>
      <c r="N31" s="9"/>
      <c r="O31" s="51"/>
    </row>
    <row r="32">
      <c r="A32" s="288" t="s">
        <v>468</v>
      </c>
      <c r="B32" s="324"/>
      <c r="C32" s="324"/>
      <c r="D32" s="324"/>
      <c r="E32" s="325"/>
      <c r="F32" s="326"/>
      <c r="H32" s="378">
        <v>1.0</v>
      </c>
      <c r="I32" s="379">
        <v>45955.0</v>
      </c>
      <c r="J32" s="289">
        <v>1.70270733E8</v>
      </c>
      <c r="K32" s="289">
        <f>J32</f>
        <v>170270733</v>
      </c>
      <c r="L32" s="380">
        <f t="shared" ref="L32:L35" si="26">J32/$J$36</f>
        <v>0.3766339019</v>
      </c>
      <c r="M32" s="340">
        <v>0.38</v>
      </c>
      <c r="N32" s="289">
        <v>1.70270732E8</v>
      </c>
      <c r="O32" s="381" t="s">
        <v>511</v>
      </c>
    </row>
    <row r="33">
      <c r="A33" s="288" t="s">
        <v>470</v>
      </c>
      <c r="B33" s="306"/>
      <c r="C33" s="306"/>
      <c r="D33" s="324"/>
      <c r="E33" s="309"/>
      <c r="F33" s="309">
        <v>2.2E7</v>
      </c>
      <c r="H33" s="378">
        <v>2.0</v>
      </c>
      <c r="I33" s="379">
        <v>45986.0</v>
      </c>
      <c r="J33" s="289">
        <v>8.1204459E7</v>
      </c>
      <c r="K33" s="289">
        <f t="shared" ref="K33:K35" si="27">J33+K32</f>
        <v>251475192</v>
      </c>
      <c r="L33" s="380">
        <f t="shared" si="26"/>
        <v>0.179621898</v>
      </c>
      <c r="M33" s="340">
        <v>0.56</v>
      </c>
      <c r="N33" s="289">
        <v>8.1204459E7</v>
      </c>
      <c r="O33" s="381" t="s">
        <v>511</v>
      </c>
    </row>
    <row r="34">
      <c r="A34" s="288" t="s">
        <v>471</v>
      </c>
      <c r="B34" s="306"/>
      <c r="C34" s="306"/>
      <c r="D34" s="324"/>
      <c r="E34" s="309"/>
      <c r="F34" s="383">
        <v>1.5E7</v>
      </c>
      <c r="H34" s="378">
        <v>3.0</v>
      </c>
      <c r="I34" s="379">
        <v>46016.0</v>
      </c>
      <c r="J34" s="289">
        <v>8.9981262E7</v>
      </c>
      <c r="K34" s="289">
        <f t="shared" si="27"/>
        <v>341456454</v>
      </c>
      <c r="L34" s="380">
        <f t="shared" si="26"/>
        <v>0.1990359306</v>
      </c>
      <c r="M34" s="340">
        <v>0.76</v>
      </c>
      <c r="N34" s="289">
        <v>8.985809E7</v>
      </c>
      <c r="O34" s="381" t="s">
        <v>511</v>
      </c>
    </row>
    <row r="35">
      <c r="A35" s="288" t="s">
        <v>472</v>
      </c>
      <c r="B35" s="306"/>
      <c r="C35" s="306"/>
      <c r="D35" s="324"/>
      <c r="E35" s="309"/>
      <c r="F35" s="309">
        <v>3000000.0</v>
      </c>
      <c r="H35" s="378">
        <v>4.0</v>
      </c>
      <c r="I35" s="384">
        <v>45719.0</v>
      </c>
      <c r="J35" s="289">
        <v>1.10629065E8</v>
      </c>
      <c r="K35" s="289">
        <f t="shared" si="27"/>
        <v>452085519</v>
      </c>
      <c r="L35" s="380">
        <f t="shared" si="26"/>
        <v>0.2447082695</v>
      </c>
      <c r="M35" s="340">
        <v>1.0</v>
      </c>
      <c r="N35" s="385">
        <v>1.10752237E8</v>
      </c>
      <c r="O35" s="381" t="s">
        <v>511</v>
      </c>
    </row>
    <row r="36">
      <c r="A36" s="288" t="s">
        <v>473</v>
      </c>
      <c r="B36" s="306"/>
      <c r="C36" s="306"/>
      <c r="D36" s="289">
        <v>4300000.0</v>
      </c>
      <c r="E36" s="306"/>
      <c r="F36" s="306"/>
      <c r="H36" s="370" t="s">
        <v>527</v>
      </c>
      <c r="I36" s="12"/>
      <c r="J36" s="386">
        <v>4.52085519E8</v>
      </c>
      <c r="K36" s="387"/>
      <c r="L36" s="373">
        <f>SUM(L32:L35)</f>
        <v>1</v>
      </c>
      <c r="M36" s="374"/>
      <c r="N36" s="375">
        <f>SUM(N32:N35)</f>
        <v>452085518</v>
      </c>
      <c r="O36" s="376">
        <f>N36/J36</f>
        <v>0.9999999978</v>
      </c>
    </row>
    <row r="37">
      <c r="A37" s="288" t="s">
        <v>474</v>
      </c>
      <c r="B37" s="306"/>
      <c r="C37" s="306"/>
      <c r="D37" s="289">
        <f>7761132+2442981</f>
        <v>10204113</v>
      </c>
      <c r="E37" s="306"/>
      <c r="F37" s="306"/>
      <c r="H37" s="47"/>
      <c r="I37" s="47"/>
      <c r="J37" s="47"/>
      <c r="K37" s="47"/>
      <c r="L37" s="47"/>
      <c r="M37" s="332"/>
      <c r="N37" s="47"/>
      <c r="O37" s="47"/>
    </row>
    <row r="38">
      <c r="A38" s="288" t="s">
        <v>475</v>
      </c>
      <c r="B38" s="306"/>
      <c r="C38" s="306"/>
      <c r="D38" s="324"/>
      <c r="E38" s="306"/>
      <c r="F38" s="306"/>
      <c r="H38" s="47"/>
      <c r="I38" s="47"/>
      <c r="J38" s="47"/>
      <c r="K38" s="47"/>
      <c r="L38" s="47"/>
      <c r="M38" s="332"/>
      <c r="N38" s="47"/>
      <c r="O38" s="47"/>
    </row>
    <row r="39">
      <c r="A39" s="288" t="s">
        <v>476</v>
      </c>
      <c r="B39" s="324"/>
      <c r="C39" s="306"/>
      <c r="D39" s="324"/>
      <c r="E39" s="324"/>
      <c r="F39" s="324"/>
      <c r="H39" s="129" t="s">
        <v>533</v>
      </c>
      <c r="I39" s="47"/>
      <c r="J39" s="47"/>
      <c r="K39" s="47"/>
      <c r="L39" s="47"/>
      <c r="M39" s="332"/>
      <c r="N39" s="47"/>
      <c r="O39" s="47"/>
    </row>
    <row r="40">
      <c r="A40" s="288" t="s">
        <v>477</v>
      </c>
      <c r="B40" s="319"/>
      <c r="C40" s="319"/>
      <c r="D40" s="319"/>
      <c r="E40" s="324"/>
      <c r="F40" s="324"/>
      <c r="H40" s="334" t="s">
        <v>503</v>
      </c>
      <c r="I40" s="334" t="s">
        <v>504</v>
      </c>
      <c r="J40" s="335" t="s">
        <v>418</v>
      </c>
      <c r="K40" s="11"/>
      <c r="L40" s="11"/>
      <c r="M40" s="12"/>
      <c r="N40" s="334" t="s">
        <v>419</v>
      </c>
      <c r="O40" s="334" t="s">
        <v>505</v>
      </c>
    </row>
    <row r="41">
      <c r="A41" s="288" t="s">
        <v>478</v>
      </c>
      <c r="B41" s="306"/>
      <c r="C41" s="306"/>
      <c r="D41" s="306"/>
      <c r="E41" s="324"/>
      <c r="F41" s="324"/>
      <c r="H41" s="51"/>
      <c r="I41" s="51"/>
      <c r="J41" s="334" t="s">
        <v>506</v>
      </c>
      <c r="K41" s="334" t="s">
        <v>507</v>
      </c>
      <c r="L41" s="334" t="s">
        <v>508</v>
      </c>
      <c r="M41" s="336" t="s">
        <v>509</v>
      </c>
      <c r="N41" s="9"/>
      <c r="O41" s="51"/>
    </row>
    <row r="42">
      <c r="A42" s="288" t="s">
        <v>479</v>
      </c>
      <c r="B42" s="306"/>
      <c r="C42" s="306"/>
      <c r="D42" s="289">
        <v>3758687.0</v>
      </c>
      <c r="E42" s="289"/>
      <c r="F42" s="309">
        <f>D42</f>
        <v>3758687</v>
      </c>
      <c r="H42" s="388">
        <v>1.0</v>
      </c>
      <c r="I42" s="389">
        <v>45986.0</v>
      </c>
      <c r="J42" s="289">
        <v>1.02074177E8</v>
      </c>
      <c r="K42" s="289">
        <f>J42</f>
        <v>102074177</v>
      </c>
      <c r="L42" s="380">
        <f t="shared" ref="L42:L45" si="28">J42/$J$46</f>
        <v>0.1578406756</v>
      </c>
      <c r="M42" s="390"/>
      <c r="N42" s="391"/>
      <c r="O42" s="324"/>
    </row>
    <row r="43">
      <c r="A43" s="288" t="s">
        <v>480</v>
      </c>
      <c r="B43" s="306"/>
      <c r="C43" s="306"/>
      <c r="D43" s="289">
        <v>1.0214506E7</v>
      </c>
      <c r="E43" s="306"/>
      <c r="F43" s="306"/>
      <c r="H43" s="378">
        <v>2.0</v>
      </c>
      <c r="I43" s="392">
        <v>46016.0</v>
      </c>
      <c r="J43" s="289">
        <v>1.01461706E8</v>
      </c>
      <c r="K43" s="289">
        <f t="shared" ref="K43:K45" si="29">J43+K42</f>
        <v>203535883</v>
      </c>
      <c r="L43" s="380">
        <f t="shared" si="28"/>
        <v>0.1568935914</v>
      </c>
      <c r="M43" s="340"/>
      <c r="N43" s="289">
        <v>2.09275007E8</v>
      </c>
      <c r="O43" s="324"/>
    </row>
    <row r="44">
      <c r="A44" s="288" t="s">
        <v>481</v>
      </c>
      <c r="B44" s="306"/>
      <c r="C44" s="306"/>
      <c r="D44" s="306"/>
      <c r="E44" s="306"/>
      <c r="F44" s="309">
        <v>1.0E7</v>
      </c>
      <c r="H44" s="378">
        <v>3.0</v>
      </c>
      <c r="I44" s="392">
        <v>45683.0</v>
      </c>
      <c r="J44" s="289">
        <f>131640070+24803417</f>
        <v>156443487</v>
      </c>
      <c r="K44" s="289">
        <f t="shared" si="29"/>
        <v>359979370</v>
      </c>
      <c r="L44" s="380">
        <f t="shared" si="28"/>
        <v>0.2419137377</v>
      </c>
      <c r="M44" s="340">
        <f>N44/J46</f>
        <v>0.6763911389</v>
      </c>
      <c r="N44" s="289">
        <v>4.37416202E8</v>
      </c>
      <c r="O44" s="289"/>
    </row>
    <row r="45">
      <c r="A45" s="288" t="s">
        <v>449</v>
      </c>
      <c r="B45" s="306"/>
      <c r="C45" s="306"/>
      <c r="D45" s="306"/>
      <c r="E45" s="289"/>
      <c r="F45" s="309">
        <v>3.2E7</v>
      </c>
      <c r="H45" s="393">
        <v>4.0</v>
      </c>
      <c r="I45" s="394">
        <v>45748.0</v>
      </c>
      <c r="J45" s="320">
        <v>2.86711837E8</v>
      </c>
      <c r="K45" s="395">
        <f t="shared" si="29"/>
        <v>646691207</v>
      </c>
      <c r="L45" s="396">
        <f t="shared" si="28"/>
        <v>0.4433519954</v>
      </c>
      <c r="M45" s="367">
        <v>1.0</v>
      </c>
      <c r="N45" s="397"/>
      <c r="O45" s="398"/>
    </row>
    <row r="46">
      <c r="A46" s="47"/>
      <c r="B46" s="315"/>
      <c r="C46" s="315"/>
      <c r="D46" s="315"/>
      <c r="E46" s="315"/>
      <c r="F46" s="315"/>
      <c r="H46" s="370" t="s">
        <v>527</v>
      </c>
      <c r="I46" s="12"/>
      <c r="J46" s="375">
        <f>SUM(J42:J45)</f>
        <v>646691207</v>
      </c>
      <c r="K46" s="387"/>
      <c r="L46" s="373">
        <f>SUM(L42:L45)</f>
        <v>1</v>
      </c>
      <c r="M46" s="374"/>
      <c r="N46" s="375">
        <f>SUM(N42:N45)</f>
        <v>646691209</v>
      </c>
      <c r="O46" s="376">
        <f>N46/J46</f>
        <v>1.000000003</v>
      </c>
    </row>
    <row r="47">
      <c r="A47" s="294"/>
      <c r="B47" s="295">
        <f t="shared" ref="B47:F47" si="30">SUM(B49:B54)</f>
        <v>0</v>
      </c>
      <c r="C47" s="295">
        <f t="shared" si="30"/>
        <v>0</v>
      </c>
      <c r="D47" s="295">
        <f t="shared" si="30"/>
        <v>4233634</v>
      </c>
      <c r="E47" s="295">
        <f t="shared" si="30"/>
        <v>41859834</v>
      </c>
      <c r="F47" s="295">
        <f t="shared" si="30"/>
        <v>0</v>
      </c>
      <c r="N47" s="55">
        <f>J46-N46</f>
        <v>-2</v>
      </c>
    </row>
    <row r="48">
      <c r="A48" s="288" t="s">
        <v>482</v>
      </c>
      <c r="B48" s="285">
        <v>2022.0</v>
      </c>
      <c r="C48" s="285">
        <v>2023.0</v>
      </c>
      <c r="D48" s="285">
        <v>2024.0</v>
      </c>
      <c r="E48" s="285">
        <v>2025.0</v>
      </c>
      <c r="F48" s="286">
        <v>2026.0</v>
      </c>
      <c r="M48" s="148" t="s">
        <v>6</v>
      </c>
      <c r="N48" s="55">
        <v>1.7999999E7</v>
      </c>
    </row>
    <row r="49">
      <c r="A49" s="288" t="s">
        <v>483</v>
      </c>
      <c r="B49" s="306"/>
      <c r="C49" s="306"/>
      <c r="D49" s="319"/>
      <c r="E49" s="330"/>
      <c r="F49" s="306"/>
      <c r="G49" s="148">
        <v>9712183.0</v>
      </c>
    </row>
    <row r="50">
      <c r="A50" s="288" t="s">
        <v>484</v>
      </c>
      <c r="B50" s="306"/>
      <c r="C50" s="306"/>
      <c r="D50" s="306"/>
      <c r="E50" s="289"/>
      <c r="F50" s="306"/>
    </row>
    <row r="51">
      <c r="A51" s="288" t="s">
        <v>485</v>
      </c>
      <c r="B51" s="306"/>
      <c r="C51" s="324"/>
      <c r="D51" s="289">
        <v>4233634.0</v>
      </c>
      <c r="E51" s="399">
        <v>4199354.0</v>
      </c>
      <c r="F51" s="306"/>
    </row>
    <row r="52">
      <c r="A52" s="288" t="s">
        <v>486</v>
      </c>
      <c r="B52" s="306"/>
      <c r="C52" s="324"/>
      <c r="D52" s="306"/>
      <c r="E52" s="399">
        <v>2045561.0</v>
      </c>
      <c r="F52" s="306"/>
    </row>
    <row r="53">
      <c r="A53" s="288" t="s">
        <v>487</v>
      </c>
      <c r="B53" s="306"/>
      <c r="C53" s="306"/>
      <c r="D53" s="306"/>
      <c r="E53" s="306"/>
      <c r="F53" s="306"/>
      <c r="Q53" s="47"/>
      <c r="R53" s="47"/>
      <c r="S53" s="47"/>
      <c r="T53" s="47"/>
      <c r="U53" s="47"/>
      <c r="V53" s="47"/>
      <c r="W53" s="332"/>
      <c r="X53" s="47"/>
    </row>
    <row r="54">
      <c r="A54" s="288" t="s">
        <v>449</v>
      </c>
      <c r="B54" s="306"/>
      <c r="C54" s="306"/>
      <c r="D54" s="306"/>
      <c r="E54" s="399">
        <v>3.5614919E7</v>
      </c>
      <c r="F54" s="306"/>
      <c r="Q54" s="47"/>
      <c r="R54" s="285" t="s">
        <v>503</v>
      </c>
      <c r="S54" s="285" t="s">
        <v>536</v>
      </c>
      <c r="T54" s="285" t="s">
        <v>537</v>
      </c>
      <c r="U54" s="285" t="s">
        <v>538</v>
      </c>
      <c r="V54" s="285" t="s">
        <v>82</v>
      </c>
      <c r="W54" s="332"/>
      <c r="X54" s="47"/>
    </row>
    <row r="55">
      <c r="A55" s="47"/>
      <c r="B55" s="315"/>
      <c r="C55" s="315"/>
      <c r="D55" s="315"/>
      <c r="E55" s="315"/>
      <c r="F55" s="47"/>
      <c r="L55" s="318">
        <v>4.5E8</v>
      </c>
      <c r="Q55" s="47"/>
      <c r="R55" s="324"/>
      <c r="S55" s="324"/>
      <c r="T55" s="401"/>
      <c r="U55" s="402"/>
      <c r="V55" s="306"/>
      <c r="W55" s="332"/>
      <c r="X55" s="47"/>
    </row>
    <row r="56">
      <c r="A56" s="294"/>
      <c r="B56" s="295">
        <f t="shared" ref="B56:F56" si="31">SUM(B58:B61)</f>
        <v>0</v>
      </c>
      <c r="C56" s="295">
        <f t="shared" si="31"/>
        <v>0</v>
      </c>
      <c r="D56" s="295">
        <f t="shared" si="31"/>
        <v>0</v>
      </c>
      <c r="E56" s="295">
        <f t="shared" si="31"/>
        <v>0</v>
      </c>
      <c r="F56" s="295">
        <f t="shared" si="31"/>
        <v>0</v>
      </c>
      <c r="L56" s="55">
        <f>L55-J25</f>
        <v>229585007</v>
      </c>
      <c r="Q56" s="47"/>
      <c r="R56" s="403">
        <v>1.0</v>
      </c>
      <c r="S56" s="403">
        <v>10.0</v>
      </c>
      <c r="T56" s="404">
        <v>45271.0</v>
      </c>
      <c r="U56" s="289">
        <v>1.0E7</v>
      </c>
      <c r="V56" s="306"/>
      <c r="W56" s="129" t="s">
        <v>539</v>
      </c>
      <c r="X56" s="47"/>
    </row>
    <row r="57">
      <c r="A57" s="288" t="s">
        <v>489</v>
      </c>
      <c r="B57" s="285">
        <v>2022.0</v>
      </c>
      <c r="C57" s="285">
        <v>2023.0</v>
      </c>
      <c r="D57" s="285">
        <v>2024.0</v>
      </c>
      <c r="E57" s="285">
        <v>2025.0</v>
      </c>
      <c r="F57" s="286">
        <v>2026.0</v>
      </c>
      <c r="Q57" s="47"/>
      <c r="R57" s="47"/>
      <c r="S57" s="47"/>
      <c r="T57" s="47"/>
      <c r="U57" s="47"/>
      <c r="V57" s="47"/>
      <c r="W57" s="332"/>
      <c r="X57" s="47"/>
    </row>
    <row r="58">
      <c r="A58" s="288" t="s">
        <v>490</v>
      </c>
      <c r="B58" s="306"/>
      <c r="C58" s="306"/>
      <c r="D58" s="306"/>
      <c r="E58" s="306"/>
      <c r="F58" s="319"/>
      <c r="Q58" s="289">
        <v>8.6080359E7</v>
      </c>
      <c r="R58" s="403">
        <v>2.0</v>
      </c>
      <c r="S58" s="403">
        <v>15.0</v>
      </c>
      <c r="T58" s="404">
        <v>45422.0</v>
      </c>
      <c r="U58" s="289">
        <v>2.4432144E7</v>
      </c>
      <c r="V58" s="289">
        <f>U58</f>
        <v>24432144</v>
      </c>
      <c r="W58" s="129" t="s">
        <v>540</v>
      </c>
      <c r="X58" s="47"/>
    </row>
    <row r="59">
      <c r="A59" s="288" t="s">
        <v>491</v>
      </c>
      <c r="B59" s="306"/>
      <c r="C59" s="306"/>
      <c r="D59" s="306"/>
      <c r="E59" s="306"/>
      <c r="F59" s="319"/>
      <c r="J59" s="148" t="s">
        <v>541</v>
      </c>
      <c r="Q59" s="47"/>
      <c r="R59" s="403">
        <v>3.0</v>
      </c>
      <c r="S59" s="403">
        <v>22.0</v>
      </c>
      <c r="T59" s="404">
        <v>45678.0</v>
      </c>
      <c r="U59" s="289">
        <v>7173363.0</v>
      </c>
      <c r="V59" s="289">
        <f t="shared" ref="V59:V62" si="32">U59+V58</f>
        <v>31605507</v>
      </c>
      <c r="W59" s="129" t="s">
        <v>542</v>
      </c>
      <c r="X59" s="47"/>
    </row>
    <row r="60">
      <c r="A60" s="288" t="s">
        <v>492</v>
      </c>
      <c r="B60" s="306"/>
      <c r="C60" s="306"/>
      <c r="D60" s="306"/>
      <c r="E60" s="316"/>
      <c r="F60" s="306"/>
      <c r="J60" s="148" t="s">
        <v>483</v>
      </c>
      <c r="K60" s="410">
        <v>1.0E7</v>
      </c>
      <c r="L60" s="411">
        <v>46143.0</v>
      </c>
      <c r="M60" s="148" t="s">
        <v>543</v>
      </c>
      <c r="Q60" s="47"/>
      <c r="R60" s="403">
        <v>4.0</v>
      </c>
      <c r="S60" s="403">
        <v>26.0</v>
      </c>
      <c r="T60" s="404">
        <v>45829.0</v>
      </c>
      <c r="U60" s="289">
        <v>1.2912054E7</v>
      </c>
      <c r="V60" s="289">
        <f t="shared" si="32"/>
        <v>44517561</v>
      </c>
      <c r="W60" s="129" t="s">
        <v>544</v>
      </c>
      <c r="X60" s="47"/>
    </row>
    <row r="61">
      <c r="A61" s="288" t="s">
        <v>449</v>
      </c>
      <c r="B61" s="319"/>
      <c r="C61" s="319"/>
      <c r="D61" s="319"/>
      <c r="E61" s="319"/>
      <c r="F61" s="306"/>
      <c r="J61" s="148" t="s">
        <v>545</v>
      </c>
      <c r="K61" s="55">
        <f>J25</f>
        <v>220414993</v>
      </c>
      <c r="L61" s="74"/>
      <c r="Q61" s="47"/>
      <c r="R61" s="403">
        <v>5.0</v>
      </c>
      <c r="S61" s="413">
        <v>28.0</v>
      </c>
      <c r="T61" s="414">
        <v>45905.0</v>
      </c>
      <c r="U61" s="415">
        <v>7173363.0</v>
      </c>
      <c r="V61" s="289">
        <f t="shared" si="32"/>
        <v>51690924</v>
      </c>
      <c r="W61" s="129" t="s">
        <v>546</v>
      </c>
      <c r="X61" s="47"/>
    </row>
    <row r="62">
      <c r="A62" s="47"/>
      <c r="B62" s="315"/>
      <c r="C62" s="315"/>
      <c r="D62" s="315"/>
      <c r="E62" s="315"/>
      <c r="F62" s="47"/>
      <c r="J62" s="148" t="s">
        <v>547</v>
      </c>
      <c r="K62" s="410">
        <v>1.1E8</v>
      </c>
      <c r="L62" s="411">
        <v>46174.0</v>
      </c>
      <c r="M62" s="148" t="s">
        <v>548</v>
      </c>
      <c r="Q62" s="47"/>
      <c r="R62" s="403">
        <v>6.0</v>
      </c>
      <c r="S62" s="417"/>
      <c r="T62" s="417"/>
      <c r="U62" s="415">
        <v>7173363.0</v>
      </c>
      <c r="V62" s="289">
        <f t="shared" si="32"/>
        <v>58864287</v>
      </c>
      <c r="W62" s="129" t="s">
        <v>549</v>
      </c>
      <c r="X62" s="47"/>
    </row>
    <row r="63">
      <c r="A63" s="294"/>
      <c r="B63" s="295">
        <f t="shared" ref="B63:F63" si="33">SUM(B65:B67)</f>
        <v>1387792</v>
      </c>
      <c r="C63" s="295">
        <f t="shared" si="33"/>
        <v>2209990</v>
      </c>
      <c r="D63" s="295">
        <f t="shared" si="33"/>
        <v>27280519</v>
      </c>
      <c r="E63" s="295">
        <f t="shared" si="33"/>
        <v>27637368</v>
      </c>
      <c r="F63" s="295">
        <f t="shared" si="33"/>
        <v>20000000</v>
      </c>
      <c r="K63" s="410"/>
      <c r="L63" s="74"/>
      <c r="Q63" s="47"/>
      <c r="R63" s="403">
        <v>7.0</v>
      </c>
      <c r="S63" s="324"/>
      <c r="T63" s="324"/>
      <c r="U63" s="47"/>
      <c r="V63" s="306"/>
      <c r="W63" s="415"/>
      <c r="X63" s="47"/>
    </row>
    <row r="64">
      <c r="A64" s="288" t="s">
        <v>493</v>
      </c>
      <c r="B64" s="285">
        <v>2022.0</v>
      </c>
      <c r="C64" s="285">
        <v>2023.0</v>
      </c>
      <c r="D64" s="285">
        <v>2024.0</v>
      </c>
      <c r="E64" s="285">
        <v>2025.0</v>
      </c>
      <c r="F64" s="286">
        <v>2026.0</v>
      </c>
      <c r="J64" s="148" t="s">
        <v>550</v>
      </c>
      <c r="K64" s="410">
        <v>3.0E7</v>
      </c>
      <c r="L64" s="22" t="s">
        <v>551</v>
      </c>
      <c r="Q64" s="47"/>
      <c r="R64" s="47"/>
      <c r="S64" s="47"/>
      <c r="T64" s="47"/>
      <c r="U64" s="47"/>
      <c r="V64" s="419"/>
      <c r="X64" s="47"/>
    </row>
    <row r="65">
      <c r="A65" s="288" t="s">
        <v>494</v>
      </c>
      <c r="B65" s="309">
        <f>1306667+71475+9650</f>
        <v>1387792</v>
      </c>
      <c r="C65" s="309">
        <f>2209990</f>
        <v>2209990</v>
      </c>
      <c r="D65" s="316">
        <f>24644260+1232059</f>
        <v>25876319</v>
      </c>
      <c r="E65" s="309"/>
      <c r="F65" s="306"/>
      <c r="J65" s="148" t="s">
        <v>552</v>
      </c>
      <c r="K65" s="420">
        <v>1.5170428E7</v>
      </c>
      <c r="L65" s="411">
        <v>46143.0</v>
      </c>
      <c r="M65" s="148" t="s">
        <v>553</v>
      </c>
      <c r="Q65" s="47"/>
      <c r="R65" s="47"/>
      <c r="S65" s="47"/>
      <c r="T65" s="47"/>
      <c r="U65" s="47"/>
      <c r="V65" s="47"/>
      <c r="W65" s="332"/>
      <c r="X65" s="47"/>
    </row>
    <row r="66">
      <c r="A66" s="288" t="s">
        <v>495</v>
      </c>
      <c r="B66" s="306"/>
      <c r="C66" s="306"/>
      <c r="D66" s="309">
        <f>749700+654500</f>
        <v>1404200</v>
      </c>
      <c r="E66" s="309"/>
      <c r="F66" s="306"/>
      <c r="J66" s="148" t="s">
        <v>554</v>
      </c>
      <c r="K66" s="410">
        <v>1200000.0</v>
      </c>
      <c r="L66" s="22" t="s">
        <v>551</v>
      </c>
      <c r="Q66" s="47"/>
      <c r="S66" s="148" t="s">
        <v>555</v>
      </c>
      <c r="T66" s="148" t="s">
        <v>556</v>
      </c>
      <c r="U66" s="47"/>
      <c r="V66" s="47"/>
      <c r="W66" s="332"/>
      <c r="X66" s="47"/>
    </row>
    <row r="67">
      <c r="A67" s="288" t="s">
        <v>449</v>
      </c>
      <c r="B67" s="324"/>
      <c r="C67" s="324"/>
      <c r="D67" s="324"/>
      <c r="E67" s="316">
        <v>2.7637368E7</v>
      </c>
      <c r="F67" s="316">
        <f>20000000</f>
        <v>20000000</v>
      </c>
      <c r="J67" s="148" t="s">
        <v>557</v>
      </c>
      <c r="K67" s="410">
        <v>2000000.0</v>
      </c>
      <c r="L67" s="411">
        <v>46143.0</v>
      </c>
      <c r="Q67" s="315">
        <f>Q58</f>
        <v>86080359</v>
      </c>
      <c r="R67" s="47"/>
      <c r="S67" s="47"/>
      <c r="T67" s="47"/>
      <c r="U67" s="47"/>
      <c r="V67" s="47"/>
      <c r="W67" s="415">
        <f>Q58-V62</f>
        <v>27216072</v>
      </c>
      <c r="X67" s="47"/>
    </row>
    <row r="68">
      <c r="J68" s="148" t="s">
        <v>559</v>
      </c>
      <c r="K68" s="410">
        <v>5500000.0</v>
      </c>
      <c r="L68" s="74"/>
    </row>
    <row r="69">
      <c r="J69" s="148" t="s">
        <v>560</v>
      </c>
      <c r="K69" s="410">
        <v>1.2E7</v>
      </c>
      <c r="L69" s="411">
        <v>46143.0</v>
      </c>
      <c r="P69" s="423">
        <v>0.15</v>
      </c>
      <c r="Q69" s="129" t="s">
        <v>561</v>
      </c>
      <c r="R69" s="424">
        <f t="shared" ref="R69:R72" si="34">$Q$67*P69</f>
        <v>12912053.85</v>
      </c>
      <c r="S69" s="55">
        <f t="shared" ref="S69:S70" si="35">R69</f>
        <v>12912053.85</v>
      </c>
      <c r="T69" s="55">
        <f t="shared" ref="T69:T73" si="36">R69-S69</f>
        <v>0</v>
      </c>
    </row>
    <row r="70">
      <c r="J70" s="148" t="s">
        <v>485</v>
      </c>
      <c r="K70" s="410">
        <v>4000000.0</v>
      </c>
      <c r="L70" s="411">
        <v>46237.0</v>
      </c>
      <c r="P70" s="423">
        <v>0.25</v>
      </c>
      <c r="Q70" s="129" t="s">
        <v>562</v>
      </c>
      <c r="R70" s="424">
        <f t="shared" si="34"/>
        <v>21520089.75</v>
      </c>
      <c r="S70" s="55">
        <f t="shared" si="35"/>
        <v>21520089.75</v>
      </c>
      <c r="T70" s="55">
        <f t="shared" si="36"/>
        <v>0</v>
      </c>
    </row>
    <row r="71">
      <c r="L71" s="74"/>
      <c r="P71" s="423">
        <v>0.25</v>
      </c>
      <c r="Q71" s="129" t="s">
        <v>483</v>
      </c>
      <c r="R71" s="415">
        <f t="shared" si="34"/>
        <v>21520089.75</v>
      </c>
      <c r="S71" s="55">
        <f>U60</f>
        <v>12912054</v>
      </c>
      <c r="T71" s="55">
        <f t="shared" si="36"/>
        <v>8608035.75</v>
      </c>
    </row>
    <row r="72">
      <c r="P72" s="423">
        <v>0.25</v>
      </c>
      <c r="Q72" s="148" t="s">
        <v>563</v>
      </c>
      <c r="R72" s="424">
        <f t="shared" si="34"/>
        <v>21520089.75</v>
      </c>
      <c r="S72" s="55">
        <f>U62+U61+U59</f>
        <v>21520089</v>
      </c>
      <c r="T72" s="55">
        <f t="shared" si="36"/>
        <v>0.75</v>
      </c>
      <c r="W72" s="55">
        <f>V62+U56</f>
        <v>68864287</v>
      </c>
    </row>
    <row r="73">
      <c r="P73" s="423">
        <v>0.1</v>
      </c>
      <c r="Q73" s="425" t="s">
        <v>564</v>
      </c>
      <c r="R73" s="426">
        <f>P73*Q67</f>
        <v>8608035.9</v>
      </c>
      <c r="S73" s="148">
        <v>0.0</v>
      </c>
      <c r="T73" s="55">
        <f t="shared" si="36"/>
        <v>8608035.9</v>
      </c>
      <c r="U73" s="55">
        <f>T73/2</f>
        <v>4304017.95</v>
      </c>
    </row>
    <row r="74">
      <c r="K74" s="55">
        <f>SUM(K60:K67)</f>
        <v>388785421</v>
      </c>
      <c r="P74" s="302">
        <f>SUM(P69:P73)</f>
        <v>1</v>
      </c>
      <c r="R74" s="55">
        <f t="shared" ref="R74:T74" si="37">SUM(R69:R73)</f>
        <v>86080359</v>
      </c>
      <c r="S74" s="55">
        <f t="shared" si="37"/>
        <v>68864286.6</v>
      </c>
      <c r="T74" s="55">
        <f t="shared" si="37"/>
        <v>17216072.4</v>
      </c>
    </row>
    <row r="75">
      <c r="K75" s="58">
        <f>L55-K74</f>
        <v>61214579</v>
      </c>
    </row>
    <row r="90">
      <c r="C90" s="427" t="s">
        <v>565</v>
      </c>
      <c r="D90" s="428">
        <v>1.0E7</v>
      </c>
    </row>
    <row r="91">
      <c r="C91" s="427" t="s">
        <v>566</v>
      </c>
      <c r="D91" s="428">
        <v>5000000.0</v>
      </c>
    </row>
  </sheetData>
  <mergeCells count="18">
    <mergeCell ref="O30:O31"/>
    <mergeCell ref="M31:N31"/>
    <mergeCell ref="H4:H5"/>
    <mergeCell ref="I4:I5"/>
    <mergeCell ref="J4:M4"/>
    <mergeCell ref="O4:O5"/>
    <mergeCell ref="M5:N5"/>
    <mergeCell ref="H26:I26"/>
    <mergeCell ref="H30:H31"/>
    <mergeCell ref="I40:I41"/>
    <mergeCell ref="H46:I46"/>
    <mergeCell ref="I30:I31"/>
    <mergeCell ref="J30:M30"/>
    <mergeCell ref="H36:I36"/>
    <mergeCell ref="H40:H41"/>
    <mergeCell ref="J40:M40"/>
    <mergeCell ref="O40:O41"/>
    <mergeCell ref="M41:N41"/>
  </mergeCells>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7.14"/>
    <col customWidth="1" min="2" max="2" width="43.0"/>
    <col customWidth="1" min="3" max="3" width="8.71"/>
    <col customWidth="1" min="4" max="4" width="18.57"/>
    <col customWidth="1" min="5" max="5" width="13.57"/>
    <col customWidth="1" min="6" max="6" width="20.14"/>
    <col customWidth="1" min="7" max="7" width="58.43"/>
    <col customWidth="1" min="8" max="8" width="74.71"/>
    <col customWidth="1" min="9" max="9" width="15.86"/>
    <col customWidth="1" min="14" max="14" width="36.14"/>
    <col customWidth="1" min="15" max="15" width="9.57"/>
    <col customWidth="1" min="16" max="16" width="2.29"/>
    <col customWidth="1" min="17" max="17" width="49.14"/>
    <col customWidth="1" min="18" max="18" width="5.14"/>
    <col customWidth="1" min="19" max="19" width="5.71"/>
    <col customWidth="1" min="20" max="20" width="33.43"/>
    <col customWidth="1" min="21" max="21" width="21.71"/>
    <col customWidth="1" min="22" max="22" width="40.43"/>
  </cols>
  <sheetData>
    <row r="1">
      <c r="A1" s="82"/>
      <c r="B1" s="82"/>
      <c r="C1" s="82"/>
      <c r="D1" s="82"/>
      <c r="E1" s="82"/>
      <c r="F1" s="82"/>
      <c r="G1" s="82"/>
      <c r="H1" s="82"/>
      <c r="I1" s="82"/>
      <c r="J1" s="431"/>
      <c r="K1" s="82"/>
      <c r="L1" s="82"/>
      <c r="M1" s="82"/>
      <c r="N1" s="82"/>
      <c r="O1" s="82"/>
      <c r="P1" s="82"/>
      <c r="Q1" s="82"/>
      <c r="R1" s="82"/>
      <c r="S1" s="82"/>
      <c r="T1" s="82"/>
      <c r="U1" s="82"/>
      <c r="V1" s="82"/>
      <c r="W1" s="82"/>
      <c r="X1" s="82"/>
      <c r="Y1" s="82"/>
      <c r="Z1" s="82"/>
      <c r="AA1" s="82"/>
      <c r="AB1" s="82"/>
      <c r="AC1" s="82"/>
    </row>
    <row r="2">
      <c r="A2" s="432"/>
      <c r="B2" s="432" t="s">
        <v>571</v>
      </c>
      <c r="C2" s="432" t="s">
        <v>572</v>
      </c>
      <c r="D2" s="432" t="s">
        <v>573</v>
      </c>
      <c r="E2" s="432" t="s">
        <v>574</v>
      </c>
      <c r="F2" s="432" t="s">
        <v>575</v>
      </c>
      <c r="G2" s="432" t="s">
        <v>2</v>
      </c>
      <c r="H2" s="432" t="s">
        <v>576</v>
      </c>
      <c r="I2" s="432" t="s">
        <v>577</v>
      </c>
      <c r="J2" s="432" t="s">
        <v>578</v>
      </c>
      <c r="K2" s="432" t="s">
        <v>7</v>
      </c>
      <c r="L2" s="432" t="s">
        <v>579</v>
      </c>
      <c r="M2" s="432" t="s">
        <v>580</v>
      </c>
      <c r="N2" s="432" t="s">
        <v>581</v>
      </c>
      <c r="O2" s="432" t="s">
        <v>582</v>
      </c>
      <c r="P2" s="432"/>
      <c r="Q2" s="432" t="s">
        <v>583</v>
      </c>
      <c r="R2" s="432" t="s">
        <v>578</v>
      </c>
      <c r="S2" s="432" t="s">
        <v>584</v>
      </c>
      <c r="T2" s="432" t="s">
        <v>585</v>
      </c>
      <c r="U2" s="432" t="s">
        <v>586</v>
      </c>
      <c r="V2" s="432" t="s">
        <v>587</v>
      </c>
      <c r="W2" s="432"/>
      <c r="X2" s="432"/>
      <c r="Y2" s="432"/>
      <c r="Z2" s="432"/>
      <c r="AA2" s="432"/>
      <c r="AB2" s="432"/>
      <c r="AC2" s="432"/>
    </row>
    <row r="3">
      <c r="A3" s="129" t="s">
        <v>327</v>
      </c>
      <c r="B3" s="47" t="s">
        <v>588</v>
      </c>
      <c r="C3" s="47" t="s">
        <v>589</v>
      </c>
      <c r="D3" s="47" t="s">
        <v>200</v>
      </c>
      <c r="E3" s="47" t="s">
        <v>576</v>
      </c>
      <c r="F3" s="47" t="s">
        <v>364</v>
      </c>
      <c r="G3" s="47" t="s">
        <v>18</v>
      </c>
      <c r="H3" s="433" t="s">
        <v>141</v>
      </c>
      <c r="I3" s="47" t="s">
        <v>74</v>
      </c>
      <c r="J3" s="434"/>
      <c r="K3" s="435"/>
      <c r="L3" s="47" t="s">
        <v>590</v>
      </c>
      <c r="M3" s="436">
        <v>1.0</v>
      </c>
      <c r="N3" s="437" t="s">
        <v>591</v>
      </c>
      <c r="O3" s="438">
        <v>1.1662472E7</v>
      </c>
      <c r="P3" s="439">
        <v>9.0</v>
      </c>
      <c r="Q3" s="437" t="s">
        <v>592</v>
      </c>
      <c r="R3" s="437"/>
      <c r="S3" s="437"/>
      <c r="T3" s="437" t="s">
        <v>593</v>
      </c>
      <c r="U3" s="437" t="s">
        <v>594</v>
      </c>
      <c r="V3" s="440"/>
      <c r="W3" s="419"/>
      <c r="X3" s="419"/>
      <c r="Y3" s="47"/>
      <c r="Z3" s="47"/>
      <c r="AA3" s="47"/>
      <c r="AB3" s="47"/>
      <c r="AC3" s="47"/>
    </row>
    <row r="4">
      <c r="A4" s="129" t="s">
        <v>283</v>
      </c>
      <c r="B4" s="47" t="s">
        <v>595</v>
      </c>
      <c r="C4" s="47" t="s">
        <v>596</v>
      </c>
      <c r="D4" s="47" t="s">
        <v>597</v>
      </c>
      <c r="E4" s="47" t="s">
        <v>598</v>
      </c>
      <c r="F4" s="47" t="s">
        <v>244</v>
      </c>
      <c r="G4" s="47" t="s">
        <v>75</v>
      </c>
      <c r="H4" s="441" t="s">
        <v>210</v>
      </c>
      <c r="I4" s="47" t="s">
        <v>101</v>
      </c>
      <c r="J4" s="434"/>
      <c r="K4" s="435"/>
      <c r="L4" s="47" t="s">
        <v>599</v>
      </c>
      <c r="M4" s="442">
        <v>2.0</v>
      </c>
      <c r="N4" s="437" t="s">
        <v>600</v>
      </c>
      <c r="O4" s="438">
        <v>7.6814443E7</v>
      </c>
      <c r="P4" s="439">
        <v>5.0</v>
      </c>
      <c r="Q4" s="437" t="s">
        <v>601</v>
      </c>
      <c r="R4" s="437"/>
      <c r="S4" s="437"/>
      <c r="T4" s="437" t="s">
        <v>602</v>
      </c>
      <c r="U4" s="437" t="s">
        <v>603</v>
      </c>
      <c r="V4" s="437" t="s">
        <v>604</v>
      </c>
      <c r="W4" s="419"/>
      <c r="X4" s="419"/>
      <c r="Y4" s="47"/>
      <c r="Z4" s="419"/>
      <c r="AA4" s="47"/>
      <c r="AB4" s="419"/>
      <c r="AC4" s="47"/>
    </row>
    <row r="5">
      <c r="A5" s="129" t="s">
        <v>343</v>
      </c>
      <c r="B5" s="47" t="s">
        <v>605</v>
      </c>
      <c r="C5" s="47" t="s">
        <v>606</v>
      </c>
      <c r="D5" s="47" t="s">
        <v>300</v>
      </c>
      <c r="E5" s="47" t="s">
        <v>607</v>
      </c>
      <c r="F5" s="47" t="s">
        <v>608</v>
      </c>
      <c r="G5" s="47" t="s">
        <v>90</v>
      </c>
      <c r="H5" s="444" t="s">
        <v>217</v>
      </c>
      <c r="I5" s="47" t="s">
        <v>117</v>
      </c>
      <c r="J5" s="434"/>
      <c r="K5" s="435"/>
      <c r="L5" s="47"/>
      <c r="M5" s="445">
        <v>3.0</v>
      </c>
      <c r="N5" s="437" t="s">
        <v>609</v>
      </c>
      <c r="O5" s="438">
        <v>7.7648798E7</v>
      </c>
      <c r="P5" s="439">
        <v>8.0</v>
      </c>
      <c r="Q5" s="437" t="s">
        <v>610</v>
      </c>
      <c r="R5" s="437"/>
      <c r="S5" s="437"/>
      <c r="T5" s="437" t="s">
        <v>611</v>
      </c>
      <c r="U5" s="437" t="s">
        <v>594</v>
      </c>
      <c r="V5" s="440"/>
      <c r="W5" s="419"/>
      <c r="X5" s="419"/>
      <c r="Y5" s="419"/>
      <c r="Z5" s="419"/>
      <c r="AA5" s="47"/>
      <c r="AB5" s="419"/>
      <c r="AC5" s="47"/>
    </row>
    <row r="6">
      <c r="A6" s="129" t="s">
        <v>612</v>
      </c>
      <c r="B6" s="47" t="s">
        <v>613</v>
      </c>
      <c r="C6" s="47" t="s">
        <v>614</v>
      </c>
      <c r="D6" s="47" t="s">
        <v>376</v>
      </c>
      <c r="E6" s="47" t="s">
        <v>615</v>
      </c>
      <c r="F6" s="47" t="s">
        <v>321</v>
      </c>
      <c r="G6" s="129" t="s">
        <v>98</v>
      </c>
      <c r="H6" s="446" t="s">
        <v>234</v>
      </c>
      <c r="I6" s="47" t="s">
        <v>135</v>
      </c>
      <c r="J6" s="434"/>
      <c r="K6" s="435"/>
      <c r="L6" s="47"/>
      <c r="M6" s="47"/>
      <c r="N6" s="437" t="s">
        <v>616</v>
      </c>
      <c r="O6" s="438">
        <v>7.7094631E7</v>
      </c>
      <c r="P6" s="439" t="s">
        <v>617</v>
      </c>
      <c r="Q6" s="437" t="s">
        <v>618</v>
      </c>
      <c r="R6" s="437"/>
      <c r="S6" s="437"/>
      <c r="T6" s="437" t="s">
        <v>619</v>
      </c>
      <c r="U6" s="437" t="s">
        <v>594</v>
      </c>
      <c r="V6" s="440"/>
      <c r="W6" s="419"/>
      <c r="X6" s="419"/>
      <c r="Y6" s="419"/>
      <c r="Z6" s="419"/>
      <c r="AA6" s="47"/>
      <c r="AB6" s="419"/>
      <c r="AC6" s="47"/>
    </row>
    <row r="7">
      <c r="A7" s="129" t="s">
        <v>620</v>
      </c>
      <c r="B7" s="47" t="s">
        <v>621</v>
      </c>
      <c r="C7" s="47" t="s">
        <v>622</v>
      </c>
      <c r="D7" s="47" t="s">
        <v>291</v>
      </c>
      <c r="E7" s="47" t="s">
        <v>623</v>
      </c>
      <c r="F7" s="47" t="s">
        <v>624</v>
      </c>
      <c r="G7" s="129" t="s">
        <v>107</v>
      </c>
      <c r="H7" s="447" t="s">
        <v>243</v>
      </c>
      <c r="I7" s="47" t="s">
        <v>139</v>
      </c>
      <c r="J7" s="434"/>
      <c r="K7" s="435"/>
      <c r="L7" s="47"/>
      <c r="M7" s="47"/>
      <c r="N7" s="437" t="s">
        <v>625</v>
      </c>
      <c r="O7" s="438">
        <v>7.6403114E7</v>
      </c>
      <c r="P7" s="439">
        <v>8.0</v>
      </c>
      <c r="Q7" s="437" t="s">
        <v>626</v>
      </c>
      <c r="R7" s="437"/>
      <c r="S7" s="437"/>
      <c r="T7" s="437" t="s">
        <v>627</v>
      </c>
      <c r="U7" s="437" t="s">
        <v>603</v>
      </c>
      <c r="V7" s="437" t="s">
        <v>604</v>
      </c>
      <c r="W7" s="419"/>
      <c r="X7" s="419"/>
      <c r="Y7" s="47"/>
      <c r="Z7" s="419"/>
      <c r="AA7" s="47"/>
      <c r="AB7" s="419"/>
      <c r="AC7" s="47"/>
    </row>
    <row r="8">
      <c r="A8" s="129" t="s">
        <v>275</v>
      </c>
      <c r="B8" s="47" t="s">
        <v>628</v>
      </c>
      <c r="C8" s="47" t="s">
        <v>629</v>
      </c>
      <c r="D8" s="47"/>
      <c r="E8" s="47" t="s">
        <v>630</v>
      </c>
      <c r="F8" s="47" t="s">
        <v>219</v>
      </c>
      <c r="H8" s="446" t="s">
        <v>250</v>
      </c>
      <c r="I8" s="47" t="s">
        <v>142</v>
      </c>
      <c r="J8" s="434"/>
      <c r="K8" s="435"/>
      <c r="L8" s="47"/>
      <c r="M8" s="47"/>
      <c r="N8" s="437" t="s">
        <v>631</v>
      </c>
      <c r="O8" s="438">
        <v>7.7667513E7</v>
      </c>
      <c r="P8" s="439" t="s">
        <v>632</v>
      </c>
      <c r="Q8" s="437" t="s">
        <v>631</v>
      </c>
      <c r="R8" s="437"/>
      <c r="S8" s="437"/>
      <c r="T8" s="437" t="s">
        <v>633</v>
      </c>
      <c r="U8" s="437" t="s">
        <v>594</v>
      </c>
      <c r="V8" s="440"/>
      <c r="W8" s="419"/>
      <c r="X8" s="419"/>
      <c r="Y8" s="47"/>
      <c r="Z8" s="419"/>
      <c r="AA8" s="47"/>
      <c r="AB8" s="419"/>
      <c r="AC8" s="47"/>
    </row>
    <row r="9">
      <c r="A9" s="129" t="s">
        <v>174</v>
      </c>
      <c r="B9" s="47" t="s">
        <v>277</v>
      </c>
      <c r="C9" s="47" t="s">
        <v>634</v>
      </c>
      <c r="D9" s="47"/>
      <c r="E9" s="47" t="s">
        <v>635</v>
      </c>
      <c r="F9" s="47" t="s">
        <v>269</v>
      </c>
      <c r="G9" s="47"/>
      <c r="H9" s="447" t="s">
        <v>288</v>
      </c>
      <c r="I9" s="47" t="s">
        <v>144</v>
      </c>
      <c r="J9" s="434"/>
      <c r="K9" s="435"/>
      <c r="L9" s="47"/>
      <c r="M9" s="47"/>
      <c r="N9" s="437" t="s">
        <v>636</v>
      </c>
      <c r="O9" s="438">
        <v>9346688.0</v>
      </c>
      <c r="P9" s="439">
        <v>8.0</v>
      </c>
      <c r="Q9" s="437" t="s">
        <v>637</v>
      </c>
      <c r="R9" s="437"/>
      <c r="S9" s="437"/>
      <c r="T9" s="437" t="s">
        <v>638</v>
      </c>
      <c r="U9" s="437" t="s">
        <v>594</v>
      </c>
      <c r="V9" s="440"/>
      <c r="W9" s="47"/>
      <c r="X9" s="47"/>
      <c r="Y9" s="47"/>
      <c r="Z9" s="419"/>
      <c r="AA9" s="47"/>
      <c r="AB9" s="419"/>
      <c r="AC9" s="47"/>
    </row>
    <row r="10">
      <c r="A10" s="129" t="s">
        <v>221</v>
      </c>
      <c r="B10" s="47" t="s">
        <v>639</v>
      </c>
      <c r="C10" s="47" t="s">
        <v>640</v>
      </c>
      <c r="D10" s="47"/>
      <c r="E10" s="47" t="s">
        <v>641</v>
      </c>
      <c r="F10" s="47" t="s">
        <v>257</v>
      </c>
      <c r="H10" s="446" t="s">
        <v>297</v>
      </c>
      <c r="I10" s="47" t="s">
        <v>170</v>
      </c>
      <c r="J10" s="434"/>
      <c r="K10" s="435"/>
      <c r="L10" s="47"/>
      <c r="M10" s="47"/>
      <c r="N10" s="437" t="s">
        <v>642</v>
      </c>
      <c r="O10" s="438">
        <v>7.6908161E7</v>
      </c>
      <c r="P10" s="439">
        <v>5.0</v>
      </c>
      <c r="Q10" s="437" t="s">
        <v>643</v>
      </c>
      <c r="R10" s="437"/>
      <c r="S10" s="437"/>
      <c r="T10" s="437" t="s">
        <v>644</v>
      </c>
      <c r="U10" s="437" t="s">
        <v>594</v>
      </c>
      <c r="V10" s="440"/>
      <c r="W10" s="47"/>
      <c r="X10" s="47"/>
      <c r="Y10" s="47"/>
      <c r="Z10" s="47"/>
      <c r="AA10" s="47"/>
      <c r="AB10" s="419"/>
      <c r="AC10" s="47"/>
    </row>
    <row r="11">
      <c r="A11" s="129" t="s">
        <v>645</v>
      </c>
      <c r="B11" s="47" t="s">
        <v>646</v>
      </c>
      <c r="C11" s="47" t="s">
        <v>647</v>
      </c>
      <c r="D11" s="47"/>
      <c r="E11" s="47"/>
      <c r="F11" s="47" t="s">
        <v>648</v>
      </c>
      <c r="H11" s="447" t="s">
        <v>302</v>
      </c>
      <c r="I11" s="129" t="s">
        <v>649</v>
      </c>
      <c r="J11" s="434"/>
      <c r="K11" s="435"/>
      <c r="L11" s="47"/>
      <c r="M11" s="47"/>
      <c r="N11" s="437" t="s">
        <v>650</v>
      </c>
      <c r="O11" s="438">
        <v>7.6956078E7</v>
      </c>
      <c r="P11" s="439">
        <v>5.0</v>
      </c>
      <c r="Q11" s="437" t="s">
        <v>651</v>
      </c>
      <c r="R11" s="437"/>
      <c r="S11" s="437"/>
      <c r="T11" s="437" t="s">
        <v>652</v>
      </c>
      <c r="U11" s="437" t="s">
        <v>594</v>
      </c>
      <c r="V11" s="440"/>
      <c r="W11" s="47"/>
      <c r="X11" s="47"/>
      <c r="Y11" s="47"/>
      <c r="Z11" s="47"/>
      <c r="AA11" s="47"/>
      <c r="AB11" s="419"/>
      <c r="AC11" s="47"/>
    </row>
    <row r="12">
      <c r="A12" s="129" t="s">
        <v>208</v>
      </c>
      <c r="B12" s="47" t="s">
        <v>653</v>
      </c>
      <c r="C12" s="47" t="s">
        <v>654</v>
      </c>
      <c r="D12" s="47"/>
      <c r="E12" s="47"/>
      <c r="F12" s="47" t="s">
        <v>197</v>
      </c>
      <c r="G12" s="47"/>
      <c r="H12" s="446" t="s">
        <v>311</v>
      </c>
      <c r="I12" s="47" t="s">
        <v>207</v>
      </c>
      <c r="J12" s="434"/>
      <c r="K12" s="435"/>
      <c r="L12" s="47"/>
      <c r="M12" s="47"/>
      <c r="N12" s="437" t="s">
        <v>655</v>
      </c>
      <c r="O12" s="438">
        <v>7.7223324E7</v>
      </c>
      <c r="P12" s="439">
        <v>8.0</v>
      </c>
      <c r="Q12" s="437" t="s">
        <v>656</v>
      </c>
      <c r="R12" s="437"/>
      <c r="S12" s="437"/>
      <c r="T12" s="437" t="s">
        <v>657</v>
      </c>
      <c r="U12" s="437" t="s">
        <v>603</v>
      </c>
      <c r="V12" s="437" t="s">
        <v>658</v>
      </c>
      <c r="W12" s="47"/>
      <c r="X12" s="47"/>
      <c r="Y12" s="47"/>
      <c r="Z12" s="47"/>
      <c r="AA12" s="47"/>
      <c r="AB12" s="47"/>
      <c r="AC12" s="47"/>
    </row>
    <row r="13">
      <c r="A13" s="129" t="s">
        <v>192</v>
      </c>
      <c r="B13" s="47" t="s">
        <v>322</v>
      </c>
      <c r="C13" s="47" t="s">
        <v>659</v>
      </c>
      <c r="D13" s="47"/>
      <c r="E13" s="47"/>
      <c r="F13" s="47" t="s">
        <v>261</v>
      </c>
      <c r="G13" s="47"/>
      <c r="H13" s="447" t="s">
        <v>316</v>
      </c>
      <c r="I13" s="148" t="s">
        <v>147</v>
      </c>
      <c r="J13" s="434"/>
      <c r="K13" s="435"/>
      <c r="L13" s="47"/>
      <c r="M13" s="47"/>
      <c r="N13" s="437" t="s">
        <v>660</v>
      </c>
      <c r="O13" s="438">
        <v>7.6307697E7</v>
      </c>
      <c r="P13" s="439">
        <v>0.0</v>
      </c>
      <c r="Q13" s="437" t="s">
        <v>661</v>
      </c>
      <c r="R13" s="437"/>
      <c r="S13" s="437"/>
      <c r="T13" s="437" t="s">
        <v>662</v>
      </c>
      <c r="U13" s="437" t="s">
        <v>594</v>
      </c>
      <c r="V13" s="440"/>
      <c r="W13" s="419"/>
      <c r="X13" s="47"/>
      <c r="Y13" s="47"/>
      <c r="Z13" s="47"/>
      <c r="AA13" s="47"/>
      <c r="AB13" s="47"/>
      <c r="AC13" s="47"/>
    </row>
    <row r="14">
      <c r="A14" s="129" t="s">
        <v>192</v>
      </c>
      <c r="B14" s="47" t="s">
        <v>198</v>
      </c>
      <c r="C14" s="47" t="s">
        <v>663</v>
      </c>
      <c r="D14" s="47"/>
      <c r="E14" s="47"/>
      <c r="F14" s="47"/>
      <c r="G14" s="47"/>
      <c r="H14" s="448" t="s">
        <v>344</v>
      </c>
      <c r="I14" s="47"/>
      <c r="J14" s="47"/>
      <c r="K14" s="47"/>
      <c r="L14" s="47"/>
      <c r="M14" s="47"/>
      <c r="N14" s="437" t="s">
        <v>664</v>
      </c>
      <c r="O14" s="438">
        <v>7.7950451E7</v>
      </c>
      <c r="P14" s="439">
        <v>4.0</v>
      </c>
      <c r="Q14" s="437" t="s">
        <v>665</v>
      </c>
      <c r="R14" s="437"/>
      <c r="S14" s="437"/>
      <c r="T14" s="437" t="s">
        <v>666</v>
      </c>
      <c r="U14" s="437" t="s">
        <v>594</v>
      </c>
      <c r="V14" s="440"/>
      <c r="W14" s="419"/>
      <c r="X14" s="47"/>
      <c r="Y14" s="47"/>
      <c r="Z14" s="47"/>
      <c r="AA14" s="47"/>
      <c r="AB14" s="47"/>
      <c r="AC14" s="47"/>
    </row>
    <row r="15">
      <c r="A15" s="129" t="s">
        <v>667</v>
      </c>
      <c r="B15" s="47" t="s">
        <v>668</v>
      </c>
      <c r="C15" s="47" t="s">
        <v>669</v>
      </c>
      <c r="D15" s="47"/>
      <c r="E15" s="47"/>
      <c r="F15" s="47"/>
      <c r="G15" s="47"/>
      <c r="H15" s="447" t="s">
        <v>348</v>
      </c>
      <c r="I15" s="47"/>
      <c r="J15" s="47"/>
      <c r="K15" s="47"/>
      <c r="L15" s="47"/>
      <c r="M15" s="47"/>
      <c r="N15" s="437" t="s">
        <v>670</v>
      </c>
      <c r="O15" s="438">
        <v>7.7192604E7</v>
      </c>
      <c r="P15" s="439">
        <v>5.0</v>
      </c>
      <c r="Q15" s="437" t="s">
        <v>671</v>
      </c>
      <c r="R15" s="437"/>
      <c r="S15" s="437"/>
      <c r="T15" s="437" t="s">
        <v>672</v>
      </c>
      <c r="U15" s="437" t="s">
        <v>594</v>
      </c>
      <c r="V15" s="440"/>
      <c r="W15" s="419"/>
      <c r="X15" s="47"/>
      <c r="Y15" s="47"/>
      <c r="Z15" s="47"/>
      <c r="AA15" s="47"/>
      <c r="AB15" s="47"/>
      <c r="AC15" s="47"/>
    </row>
    <row r="16">
      <c r="A16" s="129" t="s">
        <v>227</v>
      </c>
      <c r="B16" s="47" t="s">
        <v>290</v>
      </c>
      <c r="C16" s="47" t="s">
        <v>673</v>
      </c>
      <c r="D16" s="47"/>
      <c r="E16" s="47"/>
      <c r="F16" s="47"/>
      <c r="G16" s="47"/>
      <c r="H16" s="446" t="s">
        <v>320</v>
      </c>
      <c r="I16" s="47"/>
      <c r="J16" s="47"/>
      <c r="K16" s="47"/>
      <c r="L16" s="47"/>
      <c r="M16" s="47"/>
      <c r="N16" s="437" t="s">
        <v>225</v>
      </c>
      <c r="O16" s="438">
        <v>7.7712479E7</v>
      </c>
      <c r="P16" s="439" t="s">
        <v>617</v>
      </c>
      <c r="Q16" s="437" t="s">
        <v>225</v>
      </c>
      <c r="R16" s="437"/>
      <c r="S16" s="437"/>
      <c r="T16" s="437" t="s">
        <v>674</v>
      </c>
      <c r="U16" s="437" t="s">
        <v>603</v>
      </c>
      <c r="V16" s="437" t="s">
        <v>675</v>
      </c>
      <c r="W16" s="47"/>
      <c r="X16" s="47"/>
      <c r="Y16" s="47"/>
      <c r="Z16" s="47"/>
      <c r="AA16" s="47"/>
      <c r="AB16" s="47"/>
      <c r="AC16" s="47"/>
    </row>
    <row r="17">
      <c r="A17" s="129" t="s">
        <v>676</v>
      </c>
      <c r="B17" s="47" t="s">
        <v>677</v>
      </c>
      <c r="C17" s="47" t="s">
        <v>678</v>
      </c>
      <c r="D17" s="47"/>
      <c r="E17" s="47"/>
      <c r="F17" s="47"/>
      <c r="G17" s="47"/>
      <c r="H17" s="449" t="s">
        <v>374</v>
      </c>
      <c r="I17" s="47"/>
      <c r="J17" s="47"/>
      <c r="K17" s="47"/>
      <c r="L17" s="47"/>
      <c r="M17" s="47"/>
      <c r="N17" s="437" t="s">
        <v>679</v>
      </c>
      <c r="O17" s="438">
        <v>7.7242835E7</v>
      </c>
      <c r="P17" s="439">
        <v>9.0</v>
      </c>
      <c r="Q17" s="437" t="s">
        <v>680</v>
      </c>
      <c r="R17" s="437"/>
      <c r="S17" s="437"/>
      <c r="T17" s="437" t="s">
        <v>681</v>
      </c>
      <c r="U17" s="437" t="s">
        <v>603</v>
      </c>
      <c r="V17" s="437" t="s">
        <v>682</v>
      </c>
      <c r="W17" s="47"/>
      <c r="X17" s="47"/>
      <c r="Y17" s="47"/>
      <c r="Z17" s="47"/>
      <c r="AA17" s="47"/>
      <c r="AB17" s="47"/>
      <c r="AC17" s="47"/>
    </row>
    <row r="18">
      <c r="A18" s="129" t="s">
        <v>683</v>
      </c>
      <c r="B18" s="47" t="s">
        <v>245</v>
      </c>
      <c r="C18" s="47" t="s">
        <v>684</v>
      </c>
      <c r="D18" s="47"/>
      <c r="E18" s="47"/>
      <c r="F18" s="47"/>
      <c r="G18" s="47"/>
      <c r="H18" s="446" t="s">
        <v>312</v>
      </c>
      <c r="I18" s="47"/>
      <c r="J18" s="47"/>
      <c r="K18" s="47"/>
      <c r="L18" s="47"/>
      <c r="M18" s="47"/>
      <c r="N18" s="437" t="s">
        <v>685</v>
      </c>
      <c r="O18" s="438">
        <v>8.85669E7</v>
      </c>
      <c r="P18" s="439" t="s">
        <v>632</v>
      </c>
      <c r="Q18" s="437" t="s">
        <v>686</v>
      </c>
      <c r="R18" s="450"/>
      <c r="S18" s="450"/>
      <c r="T18" s="451" t="s">
        <v>687</v>
      </c>
      <c r="U18" s="437" t="s">
        <v>594</v>
      </c>
      <c r="V18" s="440"/>
      <c r="W18" s="47"/>
      <c r="X18" s="47"/>
      <c r="Y18" s="47"/>
      <c r="Z18" s="47"/>
      <c r="AA18" s="47"/>
      <c r="AB18" s="47"/>
      <c r="AC18" s="47"/>
    </row>
    <row r="19">
      <c r="A19" s="129" t="s">
        <v>411</v>
      </c>
      <c r="B19" s="47"/>
      <c r="C19" s="47" t="s">
        <v>688</v>
      </c>
      <c r="D19" s="47"/>
      <c r="E19" s="47"/>
      <c r="F19" s="47"/>
      <c r="G19" s="47"/>
      <c r="H19" s="447" t="s">
        <v>387</v>
      </c>
      <c r="I19" s="47"/>
      <c r="J19" s="47"/>
      <c r="K19" s="47"/>
      <c r="L19" s="47"/>
      <c r="M19" s="47"/>
      <c r="N19" s="437" t="s">
        <v>689</v>
      </c>
      <c r="O19" s="438">
        <v>8202873.0</v>
      </c>
      <c r="P19" s="439">
        <v>0.0</v>
      </c>
      <c r="Q19" s="437" t="s">
        <v>690</v>
      </c>
      <c r="R19" s="437"/>
      <c r="S19" s="437"/>
      <c r="T19" s="437" t="s">
        <v>691</v>
      </c>
      <c r="U19" s="437" t="s">
        <v>594</v>
      </c>
      <c r="V19" s="440"/>
      <c r="W19" s="452"/>
      <c r="X19" s="47"/>
      <c r="Y19" s="47"/>
      <c r="Z19" s="47"/>
      <c r="AA19" s="47"/>
      <c r="AB19" s="47"/>
      <c r="AC19" s="47"/>
    </row>
    <row r="20">
      <c r="A20" s="47"/>
      <c r="B20" s="47"/>
      <c r="C20" s="47" t="s">
        <v>692</v>
      </c>
      <c r="D20" s="47"/>
      <c r="E20" s="47"/>
      <c r="F20" s="47"/>
      <c r="G20" s="47"/>
      <c r="H20" s="446" t="s">
        <v>397</v>
      </c>
      <c r="I20" s="47"/>
      <c r="J20" s="47"/>
      <c r="K20" s="47"/>
      <c r="L20" s="47"/>
      <c r="M20" s="47"/>
      <c r="N20" s="437" t="s">
        <v>693</v>
      </c>
      <c r="O20" s="438">
        <v>7.7976076E7</v>
      </c>
      <c r="P20" s="439">
        <v>6.0</v>
      </c>
      <c r="Q20" s="437" t="s">
        <v>694</v>
      </c>
      <c r="R20" s="437"/>
      <c r="S20" s="437"/>
      <c r="T20" s="437" t="s">
        <v>695</v>
      </c>
      <c r="U20" s="437" t="s">
        <v>603</v>
      </c>
      <c r="V20" s="437" t="s">
        <v>696</v>
      </c>
      <c r="W20" s="419"/>
      <c r="X20" s="47"/>
      <c r="Y20" s="47"/>
      <c r="Z20" s="47"/>
      <c r="AA20" s="47"/>
      <c r="AB20" s="47"/>
      <c r="AC20" s="47"/>
    </row>
    <row r="21">
      <c r="A21" s="47"/>
      <c r="B21" s="47"/>
      <c r="C21" s="47" t="s">
        <v>697</v>
      </c>
      <c r="D21" s="47"/>
      <c r="E21" s="47"/>
      <c r="F21" s="47"/>
      <c r="G21" s="47"/>
      <c r="H21" s="447" t="s">
        <v>412</v>
      </c>
      <c r="I21" s="47"/>
      <c r="J21" s="47"/>
      <c r="K21" s="47"/>
      <c r="L21" s="47"/>
      <c r="M21" s="47"/>
      <c r="N21" s="437" t="s">
        <v>698</v>
      </c>
      <c r="O21" s="438">
        <v>7.990392E7</v>
      </c>
      <c r="P21" s="439">
        <v>6.0</v>
      </c>
      <c r="Q21" s="437" t="s">
        <v>698</v>
      </c>
      <c r="R21" s="437"/>
      <c r="S21" s="437"/>
      <c r="T21" s="437" t="s">
        <v>699</v>
      </c>
      <c r="U21" s="437" t="s">
        <v>603</v>
      </c>
      <c r="V21" s="437" t="s">
        <v>604</v>
      </c>
      <c r="W21" s="419"/>
      <c r="X21" s="47"/>
      <c r="Y21" s="47"/>
      <c r="Z21" s="47"/>
      <c r="AA21" s="47"/>
      <c r="AB21" s="47"/>
      <c r="AC21" s="47"/>
    </row>
    <row r="22">
      <c r="A22" s="47"/>
      <c r="B22" s="47"/>
      <c r="C22" s="47" t="s">
        <v>700</v>
      </c>
      <c r="D22" s="47"/>
      <c r="E22" s="47"/>
      <c r="F22" s="47"/>
      <c r="G22" s="47"/>
      <c r="H22" s="446" t="s">
        <v>500</v>
      </c>
      <c r="I22" s="47"/>
      <c r="J22" s="47"/>
      <c r="K22" s="47"/>
      <c r="L22" s="47"/>
      <c r="M22" s="47"/>
      <c r="N22" s="437" t="s">
        <v>701</v>
      </c>
      <c r="O22" s="438">
        <v>7.6878824E7</v>
      </c>
      <c r="P22" s="439">
        <v>3.0</v>
      </c>
      <c r="Q22" s="437" t="s">
        <v>280</v>
      </c>
      <c r="R22" s="437"/>
      <c r="S22" s="437"/>
      <c r="T22" s="437" t="s">
        <v>702</v>
      </c>
      <c r="U22" s="437" t="s">
        <v>594</v>
      </c>
      <c r="V22" s="440"/>
      <c r="W22" s="419"/>
      <c r="X22" s="47"/>
      <c r="Y22" s="47"/>
      <c r="Z22" s="47"/>
      <c r="AA22" s="47"/>
      <c r="AB22" s="47"/>
      <c r="AC22" s="47"/>
    </row>
    <row r="23">
      <c r="A23" s="47"/>
      <c r="B23" s="47"/>
      <c r="C23" s="47" t="s">
        <v>703</v>
      </c>
      <c r="D23" s="47"/>
      <c r="E23" s="47"/>
      <c r="F23" s="47"/>
      <c r="G23" s="47"/>
      <c r="H23" s="447" t="s">
        <v>513</v>
      </c>
      <c r="I23" s="47"/>
      <c r="J23" s="47"/>
      <c r="K23" s="47"/>
      <c r="L23" s="47"/>
      <c r="M23" s="47"/>
      <c r="N23" s="437" t="s">
        <v>704</v>
      </c>
      <c r="O23" s="438">
        <v>1.3115771E7</v>
      </c>
      <c r="P23" s="439">
        <v>1.0</v>
      </c>
      <c r="Q23" s="437" t="s">
        <v>705</v>
      </c>
      <c r="R23" s="437"/>
      <c r="S23" s="437"/>
      <c r="T23" s="437" t="s">
        <v>706</v>
      </c>
      <c r="U23" s="437" t="s">
        <v>594</v>
      </c>
      <c r="V23" s="440"/>
      <c r="W23" s="419"/>
      <c r="X23" s="47"/>
      <c r="Y23" s="47"/>
      <c r="Z23" s="47"/>
      <c r="AA23" s="47"/>
      <c r="AB23" s="47"/>
      <c r="AC23" s="47"/>
    </row>
    <row r="24">
      <c r="A24" s="47"/>
      <c r="B24" s="47"/>
      <c r="C24" s="47" t="s">
        <v>707</v>
      </c>
      <c r="D24" s="47"/>
      <c r="E24" s="47"/>
      <c r="F24" s="47"/>
      <c r="G24" s="47"/>
      <c r="H24" s="446" t="s">
        <v>520</v>
      </c>
      <c r="I24" s="47"/>
      <c r="J24" s="47"/>
      <c r="K24" s="47"/>
      <c r="L24" s="47"/>
      <c r="M24" s="47"/>
      <c r="N24" s="437" t="s">
        <v>708</v>
      </c>
      <c r="O24" s="438">
        <v>1.1453172E7</v>
      </c>
      <c r="P24" s="439">
        <v>3.0</v>
      </c>
      <c r="Q24" s="437" t="s">
        <v>708</v>
      </c>
      <c r="R24" s="437"/>
      <c r="S24" s="437"/>
      <c r="T24" s="437" t="s">
        <v>709</v>
      </c>
      <c r="U24" s="437" t="s">
        <v>594</v>
      </c>
      <c r="V24" s="440"/>
      <c r="W24" s="419"/>
      <c r="X24" s="47"/>
      <c r="Y24" s="47"/>
      <c r="Z24" s="47"/>
      <c r="AA24" s="47"/>
      <c r="AB24" s="47"/>
      <c r="AC24" s="47"/>
    </row>
    <row r="25">
      <c r="A25" s="47"/>
      <c r="B25" s="47"/>
      <c r="C25" s="47" t="s">
        <v>375</v>
      </c>
      <c r="D25" s="47"/>
      <c r="E25" s="47"/>
      <c r="F25" s="47"/>
      <c r="G25" s="47"/>
      <c r="H25" s="447" t="s">
        <v>515</v>
      </c>
      <c r="I25" s="47"/>
      <c r="J25" s="47"/>
      <c r="K25" s="47"/>
      <c r="L25" s="47"/>
      <c r="M25" s="47"/>
      <c r="N25" s="437" t="s">
        <v>710</v>
      </c>
      <c r="O25" s="438">
        <v>7.7520606E7</v>
      </c>
      <c r="P25" s="439">
        <v>3.0</v>
      </c>
      <c r="Q25" s="437" t="s">
        <v>711</v>
      </c>
      <c r="R25" s="437"/>
      <c r="S25" s="437"/>
      <c r="T25" s="437" t="s">
        <v>712</v>
      </c>
      <c r="U25" s="437" t="s">
        <v>594</v>
      </c>
      <c r="V25" s="440"/>
      <c r="W25" s="419"/>
      <c r="X25" s="47"/>
      <c r="Y25" s="47"/>
      <c r="Z25" s="47"/>
      <c r="AA25" s="47"/>
      <c r="AB25" s="47"/>
      <c r="AC25" s="47"/>
    </row>
    <row r="26">
      <c r="A26" s="47"/>
      <c r="B26" s="47"/>
      <c r="C26" s="47" t="s">
        <v>529</v>
      </c>
      <c r="D26" s="47"/>
      <c r="E26" s="47"/>
      <c r="F26" s="47"/>
      <c r="G26" s="47"/>
      <c r="H26" s="446" t="s">
        <v>194</v>
      </c>
      <c r="I26" s="47"/>
      <c r="J26" s="47"/>
      <c r="K26" s="47"/>
      <c r="L26" s="47"/>
      <c r="M26" s="47"/>
      <c r="N26" s="437" t="s">
        <v>713</v>
      </c>
      <c r="O26" s="438">
        <v>7.8209E7</v>
      </c>
      <c r="P26" s="439">
        <v>3.0</v>
      </c>
      <c r="Q26" s="437" t="s">
        <v>714</v>
      </c>
      <c r="R26" s="437"/>
      <c r="S26" s="437"/>
      <c r="T26" s="437" t="s">
        <v>715</v>
      </c>
      <c r="U26" s="437" t="s">
        <v>594</v>
      </c>
      <c r="V26" s="440"/>
      <c r="W26" s="452"/>
      <c r="X26" s="47"/>
      <c r="Y26" s="47"/>
      <c r="Z26" s="47"/>
      <c r="AA26" s="47"/>
      <c r="AB26" s="47"/>
      <c r="AC26" s="47"/>
    </row>
    <row r="27">
      <c r="A27" s="47"/>
      <c r="B27" s="47"/>
      <c r="C27" s="47" t="s">
        <v>716</v>
      </c>
      <c r="D27" s="47"/>
      <c r="E27" s="47"/>
      <c r="F27" s="47"/>
      <c r="G27" s="47"/>
      <c r="I27" s="47"/>
      <c r="J27" s="47"/>
      <c r="K27" s="47"/>
      <c r="L27" s="47"/>
      <c r="M27" s="47"/>
      <c r="N27" s="437" t="s">
        <v>717</v>
      </c>
      <c r="O27" s="438">
        <v>7.6969759E7</v>
      </c>
      <c r="P27" s="439">
        <v>4.0</v>
      </c>
      <c r="Q27" s="437" t="s">
        <v>718</v>
      </c>
      <c r="R27" s="437"/>
      <c r="S27" s="437"/>
      <c r="T27" s="437" t="s">
        <v>719</v>
      </c>
      <c r="U27" s="437" t="s">
        <v>594</v>
      </c>
      <c r="V27" s="440"/>
      <c r="W27" s="47"/>
      <c r="X27" s="47"/>
      <c r="Y27" s="47"/>
      <c r="Z27" s="47"/>
      <c r="AA27" s="47"/>
      <c r="AB27" s="47"/>
      <c r="AC27" s="47"/>
    </row>
    <row r="28">
      <c r="A28" s="47"/>
      <c r="B28" s="47"/>
      <c r="C28" s="47" t="s">
        <v>720</v>
      </c>
      <c r="D28" s="47"/>
      <c r="E28" s="47"/>
      <c r="F28" s="47"/>
      <c r="G28" s="47"/>
      <c r="I28" s="47"/>
      <c r="J28" s="47"/>
      <c r="K28" s="47"/>
      <c r="L28" s="47"/>
      <c r="M28" s="47"/>
      <c r="N28" s="437" t="s">
        <v>721</v>
      </c>
      <c r="O28" s="438">
        <v>9.3565E7</v>
      </c>
      <c r="P28" s="439">
        <v>3.0</v>
      </c>
      <c r="Q28" s="437" t="s">
        <v>722</v>
      </c>
      <c r="R28" s="437"/>
      <c r="S28" s="437"/>
      <c r="T28" s="437" t="s">
        <v>723</v>
      </c>
      <c r="U28" s="437" t="s">
        <v>594</v>
      </c>
      <c r="V28" s="440"/>
      <c r="W28" s="47"/>
      <c r="X28" s="47"/>
      <c r="Y28" s="47"/>
      <c r="Z28" s="47"/>
      <c r="AA28" s="47"/>
      <c r="AB28" s="47"/>
      <c r="AC28" s="47"/>
    </row>
    <row r="29">
      <c r="A29" s="47"/>
      <c r="B29" s="47"/>
      <c r="C29" s="47" t="s">
        <v>724</v>
      </c>
      <c r="D29" s="47"/>
      <c r="E29" s="47"/>
      <c r="F29" s="47"/>
      <c r="G29" s="47"/>
      <c r="I29" s="47"/>
      <c r="J29" s="47"/>
      <c r="K29" s="47"/>
      <c r="L29" s="47"/>
      <c r="M29" s="47"/>
      <c r="N29" s="437" t="s">
        <v>725</v>
      </c>
      <c r="O29" s="438">
        <v>7.7305657E7</v>
      </c>
      <c r="P29" s="439">
        <v>9.0</v>
      </c>
      <c r="Q29" s="437" t="s">
        <v>726</v>
      </c>
      <c r="R29" s="437"/>
      <c r="S29" s="437"/>
      <c r="T29" s="437" t="s">
        <v>727</v>
      </c>
      <c r="U29" s="437" t="s">
        <v>594</v>
      </c>
      <c r="V29" s="440"/>
      <c r="W29" s="47"/>
      <c r="X29" s="47"/>
      <c r="Y29" s="47"/>
      <c r="Z29" s="47"/>
      <c r="AA29" s="47"/>
      <c r="AB29" s="47"/>
      <c r="AC29" s="47"/>
    </row>
    <row r="30">
      <c r="A30" s="47"/>
      <c r="B30" s="47"/>
      <c r="C30" s="47" t="s">
        <v>728</v>
      </c>
      <c r="D30" s="47"/>
      <c r="E30" s="47"/>
      <c r="F30" s="47"/>
      <c r="G30" s="47"/>
      <c r="H30" s="453" t="s">
        <v>346</v>
      </c>
      <c r="I30" s="47"/>
      <c r="J30" s="47"/>
      <c r="K30" s="47"/>
      <c r="L30" s="47"/>
      <c r="M30" s="47"/>
      <c r="N30" s="437" t="s">
        <v>729</v>
      </c>
      <c r="O30" s="438">
        <v>7.7631876E7</v>
      </c>
      <c r="P30" s="440"/>
      <c r="Q30" s="437" t="s">
        <v>730</v>
      </c>
      <c r="R30" s="437"/>
      <c r="S30" s="437"/>
      <c r="T30" s="437" t="s">
        <v>731</v>
      </c>
      <c r="U30" s="437" t="s">
        <v>594</v>
      </c>
      <c r="V30" s="440"/>
      <c r="W30" s="47"/>
      <c r="X30" s="47"/>
      <c r="Y30" s="47"/>
      <c r="Z30" s="47"/>
      <c r="AA30" s="47"/>
      <c r="AB30" s="47"/>
      <c r="AC30" s="47"/>
    </row>
    <row r="31">
      <c r="A31" s="47"/>
      <c r="B31" s="47"/>
      <c r="C31" s="47" t="s">
        <v>732</v>
      </c>
      <c r="D31" s="47"/>
      <c r="E31" s="47"/>
      <c r="F31" s="47"/>
      <c r="G31" s="47"/>
      <c r="H31" s="454"/>
      <c r="I31" s="47"/>
      <c r="J31" s="47"/>
      <c r="K31" s="47"/>
      <c r="L31" s="47"/>
      <c r="M31" s="47"/>
      <c r="N31" s="437" t="s">
        <v>733</v>
      </c>
      <c r="O31" s="438">
        <v>7.7119724E7</v>
      </c>
      <c r="P31" s="439">
        <v>8.0</v>
      </c>
      <c r="Q31" s="437" t="s">
        <v>734</v>
      </c>
      <c r="R31" s="437"/>
      <c r="S31" s="437"/>
      <c r="T31" s="437" t="s">
        <v>735</v>
      </c>
      <c r="U31" s="437" t="s">
        <v>594</v>
      </c>
      <c r="V31" s="440"/>
      <c r="W31" s="47"/>
      <c r="X31" s="47"/>
      <c r="Y31" s="47"/>
      <c r="Z31" s="47"/>
      <c r="AA31" s="47"/>
      <c r="AB31" s="47"/>
      <c r="AC31" s="47"/>
    </row>
    <row r="32">
      <c r="A32" s="47"/>
      <c r="B32" s="47"/>
      <c r="C32" s="47" t="s">
        <v>736</v>
      </c>
      <c r="D32" s="47"/>
      <c r="E32" s="47"/>
      <c r="F32" s="47"/>
      <c r="G32" s="47"/>
      <c r="H32" s="455"/>
      <c r="I32" s="47"/>
      <c r="J32" s="47"/>
      <c r="K32" s="47"/>
      <c r="L32" s="47"/>
      <c r="M32" s="47"/>
      <c r="N32" s="437" t="s">
        <v>737</v>
      </c>
      <c r="O32" s="438">
        <v>7.6514788E7</v>
      </c>
      <c r="P32" s="439">
        <v>3.0</v>
      </c>
      <c r="Q32" s="437" t="s">
        <v>293</v>
      </c>
      <c r="R32" s="437"/>
      <c r="S32" s="437"/>
      <c r="T32" s="437" t="s">
        <v>738</v>
      </c>
      <c r="U32" s="437" t="s">
        <v>594</v>
      </c>
      <c r="V32" s="440"/>
      <c r="W32" s="47"/>
      <c r="X32" s="47"/>
      <c r="Y32" s="47"/>
      <c r="Z32" s="47"/>
      <c r="AA32" s="47"/>
      <c r="AB32" s="47"/>
      <c r="AC32" s="47"/>
    </row>
    <row r="33">
      <c r="A33" s="47"/>
      <c r="B33" s="47"/>
      <c r="C33" s="47" t="s">
        <v>739</v>
      </c>
      <c r="D33" s="47"/>
      <c r="E33" s="47"/>
      <c r="F33" s="47"/>
      <c r="G33" s="47"/>
      <c r="H33" s="454"/>
      <c r="I33" s="47"/>
      <c r="J33" s="47"/>
      <c r="K33" s="47"/>
      <c r="L33" s="47"/>
      <c r="M33" s="47"/>
      <c r="N33" s="437" t="s">
        <v>740</v>
      </c>
      <c r="O33" s="438">
        <v>7.778049E7</v>
      </c>
      <c r="P33" s="439">
        <v>1.0</v>
      </c>
      <c r="Q33" s="437" t="s">
        <v>741</v>
      </c>
      <c r="R33" s="437"/>
      <c r="S33" s="437"/>
      <c r="T33" s="437" t="s">
        <v>742</v>
      </c>
      <c r="U33" s="437" t="s">
        <v>594</v>
      </c>
      <c r="V33" s="440"/>
      <c r="W33" s="47"/>
      <c r="X33" s="47"/>
      <c r="Y33" s="47"/>
      <c r="Z33" s="47"/>
      <c r="AA33" s="47"/>
      <c r="AB33" s="47"/>
      <c r="AC33" s="47"/>
    </row>
    <row r="34">
      <c r="A34" s="47"/>
      <c r="B34" s="47"/>
      <c r="C34" s="47" t="s">
        <v>516</v>
      </c>
      <c r="D34" s="47"/>
      <c r="E34" s="47"/>
      <c r="F34" s="47"/>
      <c r="G34" s="47"/>
      <c r="H34" s="455"/>
      <c r="I34" s="47"/>
      <c r="J34" s="47"/>
      <c r="K34" s="47"/>
      <c r="L34" s="47"/>
      <c r="M34" s="47"/>
      <c r="N34" s="437" t="s">
        <v>743</v>
      </c>
      <c r="O34" s="438">
        <v>7.7544225E7</v>
      </c>
      <c r="P34" s="439">
        <v>5.0</v>
      </c>
      <c r="Q34" s="437" t="s">
        <v>233</v>
      </c>
      <c r="R34" s="437"/>
      <c r="S34" s="437"/>
      <c r="T34" s="437" t="s">
        <v>744</v>
      </c>
      <c r="U34" s="437" t="s">
        <v>594</v>
      </c>
      <c r="V34" s="440"/>
      <c r="W34" s="47"/>
      <c r="X34" s="47"/>
      <c r="Y34" s="47"/>
      <c r="Z34" s="47"/>
      <c r="AA34" s="47"/>
      <c r="AB34" s="47"/>
      <c r="AC34" s="47"/>
    </row>
    <row r="35">
      <c r="A35" s="47"/>
      <c r="B35" s="47"/>
      <c r="C35" s="47" t="s">
        <v>745</v>
      </c>
      <c r="D35" s="47"/>
      <c r="E35" s="47"/>
      <c r="F35" s="47"/>
      <c r="G35" s="47"/>
      <c r="H35" s="454"/>
      <c r="I35" s="47"/>
      <c r="J35" s="47"/>
      <c r="K35" s="47"/>
      <c r="L35" s="47"/>
      <c r="M35" s="47"/>
      <c r="N35" s="437" t="s">
        <v>746</v>
      </c>
      <c r="O35" s="438">
        <v>7.7393585E7</v>
      </c>
      <c r="P35" s="439">
        <v>8.0</v>
      </c>
      <c r="Q35" s="437" t="s">
        <v>747</v>
      </c>
      <c r="R35" s="437"/>
      <c r="S35" s="437"/>
      <c r="T35" s="437" t="s">
        <v>748</v>
      </c>
      <c r="U35" s="437" t="s">
        <v>594</v>
      </c>
      <c r="V35" s="440"/>
      <c r="W35" s="47"/>
      <c r="X35" s="47"/>
      <c r="Y35" s="47"/>
      <c r="Z35" s="47"/>
      <c r="AA35" s="47"/>
      <c r="AB35" s="47"/>
      <c r="AC35" s="47"/>
    </row>
    <row r="36">
      <c r="A36" s="47"/>
      <c r="B36" s="47"/>
      <c r="C36" s="47" t="s">
        <v>749</v>
      </c>
      <c r="D36" s="47"/>
      <c r="E36" s="47"/>
      <c r="F36" s="47"/>
      <c r="G36" s="47"/>
      <c r="H36" s="455"/>
      <c r="I36" s="47"/>
      <c r="J36" s="47"/>
      <c r="K36" s="47"/>
      <c r="L36" s="47"/>
      <c r="M36" s="47"/>
      <c r="N36" s="437" t="s">
        <v>750</v>
      </c>
      <c r="O36" s="456">
        <v>7.6308486E7</v>
      </c>
      <c r="P36" s="457">
        <v>8.0</v>
      </c>
      <c r="Q36" s="458" t="s">
        <v>751</v>
      </c>
      <c r="R36" s="458"/>
      <c r="S36" s="458"/>
      <c r="T36" s="458" t="s">
        <v>752</v>
      </c>
      <c r="U36" s="437" t="s">
        <v>594</v>
      </c>
      <c r="V36" s="440"/>
      <c r="W36" s="47"/>
      <c r="X36" s="47"/>
      <c r="Y36" s="47"/>
      <c r="Z36" s="47"/>
      <c r="AA36" s="47"/>
      <c r="AB36" s="47"/>
      <c r="AC36" s="47"/>
    </row>
    <row r="37">
      <c r="A37" s="47"/>
      <c r="B37" s="47"/>
      <c r="C37" s="47" t="s">
        <v>753</v>
      </c>
      <c r="D37" s="47"/>
      <c r="E37" s="47"/>
      <c r="F37" s="47"/>
      <c r="G37" s="47"/>
      <c r="H37" s="454"/>
      <c r="I37" s="47"/>
      <c r="J37" s="47"/>
      <c r="K37" s="47"/>
      <c r="L37" s="47"/>
      <c r="M37" s="47"/>
      <c r="N37" s="437" t="s">
        <v>754</v>
      </c>
      <c r="O37" s="438">
        <v>7.7648625E7</v>
      </c>
      <c r="P37" s="439">
        <v>6.0</v>
      </c>
      <c r="Q37" s="437" t="s">
        <v>755</v>
      </c>
      <c r="R37" s="437"/>
      <c r="S37" s="437"/>
      <c r="T37" s="437" t="s">
        <v>756</v>
      </c>
      <c r="U37" s="437" t="s">
        <v>594</v>
      </c>
      <c r="V37" s="440"/>
      <c r="W37" s="47"/>
      <c r="X37" s="47"/>
      <c r="Y37" s="47"/>
      <c r="Z37" s="47"/>
      <c r="AA37" s="47"/>
      <c r="AB37" s="47"/>
      <c r="AC37" s="47"/>
    </row>
    <row r="38">
      <c r="A38" s="47"/>
      <c r="B38" s="47"/>
      <c r="C38" s="47" t="s">
        <v>757</v>
      </c>
      <c r="D38" s="47"/>
      <c r="E38" s="47"/>
      <c r="F38" s="47"/>
      <c r="G38" s="47"/>
      <c r="H38" s="455"/>
      <c r="I38" s="47"/>
      <c r="J38" s="47"/>
      <c r="K38" s="47"/>
      <c r="L38" s="47"/>
      <c r="M38" s="47"/>
      <c r="N38" s="437" t="s">
        <v>758</v>
      </c>
      <c r="O38" s="438">
        <v>7.7215624E7</v>
      </c>
      <c r="P38" s="439">
        <v>3.0</v>
      </c>
      <c r="Q38" s="437" t="s">
        <v>145</v>
      </c>
      <c r="R38" s="437"/>
      <c r="S38" s="437"/>
      <c r="T38" s="437" t="s">
        <v>759</v>
      </c>
      <c r="U38" s="437" t="s">
        <v>594</v>
      </c>
      <c r="V38" s="440"/>
      <c r="W38" s="47"/>
      <c r="X38" s="47"/>
      <c r="Y38" s="47"/>
      <c r="Z38" s="47"/>
      <c r="AA38" s="47"/>
      <c r="AB38" s="47"/>
      <c r="AC38" s="47"/>
    </row>
    <row r="39">
      <c r="A39" s="47"/>
      <c r="B39" s="47"/>
      <c r="C39" s="47" t="s">
        <v>760</v>
      </c>
      <c r="D39" s="47"/>
      <c r="E39" s="47"/>
      <c r="F39" s="47"/>
      <c r="G39" s="47"/>
      <c r="H39" s="454"/>
      <c r="I39" s="47"/>
      <c r="J39" s="47"/>
      <c r="K39" s="47"/>
      <c r="L39" s="47"/>
      <c r="M39" s="47"/>
      <c r="N39" s="437" t="s">
        <v>761</v>
      </c>
      <c r="O39" s="438">
        <v>7.7641694E7</v>
      </c>
      <c r="P39" s="439">
        <v>0.0</v>
      </c>
      <c r="Q39" s="437" t="s">
        <v>762</v>
      </c>
      <c r="R39" s="437"/>
      <c r="S39" s="437"/>
      <c r="T39" s="437" t="s">
        <v>763</v>
      </c>
      <c r="U39" s="437" t="s">
        <v>594</v>
      </c>
      <c r="V39" s="440"/>
      <c r="W39" s="47"/>
      <c r="X39" s="47"/>
      <c r="Y39" s="47"/>
      <c r="Z39" s="47"/>
      <c r="AA39" s="47"/>
      <c r="AB39" s="47"/>
      <c r="AC39" s="47"/>
    </row>
    <row r="40">
      <c r="A40" s="47"/>
      <c r="B40" s="47"/>
      <c r="C40" s="47" t="s">
        <v>764</v>
      </c>
      <c r="D40" s="47"/>
      <c r="E40" s="47"/>
      <c r="F40" s="47"/>
      <c r="G40" s="47"/>
      <c r="H40" s="455"/>
      <c r="I40" s="47"/>
      <c r="J40" s="47"/>
      <c r="K40" s="47"/>
      <c r="L40" s="47"/>
      <c r="M40" s="47"/>
      <c r="N40" s="437" t="s">
        <v>765</v>
      </c>
      <c r="O40" s="438">
        <v>7.6470291E7</v>
      </c>
      <c r="P40" s="439">
        <v>3.0</v>
      </c>
      <c r="Q40" s="437" t="s">
        <v>766</v>
      </c>
      <c r="R40" s="437"/>
      <c r="S40" s="437"/>
      <c r="T40" s="437" t="s">
        <v>767</v>
      </c>
      <c r="U40" s="437" t="s">
        <v>603</v>
      </c>
      <c r="V40" s="437" t="s">
        <v>604</v>
      </c>
      <c r="W40" s="47"/>
      <c r="X40" s="47"/>
      <c r="Y40" s="47"/>
      <c r="Z40" s="47"/>
      <c r="AA40" s="47"/>
      <c r="AB40" s="47"/>
      <c r="AC40" s="47"/>
    </row>
    <row r="41">
      <c r="A41" s="47"/>
      <c r="B41" s="47"/>
      <c r="C41" s="47" t="s">
        <v>768</v>
      </c>
      <c r="D41" s="47"/>
      <c r="E41" s="47"/>
      <c r="F41" s="47"/>
      <c r="G41" s="47"/>
      <c r="H41" s="454"/>
      <c r="I41" s="47"/>
      <c r="J41" s="47"/>
      <c r="K41" s="47"/>
      <c r="L41" s="47"/>
      <c r="M41" s="47"/>
      <c r="N41" s="437" t="s">
        <v>769</v>
      </c>
      <c r="O41" s="438">
        <v>5720722.0</v>
      </c>
      <c r="P41" s="439">
        <v>1.0</v>
      </c>
      <c r="Q41" s="437" t="s">
        <v>770</v>
      </c>
      <c r="R41" s="437"/>
      <c r="S41" s="437"/>
      <c r="T41" s="437" t="s">
        <v>771</v>
      </c>
      <c r="U41" s="437" t="s">
        <v>603</v>
      </c>
      <c r="V41" s="437" t="s">
        <v>604</v>
      </c>
      <c r="W41" s="47"/>
      <c r="X41" s="47"/>
      <c r="Y41" s="47"/>
      <c r="Z41" s="47"/>
      <c r="AA41" s="47"/>
      <c r="AB41" s="47"/>
      <c r="AC41" s="47"/>
    </row>
    <row r="42">
      <c r="A42" s="47"/>
      <c r="B42" s="47"/>
      <c r="C42" s="47" t="s">
        <v>772</v>
      </c>
      <c r="D42" s="47"/>
      <c r="E42" s="47"/>
      <c r="F42" s="47"/>
      <c r="G42" s="47"/>
      <c r="H42" s="455"/>
      <c r="I42" s="47"/>
      <c r="J42" s="47"/>
      <c r="K42" s="47"/>
      <c r="L42" s="47"/>
      <c r="M42" s="47"/>
      <c r="N42" s="437" t="s">
        <v>773</v>
      </c>
      <c r="O42" s="438">
        <v>1.3582386E7</v>
      </c>
      <c r="P42" s="439">
        <v>4.0</v>
      </c>
      <c r="Q42" s="437" t="s">
        <v>774</v>
      </c>
      <c r="R42" s="437"/>
      <c r="S42" s="437"/>
      <c r="T42" s="437" t="s">
        <v>775</v>
      </c>
      <c r="U42" s="437" t="s">
        <v>594</v>
      </c>
      <c r="V42" s="440"/>
      <c r="W42" s="47"/>
      <c r="X42" s="47"/>
      <c r="Y42" s="47"/>
      <c r="Z42" s="47"/>
      <c r="AA42" s="47"/>
      <c r="AB42" s="47"/>
      <c r="AC42" s="47"/>
    </row>
    <row r="43">
      <c r="A43" s="47"/>
      <c r="B43" s="47"/>
      <c r="C43" s="47" t="s">
        <v>278</v>
      </c>
      <c r="D43" s="47"/>
      <c r="E43" s="47"/>
      <c r="F43" s="47"/>
      <c r="G43" s="47"/>
      <c r="H43" s="454"/>
      <c r="I43" s="47"/>
      <c r="J43" s="47"/>
      <c r="K43" s="47"/>
      <c r="L43" s="47"/>
      <c r="M43" s="47"/>
      <c r="N43" s="437" t="s">
        <v>776</v>
      </c>
      <c r="O43" s="438">
        <v>7.6707485E7</v>
      </c>
      <c r="P43" s="439">
        <v>9.0</v>
      </c>
      <c r="Q43" s="437" t="s">
        <v>777</v>
      </c>
      <c r="R43" s="437"/>
      <c r="S43" s="437"/>
      <c r="T43" s="437" t="s">
        <v>778</v>
      </c>
      <c r="U43" s="437" t="s">
        <v>594</v>
      </c>
      <c r="V43" s="440"/>
      <c r="W43" s="47"/>
      <c r="X43" s="47"/>
      <c r="Y43" s="47"/>
      <c r="Z43" s="47"/>
      <c r="AA43" s="47"/>
      <c r="AB43" s="47"/>
      <c r="AC43" s="47"/>
    </row>
    <row r="44">
      <c r="A44" s="47"/>
      <c r="B44" s="47"/>
      <c r="C44" s="47" t="s">
        <v>779</v>
      </c>
      <c r="D44" s="47"/>
      <c r="E44" s="47"/>
      <c r="F44" s="47"/>
      <c r="G44" s="47"/>
      <c r="H44" s="455"/>
      <c r="I44" s="47"/>
      <c r="J44" s="47"/>
      <c r="K44" s="47"/>
      <c r="L44" s="47"/>
      <c r="M44" s="47"/>
      <c r="N44" s="437" t="s">
        <v>780</v>
      </c>
      <c r="O44" s="438">
        <v>7.7964311E7</v>
      </c>
      <c r="P44" s="439">
        <v>5.0</v>
      </c>
      <c r="Q44" s="437" t="s">
        <v>303</v>
      </c>
      <c r="R44" s="437"/>
      <c r="S44" s="437"/>
      <c r="T44" s="437" t="s">
        <v>781</v>
      </c>
      <c r="U44" s="437" t="s">
        <v>594</v>
      </c>
      <c r="V44" s="440"/>
      <c r="W44" s="47"/>
      <c r="X44" s="47"/>
      <c r="Y44" s="47"/>
      <c r="Z44" s="47"/>
      <c r="AA44" s="47"/>
      <c r="AB44" s="47"/>
      <c r="AC44" s="47"/>
    </row>
    <row r="45">
      <c r="A45" s="47"/>
      <c r="B45" s="47"/>
      <c r="C45" s="47" t="s">
        <v>782</v>
      </c>
      <c r="D45" s="47"/>
      <c r="E45" s="47"/>
      <c r="F45" s="47"/>
      <c r="G45" s="47"/>
      <c r="H45" s="454"/>
      <c r="I45" s="47"/>
      <c r="J45" s="47"/>
      <c r="K45" s="47"/>
      <c r="L45" s="47"/>
      <c r="M45" s="47"/>
      <c r="N45" s="437" t="s">
        <v>783</v>
      </c>
      <c r="O45" s="438">
        <v>7.6579595E7</v>
      </c>
      <c r="P45" s="439">
        <v>8.0</v>
      </c>
      <c r="Q45" s="437" t="s">
        <v>783</v>
      </c>
      <c r="R45" s="437"/>
      <c r="S45" s="437"/>
      <c r="T45" s="437" t="s">
        <v>784</v>
      </c>
      <c r="U45" s="437" t="s">
        <v>594</v>
      </c>
      <c r="V45" s="440"/>
      <c r="W45" s="47"/>
      <c r="X45" s="47"/>
      <c r="Y45" s="47"/>
      <c r="Z45" s="47"/>
      <c r="AA45" s="47"/>
      <c r="AB45" s="47"/>
      <c r="AC45" s="47"/>
    </row>
    <row r="46">
      <c r="A46" s="47"/>
      <c r="B46" s="47"/>
      <c r="C46" s="47" t="s">
        <v>785</v>
      </c>
      <c r="D46" s="47"/>
      <c r="E46" s="47"/>
      <c r="F46" s="47"/>
      <c r="G46" s="47"/>
      <c r="H46" s="459"/>
      <c r="I46" s="47"/>
      <c r="J46" s="47"/>
      <c r="K46" s="47"/>
      <c r="L46" s="47"/>
      <c r="M46" s="47"/>
      <c r="N46" s="437" t="s">
        <v>786</v>
      </c>
      <c r="O46" s="438">
        <v>7.6108094E7</v>
      </c>
      <c r="P46" s="439">
        <v>6.0</v>
      </c>
      <c r="Q46" s="437" t="s">
        <v>272</v>
      </c>
      <c r="R46" s="437"/>
      <c r="S46" s="437"/>
      <c r="T46" s="437" t="s">
        <v>787</v>
      </c>
      <c r="U46" s="437" t="s">
        <v>594</v>
      </c>
      <c r="V46" s="440"/>
      <c r="W46" s="47"/>
      <c r="X46" s="47"/>
      <c r="Y46" s="47"/>
      <c r="Z46" s="47"/>
      <c r="AA46" s="47"/>
      <c r="AB46" s="47"/>
      <c r="AC46" s="47"/>
    </row>
    <row r="47">
      <c r="A47" s="47"/>
      <c r="B47" s="47"/>
      <c r="C47" s="47" t="s">
        <v>788</v>
      </c>
      <c r="D47" s="47"/>
      <c r="E47" s="47"/>
      <c r="F47" s="47"/>
      <c r="G47" s="47"/>
      <c r="H47" s="460"/>
      <c r="I47" s="47"/>
      <c r="J47" s="47"/>
      <c r="K47" s="47"/>
      <c r="L47" s="47"/>
      <c r="M47" s="47"/>
      <c r="N47" s="437" t="s">
        <v>789</v>
      </c>
      <c r="O47" s="438">
        <v>7.7092438E7</v>
      </c>
      <c r="P47" s="439">
        <v>3.0</v>
      </c>
      <c r="Q47" s="437" t="s">
        <v>790</v>
      </c>
      <c r="R47" s="437"/>
      <c r="S47" s="437"/>
      <c r="T47" s="437" t="s">
        <v>791</v>
      </c>
      <c r="U47" s="437" t="s">
        <v>594</v>
      </c>
      <c r="V47" s="440"/>
      <c r="W47" s="47"/>
      <c r="X47" s="47"/>
      <c r="Y47" s="47"/>
      <c r="Z47" s="47"/>
      <c r="AA47" s="47"/>
      <c r="AB47" s="47"/>
      <c r="AC47" s="47"/>
    </row>
    <row r="48">
      <c r="A48" s="47"/>
      <c r="B48" s="47"/>
      <c r="C48" s="47" t="s">
        <v>792</v>
      </c>
      <c r="D48" s="47"/>
      <c r="E48" s="47"/>
      <c r="F48" s="47"/>
      <c r="G48" s="47"/>
      <c r="H48" s="459"/>
      <c r="I48" s="47"/>
      <c r="J48" s="47"/>
      <c r="K48" s="47"/>
      <c r="L48" s="47"/>
      <c r="M48" s="47"/>
      <c r="N48" s="437" t="s">
        <v>793</v>
      </c>
      <c r="O48" s="438">
        <v>7.6854883E7</v>
      </c>
      <c r="P48" s="439">
        <v>8.0</v>
      </c>
      <c r="Q48" s="437" t="s">
        <v>794</v>
      </c>
      <c r="R48" s="437"/>
      <c r="S48" s="437"/>
      <c r="T48" s="437" t="s">
        <v>795</v>
      </c>
      <c r="U48" s="437" t="s">
        <v>594</v>
      </c>
      <c r="V48" s="440"/>
      <c r="W48" s="47"/>
      <c r="X48" s="47"/>
      <c r="Y48" s="47"/>
      <c r="Z48" s="47"/>
      <c r="AA48" s="47"/>
      <c r="AB48" s="47"/>
      <c r="AC48" s="47"/>
    </row>
    <row r="49">
      <c r="A49" s="47"/>
      <c r="B49" s="47"/>
      <c r="C49" s="47" t="s">
        <v>796</v>
      </c>
      <c r="D49" s="47"/>
      <c r="E49" s="47"/>
      <c r="F49" s="47"/>
      <c r="G49" s="47"/>
      <c r="H49" s="460"/>
      <c r="I49" s="47"/>
      <c r="J49" s="47"/>
      <c r="K49" s="47"/>
      <c r="L49" s="47"/>
      <c r="M49" s="47"/>
      <c r="N49" s="437" t="s">
        <v>797</v>
      </c>
      <c r="O49" s="438">
        <v>7.6971865E7</v>
      </c>
      <c r="P49" s="439">
        <v>6.0</v>
      </c>
      <c r="Q49" s="437" t="s">
        <v>797</v>
      </c>
      <c r="R49" s="437"/>
      <c r="S49" s="437"/>
      <c r="T49" s="437" t="s">
        <v>798</v>
      </c>
      <c r="U49" s="437" t="s">
        <v>594</v>
      </c>
      <c r="V49" s="440"/>
      <c r="W49" s="47"/>
      <c r="X49" s="47"/>
      <c r="Y49" s="47"/>
      <c r="Z49" s="47"/>
      <c r="AA49" s="47"/>
      <c r="AB49" s="47"/>
      <c r="AC49" s="47"/>
    </row>
    <row r="50">
      <c r="A50" s="47"/>
      <c r="B50" s="47"/>
      <c r="C50" s="47" t="s">
        <v>799</v>
      </c>
      <c r="D50" s="47"/>
      <c r="E50" s="47"/>
      <c r="F50" s="47"/>
      <c r="G50" s="47"/>
      <c r="H50" s="459"/>
      <c r="I50" s="47"/>
      <c r="J50" s="47"/>
      <c r="K50" s="47"/>
      <c r="L50" s="47"/>
      <c r="M50" s="47"/>
      <c r="N50" s="437" t="s">
        <v>800</v>
      </c>
      <c r="O50" s="438">
        <v>8933359.0</v>
      </c>
      <c r="P50" s="439">
        <v>8.0</v>
      </c>
      <c r="Q50" s="437" t="s">
        <v>801</v>
      </c>
      <c r="R50" s="437"/>
      <c r="S50" s="437"/>
      <c r="T50" s="437" t="s">
        <v>802</v>
      </c>
      <c r="U50" s="437" t="s">
        <v>594</v>
      </c>
      <c r="V50" s="440"/>
      <c r="W50" s="47"/>
      <c r="X50" s="47"/>
      <c r="Y50" s="47"/>
      <c r="Z50" s="47"/>
      <c r="AA50" s="47"/>
      <c r="AB50" s="47"/>
      <c r="AC50" s="47"/>
    </row>
    <row r="51">
      <c r="A51" s="47"/>
      <c r="B51" s="47"/>
      <c r="C51" s="47" t="s">
        <v>803</v>
      </c>
      <c r="D51" s="47"/>
      <c r="E51" s="47"/>
      <c r="F51" s="47"/>
      <c r="G51" s="47"/>
      <c r="H51" s="460"/>
      <c r="I51" s="47"/>
      <c r="J51" s="47"/>
      <c r="K51" s="47"/>
      <c r="L51" s="47"/>
      <c r="M51" s="47"/>
      <c r="N51" s="437" t="s">
        <v>804</v>
      </c>
      <c r="O51" s="438">
        <v>1.181145E7</v>
      </c>
      <c r="P51" s="439">
        <v>7.0</v>
      </c>
      <c r="Q51" s="437" t="s">
        <v>805</v>
      </c>
      <c r="R51" s="437"/>
      <c r="S51" s="437"/>
      <c r="T51" s="437" t="s">
        <v>806</v>
      </c>
      <c r="U51" s="437" t="s">
        <v>594</v>
      </c>
      <c r="V51" s="440"/>
      <c r="W51" s="47"/>
      <c r="X51" s="47"/>
      <c r="Y51" s="47"/>
      <c r="Z51" s="47"/>
      <c r="AA51" s="47"/>
      <c r="AB51" s="47"/>
      <c r="AC51" s="47"/>
    </row>
    <row r="52">
      <c r="A52" s="47"/>
      <c r="B52" s="47"/>
      <c r="C52" s="47" t="s">
        <v>807</v>
      </c>
      <c r="D52" s="47"/>
      <c r="E52" s="47"/>
      <c r="F52" s="47"/>
      <c r="G52" s="47"/>
      <c r="H52" s="459"/>
      <c r="I52" s="47"/>
      <c r="J52" s="47"/>
      <c r="K52" s="47"/>
      <c r="L52" s="47"/>
      <c r="M52" s="47"/>
      <c r="N52" s="437" t="s">
        <v>808</v>
      </c>
      <c r="O52" s="438">
        <v>7.6107187E7</v>
      </c>
      <c r="P52" s="439">
        <v>4.0</v>
      </c>
      <c r="Q52" s="437" t="s">
        <v>248</v>
      </c>
      <c r="R52" s="437"/>
      <c r="S52" s="437"/>
      <c r="T52" s="437" t="s">
        <v>809</v>
      </c>
      <c r="U52" s="437" t="s">
        <v>594</v>
      </c>
      <c r="V52" s="440"/>
      <c r="W52" s="47"/>
      <c r="X52" s="47"/>
      <c r="Y52" s="47"/>
      <c r="Z52" s="47"/>
      <c r="AA52" s="47"/>
      <c r="AB52" s="47"/>
      <c r="AC52" s="47"/>
    </row>
    <row r="53">
      <c r="A53" s="47"/>
      <c r="B53" s="47"/>
      <c r="C53" s="47" t="s">
        <v>810</v>
      </c>
      <c r="D53" s="47"/>
      <c r="E53" s="47"/>
      <c r="F53" s="47"/>
      <c r="G53" s="47"/>
      <c r="H53" s="460"/>
      <c r="I53" s="47"/>
      <c r="J53" s="47"/>
      <c r="K53" s="47"/>
      <c r="L53" s="47"/>
      <c r="M53" s="47"/>
      <c r="N53" s="437" t="s">
        <v>811</v>
      </c>
      <c r="O53" s="438">
        <v>7.6257832E7</v>
      </c>
      <c r="P53" s="439">
        <v>8.0</v>
      </c>
      <c r="Q53" s="437" t="s">
        <v>237</v>
      </c>
      <c r="R53" s="437"/>
      <c r="S53" s="437"/>
      <c r="T53" s="437" t="s">
        <v>812</v>
      </c>
      <c r="U53" s="437" t="s">
        <v>594</v>
      </c>
      <c r="V53" s="440"/>
      <c r="W53" s="47"/>
      <c r="X53" s="47"/>
      <c r="Y53" s="47"/>
      <c r="Z53" s="47"/>
      <c r="AA53" s="47"/>
      <c r="AB53" s="47"/>
      <c r="AC53" s="47"/>
    </row>
    <row r="54">
      <c r="A54" s="47"/>
      <c r="B54" s="47"/>
      <c r="C54" s="47" t="s">
        <v>813</v>
      </c>
      <c r="D54" s="47"/>
      <c r="E54" s="47"/>
      <c r="F54" s="47"/>
      <c r="G54" s="47"/>
      <c r="H54" s="459"/>
      <c r="I54" s="47"/>
      <c r="J54" s="47"/>
      <c r="K54" s="47"/>
      <c r="L54" s="47"/>
      <c r="M54" s="47"/>
      <c r="N54" s="437" t="s">
        <v>814</v>
      </c>
      <c r="O54" s="438">
        <v>7.7248719E7</v>
      </c>
      <c r="P54" s="439">
        <v>3.0</v>
      </c>
      <c r="Q54" s="437" t="s">
        <v>815</v>
      </c>
      <c r="R54" s="437"/>
      <c r="S54" s="437"/>
      <c r="T54" s="437" t="s">
        <v>816</v>
      </c>
      <c r="U54" s="437" t="s">
        <v>594</v>
      </c>
      <c r="V54" s="440"/>
      <c r="W54" s="47"/>
      <c r="X54" s="47"/>
      <c r="Y54" s="47"/>
      <c r="Z54" s="47"/>
      <c r="AA54" s="47"/>
      <c r="AB54" s="47"/>
      <c r="AC54" s="47"/>
    </row>
    <row r="55">
      <c r="A55" s="47"/>
      <c r="B55" s="47"/>
      <c r="C55" s="47" t="s">
        <v>817</v>
      </c>
      <c r="D55" s="47"/>
      <c r="E55" s="47"/>
      <c r="F55" s="47"/>
      <c r="G55" s="47"/>
      <c r="H55" s="460"/>
      <c r="I55" s="47"/>
      <c r="J55" s="47"/>
      <c r="K55" s="47"/>
      <c r="L55" s="47"/>
      <c r="M55" s="47"/>
      <c r="N55" s="437" t="s">
        <v>818</v>
      </c>
      <c r="O55" s="438">
        <v>7.7983113E7</v>
      </c>
      <c r="P55" s="439">
        <v>2.0</v>
      </c>
      <c r="Q55" s="437" t="s">
        <v>819</v>
      </c>
      <c r="R55" s="437"/>
      <c r="S55" s="437"/>
      <c r="T55" s="437" t="s">
        <v>820</v>
      </c>
      <c r="U55" s="437" t="s">
        <v>594</v>
      </c>
      <c r="V55" s="440"/>
      <c r="W55" s="47"/>
      <c r="X55" s="47"/>
      <c r="Y55" s="47"/>
      <c r="Z55" s="47"/>
      <c r="AA55" s="47"/>
      <c r="AB55" s="47"/>
      <c r="AC55" s="47"/>
    </row>
    <row r="56">
      <c r="A56" s="47"/>
      <c r="B56" s="47"/>
      <c r="C56" s="47" t="s">
        <v>821</v>
      </c>
      <c r="D56" s="47"/>
      <c r="E56" s="47"/>
      <c r="F56" s="47"/>
      <c r="G56" s="47"/>
      <c r="H56" s="459"/>
      <c r="I56" s="47"/>
      <c r="J56" s="47"/>
      <c r="K56" s="47"/>
      <c r="L56" s="47"/>
      <c r="M56" s="47"/>
      <c r="N56" s="437" t="s">
        <v>822</v>
      </c>
      <c r="O56" s="438">
        <v>7.6862217E7</v>
      </c>
      <c r="P56" s="439">
        <v>5.0</v>
      </c>
      <c r="Q56" s="437" t="s">
        <v>823</v>
      </c>
      <c r="R56" s="437"/>
      <c r="S56" s="437"/>
      <c r="T56" s="437" t="s">
        <v>824</v>
      </c>
      <c r="U56" s="437" t="s">
        <v>594</v>
      </c>
      <c r="V56" s="440"/>
      <c r="W56" s="47"/>
      <c r="X56" s="47"/>
      <c r="Y56" s="47"/>
      <c r="Z56" s="47"/>
      <c r="AA56" s="47"/>
      <c r="AB56" s="47"/>
      <c r="AC56" s="47"/>
    </row>
    <row r="57">
      <c r="A57" s="47"/>
      <c r="B57" s="47"/>
      <c r="C57" s="47" t="s">
        <v>825</v>
      </c>
      <c r="D57" s="47"/>
      <c r="E57" s="47"/>
      <c r="F57" s="47"/>
      <c r="G57" s="47"/>
      <c r="H57" s="460"/>
      <c r="I57" s="47"/>
      <c r="J57" s="47"/>
      <c r="K57" s="47"/>
      <c r="L57" s="47"/>
      <c r="M57" s="47"/>
      <c r="N57" s="437" t="s">
        <v>826</v>
      </c>
      <c r="O57" s="438">
        <v>7.7578487E7</v>
      </c>
      <c r="P57" s="439">
        <v>3.0</v>
      </c>
      <c r="Q57" s="437" t="s">
        <v>350</v>
      </c>
      <c r="R57" s="437"/>
      <c r="S57" s="437"/>
      <c r="T57" s="437" t="s">
        <v>827</v>
      </c>
      <c r="U57" s="437" t="s">
        <v>594</v>
      </c>
      <c r="V57" s="440"/>
      <c r="W57" s="47"/>
      <c r="X57" s="47"/>
      <c r="Y57" s="47"/>
      <c r="Z57" s="47"/>
      <c r="AA57" s="47"/>
      <c r="AB57" s="47"/>
      <c r="AC57" s="47"/>
    </row>
    <row r="58">
      <c r="A58" s="47"/>
      <c r="B58" s="47"/>
      <c r="C58" s="47" t="s">
        <v>828</v>
      </c>
      <c r="D58" s="47"/>
      <c r="E58" s="47"/>
      <c r="F58" s="47"/>
      <c r="G58" s="47"/>
      <c r="H58" s="459"/>
      <c r="I58" s="47"/>
      <c r="J58" s="47"/>
      <c r="K58" s="47"/>
      <c r="L58" s="47"/>
      <c r="M58" s="47"/>
      <c r="N58" s="437" t="s">
        <v>829</v>
      </c>
      <c r="O58" s="438">
        <v>4305245.0</v>
      </c>
      <c r="P58" s="439">
        <v>4.0</v>
      </c>
      <c r="Q58" s="437" t="s">
        <v>829</v>
      </c>
      <c r="R58" s="437"/>
      <c r="S58" s="437"/>
      <c r="T58" s="437" t="s">
        <v>830</v>
      </c>
      <c r="U58" s="437" t="s">
        <v>594</v>
      </c>
      <c r="V58" s="440"/>
      <c r="W58" s="47"/>
      <c r="X58" s="47"/>
      <c r="Y58" s="47"/>
      <c r="Z58" s="47"/>
      <c r="AA58" s="47"/>
      <c r="AB58" s="47"/>
      <c r="AC58" s="47"/>
    </row>
    <row r="59">
      <c r="A59" s="47"/>
      <c r="B59" s="47"/>
      <c r="C59" s="47" t="s">
        <v>246</v>
      </c>
      <c r="D59" s="47"/>
      <c r="E59" s="47"/>
      <c r="F59" s="47"/>
      <c r="G59" s="47"/>
      <c r="H59" s="460"/>
      <c r="I59" s="47"/>
      <c r="J59" s="47"/>
      <c r="K59" s="47"/>
      <c r="L59" s="47"/>
      <c r="M59" s="47"/>
      <c r="N59" s="437" t="s">
        <v>831</v>
      </c>
      <c r="O59" s="438">
        <v>9.680611E7</v>
      </c>
      <c r="P59" s="439">
        <v>0.0</v>
      </c>
      <c r="Q59" s="437" t="s">
        <v>832</v>
      </c>
      <c r="R59" s="437"/>
      <c r="S59" s="437"/>
      <c r="T59" s="437" t="s">
        <v>833</v>
      </c>
      <c r="U59" s="437" t="s">
        <v>603</v>
      </c>
      <c r="V59" s="437" t="s">
        <v>604</v>
      </c>
      <c r="W59" s="47"/>
      <c r="X59" s="47"/>
      <c r="Y59" s="47"/>
      <c r="Z59" s="47"/>
      <c r="AA59" s="47"/>
      <c r="AB59" s="47"/>
      <c r="AC59" s="47"/>
    </row>
    <row r="60">
      <c r="A60" s="47"/>
      <c r="B60" s="47"/>
      <c r="C60" s="47" t="s">
        <v>834</v>
      </c>
      <c r="D60" s="47"/>
      <c r="E60" s="47"/>
      <c r="F60" s="47"/>
      <c r="G60" s="47"/>
      <c r="H60" s="459"/>
      <c r="I60" s="47"/>
      <c r="J60" s="47"/>
      <c r="K60" s="47"/>
      <c r="L60" s="47"/>
      <c r="M60" s="47"/>
      <c r="N60" s="437" t="s">
        <v>835</v>
      </c>
      <c r="O60" s="438">
        <v>7.7929977E7</v>
      </c>
      <c r="P60" s="439">
        <v>5.0</v>
      </c>
      <c r="Q60" s="437" t="s">
        <v>836</v>
      </c>
      <c r="R60" s="437"/>
      <c r="S60" s="437"/>
      <c r="T60" s="437" t="s">
        <v>837</v>
      </c>
      <c r="U60" s="437" t="s">
        <v>594</v>
      </c>
      <c r="V60" s="440"/>
      <c r="W60" s="47"/>
      <c r="X60" s="47"/>
      <c r="Y60" s="47"/>
      <c r="Z60" s="47"/>
      <c r="AA60" s="47"/>
      <c r="AB60" s="47"/>
      <c r="AC60" s="47"/>
    </row>
    <row r="61">
      <c r="A61" s="47"/>
      <c r="B61" s="47"/>
      <c r="C61" s="47" t="s">
        <v>838</v>
      </c>
      <c r="D61" s="47"/>
      <c r="E61" s="47"/>
      <c r="F61" s="47"/>
      <c r="G61" s="47"/>
      <c r="H61" s="460"/>
      <c r="I61" s="47"/>
      <c r="J61" s="47"/>
      <c r="K61" s="47"/>
      <c r="L61" s="47"/>
      <c r="M61" s="47"/>
      <c r="N61" s="437" t="s">
        <v>839</v>
      </c>
      <c r="O61" s="438">
        <v>7.6271694E7</v>
      </c>
      <c r="P61" s="439">
        <v>1.0</v>
      </c>
      <c r="Q61" s="437" t="s">
        <v>840</v>
      </c>
      <c r="R61" s="437"/>
      <c r="S61" s="437"/>
      <c r="T61" s="437" t="s">
        <v>841</v>
      </c>
      <c r="U61" s="437" t="s">
        <v>594</v>
      </c>
      <c r="V61" s="440"/>
      <c r="W61" s="47"/>
      <c r="X61" s="47"/>
      <c r="Y61" s="47"/>
      <c r="Z61" s="47"/>
      <c r="AA61" s="47"/>
      <c r="AB61" s="47"/>
      <c r="AC61" s="47"/>
    </row>
    <row r="62">
      <c r="A62" s="47"/>
      <c r="B62" s="47"/>
      <c r="C62" s="47" t="s">
        <v>842</v>
      </c>
      <c r="D62" s="47"/>
      <c r="E62" s="47"/>
      <c r="F62" s="47"/>
      <c r="G62" s="47"/>
      <c r="H62" s="459"/>
      <c r="I62" s="47"/>
      <c r="J62" s="47"/>
      <c r="K62" s="47"/>
      <c r="L62" s="47"/>
      <c r="M62" s="47"/>
      <c r="N62" s="437" t="s">
        <v>843</v>
      </c>
      <c r="O62" s="438">
        <v>7.7052801E7</v>
      </c>
      <c r="P62" s="439">
        <v>1.0</v>
      </c>
      <c r="Q62" s="437" t="s">
        <v>844</v>
      </c>
      <c r="R62" s="437"/>
      <c r="S62" s="437"/>
      <c r="T62" s="437" t="s">
        <v>845</v>
      </c>
      <c r="U62" s="437" t="s">
        <v>603</v>
      </c>
      <c r="V62" s="437" t="s">
        <v>604</v>
      </c>
      <c r="W62" s="47"/>
      <c r="X62" s="47"/>
      <c r="Y62" s="47"/>
      <c r="Z62" s="47"/>
      <c r="AA62" s="47"/>
      <c r="AB62" s="47"/>
      <c r="AC62" s="47"/>
    </row>
    <row r="63">
      <c r="A63" s="47"/>
      <c r="B63" s="47"/>
      <c r="C63" s="47" t="s">
        <v>846</v>
      </c>
      <c r="D63" s="47"/>
      <c r="E63" s="47"/>
      <c r="F63" s="47"/>
      <c r="G63" s="47"/>
      <c r="H63" s="460"/>
      <c r="I63" s="47"/>
      <c r="J63" s="47"/>
      <c r="K63" s="47"/>
      <c r="L63" s="47"/>
      <c r="M63" s="47"/>
      <c r="N63" s="437" t="s">
        <v>847</v>
      </c>
      <c r="O63" s="438">
        <v>7.6102607E7</v>
      </c>
      <c r="P63" s="439">
        <v>0.0</v>
      </c>
      <c r="Q63" s="437" t="s">
        <v>848</v>
      </c>
      <c r="R63" s="437"/>
      <c r="S63" s="437"/>
      <c r="T63" s="437" t="s">
        <v>849</v>
      </c>
      <c r="U63" s="437" t="s">
        <v>594</v>
      </c>
      <c r="V63" s="440"/>
      <c r="W63" s="47"/>
      <c r="X63" s="47"/>
      <c r="Y63" s="47"/>
      <c r="Z63" s="47"/>
      <c r="AA63" s="47"/>
      <c r="AB63" s="47"/>
      <c r="AC63" s="47"/>
    </row>
    <row r="64">
      <c r="A64" s="47"/>
      <c r="B64" s="47"/>
      <c r="C64" s="47" t="s">
        <v>850</v>
      </c>
      <c r="D64" s="47"/>
      <c r="E64" s="47"/>
      <c r="F64" s="47"/>
      <c r="G64" s="47"/>
      <c r="H64" s="459"/>
      <c r="I64" s="47"/>
      <c r="J64" s="47"/>
      <c r="K64" s="47"/>
      <c r="L64" s="47"/>
      <c r="M64" s="47"/>
      <c r="N64" s="437" t="s">
        <v>851</v>
      </c>
      <c r="O64" s="438">
        <v>7.6515462E7</v>
      </c>
      <c r="P64" s="439">
        <v>6.0</v>
      </c>
      <c r="Q64" s="437" t="s">
        <v>852</v>
      </c>
      <c r="R64" s="437"/>
      <c r="S64" s="437"/>
      <c r="T64" s="437" t="s">
        <v>853</v>
      </c>
      <c r="U64" s="437" t="s">
        <v>594</v>
      </c>
      <c r="V64" s="440"/>
      <c r="W64" s="47"/>
      <c r="X64" s="47"/>
      <c r="Y64" s="47"/>
      <c r="Z64" s="47"/>
      <c r="AA64" s="47"/>
      <c r="AB64" s="47"/>
      <c r="AC64" s="47"/>
    </row>
    <row r="65">
      <c r="A65" s="47"/>
      <c r="B65" s="47"/>
      <c r="C65" s="47" t="s">
        <v>854</v>
      </c>
      <c r="D65" s="47"/>
      <c r="E65" s="47"/>
      <c r="F65" s="47"/>
      <c r="G65" s="47"/>
      <c r="H65" s="460"/>
      <c r="I65" s="47"/>
      <c r="J65" s="47"/>
      <c r="K65" s="47"/>
      <c r="L65" s="47"/>
      <c r="M65" s="47"/>
      <c r="N65" s="437" t="s">
        <v>855</v>
      </c>
      <c r="O65" s="438">
        <v>7.72241E7</v>
      </c>
      <c r="P65" s="439">
        <v>3.0</v>
      </c>
      <c r="Q65" s="437" t="s">
        <v>856</v>
      </c>
      <c r="R65" s="437"/>
      <c r="S65" s="437"/>
      <c r="T65" s="437" t="s">
        <v>857</v>
      </c>
      <c r="U65" s="437" t="s">
        <v>594</v>
      </c>
      <c r="V65" s="440"/>
      <c r="W65" s="47"/>
      <c r="X65" s="47"/>
      <c r="Y65" s="47"/>
      <c r="Z65" s="47"/>
      <c r="AA65" s="47"/>
      <c r="AB65" s="47"/>
      <c r="AC65" s="47"/>
    </row>
    <row r="66">
      <c r="A66" s="47"/>
      <c r="B66" s="47"/>
      <c r="C66" s="47" t="s">
        <v>858</v>
      </c>
      <c r="D66" s="47"/>
      <c r="E66" s="47"/>
      <c r="F66" s="47"/>
      <c r="G66" s="47"/>
      <c r="H66" s="459"/>
      <c r="I66" s="47"/>
      <c r="J66" s="47"/>
      <c r="K66" s="47"/>
      <c r="L66" s="47"/>
      <c r="M66" s="47"/>
      <c r="N66" s="437" t="s">
        <v>859</v>
      </c>
      <c r="O66" s="438">
        <v>7.696233E7</v>
      </c>
      <c r="P66" s="439">
        <v>2.0</v>
      </c>
      <c r="Q66" s="437" t="s">
        <v>524</v>
      </c>
      <c r="R66" s="437"/>
      <c r="S66" s="437"/>
      <c r="T66" s="437" t="s">
        <v>860</v>
      </c>
      <c r="U66" s="437" t="s">
        <v>594</v>
      </c>
      <c r="V66" s="440"/>
      <c r="W66" s="47"/>
      <c r="X66" s="47"/>
      <c r="Y66" s="47"/>
      <c r="Z66" s="47"/>
      <c r="AA66" s="47"/>
      <c r="AB66" s="47"/>
      <c r="AC66" s="47"/>
    </row>
    <row r="67">
      <c r="A67" s="47"/>
      <c r="B67" s="47"/>
      <c r="C67" s="47" t="s">
        <v>861</v>
      </c>
      <c r="D67" s="47"/>
      <c r="E67" s="47"/>
      <c r="F67" s="47"/>
      <c r="G67" s="47"/>
      <c r="H67" s="460"/>
      <c r="I67" s="47"/>
      <c r="J67" s="47"/>
      <c r="K67" s="47"/>
      <c r="L67" s="47"/>
      <c r="M67" s="47"/>
      <c r="N67" s="437" t="s">
        <v>862</v>
      </c>
      <c r="O67" s="438">
        <v>7.7761115E7</v>
      </c>
      <c r="P67" s="439">
        <v>1.0</v>
      </c>
      <c r="Q67" s="437" t="s">
        <v>863</v>
      </c>
      <c r="R67" s="437"/>
      <c r="S67" s="437"/>
      <c r="T67" s="437" t="s">
        <v>864</v>
      </c>
      <c r="U67" s="437" t="s">
        <v>594</v>
      </c>
      <c r="V67" s="440"/>
      <c r="W67" s="47"/>
      <c r="X67" s="47"/>
      <c r="Y67" s="47"/>
      <c r="Z67" s="47"/>
      <c r="AA67" s="47"/>
      <c r="AB67" s="47"/>
      <c r="AC67" s="47"/>
    </row>
    <row r="68">
      <c r="A68" s="47"/>
      <c r="B68" s="47"/>
      <c r="C68" s="47" t="s">
        <v>865</v>
      </c>
      <c r="D68" s="47"/>
      <c r="E68" s="47"/>
      <c r="F68" s="47"/>
      <c r="G68" s="47"/>
      <c r="H68" s="459"/>
      <c r="I68" s="47"/>
      <c r="J68" s="47"/>
      <c r="K68" s="47"/>
      <c r="L68" s="47"/>
      <c r="M68" s="47"/>
      <c r="N68" s="437" t="s">
        <v>866</v>
      </c>
      <c r="O68" s="438">
        <v>7.6423859E7</v>
      </c>
      <c r="P68" s="439">
        <v>1.0</v>
      </c>
      <c r="Q68" s="437" t="s">
        <v>867</v>
      </c>
      <c r="R68" s="437"/>
      <c r="S68" s="437"/>
      <c r="T68" s="437" t="s">
        <v>868</v>
      </c>
      <c r="U68" s="437" t="s">
        <v>594</v>
      </c>
      <c r="V68" s="440"/>
      <c r="W68" s="47"/>
      <c r="X68" s="47"/>
      <c r="Y68" s="47"/>
      <c r="Z68" s="47"/>
      <c r="AA68" s="47"/>
      <c r="AB68" s="47"/>
      <c r="AC68" s="47"/>
    </row>
    <row r="69">
      <c r="A69" s="47"/>
      <c r="B69" s="47"/>
      <c r="C69" s="47" t="s">
        <v>869</v>
      </c>
      <c r="D69" s="47"/>
      <c r="E69" s="47"/>
      <c r="F69" s="47"/>
      <c r="G69" s="47"/>
      <c r="H69" s="460"/>
      <c r="I69" s="47"/>
      <c r="J69" s="47"/>
      <c r="K69" s="47"/>
      <c r="L69" s="47"/>
      <c r="M69" s="47"/>
      <c r="N69" s="437" t="s">
        <v>871</v>
      </c>
      <c r="O69" s="438">
        <v>7.7651423E7</v>
      </c>
      <c r="P69" s="439">
        <v>3.0</v>
      </c>
      <c r="Q69" s="437" t="s">
        <v>872</v>
      </c>
      <c r="R69" s="437"/>
      <c r="S69" s="437"/>
      <c r="T69" s="437" t="s">
        <v>873</v>
      </c>
      <c r="U69" s="437" t="s">
        <v>594</v>
      </c>
      <c r="V69" s="440"/>
      <c r="W69" s="47"/>
      <c r="X69" s="47"/>
      <c r="Y69" s="47"/>
      <c r="Z69" s="47"/>
      <c r="AA69" s="47"/>
      <c r="AB69" s="47"/>
      <c r="AC69" s="47"/>
    </row>
    <row r="70">
      <c r="A70" s="47"/>
      <c r="B70" s="47"/>
      <c r="C70" s="47" t="s">
        <v>874</v>
      </c>
      <c r="D70" s="47"/>
      <c r="E70" s="47"/>
      <c r="F70" s="47"/>
      <c r="G70" s="47"/>
      <c r="H70" s="459"/>
      <c r="I70" s="47"/>
      <c r="J70" s="47"/>
      <c r="K70" s="47"/>
      <c r="L70" s="47"/>
      <c r="M70" s="47"/>
      <c r="N70" s="437" t="s">
        <v>876</v>
      </c>
      <c r="O70" s="438">
        <v>7.713786E7</v>
      </c>
      <c r="P70" s="439">
        <v>9.0</v>
      </c>
      <c r="Q70" s="437" t="s">
        <v>877</v>
      </c>
      <c r="R70" s="437"/>
      <c r="S70" s="437"/>
      <c r="T70" s="437" t="s">
        <v>878</v>
      </c>
      <c r="U70" s="437" t="s">
        <v>603</v>
      </c>
      <c r="V70" s="437" t="s">
        <v>604</v>
      </c>
      <c r="W70" s="47"/>
      <c r="X70" s="47"/>
      <c r="Y70" s="47"/>
      <c r="Z70" s="47"/>
      <c r="AA70" s="47"/>
      <c r="AB70" s="47"/>
      <c r="AC70" s="47"/>
    </row>
    <row r="71">
      <c r="A71" s="47"/>
      <c r="B71" s="47"/>
      <c r="C71" s="47" t="s">
        <v>879</v>
      </c>
      <c r="D71" s="47"/>
      <c r="E71" s="47"/>
      <c r="F71" s="47"/>
      <c r="G71" s="47"/>
      <c r="H71" s="460"/>
      <c r="I71" s="47"/>
      <c r="J71" s="47"/>
      <c r="K71" s="47"/>
      <c r="L71" s="47"/>
      <c r="M71" s="47"/>
      <c r="N71" s="437" t="s">
        <v>880</v>
      </c>
      <c r="O71" s="438">
        <v>9947799.0</v>
      </c>
      <c r="P71" s="439">
        <v>2.0</v>
      </c>
      <c r="Q71" s="437" t="s">
        <v>881</v>
      </c>
      <c r="R71" s="437"/>
      <c r="S71" s="437"/>
      <c r="T71" s="437" t="s">
        <v>882</v>
      </c>
      <c r="U71" s="437" t="s">
        <v>594</v>
      </c>
      <c r="V71" s="440"/>
      <c r="W71" s="47"/>
      <c r="X71" s="47"/>
      <c r="Y71" s="47"/>
      <c r="Z71" s="47"/>
      <c r="AA71" s="47"/>
      <c r="AB71" s="47"/>
      <c r="AC71" s="47"/>
    </row>
    <row r="72">
      <c r="A72" s="47"/>
      <c r="B72" s="47"/>
      <c r="C72" s="47" t="s">
        <v>883</v>
      </c>
      <c r="D72" s="47"/>
      <c r="E72" s="47"/>
      <c r="F72" s="47"/>
      <c r="G72" s="47"/>
      <c r="H72" s="459"/>
      <c r="I72" s="47"/>
      <c r="J72" s="47"/>
      <c r="K72" s="47"/>
      <c r="L72" s="47"/>
      <c r="M72" s="47"/>
      <c r="N72" s="437" t="s">
        <v>884</v>
      </c>
      <c r="O72" s="438">
        <v>8.37327E7</v>
      </c>
      <c r="P72" s="439">
        <v>8.0</v>
      </c>
      <c r="Q72" s="437" t="s">
        <v>885</v>
      </c>
      <c r="R72" s="437"/>
      <c r="S72" s="437"/>
      <c r="T72" s="437" t="s">
        <v>886</v>
      </c>
      <c r="U72" s="437" t="s">
        <v>594</v>
      </c>
      <c r="V72" s="440"/>
      <c r="W72" s="47"/>
      <c r="X72" s="47"/>
      <c r="Y72" s="47"/>
      <c r="Z72" s="47"/>
      <c r="AA72" s="47"/>
      <c r="AB72" s="47"/>
      <c r="AC72" s="47"/>
    </row>
    <row r="73">
      <c r="A73" s="47"/>
      <c r="B73" s="47"/>
      <c r="C73" s="47" t="s">
        <v>887</v>
      </c>
      <c r="D73" s="47"/>
      <c r="E73" s="47"/>
      <c r="F73" s="47"/>
      <c r="G73" s="47"/>
      <c r="H73" s="460"/>
      <c r="I73" s="47"/>
      <c r="J73" s="47"/>
      <c r="K73" s="47"/>
      <c r="L73" s="47"/>
      <c r="M73" s="47"/>
      <c r="N73" s="437" t="s">
        <v>888</v>
      </c>
      <c r="O73" s="438">
        <v>7.6343261E7</v>
      </c>
      <c r="P73" s="439">
        <v>0.0</v>
      </c>
      <c r="Q73" s="437" t="s">
        <v>889</v>
      </c>
      <c r="R73" s="437"/>
      <c r="S73" s="437"/>
      <c r="T73" s="437" t="s">
        <v>890</v>
      </c>
      <c r="U73" s="437" t="s">
        <v>594</v>
      </c>
      <c r="V73" s="440"/>
      <c r="W73" s="47"/>
      <c r="X73" s="47"/>
      <c r="Y73" s="47"/>
      <c r="Z73" s="47"/>
      <c r="AA73" s="47"/>
      <c r="AB73" s="47"/>
      <c r="AC73" s="47"/>
    </row>
    <row r="74">
      <c r="A74" s="47"/>
      <c r="B74" s="47"/>
      <c r="C74" s="47" t="s">
        <v>891</v>
      </c>
      <c r="D74" s="47"/>
      <c r="E74" s="47"/>
      <c r="F74" s="47"/>
      <c r="G74" s="47"/>
      <c r="H74" s="459"/>
      <c r="I74" s="47"/>
      <c r="J74" s="47"/>
      <c r="K74" s="47"/>
      <c r="L74" s="47"/>
      <c r="M74" s="47"/>
      <c r="N74" s="437" t="s">
        <v>892</v>
      </c>
      <c r="O74" s="438">
        <v>7739192.0</v>
      </c>
      <c r="P74" s="439">
        <v>4.0</v>
      </c>
      <c r="Q74" s="437" t="s">
        <v>893</v>
      </c>
      <c r="R74" s="437"/>
      <c r="S74" s="437"/>
      <c r="T74" s="437" t="s">
        <v>894</v>
      </c>
      <c r="U74" s="437" t="s">
        <v>594</v>
      </c>
      <c r="V74" s="440"/>
      <c r="W74" s="47"/>
      <c r="X74" s="47"/>
      <c r="Y74" s="47"/>
      <c r="Z74" s="47"/>
      <c r="AA74" s="47"/>
      <c r="AB74" s="47"/>
      <c r="AC74" s="47"/>
    </row>
    <row r="75">
      <c r="A75" s="47"/>
      <c r="B75" s="47"/>
      <c r="C75" s="47" t="s">
        <v>895</v>
      </c>
      <c r="D75" s="47"/>
      <c r="E75" s="47"/>
      <c r="F75" s="47"/>
      <c r="G75" s="47"/>
      <c r="H75" s="460"/>
      <c r="I75" s="47"/>
      <c r="J75" s="47"/>
      <c r="K75" s="47"/>
      <c r="L75" s="47"/>
      <c r="M75" s="47"/>
      <c r="N75" s="437" t="s">
        <v>896</v>
      </c>
      <c r="O75" s="438">
        <v>7.6405567E7</v>
      </c>
      <c r="P75" s="439">
        <v>5.0</v>
      </c>
      <c r="Q75" s="437" t="s">
        <v>897</v>
      </c>
      <c r="R75" s="437"/>
      <c r="S75" s="437"/>
      <c r="T75" s="437" t="s">
        <v>898</v>
      </c>
      <c r="U75" s="437" t="s">
        <v>603</v>
      </c>
      <c r="V75" s="437" t="s">
        <v>675</v>
      </c>
      <c r="W75" s="47"/>
      <c r="X75" s="47"/>
      <c r="Y75" s="47"/>
      <c r="Z75" s="47"/>
      <c r="AA75" s="47"/>
      <c r="AB75" s="47"/>
      <c r="AC75" s="47"/>
    </row>
    <row r="76">
      <c r="A76" s="47"/>
      <c r="B76" s="47"/>
      <c r="C76" s="47" t="s">
        <v>899</v>
      </c>
      <c r="D76" s="47"/>
      <c r="E76" s="47"/>
      <c r="F76" s="47"/>
      <c r="G76" s="47"/>
      <c r="H76" s="459"/>
      <c r="I76" s="47"/>
      <c r="J76" s="47"/>
      <c r="K76" s="47"/>
      <c r="L76" s="47"/>
      <c r="M76" s="47"/>
      <c r="N76" s="437" t="s">
        <v>900</v>
      </c>
      <c r="O76" s="438">
        <v>9.652318E7</v>
      </c>
      <c r="P76" s="439">
        <v>3.0</v>
      </c>
      <c r="Q76" s="437" t="s">
        <v>901</v>
      </c>
      <c r="R76" s="462"/>
      <c r="S76" s="462"/>
      <c r="T76" s="462" t="s">
        <v>902</v>
      </c>
      <c r="U76" s="437" t="s">
        <v>594</v>
      </c>
      <c r="V76" s="440"/>
      <c r="W76" s="47"/>
      <c r="X76" s="47"/>
      <c r="Y76" s="47"/>
      <c r="Z76" s="47"/>
      <c r="AA76" s="47"/>
      <c r="AB76" s="47"/>
      <c r="AC76" s="47"/>
    </row>
    <row r="77">
      <c r="A77" s="47"/>
      <c r="B77" s="47"/>
      <c r="C77" s="47" t="s">
        <v>903</v>
      </c>
      <c r="D77" s="47"/>
      <c r="E77" s="47"/>
      <c r="F77" s="47"/>
      <c r="G77" s="47"/>
      <c r="H77" s="460"/>
      <c r="I77" s="47"/>
      <c r="J77" s="47"/>
      <c r="K77" s="47"/>
      <c r="L77" s="47"/>
      <c r="M77" s="47"/>
      <c r="N77" s="437" t="s">
        <v>904</v>
      </c>
      <c r="O77" s="438">
        <v>7.6992766E7</v>
      </c>
      <c r="P77" s="439">
        <v>2.0</v>
      </c>
      <c r="Q77" s="437" t="s">
        <v>905</v>
      </c>
      <c r="R77" s="437"/>
      <c r="S77" s="437"/>
      <c r="T77" s="437" t="s">
        <v>906</v>
      </c>
      <c r="U77" s="437" t="s">
        <v>594</v>
      </c>
      <c r="V77" s="440"/>
      <c r="W77" s="47"/>
      <c r="X77" s="47"/>
      <c r="Y77" s="47"/>
      <c r="Z77" s="47"/>
      <c r="AA77" s="47"/>
      <c r="AB77" s="47"/>
      <c r="AC77" s="47"/>
    </row>
    <row r="78">
      <c r="A78" s="47"/>
      <c r="B78" s="47"/>
      <c r="C78" s="47" t="s">
        <v>907</v>
      </c>
      <c r="D78" s="47"/>
      <c r="E78" s="47"/>
      <c r="F78" s="47"/>
      <c r="G78" s="47"/>
      <c r="H78" s="459"/>
      <c r="I78" s="47"/>
      <c r="J78" s="47"/>
      <c r="K78" s="47"/>
      <c r="L78" s="47"/>
      <c r="M78" s="47"/>
      <c r="N78" s="437" t="s">
        <v>908</v>
      </c>
      <c r="O78" s="438">
        <v>7.6053604E7</v>
      </c>
      <c r="P78" s="439">
        <v>0.0</v>
      </c>
      <c r="Q78" s="437" t="s">
        <v>909</v>
      </c>
      <c r="R78" s="437"/>
      <c r="S78" s="437"/>
      <c r="T78" s="437" t="s">
        <v>910</v>
      </c>
      <c r="U78" s="437" t="s">
        <v>594</v>
      </c>
      <c r="V78" s="440"/>
      <c r="W78" s="47"/>
      <c r="X78" s="47"/>
      <c r="Y78" s="47"/>
      <c r="Z78" s="47"/>
      <c r="AA78" s="47"/>
      <c r="AB78" s="47"/>
      <c r="AC78" s="47"/>
    </row>
    <row r="79">
      <c r="A79" s="47"/>
      <c r="B79" s="47"/>
      <c r="C79" s="47" t="s">
        <v>911</v>
      </c>
      <c r="D79" s="47"/>
      <c r="E79" s="47"/>
      <c r="F79" s="47"/>
      <c r="G79" s="47"/>
      <c r="H79" s="460"/>
      <c r="I79" s="47"/>
      <c r="J79" s="47"/>
      <c r="K79" s="47"/>
      <c r="L79" s="47"/>
      <c r="M79" s="47"/>
      <c r="N79" s="437" t="s">
        <v>912</v>
      </c>
      <c r="O79" s="438">
        <v>7.6028554E7</v>
      </c>
      <c r="P79" s="439">
        <v>4.0</v>
      </c>
      <c r="Q79" s="437" t="s">
        <v>913</v>
      </c>
      <c r="R79" s="437"/>
      <c r="S79" s="437"/>
      <c r="T79" s="437" t="s">
        <v>914</v>
      </c>
      <c r="U79" s="437" t="s">
        <v>603</v>
      </c>
      <c r="V79" s="437" t="s">
        <v>604</v>
      </c>
      <c r="W79" s="47"/>
      <c r="X79" s="47"/>
      <c r="Y79" s="47"/>
      <c r="Z79" s="47"/>
      <c r="AA79" s="47"/>
      <c r="AB79" s="47"/>
      <c r="AC79" s="47"/>
    </row>
    <row r="80">
      <c r="A80" s="47"/>
      <c r="B80" s="47"/>
      <c r="C80" s="47" t="s">
        <v>915</v>
      </c>
      <c r="D80" s="47"/>
      <c r="E80" s="47"/>
      <c r="F80" s="47"/>
      <c r="G80" s="47"/>
      <c r="H80" s="459"/>
      <c r="I80" s="47"/>
      <c r="J80" s="47"/>
      <c r="K80" s="47"/>
      <c r="L80" s="47"/>
      <c r="M80" s="47"/>
      <c r="N80" s="437" t="s">
        <v>916</v>
      </c>
      <c r="O80" s="438">
        <v>7.6535548E7</v>
      </c>
      <c r="P80" s="439">
        <v>6.0</v>
      </c>
      <c r="Q80" s="437" t="s">
        <v>917</v>
      </c>
      <c r="R80" s="437"/>
      <c r="S80" s="437"/>
      <c r="T80" s="437" t="s">
        <v>918</v>
      </c>
      <c r="U80" s="437" t="s">
        <v>594</v>
      </c>
      <c r="V80" s="440"/>
      <c r="W80" s="47"/>
      <c r="X80" s="47"/>
      <c r="Y80" s="47"/>
      <c r="Z80" s="47"/>
      <c r="AA80" s="47"/>
      <c r="AB80" s="47"/>
      <c r="AC80" s="47"/>
    </row>
    <row r="81">
      <c r="A81" s="47"/>
      <c r="B81" s="47"/>
      <c r="C81" s="47" t="s">
        <v>919</v>
      </c>
      <c r="D81" s="47"/>
      <c r="E81" s="47"/>
      <c r="F81" s="47"/>
      <c r="G81" s="47"/>
      <c r="H81" s="460"/>
      <c r="I81" s="47"/>
      <c r="J81" s="47"/>
      <c r="K81" s="47"/>
      <c r="L81" s="47"/>
      <c r="M81" s="47"/>
      <c r="N81" s="437" t="s">
        <v>920</v>
      </c>
      <c r="O81" s="438">
        <v>7.757081E7</v>
      </c>
      <c r="P81" s="439">
        <v>7.0</v>
      </c>
      <c r="Q81" s="437" t="s">
        <v>921</v>
      </c>
      <c r="R81" s="437"/>
      <c r="S81" s="437"/>
      <c r="T81" s="437" t="s">
        <v>922</v>
      </c>
      <c r="U81" s="437" t="s">
        <v>594</v>
      </c>
      <c r="V81" s="440"/>
      <c r="W81" s="47"/>
      <c r="X81" s="47"/>
      <c r="Y81" s="47"/>
      <c r="Z81" s="47"/>
      <c r="AA81" s="47"/>
      <c r="AB81" s="47"/>
      <c r="AC81" s="47"/>
    </row>
    <row r="82">
      <c r="A82" s="47"/>
      <c r="B82" s="47"/>
      <c r="C82" s="47" t="s">
        <v>923</v>
      </c>
      <c r="D82" s="47"/>
      <c r="E82" s="47"/>
      <c r="F82" s="47"/>
      <c r="G82" s="47"/>
      <c r="H82" s="459"/>
      <c r="I82" s="47"/>
      <c r="J82" s="47"/>
      <c r="K82" s="47"/>
      <c r="L82" s="47"/>
      <c r="M82" s="47"/>
      <c r="N82" s="437" t="s">
        <v>924</v>
      </c>
      <c r="O82" s="438">
        <v>7.765219E7</v>
      </c>
      <c r="P82" s="439">
        <v>6.0</v>
      </c>
      <c r="Q82" s="437" t="s">
        <v>925</v>
      </c>
      <c r="R82" s="437"/>
      <c r="S82" s="437"/>
      <c r="T82" s="437" t="s">
        <v>926</v>
      </c>
      <c r="U82" s="437" t="s">
        <v>603</v>
      </c>
      <c r="V82" s="437" t="s">
        <v>675</v>
      </c>
      <c r="W82" s="47"/>
      <c r="X82" s="47"/>
      <c r="Y82" s="47"/>
      <c r="Z82" s="47"/>
      <c r="AA82" s="47"/>
      <c r="AB82" s="47"/>
      <c r="AC82" s="47"/>
    </row>
    <row r="83">
      <c r="A83" s="47"/>
      <c r="B83" s="47"/>
      <c r="C83" s="47" t="s">
        <v>332</v>
      </c>
      <c r="D83" s="47"/>
      <c r="E83" s="47"/>
      <c r="F83" s="47"/>
      <c r="G83" s="47"/>
      <c r="H83" s="460"/>
      <c r="I83" s="47"/>
      <c r="J83" s="47"/>
      <c r="K83" s="47"/>
      <c r="L83" s="47"/>
      <c r="M83" s="47"/>
      <c r="N83" s="437" t="s">
        <v>927</v>
      </c>
      <c r="O83" s="438">
        <v>7.7489668E7</v>
      </c>
      <c r="P83" s="439">
        <v>6.0</v>
      </c>
      <c r="Q83" s="437" t="s">
        <v>928</v>
      </c>
      <c r="R83" s="437"/>
      <c r="S83" s="437"/>
      <c r="T83" s="437" t="s">
        <v>929</v>
      </c>
      <c r="U83" s="437" t="s">
        <v>594</v>
      </c>
      <c r="V83" s="440"/>
      <c r="W83" s="47"/>
      <c r="X83" s="47"/>
      <c r="Y83" s="47"/>
      <c r="Z83" s="47"/>
      <c r="AA83" s="47"/>
      <c r="AB83" s="47"/>
      <c r="AC83" s="47"/>
    </row>
    <row r="84">
      <c r="A84" s="47"/>
      <c r="B84" s="47"/>
      <c r="C84" s="47" t="s">
        <v>931</v>
      </c>
      <c r="D84" s="47"/>
      <c r="E84" s="47"/>
      <c r="F84" s="47"/>
      <c r="G84" s="47"/>
      <c r="H84" s="459"/>
      <c r="I84" s="47"/>
      <c r="J84" s="47"/>
      <c r="K84" s="47"/>
      <c r="L84" s="47"/>
      <c r="M84" s="47"/>
      <c r="N84" s="437" t="s">
        <v>932</v>
      </c>
      <c r="O84" s="438">
        <v>7.7280635E7</v>
      </c>
      <c r="P84" s="439">
        <v>3.0</v>
      </c>
      <c r="Q84" s="437" t="s">
        <v>932</v>
      </c>
      <c r="R84" s="437"/>
      <c r="S84" s="437"/>
      <c r="T84" s="437" t="s">
        <v>933</v>
      </c>
      <c r="U84" s="437" t="s">
        <v>594</v>
      </c>
      <c r="V84" s="440"/>
      <c r="W84" s="47"/>
      <c r="X84" s="47"/>
      <c r="Y84" s="47"/>
      <c r="Z84" s="47"/>
      <c r="AA84" s="47"/>
      <c r="AB84" s="47"/>
      <c r="AC84" s="47"/>
    </row>
    <row r="85">
      <c r="A85" s="47"/>
      <c r="B85" s="47"/>
      <c r="C85" s="47" t="s">
        <v>934</v>
      </c>
      <c r="D85" s="47"/>
      <c r="E85" s="47"/>
      <c r="F85" s="47"/>
      <c r="G85" s="47"/>
      <c r="H85" s="460"/>
      <c r="I85" s="47"/>
      <c r="J85" s="47"/>
      <c r="K85" s="47"/>
      <c r="L85" s="47"/>
      <c r="M85" s="47"/>
      <c r="N85" s="437" t="s">
        <v>935</v>
      </c>
      <c r="O85" s="438">
        <v>7.7773634E7</v>
      </c>
      <c r="P85" s="439">
        <v>5.0</v>
      </c>
      <c r="Q85" s="437" t="s">
        <v>936</v>
      </c>
      <c r="R85" s="437"/>
      <c r="S85" s="437"/>
      <c r="T85" s="437" t="s">
        <v>937</v>
      </c>
      <c r="U85" s="437" t="s">
        <v>594</v>
      </c>
      <c r="V85" s="440"/>
      <c r="W85" s="47"/>
      <c r="X85" s="47"/>
      <c r="Y85" s="47"/>
      <c r="Z85" s="47"/>
      <c r="AA85" s="47"/>
      <c r="AB85" s="47"/>
      <c r="AC85" s="47"/>
    </row>
    <row r="86">
      <c r="A86" s="47"/>
      <c r="B86" s="47"/>
      <c r="C86" s="47" t="s">
        <v>938</v>
      </c>
      <c r="D86" s="47"/>
      <c r="E86" s="47"/>
      <c r="F86" s="47"/>
      <c r="G86" s="47"/>
      <c r="H86" s="459"/>
      <c r="I86" s="47"/>
      <c r="J86" s="47"/>
      <c r="K86" s="47"/>
      <c r="L86" s="47"/>
      <c r="M86" s="47"/>
      <c r="N86" s="437" t="s">
        <v>939</v>
      </c>
      <c r="O86" s="438">
        <v>7.6219281E7</v>
      </c>
      <c r="P86" s="439">
        <v>0.0</v>
      </c>
      <c r="Q86" s="437" t="s">
        <v>205</v>
      </c>
      <c r="R86" s="437"/>
      <c r="S86" s="437"/>
      <c r="T86" s="437" t="s">
        <v>940</v>
      </c>
      <c r="U86" s="437" t="s">
        <v>594</v>
      </c>
      <c r="V86" s="440"/>
      <c r="W86" s="47"/>
      <c r="X86" s="47"/>
      <c r="Y86" s="47"/>
      <c r="Z86" s="47"/>
      <c r="AA86" s="47"/>
      <c r="AB86" s="47"/>
      <c r="AC86" s="47"/>
    </row>
    <row r="87">
      <c r="A87" s="47"/>
      <c r="B87" s="47"/>
      <c r="C87" s="47" t="s">
        <v>941</v>
      </c>
      <c r="D87" s="47"/>
      <c r="E87" s="47"/>
      <c r="F87" s="47"/>
      <c r="G87" s="47"/>
      <c r="H87" s="454"/>
      <c r="I87" s="47"/>
      <c r="J87" s="47"/>
      <c r="K87" s="47"/>
      <c r="L87" s="47"/>
      <c r="M87" s="47"/>
      <c r="N87" s="437" t="s">
        <v>942</v>
      </c>
      <c r="O87" s="438">
        <v>7.6533924E7</v>
      </c>
      <c r="P87" s="439">
        <v>3.0</v>
      </c>
      <c r="Q87" s="437" t="s">
        <v>943</v>
      </c>
      <c r="R87" s="437"/>
      <c r="S87" s="437"/>
      <c r="T87" s="437" t="s">
        <v>940</v>
      </c>
      <c r="U87" s="437" t="s">
        <v>603</v>
      </c>
      <c r="V87" s="437" t="s">
        <v>944</v>
      </c>
      <c r="W87" s="47"/>
      <c r="X87" s="47"/>
      <c r="Y87" s="47"/>
      <c r="Z87" s="47"/>
      <c r="AA87" s="47"/>
      <c r="AB87" s="47"/>
      <c r="AC87" s="47"/>
    </row>
    <row r="88">
      <c r="A88" s="47"/>
      <c r="B88" s="47"/>
      <c r="C88" s="47" t="s">
        <v>945</v>
      </c>
      <c r="D88" s="47"/>
      <c r="E88" s="47"/>
      <c r="F88" s="47"/>
      <c r="G88" s="47"/>
      <c r="H88" s="455"/>
      <c r="I88" s="47"/>
      <c r="J88" s="47"/>
      <c r="K88" s="47"/>
      <c r="L88" s="47"/>
      <c r="M88" s="47"/>
      <c r="N88" s="437" t="s">
        <v>946</v>
      </c>
      <c r="O88" s="438">
        <v>7.857148E7</v>
      </c>
      <c r="P88" s="439">
        <v>6.0</v>
      </c>
      <c r="Q88" s="437" t="s">
        <v>947</v>
      </c>
      <c r="R88" s="437"/>
      <c r="S88" s="437"/>
      <c r="T88" s="437" t="s">
        <v>948</v>
      </c>
      <c r="U88" s="437" t="s">
        <v>603</v>
      </c>
      <c r="V88" s="437" t="s">
        <v>604</v>
      </c>
      <c r="W88" s="47"/>
      <c r="X88" s="47"/>
      <c r="Y88" s="47"/>
      <c r="Z88" s="47"/>
      <c r="AA88" s="47"/>
      <c r="AB88" s="47"/>
      <c r="AC88" s="47"/>
    </row>
    <row r="89">
      <c r="A89" s="47"/>
      <c r="B89" s="47"/>
      <c r="C89" s="47" t="s">
        <v>949</v>
      </c>
      <c r="D89" s="47"/>
      <c r="E89" s="47"/>
      <c r="F89" s="47"/>
      <c r="G89" s="47"/>
      <c r="H89" s="454"/>
      <c r="I89" s="47"/>
      <c r="J89" s="47"/>
      <c r="K89" s="47"/>
      <c r="L89" s="47"/>
      <c r="M89" s="47"/>
      <c r="N89" s="437" t="s">
        <v>950</v>
      </c>
      <c r="O89" s="438">
        <v>9087185.0</v>
      </c>
      <c r="P89" s="439">
        <v>4.0</v>
      </c>
      <c r="Q89" s="437" t="s">
        <v>951</v>
      </c>
      <c r="R89" s="437"/>
      <c r="S89" s="437"/>
      <c r="T89" s="437" t="s">
        <v>952</v>
      </c>
      <c r="U89" s="437" t="s">
        <v>594</v>
      </c>
      <c r="V89" s="440"/>
      <c r="W89" s="47"/>
      <c r="X89" s="47"/>
      <c r="Y89" s="47"/>
      <c r="Z89" s="47"/>
      <c r="AA89" s="47"/>
      <c r="AB89" s="47"/>
      <c r="AC89" s="47"/>
    </row>
    <row r="90">
      <c r="A90" s="47"/>
      <c r="B90" s="47"/>
      <c r="C90" s="47" t="s">
        <v>953</v>
      </c>
      <c r="D90" s="47"/>
      <c r="E90" s="47"/>
      <c r="F90" s="47"/>
      <c r="G90" s="47"/>
      <c r="H90" s="455"/>
      <c r="I90" s="47"/>
      <c r="J90" s="47"/>
      <c r="K90" s="47"/>
      <c r="L90" s="47"/>
      <c r="M90" s="47"/>
      <c r="N90" s="437" t="s">
        <v>954</v>
      </c>
      <c r="O90" s="438">
        <v>7.6884395E7</v>
      </c>
      <c r="P90" s="439">
        <v>3.0</v>
      </c>
      <c r="Q90" s="437" t="s">
        <v>568</v>
      </c>
      <c r="R90" s="437"/>
      <c r="S90" s="437"/>
      <c r="T90" s="437" t="s">
        <v>955</v>
      </c>
      <c r="U90" s="437" t="s">
        <v>594</v>
      </c>
      <c r="V90" s="440"/>
      <c r="W90" s="464"/>
      <c r="X90" s="464"/>
      <c r="Y90" s="464"/>
      <c r="Z90" s="464"/>
      <c r="AC90" s="47"/>
    </row>
    <row r="91">
      <c r="A91" s="47"/>
      <c r="B91" s="47"/>
      <c r="C91" s="47" t="s">
        <v>956</v>
      </c>
      <c r="D91" s="47"/>
      <c r="E91" s="47"/>
      <c r="F91" s="47"/>
      <c r="G91" s="47"/>
      <c r="H91" s="454"/>
      <c r="I91" s="47"/>
      <c r="J91" s="47"/>
      <c r="K91" s="47"/>
      <c r="L91" s="47"/>
      <c r="M91" s="47"/>
      <c r="N91" s="437" t="s">
        <v>957</v>
      </c>
      <c r="O91" s="438">
        <v>7.6942931E7</v>
      </c>
      <c r="P91" s="439" t="s">
        <v>617</v>
      </c>
      <c r="Q91" s="437" t="s">
        <v>958</v>
      </c>
      <c r="R91" s="437"/>
      <c r="S91" s="437"/>
      <c r="T91" s="437" t="s">
        <v>959</v>
      </c>
      <c r="U91" s="437" t="s">
        <v>594</v>
      </c>
      <c r="V91" s="440"/>
      <c r="W91" s="464"/>
      <c r="X91" s="464"/>
      <c r="Z91" s="464"/>
      <c r="AB91" s="464" t="s">
        <v>7</v>
      </c>
      <c r="AC91" s="47"/>
    </row>
    <row r="92">
      <c r="A92" s="47"/>
      <c r="B92" s="47"/>
      <c r="C92" s="47" t="s">
        <v>960</v>
      </c>
      <c r="D92" s="47"/>
      <c r="E92" s="47"/>
      <c r="F92" s="47"/>
      <c r="G92" s="47"/>
      <c r="H92" s="455"/>
      <c r="I92" s="47"/>
      <c r="J92" s="47"/>
      <c r="K92" s="47"/>
      <c r="L92" s="47"/>
      <c r="M92" s="47"/>
      <c r="N92" s="437" t="s">
        <v>961</v>
      </c>
      <c r="O92" s="438">
        <v>7.6102612E7</v>
      </c>
      <c r="P92" s="439">
        <v>7.0</v>
      </c>
      <c r="Q92" s="437" t="s">
        <v>962</v>
      </c>
      <c r="R92" s="437"/>
      <c r="S92" s="437"/>
      <c r="T92" s="437" t="s">
        <v>963</v>
      </c>
      <c r="U92" s="437" t="s">
        <v>603</v>
      </c>
      <c r="V92" s="437" t="s">
        <v>604</v>
      </c>
      <c r="W92" s="465"/>
      <c r="X92" s="465"/>
      <c r="Y92" s="465"/>
      <c r="Z92" s="466"/>
      <c r="AA92" s="466" t="s">
        <v>964</v>
      </c>
      <c r="AB92" s="466" t="s">
        <v>964</v>
      </c>
      <c r="AC92" s="47"/>
    </row>
    <row r="93">
      <c r="A93" s="47"/>
      <c r="B93" s="47"/>
      <c r="C93" s="47" t="s">
        <v>965</v>
      </c>
      <c r="D93" s="47"/>
      <c r="E93" s="47"/>
      <c r="F93" s="47"/>
      <c r="G93" s="47"/>
      <c r="H93" s="467"/>
      <c r="I93" s="47"/>
      <c r="J93" s="47"/>
      <c r="K93" s="47"/>
      <c r="L93" s="47"/>
      <c r="M93" s="47"/>
      <c r="N93" s="437" t="s">
        <v>966</v>
      </c>
      <c r="O93" s="438">
        <v>7.6395296E7</v>
      </c>
      <c r="P93" s="439">
        <v>7.0</v>
      </c>
      <c r="Q93" s="437" t="s">
        <v>967</v>
      </c>
      <c r="R93" s="437"/>
      <c r="S93" s="437"/>
      <c r="T93" s="437" t="s">
        <v>968</v>
      </c>
      <c r="U93" s="437" t="s">
        <v>594</v>
      </c>
      <c r="V93" s="440"/>
      <c r="W93" s="47"/>
      <c r="X93" s="47"/>
      <c r="Y93" s="47"/>
      <c r="Z93" s="47"/>
      <c r="AA93" s="47"/>
      <c r="AB93" s="47"/>
      <c r="AC93" s="47"/>
    </row>
    <row r="94">
      <c r="A94" s="47"/>
      <c r="B94" s="47"/>
      <c r="C94" s="47" t="s">
        <v>969</v>
      </c>
      <c r="D94" s="47"/>
      <c r="E94" s="47"/>
      <c r="F94" s="47"/>
      <c r="G94" s="47"/>
      <c r="H94" s="455"/>
      <c r="I94" s="47"/>
      <c r="J94" s="47"/>
      <c r="K94" s="47"/>
      <c r="L94" s="47"/>
      <c r="M94" s="47"/>
      <c r="N94" s="437" t="s">
        <v>531</v>
      </c>
      <c r="O94" s="438">
        <v>7.7781356E7</v>
      </c>
      <c r="P94" s="439">
        <v>0.0</v>
      </c>
      <c r="Q94" s="437" t="s">
        <v>531</v>
      </c>
      <c r="R94" s="437"/>
      <c r="S94" s="437"/>
      <c r="T94" s="437" t="s">
        <v>970</v>
      </c>
      <c r="U94" s="437" t="s">
        <v>594</v>
      </c>
      <c r="V94" s="440"/>
      <c r="W94" s="47"/>
      <c r="X94" s="47"/>
      <c r="Y94" s="47"/>
      <c r="Z94" s="47"/>
      <c r="AA94" s="47"/>
      <c r="AB94" s="47"/>
      <c r="AC94" s="47"/>
    </row>
    <row r="95">
      <c r="A95" s="47"/>
      <c r="B95" s="47"/>
      <c r="C95" s="47" t="s">
        <v>971</v>
      </c>
      <c r="D95" s="47"/>
      <c r="E95" s="47"/>
      <c r="F95" s="47"/>
      <c r="G95" s="47"/>
      <c r="H95" s="454"/>
      <c r="I95" s="47"/>
      <c r="J95" s="47"/>
      <c r="K95" s="47"/>
      <c r="L95" s="47"/>
      <c r="M95" s="47"/>
      <c r="N95" s="437" t="s">
        <v>972</v>
      </c>
      <c r="O95" s="438">
        <v>7.6464159E7</v>
      </c>
      <c r="P95" s="439">
        <v>0.0</v>
      </c>
      <c r="Q95" s="437" t="s">
        <v>973</v>
      </c>
      <c r="R95" s="437"/>
      <c r="S95" s="437"/>
      <c r="T95" s="437" t="s">
        <v>975</v>
      </c>
      <c r="U95" s="437" t="s">
        <v>594</v>
      </c>
      <c r="V95" s="440"/>
      <c r="W95" s="47"/>
      <c r="X95" s="47"/>
      <c r="Y95" s="47"/>
      <c r="Z95" s="47"/>
      <c r="AA95" s="47"/>
      <c r="AB95" s="47"/>
      <c r="AC95" s="47"/>
    </row>
    <row r="96">
      <c r="A96" s="47"/>
      <c r="B96" s="47"/>
      <c r="C96" s="47" t="s">
        <v>976</v>
      </c>
      <c r="D96" s="47"/>
      <c r="E96" s="47"/>
      <c r="F96" s="47"/>
      <c r="G96" s="47"/>
      <c r="H96" s="47"/>
      <c r="I96" s="47"/>
      <c r="J96" s="47"/>
      <c r="K96" s="47"/>
      <c r="L96" s="47"/>
      <c r="M96" s="47"/>
      <c r="N96" s="437" t="s">
        <v>977</v>
      </c>
      <c r="O96" s="438">
        <v>7.6181133E7</v>
      </c>
      <c r="P96" s="439">
        <v>9.0</v>
      </c>
      <c r="Q96" s="437" t="s">
        <v>978</v>
      </c>
      <c r="R96" s="437"/>
      <c r="S96" s="437"/>
      <c r="T96" s="437" t="s">
        <v>979</v>
      </c>
      <c r="U96" s="437" t="s">
        <v>594</v>
      </c>
      <c r="V96" s="440"/>
      <c r="W96" s="47"/>
      <c r="X96" s="47"/>
      <c r="Y96" s="47"/>
      <c r="Z96" s="47"/>
      <c r="AA96" s="47"/>
      <c r="AB96" s="47"/>
      <c r="AC96" s="47"/>
    </row>
    <row r="97">
      <c r="A97" s="47"/>
      <c r="B97" s="47"/>
      <c r="C97" s="47" t="s">
        <v>980</v>
      </c>
      <c r="D97" s="47"/>
      <c r="E97" s="47"/>
      <c r="F97" s="47"/>
      <c r="G97" s="47"/>
      <c r="H97" s="47"/>
      <c r="I97" s="47"/>
      <c r="J97" s="47"/>
      <c r="K97" s="47"/>
      <c r="L97" s="47"/>
      <c r="M97" s="47"/>
      <c r="N97" s="437" t="s">
        <v>981</v>
      </c>
      <c r="O97" s="438">
        <v>3639408.0</v>
      </c>
      <c r="P97" s="439">
        <v>0.0</v>
      </c>
      <c r="Q97" s="437" t="s">
        <v>982</v>
      </c>
      <c r="R97" s="437"/>
      <c r="S97" s="437"/>
      <c r="T97" s="437" t="s">
        <v>983</v>
      </c>
      <c r="U97" s="437" t="s">
        <v>594</v>
      </c>
      <c r="V97" s="440"/>
      <c r="W97" s="47"/>
      <c r="X97" s="47"/>
      <c r="Y97" s="47"/>
      <c r="Z97" s="47"/>
      <c r="AA97" s="47"/>
      <c r="AB97" s="47"/>
      <c r="AC97" s="47"/>
    </row>
    <row r="98">
      <c r="A98" s="47"/>
      <c r="B98" s="47"/>
      <c r="C98" s="47" t="s">
        <v>984</v>
      </c>
      <c r="D98" s="47"/>
      <c r="E98" s="47"/>
      <c r="F98" s="47"/>
      <c r="G98" s="47"/>
      <c r="H98" s="47"/>
      <c r="I98" s="47"/>
      <c r="J98" s="47"/>
      <c r="K98" s="47"/>
      <c r="L98" s="47"/>
      <c r="M98" s="47"/>
      <c r="N98" s="437" t="s">
        <v>259</v>
      </c>
      <c r="O98" s="438">
        <v>6189318.0</v>
      </c>
      <c r="P98" s="439">
        <v>0.0</v>
      </c>
      <c r="Q98" s="437" t="s">
        <v>259</v>
      </c>
      <c r="R98" s="437"/>
      <c r="S98" s="437"/>
      <c r="T98" s="437" t="s">
        <v>985</v>
      </c>
      <c r="U98" s="437" t="s">
        <v>594</v>
      </c>
      <c r="V98" s="440"/>
      <c r="W98" s="47"/>
      <c r="X98" s="47"/>
      <c r="Y98" s="47"/>
      <c r="Z98" s="47"/>
      <c r="AA98" s="47"/>
      <c r="AB98" s="47"/>
      <c r="AC98" s="47"/>
    </row>
    <row r="99">
      <c r="A99" s="47"/>
      <c r="B99" s="47"/>
      <c r="C99" s="47" t="s">
        <v>986</v>
      </c>
      <c r="D99" s="47"/>
      <c r="E99" s="47"/>
      <c r="F99" s="47"/>
      <c r="G99" s="47"/>
      <c r="H99" s="47"/>
      <c r="I99" s="47"/>
      <c r="J99" s="47"/>
      <c r="K99" s="47"/>
      <c r="L99" s="47"/>
      <c r="M99" s="47"/>
      <c r="N99" s="437" t="s">
        <v>987</v>
      </c>
      <c r="O99" s="438">
        <v>7.6458447E7</v>
      </c>
      <c r="P99" s="439">
        <v>3.0</v>
      </c>
      <c r="Q99" s="437" t="s">
        <v>988</v>
      </c>
      <c r="R99" s="437"/>
      <c r="S99" s="437"/>
      <c r="T99" s="437" t="s">
        <v>989</v>
      </c>
      <c r="U99" s="437" t="s">
        <v>594</v>
      </c>
      <c r="V99" s="440"/>
      <c r="W99" s="47"/>
      <c r="X99" s="47"/>
      <c r="Y99" s="47"/>
      <c r="Z99" s="47"/>
      <c r="AA99" s="47"/>
      <c r="AB99" s="47"/>
      <c r="AC99" s="47"/>
    </row>
    <row r="100">
      <c r="A100" s="47"/>
      <c r="B100" s="47"/>
      <c r="C100" s="47" t="s">
        <v>990</v>
      </c>
      <c r="D100" s="47"/>
      <c r="E100" s="47"/>
      <c r="F100" s="47"/>
      <c r="G100" s="47"/>
      <c r="H100" s="47"/>
      <c r="I100" s="47"/>
      <c r="J100" s="47"/>
      <c r="K100" s="47"/>
      <c r="L100" s="47"/>
      <c r="M100" s="47"/>
      <c r="N100" s="437" t="s">
        <v>991</v>
      </c>
      <c r="O100" s="438">
        <v>7.710333E7</v>
      </c>
      <c r="P100" s="439" t="s">
        <v>617</v>
      </c>
      <c r="Q100" s="437" t="s">
        <v>991</v>
      </c>
      <c r="R100" s="437"/>
      <c r="S100" s="437"/>
      <c r="T100" s="437" t="s">
        <v>992</v>
      </c>
      <c r="U100" s="437" t="s">
        <v>603</v>
      </c>
      <c r="V100" s="437" t="s">
        <v>993</v>
      </c>
      <c r="W100" s="47"/>
      <c r="X100" s="47"/>
      <c r="Y100" s="47"/>
      <c r="Z100" s="47"/>
      <c r="AA100" s="47"/>
      <c r="AB100" s="47"/>
      <c r="AC100" s="47"/>
    </row>
    <row r="101">
      <c r="A101" s="47"/>
      <c r="B101" s="47"/>
      <c r="C101" s="47" t="s">
        <v>994</v>
      </c>
      <c r="D101" s="47"/>
      <c r="E101" s="47"/>
      <c r="F101" s="47"/>
      <c r="G101" s="47"/>
      <c r="H101" s="47"/>
      <c r="I101" s="47"/>
      <c r="J101" s="47"/>
      <c r="K101" s="47"/>
      <c r="L101" s="47"/>
      <c r="M101" s="47"/>
      <c r="N101" s="437" t="s">
        <v>995</v>
      </c>
      <c r="O101" s="438">
        <v>7.991316E7</v>
      </c>
      <c r="P101" s="439">
        <v>9.0</v>
      </c>
      <c r="Q101" s="437" t="s">
        <v>996</v>
      </c>
      <c r="R101" s="437"/>
      <c r="S101" s="437"/>
      <c r="T101" s="437" t="s">
        <v>997</v>
      </c>
      <c r="U101" s="437" t="s">
        <v>603</v>
      </c>
      <c r="V101" s="437" t="s">
        <v>604</v>
      </c>
      <c r="W101" s="47"/>
      <c r="X101" s="47"/>
      <c r="Y101" s="47"/>
      <c r="Z101" s="47"/>
      <c r="AA101" s="47"/>
      <c r="AB101" s="47"/>
      <c r="AC101" s="47"/>
    </row>
    <row r="102">
      <c r="A102" s="47"/>
      <c r="B102" s="47"/>
      <c r="C102" s="47" t="s">
        <v>998</v>
      </c>
      <c r="D102" s="47"/>
      <c r="E102" s="47"/>
      <c r="F102" s="47"/>
      <c r="G102" s="47"/>
      <c r="H102" s="47"/>
      <c r="I102" s="47"/>
      <c r="J102" s="47"/>
      <c r="K102" s="47"/>
      <c r="L102" s="47"/>
      <c r="M102" s="47"/>
      <c r="N102" s="437" t="s">
        <v>999</v>
      </c>
      <c r="O102" s="438">
        <v>9937535.0</v>
      </c>
      <c r="P102" s="439">
        <v>3.0</v>
      </c>
      <c r="Q102" s="437" t="s">
        <v>999</v>
      </c>
      <c r="R102" s="437"/>
      <c r="S102" s="437"/>
      <c r="T102" s="437" t="s">
        <v>1000</v>
      </c>
      <c r="U102" s="437" t="s">
        <v>594</v>
      </c>
      <c r="V102" s="440"/>
      <c r="W102" s="47"/>
      <c r="X102" s="47"/>
      <c r="Y102" s="47"/>
      <c r="Z102" s="47"/>
      <c r="AA102" s="47"/>
      <c r="AB102" s="47"/>
      <c r="AC102" s="47"/>
    </row>
    <row r="103">
      <c r="A103" s="47"/>
      <c r="B103" s="47"/>
      <c r="C103" s="47" t="s">
        <v>1001</v>
      </c>
      <c r="D103" s="47"/>
      <c r="E103" s="47"/>
      <c r="F103" s="47"/>
      <c r="G103" s="47"/>
      <c r="H103" s="47"/>
      <c r="I103" s="47"/>
      <c r="J103" s="47"/>
      <c r="K103" s="47"/>
      <c r="L103" s="47"/>
      <c r="M103" s="47"/>
      <c r="N103" s="437" t="s">
        <v>1002</v>
      </c>
      <c r="O103" s="438">
        <v>7.7102344E7</v>
      </c>
      <c r="P103" s="439">
        <v>4.0</v>
      </c>
      <c r="Q103" s="437" t="s">
        <v>1003</v>
      </c>
      <c r="R103" s="437"/>
      <c r="S103" s="437"/>
      <c r="T103" s="437" t="s">
        <v>1004</v>
      </c>
      <c r="U103" s="437" t="s">
        <v>603</v>
      </c>
      <c r="V103" s="437" t="s">
        <v>1005</v>
      </c>
      <c r="W103" s="47"/>
      <c r="X103" s="47"/>
      <c r="Y103" s="47"/>
      <c r="Z103" s="47"/>
      <c r="AA103" s="47"/>
      <c r="AB103" s="47"/>
      <c r="AC103" s="47"/>
    </row>
    <row r="104">
      <c r="A104" s="47"/>
      <c r="B104" s="47"/>
      <c r="C104" s="47" t="s">
        <v>1006</v>
      </c>
      <c r="D104" s="47"/>
      <c r="E104" s="47"/>
      <c r="F104" s="47"/>
      <c r="G104" s="47"/>
      <c r="H104" s="47"/>
      <c r="I104" s="47"/>
      <c r="J104" s="47"/>
      <c r="K104" s="47"/>
      <c r="L104" s="47"/>
      <c r="M104" s="47"/>
      <c r="N104" s="437" t="s">
        <v>1007</v>
      </c>
      <c r="O104" s="438">
        <v>7.6906671E7</v>
      </c>
      <c r="P104" s="439">
        <v>3.0</v>
      </c>
      <c r="Q104" s="437" t="s">
        <v>1008</v>
      </c>
      <c r="R104" s="437"/>
      <c r="S104" s="437"/>
      <c r="T104" s="437" t="s">
        <v>1009</v>
      </c>
      <c r="U104" s="437" t="s">
        <v>594</v>
      </c>
      <c r="V104" s="440"/>
      <c r="W104" s="47"/>
      <c r="X104" s="47"/>
      <c r="Y104" s="47"/>
      <c r="Z104" s="47"/>
      <c r="AA104" s="47"/>
      <c r="AB104" s="47"/>
      <c r="AC104" s="47"/>
    </row>
    <row r="105">
      <c r="A105" s="47"/>
      <c r="B105" s="47"/>
      <c r="C105" s="47" t="s">
        <v>1010</v>
      </c>
      <c r="D105" s="47"/>
      <c r="E105" s="47"/>
      <c r="F105" s="47"/>
      <c r="G105" s="47"/>
      <c r="H105" s="47"/>
      <c r="I105" s="47"/>
      <c r="J105" s="47"/>
      <c r="K105" s="47"/>
      <c r="L105" s="47"/>
      <c r="M105" s="47"/>
      <c r="N105" s="437" t="s">
        <v>1011</v>
      </c>
      <c r="O105" s="438">
        <v>7.6265749E7</v>
      </c>
      <c r="P105" s="439" t="s">
        <v>617</v>
      </c>
      <c r="Q105" s="437" t="s">
        <v>1012</v>
      </c>
      <c r="R105" s="437"/>
      <c r="S105" s="437"/>
      <c r="T105" s="437" t="s">
        <v>1013</v>
      </c>
      <c r="U105" s="437" t="s">
        <v>594</v>
      </c>
      <c r="V105" s="440"/>
      <c r="W105" s="47"/>
      <c r="X105" s="47"/>
      <c r="Y105" s="47"/>
      <c r="Z105" s="47"/>
      <c r="AA105" s="47"/>
      <c r="AB105" s="47"/>
      <c r="AC105" s="47"/>
    </row>
    <row r="106">
      <c r="A106" s="47"/>
      <c r="B106" s="47"/>
      <c r="C106" s="47" t="s">
        <v>1014</v>
      </c>
      <c r="D106" s="47"/>
      <c r="E106" s="47"/>
      <c r="F106" s="47"/>
      <c r="G106" s="47"/>
      <c r="H106" s="47"/>
      <c r="I106" s="47"/>
      <c r="J106" s="47"/>
      <c r="K106" s="47"/>
      <c r="L106" s="47"/>
      <c r="M106" s="47"/>
      <c r="N106" s="437" t="s">
        <v>1015</v>
      </c>
      <c r="O106" s="438">
        <v>7.6163902E7</v>
      </c>
      <c r="P106" s="439">
        <v>1.0</v>
      </c>
      <c r="Q106" s="437" t="s">
        <v>1016</v>
      </c>
      <c r="R106" s="437"/>
      <c r="S106" s="437"/>
      <c r="T106" s="437" t="s">
        <v>1017</v>
      </c>
      <c r="U106" s="437" t="s">
        <v>594</v>
      </c>
      <c r="V106" s="440"/>
      <c r="W106" s="47"/>
      <c r="X106" s="47"/>
      <c r="Y106" s="47"/>
      <c r="Z106" s="47"/>
      <c r="AA106" s="47"/>
      <c r="AB106" s="47"/>
      <c r="AC106" s="47"/>
    </row>
    <row r="107">
      <c r="A107" s="47"/>
      <c r="B107" s="47"/>
      <c r="C107" s="47" t="s">
        <v>1018</v>
      </c>
      <c r="D107" s="47"/>
      <c r="E107" s="47"/>
      <c r="F107" s="47"/>
      <c r="G107" s="47"/>
      <c r="H107" s="47"/>
      <c r="I107" s="47"/>
      <c r="J107" s="47"/>
      <c r="K107" s="47"/>
      <c r="L107" s="47"/>
      <c r="M107" s="47"/>
      <c r="N107" s="437" t="s">
        <v>1019</v>
      </c>
      <c r="O107" s="438">
        <v>7.7815707E7</v>
      </c>
      <c r="P107" s="439">
        <v>1.0</v>
      </c>
      <c r="Q107" s="437" t="s">
        <v>1019</v>
      </c>
      <c r="R107" s="437"/>
      <c r="S107" s="437"/>
      <c r="T107" s="437" t="s">
        <v>1020</v>
      </c>
      <c r="U107" s="437" t="s">
        <v>594</v>
      </c>
      <c r="V107" s="440"/>
      <c r="W107" s="47"/>
      <c r="X107" s="47"/>
      <c r="Y107" s="47"/>
      <c r="Z107" s="47"/>
      <c r="AA107" s="47"/>
      <c r="AB107" s="47"/>
      <c r="AC107" s="47"/>
    </row>
    <row r="108">
      <c r="A108" s="47"/>
      <c r="B108" s="47"/>
      <c r="C108" s="47" t="s">
        <v>1021</v>
      </c>
      <c r="D108" s="47"/>
      <c r="E108" s="47"/>
      <c r="F108" s="47"/>
      <c r="G108" s="47"/>
      <c r="H108" s="47"/>
      <c r="I108" s="47"/>
      <c r="J108" s="47"/>
      <c r="K108" s="47"/>
      <c r="L108" s="47"/>
      <c r="M108" s="47"/>
      <c r="N108" s="437" t="s">
        <v>1022</v>
      </c>
      <c r="O108" s="438">
        <v>9.6355E7</v>
      </c>
      <c r="P108" s="439">
        <v>6.0</v>
      </c>
      <c r="Q108" s="437" t="s">
        <v>1023</v>
      </c>
      <c r="R108" s="437"/>
      <c r="S108" s="437"/>
      <c r="T108" s="437" t="s">
        <v>1024</v>
      </c>
      <c r="U108" s="437" t="s">
        <v>603</v>
      </c>
      <c r="V108" s="437" t="s">
        <v>604</v>
      </c>
      <c r="W108" s="47"/>
      <c r="X108" s="47"/>
      <c r="Y108" s="47"/>
      <c r="Z108" s="47"/>
      <c r="AA108" s="47"/>
      <c r="AB108" s="47"/>
      <c r="AC108" s="47"/>
    </row>
    <row r="109">
      <c r="A109" s="47"/>
      <c r="B109" s="47"/>
      <c r="C109" s="47" t="s">
        <v>1025</v>
      </c>
      <c r="D109" s="47"/>
      <c r="E109" s="47"/>
      <c r="F109" s="47"/>
      <c r="G109" s="47"/>
      <c r="H109" s="47"/>
      <c r="I109" s="47"/>
      <c r="J109" s="47"/>
      <c r="K109" s="47"/>
      <c r="L109" s="47"/>
      <c r="M109" s="47"/>
      <c r="N109" s="437" t="s">
        <v>1026</v>
      </c>
      <c r="O109" s="438">
        <v>7.7710424E7</v>
      </c>
      <c r="P109" s="439">
        <v>1.0</v>
      </c>
      <c r="Q109" s="437" t="s">
        <v>1027</v>
      </c>
      <c r="R109" s="437"/>
      <c r="S109" s="437"/>
      <c r="T109" s="437" t="s">
        <v>1028</v>
      </c>
      <c r="U109" s="437" t="s">
        <v>594</v>
      </c>
      <c r="V109" s="440"/>
      <c r="W109" s="47"/>
      <c r="X109" s="47"/>
      <c r="Y109" s="47"/>
      <c r="Z109" s="47"/>
      <c r="AA109" s="47"/>
      <c r="AB109" s="47"/>
      <c r="AC109" s="47"/>
    </row>
    <row r="110">
      <c r="A110" s="47"/>
      <c r="B110" s="47"/>
      <c r="C110" s="47" t="s">
        <v>1029</v>
      </c>
      <c r="D110" s="47"/>
      <c r="E110" s="47"/>
      <c r="F110" s="47"/>
      <c r="G110" s="47"/>
      <c r="H110" s="47"/>
      <c r="I110" s="47"/>
      <c r="J110" s="47"/>
      <c r="K110" s="47"/>
      <c r="L110" s="47"/>
      <c r="M110" s="47"/>
      <c r="N110" s="437" t="s">
        <v>1030</v>
      </c>
      <c r="O110" s="438">
        <v>7.7037298E7</v>
      </c>
      <c r="P110" s="468">
        <v>4.0</v>
      </c>
      <c r="Q110" s="437" t="s">
        <v>1031</v>
      </c>
      <c r="R110" s="437"/>
      <c r="S110" s="437"/>
      <c r="T110" s="437" t="s">
        <v>1032</v>
      </c>
      <c r="U110" s="437" t="s">
        <v>594</v>
      </c>
      <c r="V110" s="440"/>
      <c r="W110" s="47"/>
      <c r="X110" s="47"/>
      <c r="Y110" s="47"/>
      <c r="Z110" s="47"/>
      <c r="AA110" s="47"/>
      <c r="AB110" s="47"/>
      <c r="AC110" s="47"/>
    </row>
    <row r="111">
      <c r="A111" s="47"/>
      <c r="B111" s="47"/>
      <c r="C111" s="47" t="s">
        <v>1033</v>
      </c>
      <c r="D111" s="47"/>
      <c r="E111" s="47"/>
      <c r="F111" s="47"/>
      <c r="G111" s="47"/>
      <c r="H111" s="47"/>
      <c r="I111" s="47"/>
      <c r="J111" s="47"/>
      <c r="K111" s="47"/>
      <c r="L111" s="47"/>
      <c r="M111" s="47"/>
      <c r="N111" s="437" t="s">
        <v>1034</v>
      </c>
      <c r="O111" s="438">
        <v>7.6150343E7</v>
      </c>
      <c r="P111" s="439" t="s">
        <v>632</v>
      </c>
      <c r="Q111" s="437" t="s">
        <v>1035</v>
      </c>
      <c r="R111" s="437"/>
      <c r="S111" s="437"/>
      <c r="T111" s="437" t="s">
        <v>1036</v>
      </c>
      <c r="U111" s="437" t="s">
        <v>594</v>
      </c>
      <c r="V111" s="440"/>
      <c r="W111" s="47"/>
      <c r="X111" s="47"/>
      <c r="Y111" s="47"/>
      <c r="Z111" s="47"/>
      <c r="AA111" s="47"/>
      <c r="AB111" s="47"/>
      <c r="AC111" s="47"/>
    </row>
    <row r="112">
      <c r="A112" s="47"/>
      <c r="B112" s="47"/>
      <c r="C112" s="47" t="s">
        <v>1037</v>
      </c>
      <c r="D112" s="47"/>
      <c r="E112" s="47"/>
      <c r="F112" s="47"/>
      <c r="G112" s="47"/>
      <c r="H112" s="47"/>
      <c r="I112" s="47"/>
      <c r="J112" s="47"/>
      <c r="K112" s="47"/>
      <c r="L112" s="47"/>
      <c r="M112" s="47"/>
      <c r="N112" s="437" t="s">
        <v>1039</v>
      </c>
      <c r="O112" s="438">
        <v>9.689648E7</v>
      </c>
      <c r="P112" s="439">
        <v>1.0</v>
      </c>
      <c r="Q112" s="437" t="s">
        <v>1040</v>
      </c>
      <c r="R112" s="437"/>
      <c r="S112" s="437"/>
      <c r="T112" s="437" t="s">
        <v>1041</v>
      </c>
      <c r="U112" s="437" t="s">
        <v>594</v>
      </c>
      <c r="V112" s="440"/>
      <c r="W112" s="47"/>
      <c r="X112" s="47"/>
      <c r="Y112" s="47"/>
      <c r="Z112" s="47"/>
      <c r="AA112" s="47"/>
      <c r="AB112" s="47"/>
      <c r="AC112" s="47"/>
    </row>
    <row r="113">
      <c r="A113" s="47"/>
      <c r="B113" s="47"/>
      <c r="C113" s="47" t="s">
        <v>1042</v>
      </c>
      <c r="D113" s="47"/>
      <c r="E113" s="47"/>
      <c r="F113" s="47"/>
      <c r="G113" s="47"/>
      <c r="H113" s="47"/>
      <c r="I113" s="47"/>
      <c r="J113" s="47"/>
      <c r="K113" s="47"/>
      <c r="L113" s="47"/>
      <c r="M113" s="47"/>
      <c r="N113" s="437" t="s">
        <v>1044</v>
      </c>
      <c r="O113" s="438">
        <v>9.679734E7</v>
      </c>
      <c r="P113" s="439">
        <v>8.0</v>
      </c>
      <c r="Q113" s="437" t="s">
        <v>1045</v>
      </c>
      <c r="R113" s="437"/>
      <c r="S113" s="437"/>
      <c r="T113" s="437" t="s">
        <v>1046</v>
      </c>
      <c r="U113" s="437" t="s">
        <v>594</v>
      </c>
      <c r="V113" s="440"/>
      <c r="W113" s="47"/>
      <c r="X113" s="47"/>
      <c r="Y113" s="47"/>
      <c r="Z113" s="47"/>
      <c r="AA113" s="47"/>
      <c r="AB113" s="47"/>
      <c r="AC113" s="47"/>
    </row>
    <row r="114">
      <c r="A114" s="47"/>
      <c r="B114" s="47"/>
      <c r="C114" s="47" t="s">
        <v>1047</v>
      </c>
      <c r="D114" s="47"/>
      <c r="E114" s="47"/>
      <c r="F114" s="47"/>
      <c r="G114" s="47"/>
      <c r="H114" s="47"/>
      <c r="I114" s="47"/>
      <c r="J114" s="47"/>
      <c r="K114" s="47"/>
      <c r="L114" s="47"/>
      <c r="M114" s="47"/>
      <c r="N114" s="437" t="s">
        <v>1048</v>
      </c>
      <c r="O114" s="438">
        <v>1.0315691E7</v>
      </c>
      <c r="P114" s="439">
        <v>2.0</v>
      </c>
      <c r="Q114" s="437" t="s">
        <v>1049</v>
      </c>
      <c r="R114" s="437"/>
      <c r="S114" s="437"/>
      <c r="T114" s="437" t="s">
        <v>1050</v>
      </c>
      <c r="U114" s="437" t="s">
        <v>594</v>
      </c>
      <c r="V114" s="440"/>
      <c r="W114" s="47"/>
      <c r="X114" s="47"/>
      <c r="Y114" s="47"/>
      <c r="Z114" s="47"/>
      <c r="AA114" s="47"/>
      <c r="AB114" s="47"/>
      <c r="AC114" s="47"/>
    </row>
    <row r="115">
      <c r="A115" s="47"/>
      <c r="B115" s="47"/>
      <c r="C115" s="47" t="s">
        <v>1051</v>
      </c>
      <c r="D115" s="47"/>
      <c r="E115" s="47"/>
      <c r="F115" s="47"/>
      <c r="G115" s="47"/>
      <c r="H115" s="47"/>
      <c r="I115" s="47"/>
      <c r="J115" s="47"/>
      <c r="K115" s="47"/>
      <c r="L115" s="47"/>
      <c r="M115" s="47"/>
      <c r="N115" s="437" t="s">
        <v>1052</v>
      </c>
      <c r="O115" s="438">
        <v>7.880934E7</v>
      </c>
      <c r="P115" s="439">
        <v>3.0</v>
      </c>
      <c r="Q115" s="437" t="s">
        <v>1053</v>
      </c>
      <c r="R115" s="437"/>
      <c r="S115" s="437"/>
      <c r="T115" s="437" t="s">
        <v>1054</v>
      </c>
      <c r="U115" s="437" t="s">
        <v>603</v>
      </c>
      <c r="V115" s="437" t="s">
        <v>604</v>
      </c>
      <c r="W115" s="47"/>
      <c r="X115" s="47"/>
      <c r="Y115" s="47"/>
      <c r="Z115" s="47"/>
      <c r="AA115" s="47"/>
      <c r="AB115" s="47"/>
      <c r="AC115" s="47"/>
    </row>
    <row r="116">
      <c r="A116" s="47"/>
      <c r="B116" s="47"/>
      <c r="C116" s="47" t="s">
        <v>1055</v>
      </c>
      <c r="D116" s="47"/>
      <c r="E116" s="47"/>
      <c r="F116" s="47"/>
      <c r="G116" s="47"/>
      <c r="H116" s="47"/>
      <c r="I116" s="47"/>
      <c r="J116" s="47"/>
      <c r="K116" s="47"/>
      <c r="L116" s="47"/>
      <c r="M116" s="47"/>
      <c r="N116" s="437" t="s">
        <v>1056</v>
      </c>
      <c r="O116" s="438">
        <v>8157955.0</v>
      </c>
      <c r="P116" s="439">
        <v>5.0</v>
      </c>
      <c r="Q116" s="437" t="s">
        <v>1057</v>
      </c>
      <c r="R116" s="437"/>
      <c r="S116" s="437"/>
      <c r="T116" s="437" t="s">
        <v>1058</v>
      </c>
      <c r="U116" s="437" t="s">
        <v>594</v>
      </c>
      <c r="V116" s="440"/>
      <c r="W116" s="47"/>
      <c r="X116" s="47"/>
      <c r="Y116" s="47"/>
      <c r="Z116" s="47"/>
      <c r="AA116" s="47"/>
      <c r="AB116" s="47"/>
      <c r="AC116" s="47"/>
    </row>
    <row r="117">
      <c r="A117" s="47"/>
      <c r="B117" s="47"/>
      <c r="C117" s="47" t="s">
        <v>323</v>
      </c>
      <c r="D117" s="47"/>
      <c r="E117" s="47"/>
      <c r="F117" s="47"/>
      <c r="G117" s="47"/>
      <c r="H117" s="47"/>
      <c r="I117" s="47"/>
      <c r="J117" s="47"/>
      <c r="K117" s="47"/>
      <c r="L117" s="47"/>
      <c r="M117" s="47"/>
      <c r="N117" s="437" t="s">
        <v>1059</v>
      </c>
      <c r="O117" s="438">
        <v>7.80898E7</v>
      </c>
      <c r="P117" s="439">
        <v>3.0</v>
      </c>
      <c r="Q117" s="437" t="s">
        <v>1060</v>
      </c>
      <c r="R117" s="437"/>
      <c r="S117" s="437"/>
      <c r="T117" s="437" t="s">
        <v>1061</v>
      </c>
      <c r="U117" s="437" t="s">
        <v>594</v>
      </c>
      <c r="V117" s="440"/>
      <c r="W117" s="47"/>
      <c r="X117" s="47"/>
      <c r="Y117" s="47"/>
      <c r="Z117" s="47"/>
      <c r="AA117" s="47"/>
      <c r="AB117" s="47"/>
      <c r="AC117" s="47"/>
    </row>
    <row r="118">
      <c r="A118" s="47"/>
      <c r="B118" s="47"/>
      <c r="C118" s="47" t="s">
        <v>1062</v>
      </c>
      <c r="D118" s="47"/>
      <c r="E118" s="47"/>
      <c r="F118" s="47"/>
      <c r="G118" s="47"/>
      <c r="H118" s="47"/>
      <c r="I118" s="47"/>
      <c r="J118" s="47"/>
      <c r="K118" s="47"/>
      <c r="L118" s="47"/>
      <c r="M118" s="47"/>
      <c r="N118" s="437" t="s">
        <v>1063</v>
      </c>
      <c r="O118" s="438">
        <v>7.762427E7</v>
      </c>
      <c r="P118" s="439">
        <v>5.0</v>
      </c>
      <c r="Q118" s="437" t="s">
        <v>1064</v>
      </c>
      <c r="R118" s="437"/>
      <c r="S118" s="437"/>
      <c r="T118" s="437" t="s">
        <v>1065</v>
      </c>
      <c r="U118" s="437" t="s">
        <v>594</v>
      </c>
      <c r="V118" s="440"/>
      <c r="W118" s="47"/>
      <c r="X118" s="47"/>
      <c r="Y118" s="47"/>
      <c r="Z118" s="47"/>
      <c r="AA118" s="47"/>
      <c r="AB118" s="47"/>
      <c r="AC118" s="47"/>
    </row>
    <row r="119">
      <c r="A119" s="47"/>
      <c r="B119" s="47"/>
      <c r="C119" s="47" t="s">
        <v>1066</v>
      </c>
      <c r="D119" s="47"/>
      <c r="E119" s="47"/>
      <c r="F119" s="47"/>
      <c r="G119" s="47"/>
      <c r="H119" s="47"/>
      <c r="I119" s="47"/>
      <c r="J119" s="47"/>
      <c r="K119" s="47"/>
      <c r="L119" s="47"/>
      <c r="M119" s="47"/>
      <c r="N119" s="437" t="s">
        <v>271</v>
      </c>
      <c r="O119" s="438">
        <v>7.6151785E7</v>
      </c>
      <c r="P119" s="439">
        <v>6.0</v>
      </c>
      <c r="Q119" s="437" t="s">
        <v>271</v>
      </c>
      <c r="R119" s="437"/>
      <c r="S119" s="437"/>
      <c r="T119" s="437" t="s">
        <v>1067</v>
      </c>
      <c r="U119" s="437" t="s">
        <v>603</v>
      </c>
      <c r="V119" s="437" t="s">
        <v>675</v>
      </c>
      <c r="W119" s="47"/>
      <c r="X119" s="47"/>
      <c r="Y119" s="47"/>
      <c r="Z119" s="47"/>
      <c r="AA119" s="47"/>
      <c r="AB119" s="47"/>
      <c r="AC119" s="47"/>
    </row>
    <row r="120">
      <c r="A120" s="47"/>
      <c r="B120" s="47"/>
      <c r="C120" s="47" t="s">
        <v>1068</v>
      </c>
      <c r="D120" s="47"/>
      <c r="E120" s="47"/>
      <c r="F120" s="47"/>
      <c r="G120" s="47"/>
      <c r="H120" s="47"/>
      <c r="I120" s="47"/>
      <c r="J120" s="47"/>
      <c r="K120" s="47"/>
      <c r="L120" s="47"/>
      <c r="M120" s="47"/>
      <c r="N120" s="437" t="s">
        <v>1069</v>
      </c>
      <c r="O120" s="438">
        <v>7.7189607E7</v>
      </c>
      <c r="P120" s="439">
        <v>3.0</v>
      </c>
      <c r="Q120" s="437" t="s">
        <v>1070</v>
      </c>
      <c r="R120" s="437"/>
      <c r="S120" s="437"/>
      <c r="T120" s="437" t="s">
        <v>1069</v>
      </c>
      <c r="U120" s="437" t="s">
        <v>603</v>
      </c>
      <c r="V120" s="437" t="s">
        <v>604</v>
      </c>
      <c r="W120" s="47"/>
      <c r="X120" s="47"/>
      <c r="Y120" s="47"/>
      <c r="Z120" s="47"/>
      <c r="AA120" s="47"/>
      <c r="AB120" s="47"/>
      <c r="AC120" s="47"/>
    </row>
    <row r="121">
      <c r="A121" s="47"/>
      <c r="B121" s="47"/>
      <c r="C121" s="47" t="s">
        <v>1071</v>
      </c>
      <c r="D121" s="47"/>
      <c r="E121" s="47"/>
      <c r="F121" s="47"/>
      <c r="G121" s="47"/>
      <c r="H121" s="47"/>
      <c r="I121" s="47"/>
      <c r="J121" s="47"/>
      <c r="K121" s="47"/>
      <c r="L121" s="47"/>
      <c r="M121" s="47"/>
      <c r="N121" s="437" t="s">
        <v>1072</v>
      </c>
      <c r="O121" s="438">
        <v>7.6088711E7</v>
      </c>
      <c r="P121" s="439">
        <v>0.0</v>
      </c>
      <c r="Q121" s="437" t="s">
        <v>1073</v>
      </c>
      <c r="R121" s="437"/>
      <c r="S121" s="437"/>
      <c r="T121" s="437" t="s">
        <v>1074</v>
      </c>
      <c r="U121" s="437" t="s">
        <v>594</v>
      </c>
      <c r="V121" s="440"/>
      <c r="W121" s="47"/>
      <c r="X121" s="47"/>
      <c r="Y121" s="47"/>
      <c r="Z121" s="47"/>
      <c r="AA121" s="47"/>
      <c r="AB121" s="47"/>
      <c r="AC121" s="47"/>
    </row>
    <row r="122">
      <c r="A122" s="47"/>
      <c r="B122" s="47"/>
      <c r="C122" s="47" t="s">
        <v>211</v>
      </c>
      <c r="D122" s="47"/>
      <c r="E122" s="47"/>
      <c r="F122" s="47"/>
      <c r="G122" s="47"/>
      <c r="H122" s="47"/>
      <c r="I122" s="47"/>
      <c r="J122" s="47"/>
      <c r="K122" s="47"/>
      <c r="L122" s="47"/>
      <c r="M122" s="47"/>
      <c r="N122" s="437" t="s">
        <v>1075</v>
      </c>
      <c r="O122" s="438">
        <v>7.7506311E7</v>
      </c>
      <c r="P122" s="439">
        <v>4.0</v>
      </c>
      <c r="Q122" s="437" t="s">
        <v>1076</v>
      </c>
      <c r="R122" s="437"/>
      <c r="S122" s="437"/>
      <c r="T122" s="437" t="s">
        <v>1077</v>
      </c>
      <c r="U122" s="437" t="s">
        <v>594</v>
      </c>
      <c r="V122" s="440"/>
      <c r="W122" s="47"/>
      <c r="X122" s="47"/>
      <c r="Y122" s="47"/>
      <c r="Z122" s="47"/>
      <c r="AA122" s="47"/>
      <c r="AB122" s="47"/>
      <c r="AC122" s="47"/>
    </row>
    <row r="123">
      <c r="A123" s="47"/>
      <c r="B123" s="47"/>
      <c r="C123" s="47" t="s">
        <v>1078</v>
      </c>
      <c r="D123" s="47"/>
      <c r="E123" s="47"/>
      <c r="F123" s="47"/>
      <c r="G123" s="47"/>
      <c r="H123" s="47"/>
      <c r="I123" s="47"/>
      <c r="J123" s="47"/>
      <c r="K123" s="47"/>
      <c r="L123" s="47"/>
      <c r="M123" s="47"/>
      <c r="N123" s="437" t="s">
        <v>1079</v>
      </c>
      <c r="O123" s="438">
        <v>7.6000746E7</v>
      </c>
      <c r="P123" s="439">
        <v>3.0</v>
      </c>
      <c r="Q123" s="437" t="s">
        <v>1080</v>
      </c>
      <c r="R123" s="462"/>
      <c r="S123" s="462"/>
      <c r="T123" s="462" t="s">
        <v>1081</v>
      </c>
      <c r="U123" s="437" t="s">
        <v>594</v>
      </c>
      <c r="V123" s="440"/>
      <c r="W123" s="47"/>
      <c r="X123" s="47"/>
      <c r="Y123" s="47"/>
      <c r="Z123" s="47"/>
      <c r="AA123" s="47"/>
      <c r="AB123" s="47"/>
      <c r="AC123" s="47"/>
    </row>
    <row r="124">
      <c r="A124" s="47"/>
      <c r="B124" s="47"/>
      <c r="C124" s="47" t="s">
        <v>1082</v>
      </c>
      <c r="D124" s="47"/>
      <c r="E124" s="47"/>
      <c r="F124" s="47"/>
      <c r="G124" s="47"/>
      <c r="H124" s="47"/>
      <c r="I124" s="47"/>
      <c r="J124" s="47"/>
      <c r="K124" s="47"/>
      <c r="L124" s="47"/>
      <c r="M124" s="47"/>
      <c r="N124" s="437" t="s">
        <v>1083</v>
      </c>
      <c r="O124" s="438">
        <v>9.680228E7</v>
      </c>
      <c r="P124" s="439">
        <v>6.0</v>
      </c>
      <c r="Q124" s="437" t="s">
        <v>1084</v>
      </c>
      <c r="R124" s="462"/>
      <c r="S124" s="462"/>
      <c r="T124" s="462" t="s">
        <v>1085</v>
      </c>
      <c r="U124" s="437" t="s">
        <v>594</v>
      </c>
      <c r="V124" s="440"/>
      <c r="W124" s="47"/>
      <c r="X124" s="47"/>
      <c r="Y124" s="47"/>
      <c r="Z124" s="47"/>
      <c r="AA124" s="47"/>
      <c r="AB124" s="47"/>
      <c r="AC124" s="47"/>
    </row>
    <row r="125">
      <c r="A125" s="47"/>
      <c r="B125" s="47"/>
      <c r="C125" s="47" t="s">
        <v>199</v>
      </c>
      <c r="D125" s="47"/>
      <c r="E125" s="47"/>
      <c r="F125" s="47"/>
      <c r="G125" s="47"/>
      <c r="H125" s="47"/>
      <c r="I125" s="47"/>
      <c r="J125" s="47"/>
      <c r="K125" s="47"/>
      <c r="L125" s="47"/>
      <c r="M125" s="47"/>
      <c r="N125" s="437" t="s">
        <v>478</v>
      </c>
      <c r="O125" s="438">
        <v>7.31161E7</v>
      </c>
      <c r="P125" s="439">
        <v>3.0</v>
      </c>
      <c r="Q125" s="437" t="s">
        <v>1086</v>
      </c>
      <c r="R125" s="437"/>
      <c r="S125" s="437"/>
      <c r="T125" s="437" t="s">
        <v>1087</v>
      </c>
      <c r="U125" s="437" t="s">
        <v>603</v>
      </c>
      <c r="V125" s="437" t="s">
        <v>1088</v>
      </c>
      <c r="W125" s="47"/>
      <c r="X125" s="47"/>
      <c r="Y125" s="47"/>
      <c r="Z125" s="47"/>
      <c r="AA125" s="47"/>
      <c r="AB125" s="47"/>
      <c r="AC125" s="47"/>
    </row>
    <row r="126">
      <c r="A126" s="47"/>
      <c r="B126" s="47"/>
      <c r="C126" s="47" t="s">
        <v>1089</v>
      </c>
      <c r="D126" s="47"/>
      <c r="E126" s="47"/>
      <c r="F126" s="47"/>
      <c r="G126" s="47"/>
      <c r="H126" s="47"/>
      <c r="I126" s="47"/>
      <c r="J126" s="47"/>
      <c r="K126" s="47"/>
      <c r="L126" s="47"/>
      <c r="M126" s="47"/>
      <c r="N126" s="437" t="s">
        <v>1090</v>
      </c>
      <c r="O126" s="438">
        <v>5503590.0</v>
      </c>
      <c r="P126" s="439">
        <v>3.0</v>
      </c>
      <c r="Q126" s="437" t="s">
        <v>519</v>
      </c>
      <c r="R126" s="437"/>
      <c r="S126" s="437"/>
      <c r="T126" s="437" t="s">
        <v>1091</v>
      </c>
      <c r="U126" s="437" t="s">
        <v>594</v>
      </c>
      <c r="V126" s="440"/>
      <c r="W126" s="47"/>
      <c r="X126" s="47"/>
      <c r="Y126" s="47"/>
      <c r="Z126" s="47"/>
      <c r="AA126" s="47"/>
      <c r="AB126" s="47"/>
      <c r="AC126" s="47"/>
    </row>
    <row r="127">
      <c r="A127" s="47"/>
      <c r="B127" s="47"/>
      <c r="C127" s="47" t="s">
        <v>340</v>
      </c>
      <c r="D127" s="47"/>
      <c r="E127" s="47"/>
      <c r="F127" s="47"/>
      <c r="G127" s="47"/>
      <c r="H127" s="47"/>
      <c r="I127" s="47"/>
      <c r="J127" s="47"/>
      <c r="K127" s="47"/>
      <c r="L127" s="47"/>
      <c r="M127" s="47"/>
      <c r="N127" s="437" t="s">
        <v>1093</v>
      </c>
      <c r="O127" s="438">
        <v>7.6244993E7</v>
      </c>
      <c r="P127" s="439">
        <v>5.0</v>
      </c>
      <c r="Q127" s="437" t="s">
        <v>1094</v>
      </c>
      <c r="R127" s="437"/>
      <c r="S127" s="437"/>
      <c r="T127" s="437" t="s">
        <v>1095</v>
      </c>
      <c r="U127" s="437" t="s">
        <v>594</v>
      </c>
      <c r="V127" s="440"/>
      <c r="W127" s="47"/>
      <c r="X127" s="47"/>
      <c r="Y127" s="47"/>
      <c r="Z127" s="47"/>
      <c r="AA127" s="47"/>
      <c r="AB127" s="47"/>
      <c r="AC127" s="47"/>
    </row>
    <row r="128">
      <c r="A128" s="47"/>
      <c r="B128" s="47"/>
      <c r="C128" s="47" t="s">
        <v>1097</v>
      </c>
      <c r="D128" s="47"/>
      <c r="E128" s="47"/>
      <c r="F128" s="47"/>
      <c r="G128" s="47"/>
      <c r="H128" s="47"/>
      <c r="I128" s="47"/>
      <c r="J128" s="47"/>
      <c r="K128" s="47"/>
      <c r="L128" s="47"/>
      <c r="M128" s="47"/>
      <c r="N128" s="437" t="s">
        <v>1099</v>
      </c>
      <c r="O128" s="438">
        <v>7.7345672E7</v>
      </c>
      <c r="P128" s="439">
        <v>0.0</v>
      </c>
      <c r="Q128" s="437" t="s">
        <v>1100</v>
      </c>
      <c r="R128" s="437"/>
      <c r="S128" s="437"/>
      <c r="T128" s="437" t="s">
        <v>1101</v>
      </c>
      <c r="U128" s="437" t="s">
        <v>603</v>
      </c>
      <c r="V128" s="437" t="s">
        <v>675</v>
      </c>
      <c r="W128" s="47"/>
      <c r="X128" s="47"/>
      <c r="Y128" s="47"/>
      <c r="Z128" s="47"/>
      <c r="AA128" s="47"/>
      <c r="AB128" s="47"/>
      <c r="AC128" s="47"/>
    </row>
    <row r="129">
      <c r="A129" s="47"/>
      <c r="B129" s="47"/>
      <c r="C129" s="47" t="s">
        <v>1102</v>
      </c>
      <c r="D129" s="47"/>
      <c r="E129" s="47"/>
      <c r="F129" s="47"/>
      <c r="G129" s="47"/>
      <c r="H129" s="47"/>
      <c r="I129" s="47"/>
      <c r="J129" s="47"/>
      <c r="K129" s="47"/>
      <c r="L129" s="47"/>
      <c r="M129" s="47"/>
      <c r="N129" s="437" t="s">
        <v>1103</v>
      </c>
      <c r="O129" s="438">
        <v>7.8077589E7</v>
      </c>
      <c r="P129" s="439">
        <v>0.0</v>
      </c>
      <c r="Q129" s="437" t="s">
        <v>1103</v>
      </c>
      <c r="R129" s="437"/>
      <c r="S129" s="437"/>
      <c r="T129" s="437" t="s">
        <v>1104</v>
      </c>
      <c r="U129" s="437" t="s">
        <v>594</v>
      </c>
      <c r="V129" s="440"/>
      <c r="W129" s="47"/>
      <c r="X129" s="47"/>
      <c r="Y129" s="47"/>
      <c r="Z129" s="47"/>
      <c r="AA129" s="47"/>
      <c r="AB129" s="47"/>
      <c r="AC129" s="47"/>
    </row>
    <row r="130">
      <c r="A130" s="47"/>
      <c r="B130" s="47"/>
      <c r="C130" s="47" t="s">
        <v>1105</v>
      </c>
      <c r="D130" s="47"/>
      <c r="E130" s="47"/>
      <c r="F130" s="47"/>
      <c r="G130" s="47"/>
      <c r="H130" s="47"/>
      <c r="I130" s="47"/>
      <c r="J130" s="47"/>
      <c r="K130" s="47"/>
      <c r="L130" s="47"/>
      <c r="M130" s="47"/>
      <c r="N130" s="437" t="s">
        <v>1106</v>
      </c>
      <c r="O130" s="438">
        <v>7.6046809E7</v>
      </c>
      <c r="P130" s="439">
        <v>6.0</v>
      </c>
      <c r="Q130" s="437" t="s">
        <v>1107</v>
      </c>
      <c r="R130" s="437"/>
      <c r="S130" s="437"/>
      <c r="T130" s="437" t="s">
        <v>1108</v>
      </c>
      <c r="U130" s="437" t="s">
        <v>603</v>
      </c>
      <c r="V130" s="437" t="s">
        <v>604</v>
      </c>
      <c r="W130" s="47"/>
      <c r="X130" s="47"/>
      <c r="Y130" s="47"/>
      <c r="Z130" s="47"/>
      <c r="AA130" s="47"/>
      <c r="AB130" s="47"/>
      <c r="AC130" s="47"/>
    </row>
    <row r="131">
      <c r="A131" s="47"/>
      <c r="B131" s="47"/>
      <c r="C131" s="47" t="s">
        <v>1110</v>
      </c>
      <c r="D131" s="47"/>
      <c r="E131" s="47"/>
      <c r="F131" s="47"/>
      <c r="G131" s="47"/>
      <c r="H131" s="47"/>
      <c r="I131" s="47"/>
      <c r="J131" s="47"/>
      <c r="K131" s="47"/>
      <c r="L131" s="47"/>
      <c r="M131" s="47"/>
      <c r="N131" s="437" t="s">
        <v>1111</v>
      </c>
      <c r="O131" s="438">
        <v>7.83716E7</v>
      </c>
      <c r="P131" s="439">
        <v>3.0</v>
      </c>
      <c r="Q131" s="437" t="s">
        <v>1112</v>
      </c>
      <c r="R131" s="437"/>
      <c r="S131" s="437"/>
      <c r="T131" s="437" t="s">
        <v>1113</v>
      </c>
      <c r="U131" s="437" t="s">
        <v>603</v>
      </c>
      <c r="V131" s="437" t="s">
        <v>682</v>
      </c>
      <c r="W131" s="47"/>
      <c r="X131" s="47"/>
      <c r="Y131" s="47"/>
      <c r="Z131" s="47"/>
      <c r="AA131" s="47"/>
      <c r="AB131" s="47"/>
      <c r="AC131" s="47"/>
    </row>
    <row r="132">
      <c r="A132" s="47"/>
      <c r="B132" s="47"/>
      <c r="C132" s="47" t="s">
        <v>1114</v>
      </c>
      <c r="D132" s="47"/>
      <c r="E132" s="47"/>
      <c r="F132" s="47"/>
      <c r="G132" s="47"/>
      <c r="H132" s="47"/>
      <c r="I132" s="47"/>
      <c r="J132" s="47"/>
      <c r="K132" s="47"/>
      <c r="L132" s="47"/>
      <c r="M132" s="47"/>
      <c r="N132" s="437" t="s">
        <v>1115</v>
      </c>
      <c r="O132" s="438">
        <v>7.7790223E7</v>
      </c>
      <c r="P132" s="439">
        <v>7.0</v>
      </c>
      <c r="Q132" s="437" t="s">
        <v>314</v>
      </c>
      <c r="R132" s="437"/>
      <c r="S132" s="437"/>
      <c r="T132" s="437" t="s">
        <v>1116</v>
      </c>
      <c r="U132" s="437" t="s">
        <v>594</v>
      </c>
      <c r="V132" s="440"/>
      <c r="W132" s="47"/>
      <c r="X132" s="47"/>
      <c r="Y132" s="47"/>
      <c r="Z132" s="47"/>
      <c r="AA132" s="47"/>
      <c r="AB132" s="47"/>
      <c r="AC132" s="47"/>
    </row>
    <row r="133">
      <c r="A133" s="47"/>
      <c r="B133" s="47"/>
      <c r="C133" s="47" t="s">
        <v>1117</v>
      </c>
      <c r="D133" s="47"/>
      <c r="E133" s="47"/>
      <c r="F133" s="47"/>
      <c r="G133" s="47"/>
      <c r="H133" s="47"/>
      <c r="I133" s="47"/>
      <c r="J133" s="47"/>
      <c r="K133" s="47"/>
      <c r="L133" s="47"/>
      <c r="M133" s="47"/>
      <c r="N133" s="437" t="s">
        <v>1118</v>
      </c>
      <c r="O133" s="438">
        <v>7.6035015E7</v>
      </c>
      <c r="P133" s="439" t="s">
        <v>632</v>
      </c>
      <c r="Q133" s="437" t="s">
        <v>1119</v>
      </c>
      <c r="R133" s="437"/>
      <c r="S133" s="437"/>
      <c r="T133" s="437" t="s">
        <v>1120</v>
      </c>
      <c r="U133" s="437" t="s">
        <v>594</v>
      </c>
      <c r="V133" s="440"/>
      <c r="W133" s="47"/>
      <c r="X133" s="47"/>
      <c r="Y133" s="47"/>
      <c r="Z133" s="47"/>
      <c r="AA133" s="47"/>
      <c r="AB133" s="47"/>
      <c r="AC133" s="47"/>
    </row>
    <row r="134">
      <c r="A134" s="47"/>
      <c r="B134" s="47"/>
      <c r="C134" s="47" t="s">
        <v>1121</v>
      </c>
      <c r="D134" s="47"/>
      <c r="E134" s="47"/>
      <c r="F134" s="47"/>
      <c r="G134" s="47"/>
      <c r="H134" s="47"/>
      <c r="I134" s="47"/>
      <c r="J134" s="47"/>
      <c r="K134" s="47"/>
      <c r="L134" s="47"/>
      <c r="M134" s="47"/>
      <c r="N134" s="437" t="s">
        <v>1122</v>
      </c>
      <c r="O134" s="438">
        <v>7.8072333E7</v>
      </c>
      <c r="P134" s="439">
        <v>5.0</v>
      </c>
      <c r="Q134" s="437" t="s">
        <v>1123</v>
      </c>
      <c r="R134" s="437"/>
      <c r="S134" s="437"/>
      <c r="T134" s="437" t="s">
        <v>1124</v>
      </c>
      <c r="U134" s="437" t="s">
        <v>594</v>
      </c>
      <c r="V134" s="440"/>
      <c r="W134" s="47"/>
      <c r="X134" s="47"/>
      <c r="Y134" s="47"/>
      <c r="Z134" s="47"/>
      <c r="AA134" s="47"/>
      <c r="AB134" s="47"/>
      <c r="AC134" s="47"/>
    </row>
    <row r="135">
      <c r="A135" s="47"/>
      <c r="B135" s="47"/>
      <c r="C135" s="47" t="s">
        <v>1125</v>
      </c>
      <c r="D135" s="47"/>
      <c r="E135" s="47"/>
      <c r="F135" s="47"/>
      <c r="G135" s="47"/>
      <c r="H135" s="47"/>
      <c r="I135" s="47"/>
      <c r="J135" s="47"/>
      <c r="K135" s="47"/>
      <c r="L135" s="47"/>
      <c r="M135" s="47"/>
      <c r="N135" s="437" t="s">
        <v>1126</v>
      </c>
      <c r="O135" s="438">
        <v>7.6549451E7</v>
      </c>
      <c r="P135" s="439">
        <v>6.0</v>
      </c>
      <c r="Q135" s="437" t="s">
        <v>1127</v>
      </c>
      <c r="R135" s="437"/>
      <c r="S135" s="437"/>
      <c r="T135" s="437" t="s">
        <v>1128</v>
      </c>
      <c r="U135" s="437" t="s">
        <v>594</v>
      </c>
      <c r="V135" s="440"/>
      <c r="W135" s="47"/>
      <c r="X135" s="47"/>
      <c r="Y135" s="47"/>
      <c r="Z135" s="47"/>
      <c r="AA135" s="47"/>
      <c r="AB135" s="47"/>
      <c r="AC135" s="47"/>
    </row>
    <row r="136">
      <c r="A136" s="47"/>
      <c r="B136" s="47"/>
      <c r="C136" s="47" t="s">
        <v>1129</v>
      </c>
      <c r="D136" s="47"/>
      <c r="E136" s="47"/>
      <c r="F136" s="47"/>
      <c r="G136" s="47"/>
      <c r="H136" s="47"/>
      <c r="I136" s="47"/>
      <c r="J136" s="47"/>
      <c r="K136" s="47"/>
      <c r="L136" s="47"/>
      <c r="M136" s="47"/>
      <c r="N136" s="437" t="s">
        <v>1130</v>
      </c>
      <c r="O136" s="438">
        <v>7.6466847E7</v>
      </c>
      <c r="P136" s="439">
        <v>2.0</v>
      </c>
      <c r="Q136" s="437" t="s">
        <v>1131</v>
      </c>
      <c r="R136" s="437"/>
      <c r="S136" s="437"/>
      <c r="T136" s="437" t="s">
        <v>1132</v>
      </c>
      <c r="U136" s="437" t="s">
        <v>594</v>
      </c>
      <c r="V136" s="440"/>
      <c r="W136" s="47"/>
      <c r="X136" s="47"/>
      <c r="Y136" s="47"/>
      <c r="Z136" s="47"/>
      <c r="AA136" s="47"/>
      <c r="AB136" s="47"/>
      <c r="AC136" s="47"/>
    </row>
    <row r="137">
      <c r="A137" s="47"/>
      <c r="B137" s="47"/>
      <c r="C137" s="47" t="s">
        <v>1133</v>
      </c>
      <c r="D137" s="47"/>
      <c r="E137" s="47"/>
      <c r="F137" s="47"/>
      <c r="G137" s="47"/>
      <c r="H137" s="47"/>
      <c r="I137" s="47"/>
      <c r="J137" s="47"/>
      <c r="K137" s="47"/>
      <c r="L137" s="47"/>
      <c r="M137" s="47"/>
      <c r="N137" s="437" t="s">
        <v>1134</v>
      </c>
      <c r="O137" s="438">
        <v>1.292898E7</v>
      </c>
      <c r="P137" s="439">
        <v>5.0</v>
      </c>
      <c r="Q137" s="437" t="s">
        <v>1135</v>
      </c>
      <c r="R137" s="437"/>
      <c r="S137" s="437"/>
      <c r="T137" s="437" t="s">
        <v>1136</v>
      </c>
      <c r="U137" s="437" t="s">
        <v>594</v>
      </c>
      <c r="V137" s="440"/>
      <c r="W137" s="47"/>
      <c r="X137" s="47"/>
      <c r="Y137" s="47"/>
      <c r="Z137" s="47"/>
      <c r="AA137" s="47"/>
      <c r="AB137" s="47"/>
      <c r="AC137" s="47"/>
    </row>
    <row r="138">
      <c r="A138" s="47"/>
      <c r="B138" s="47"/>
      <c r="C138" s="47" t="s">
        <v>1137</v>
      </c>
      <c r="D138" s="47"/>
      <c r="E138" s="47"/>
      <c r="F138" s="47"/>
      <c r="G138" s="47"/>
      <c r="H138" s="47"/>
      <c r="I138" s="47"/>
      <c r="J138" s="47"/>
      <c r="K138" s="47"/>
      <c r="L138" s="47"/>
      <c r="M138" s="47"/>
      <c r="N138" s="437" t="s">
        <v>1138</v>
      </c>
      <c r="O138" s="438">
        <v>7.6484316E7</v>
      </c>
      <c r="P138" s="439">
        <v>9.0</v>
      </c>
      <c r="Q138" s="437" t="s">
        <v>1138</v>
      </c>
      <c r="R138" s="437"/>
      <c r="S138" s="437"/>
      <c r="T138" s="437" t="s">
        <v>1139</v>
      </c>
      <c r="U138" s="437" t="s">
        <v>594</v>
      </c>
      <c r="V138" s="440"/>
      <c r="W138" s="47"/>
      <c r="X138" s="47"/>
      <c r="Y138" s="47"/>
      <c r="Z138" s="47"/>
      <c r="AA138" s="47"/>
      <c r="AB138" s="47"/>
      <c r="AC138" s="47"/>
    </row>
    <row r="139">
      <c r="A139" s="47"/>
      <c r="B139" s="47"/>
      <c r="C139" s="47" t="s">
        <v>1140</v>
      </c>
      <c r="D139" s="47"/>
      <c r="E139" s="47"/>
      <c r="F139" s="47"/>
      <c r="G139" s="47"/>
      <c r="H139" s="47"/>
      <c r="I139" s="47"/>
      <c r="J139" s="47"/>
      <c r="K139" s="47"/>
      <c r="L139" s="47"/>
      <c r="M139" s="47"/>
      <c r="N139" s="437" t="s">
        <v>1141</v>
      </c>
      <c r="O139" s="438">
        <v>7.855452E7</v>
      </c>
      <c r="P139" s="439">
        <v>6.0</v>
      </c>
      <c r="Q139" s="437" t="s">
        <v>1142</v>
      </c>
      <c r="R139" s="437"/>
      <c r="S139" s="437"/>
      <c r="T139" s="437" t="s">
        <v>1143</v>
      </c>
      <c r="U139" s="437" t="s">
        <v>603</v>
      </c>
      <c r="V139" s="437" t="s">
        <v>1144</v>
      </c>
      <c r="W139" s="47"/>
      <c r="X139" s="47"/>
      <c r="Y139" s="47"/>
      <c r="Z139" s="47"/>
      <c r="AA139" s="47"/>
      <c r="AB139" s="47"/>
      <c r="AC139" s="47"/>
    </row>
    <row r="140">
      <c r="A140" s="47"/>
      <c r="B140" s="47"/>
      <c r="C140" s="47" t="s">
        <v>1145</v>
      </c>
      <c r="D140" s="47"/>
      <c r="E140" s="47"/>
      <c r="F140" s="47"/>
      <c r="G140" s="47"/>
      <c r="H140" s="47"/>
      <c r="I140" s="47"/>
      <c r="J140" s="47"/>
      <c r="K140" s="47"/>
      <c r="L140" s="47"/>
      <c r="M140" s="47"/>
      <c r="N140" s="437" t="s">
        <v>1146</v>
      </c>
      <c r="O140" s="438">
        <v>7.6123668E7</v>
      </c>
      <c r="P140" s="439">
        <v>7.0</v>
      </c>
      <c r="Q140" s="437" t="s">
        <v>1147</v>
      </c>
      <c r="R140" s="437"/>
      <c r="S140" s="437"/>
      <c r="T140" s="437" t="s">
        <v>1148</v>
      </c>
      <c r="U140" s="437" t="s">
        <v>594</v>
      </c>
      <c r="V140" s="440"/>
      <c r="W140" s="47"/>
      <c r="X140" s="47"/>
      <c r="Y140" s="47"/>
      <c r="Z140" s="47"/>
      <c r="AA140" s="47"/>
      <c r="AB140" s="47"/>
      <c r="AC140" s="47"/>
    </row>
    <row r="141">
      <c r="A141" s="47"/>
      <c r="B141" s="47"/>
      <c r="C141" s="47" t="s">
        <v>1149</v>
      </c>
      <c r="D141" s="47"/>
      <c r="E141" s="47"/>
      <c r="F141" s="47"/>
      <c r="G141" s="47"/>
      <c r="H141" s="47"/>
      <c r="I141" s="47"/>
      <c r="J141" s="47"/>
      <c r="K141" s="47"/>
      <c r="L141" s="47"/>
      <c r="M141" s="47"/>
      <c r="N141" s="437" t="s">
        <v>1150</v>
      </c>
      <c r="O141" s="438">
        <v>8.04098E7</v>
      </c>
      <c r="P141" s="439">
        <v>3.0</v>
      </c>
      <c r="Q141" s="437" t="s">
        <v>1151</v>
      </c>
      <c r="R141" s="437"/>
      <c r="S141" s="437"/>
      <c r="T141" s="437" t="s">
        <v>1152</v>
      </c>
      <c r="U141" s="437" t="s">
        <v>594</v>
      </c>
      <c r="V141" s="440"/>
      <c r="W141" s="47"/>
      <c r="X141" s="47"/>
      <c r="Y141" s="47"/>
      <c r="Z141" s="47"/>
      <c r="AA141" s="47"/>
      <c r="AB141" s="47"/>
      <c r="AC141" s="47"/>
    </row>
    <row r="142">
      <c r="A142" s="47"/>
      <c r="B142" s="47"/>
      <c r="C142" s="47" t="s">
        <v>1153</v>
      </c>
      <c r="D142" s="47"/>
      <c r="E142" s="47"/>
      <c r="F142" s="47"/>
      <c r="G142" s="47"/>
      <c r="H142" s="47"/>
      <c r="I142" s="47"/>
      <c r="J142" s="47"/>
      <c r="K142" s="47"/>
      <c r="L142" s="47"/>
      <c r="M142" s="47"/>
      <c r="N142" s="437" t="s">
        <v>1154</v>
      </c>
      <c r="O142" s="438">
        <v>7.7369471E7</v>
      </c>
      <c r="P142" s="439">
        <v>0.0</v>
      </c>
      <c r="Q142" s="437" t="s">
        <v>203</v>
      </c>
      <c r="R142" s="437"/>
      <c r="S142" s="437"/>
      <c r="T142" s="437" t="s">
        <v>1155</v>
      </c>
      <c r="U142" s="437" t="s">
        <v>594</v>
      </c>
      <c r="V142" s="440"/>
      <c r="W142" s="47"/>
      <c r="X142" s="47"/>
      <c r="Y142" s="47"/>
      <c r="Z142" s="47"/>
      <c r="AA142" s="47"/>
      <c r="AB142" s="47"/>
      <c r="AC142" s="47"/>
    </row>
    <row r="143">
      <c r="A143" s="47"/>
      <c r="B143" s="47"/>
      <c r="C143" s="47" t="s">
        <v>1157</v>
      </c>
      <c r="D143" s="47"/>
      <c r="E143" s="47"/>
      <c r="F143" s="47"/>
      <c r="G143" s="47"/>
      <c r="H143" s="47"/>
      <c r="I143" s="47"/>
      <c r="J143" s="47"/>
      <c r="K143" s="47"/>
      <c r="L143" s="47"/>
      <c r="M143" s="47"/>
      <c r="N143" s="437" t="s">
        <v>1158</v>
      </c>
      <c r="O143" s="438">
        <v>9.679243E7</v>
      </c>
      <c r="P143" s="440"/>
      <c r="Q143" s="437" t="s">
        <v>875</v>
      </c>
      <c r="R143" s="437"/>
      <c r="S143" s="437"/>
      <c r="T143" s="437" t="s">
        <v>1159</v>
      </c>
      <c r="U143" s="437" t="s">
        <v>603</v>
      </c>
      <c r="V143" s="437" t="s">
        <v>604</v>
      </c>
      <c r="W143" s="47"/>
      <c r="X143" s="47"/>
      <c r="Y143" s="47"/>
      <c r="Z143" s="47"/>
      <c r="AA143" s="47"/>
      <c r="AB143" s="47"/>
      <c r="AC143" s="47"/>
    </row>
    <row r="144">
      <c r="A144" s="47"/>
      <c r="B144" s="47"/>
      <c r="C144" s="47" t="s">
        <v>1160</v>
      </c>
      <c r="D144" s="47"/>
      <c r="E144" s="47"/>
      <c r="F144" s="47"/>
      <c r="G144" s="47"/>
      <c r="H144" s="47"/>
      <c r="I144" s="47"/>
      <c r="J144" s="47"/>
      <c r="K144" s="47"/>
      <c r="L144" s="47"/>
      <c r="M144" s="47"/>
      <c r="N144" s="437" t="s">
        <v>1161</v>
      </c>
      <c r="O144" s="438">
        <v>7.6051775E7</v>
      </c>
      <c r="P144" s="439">
        <v>5.0</v>
      </c>
      <c r="Q144" s="437" t="s">
        <v>1163</v>
      </c>
      <c r="R144" s="437"/>
      <c r="S144" s="437"/>
      <c r="T144" s="437" t="s">
        <v>1164</v>
      </c>
      <c r="U144" s="437" t="s">
        <v>594</v>
      </c>
      <c r="V144" s="440"/>
      <c r="W144" s="47"/>
      <c r="X144" s="47"/>
      <c r="Y144" s="47"/>
      <c r="Z144" s="47"/>
      <c r="AA144" s="47"/>
      <c r="AB144" s="47"/>
      <c r="AC144" s="47"/>
    </row>
    <row r="145">
      <c r="A145" s="47"/>
      <c r="B145" s="47"/>
      <c r="C145" s="47" t="s">
        <v>1165</v>
      </c>
      <c r="D145" s="47"/>
      <c r="E145" s="47"/>
      <c r="F145" s="47"/>
      <c r="G145" s="47"/>
      <c r="H145" s="47"/>
      <c r="I145" s="47"/>
      <c r="J145" s="47"/>
      <c r="K145" s="47"/>
      <c r="L145" s="47"/>
      <c r="M145" s="47"/>
      <c r="N145" s="437" t="s">
        <v>1166</v>
      </c>
      <c r="O145" s="438">
        <v>7.605735E7</v>
      </c>
      <c r="P145" s="439">
        <v>7.0</v>
      </c>
      <c r="Q145" s="437" t="s">
        <v>1167</v>
      </c>
      <c r="R145" s="437"/>
      <c r="S145" s="437"/>
      <c r="T145" s="437" t="s">
        <v>1168</v>
      </c>
      <c r="U145" s="437" t="s">
        <v>594</v>
      </c>
      <c r="V145" s="440"/>
      <c r="W145" s="47"/>
      <c r="X145" s="47"/>
      <c r="Y145" s="47"/>
      <c r="Z145" s="47"/>
      <c r="AA145" s="47"/>
      <c r="AB145" s="47"/>
      <c r="AC145" s="47"/>
    </row>
    <row r="146">
      <c r="A146" s="47"/>
      <c r="B146" s="47"/>
      <c r="C146" s="47" t="s">
        <v>1169</v>
      </c>
      <c r="D146" s="47"/>
      <c r="E146" s="47"/>
      <c r="F146" s="47"/>
      <c r="G146" s="47"/>
      <c r="H146" s="47"/>
      <c r="I146" s="47"/>
      <c r="J146" s="47"/>
      <c r="K146" s="47"/>
      <c r="L146" s="47"/>
      <c r="M146" s="47"/>
      <c r="N146" s="437" t="s">
        <v>1170</v>
      </c>
      <c r="O146" s="438">
        <v>7.864435E7</v>
      </c>
      <c r="P146" s="439">
        <v>4.0</v>
      </c>
      <c r="Q146" s="437" t="s">
        <v>1171</v>
      </c>
      <c r="R146" s="437"/>
      <c r="S146" s="437"/>
      <c r="T146" s="437" t="s">
        <v>1172</v>
      </c>
      <c r="U146" s="437" t="s">
        <v>594</v>
      </c>
      <c r="V146" s="440"/>
      <c r="W146" s="47"/>
      <c r="X146" s="47"/>
      <c r="Y146" s="47"/>
      <c r="Z146" s="47"/>
      <c r="AA146" s="47"/>
      <c r="AB146" s="47"/>
      <c r="AC146" s="47"/>
    </row>
    <row r="147">
      <c r="A147" s="47"/>
      <c r="B147" s="47"/>
      <c r="C147" s="47" t="s">
        <v>1173</v>
      </c>
      <c r="D147" s="47"/>
      <c r="E147" s="47"/>
      <c r="F147" s="47"/>
      <c r="G147" s="47"/>
      <c r="H147" s="47"/>
      <c r="I147" s="47"/>
      <c r="J147" s="47"/>
      <c r="K147" s="47"/>
      <c r="L147" s="47"/>
      <c r="M147" s="47"/>
      <c r="N147" s="437" t="s">
        <v>1174</v>
      </c>
      <c r="O147" s="438">
        <v>7.7190049E7</v>
      </c>
      <c r="P147" s="439">
        <v>6.0</v>
      </c>
      <c r="Q147" s="437" t="s">
        <v>384</v>
      </c>
      <c r="R147" s="437"/>
      <c r="S147" s="437"/>
      <c r="T147" s="437" t="s">
        <v>1175</v>
      </c>
      <c r="U147" s="437" t="s">
        <v>594</v>
      </c>
      <c r="V147" s="440"/>
      <c r="W147" s="47"/>
      <c r="X147" s="47"/>
      <c r="Y147" s="47"/>
      <c r="Z147" s="47"/>
      <c r="AA147" s="47"/>
      <c r="AB147" s="47"/>
      <c r="AC147" s="47"/>
    </row>
    <row r="148">
      <c r="A148" s="47"/>
      <c r="B148" s="47"/>
      <c r="C148" s="47" t="s">
        <v>1176</v>
      </c>
      <c r="D148" s="47"/>
      <c r="E148" s="47"/>
      <c r="F148" s="47"/>
      <c r="G148" s="47"/>
      <c r="H148" s="47"/>
      <c r="I148" s="47"/>
      <c r="J148" s="47"/>
      <c r="K148" s="47"/>
      <c r="L148" s="47"/>
      <c r="M148" s="47"/>
      <c r="N148" s="437" t="s">
        <v>1177</v>
      </c>
      <c r="O148" s="438">
        <v>7.6837109E7</v>
      </c>
      <c r="P148" s="439">
        <v>1.0</v>
      </c>
      <c r="Q148" s="437" t="s">
        <v>1178</v>
      </c>
      <c r="R148" s="437"/>
      <c r="S148" s="437"/>
      <c r="T148" s="437" t="s">
        <v>1179</v>
      </c>
      <c r="U148" s="437" t="s">
        <v>603</v>
      </c>
      <c r="V148" s="437" t="s">
        <v>604</v>
      </c>
      <c r="W148" s="47"/>
      <c r="X148" s="47"/>
      <c r="Y148" s="47"/>
      <c r="Z148" s="47"/>
      <c r="AA148" s="47"/>
      <c r="AB148" s="47"/>
      <c r="AC148" s="47"/>
    </row>
    <row r="149">
      <c r="A149" s="47"/>
      <c r="B149" s="47"/>
      <c r="C149" s="47" t="s">
        <v>227</v>
      </c>
      <c r="D149" s="47"/>
      <c r="E149" s="47"/>
      <c r="F149" s="47"/>
      <c r="G149" s="47"/>
      <c r="H149" s="47"/>
      <c r="I149" s="47"/>
      <c r="J149" s="47"/>
      <c r="K149" s="47"/>
      <c r="L149" s="47"/>
      <c r="M149" s="47"/>
      <c r="N149" s="437" t="s">
        <v>1180</v>
      </c>
      <c r="O149" s="438">
        <v>7.6930196E7</v>
      </c>
      <c r="P149" s="439">
        <v>8.0</v>
      </c>
      <c r="Q149" s="437" t="s">
        <v>1181</v>
      </c>
      <c r="R149" s="437"/>
      <c r="S149" s="437"/>
      <c r="T149" s="437" t="s">
        <v>1182</v>
      </c>
      <c r="U149" s="437" t="s">
        <v>603</v>
      </c>
      <c r="V149" s="437" t="s">
        <v>604</v>
      </c>
      <c r="W149" s="47"/>
      <c r="X149" s="47"/>
      <c r="Y149" s="47"/>
      <c r="Z149" s="47"/>
      <c r="AA149" s="47"/>
      <c r="AB149" s="47"/>
      <c r="AC149" s="47"/>
    </row>
    <row r="150">
      <c r="A150" s="47"/>
      <c r="B150" s="47"/>
      <c r="C150" s="47" t="s">
        <v>676</v>
      </c>
      <c r="D150" s="47"/>
      <c r="E150" s="47"/>
      <c r="F150" s="47"/>
      <c r="G150" s="47"/>
      <c r="H150" s="47"/>
      <c r="I150" s="47"/>
      <c r="J150" s="47"/>
      <c r="K150" s="47"/>
      <c r="L150" s="47"/>
      <c r="M150" s="47"/>
      <c r="N150" s="437" t="s">
        <v>1183</v>
      </c>
      <c r="O150" s="438">
        <v>7.6921044E7</v>
      </c>
      <c r="P150" s="439" t="s">
        <v>617</v>
      </c>
      <c r="Q150" s="437" t="s">
        <v>1184</v>
      </c>
      <c r="R150" s="437"/>
      <c r="S150" s="437"/>
      <c r="T150" s="437" t="s">
        <v>1185</v>
      </c>
      <c r="U150" s="437" t="s">
        <v>603</v>
      </c>
      <c r="V150" s="437" t="s">
        <v>604</v>
      </c>
      <c r="W150" s="47"/>
      <c r="X150" s="47"/>
      <c r="Y150" s="47"/>
      <c r="Z150" s="47"/>
      <c r="AA150" s="47"/>
      <c r="AB150" s="47"/>
      <c r="AC150" s="47"/>
    </row>
    <row r="151">
      <c r="A151" s="47"/>
      <c r="B151" s="47"/>
      <c r="C151" s="47" t="s">
        <v>683</v>
      </c>
      <c r="D151" s="47"/>
      <c r="E151" s="47"/>
      <c r="F151" s="47"/>
      <c r="G151" s="47"/>
      <c r="H151" s="47"/>
      <c r="I151" s="47"/>
      <c r="J151" s="47"/>
      <c r="K151" s="47"/>
      <c r="L151" s="47"/>
      <c r="M151" s="47"/>
      <c r="N151" s="437" t="s">
        <v>1186</v>
      </c>
      <c r="O151" s="438">
        <v>7.6173949E7</v>
      </c>
      <c r="P151" s="439">
        <v>2.0</v>
      </c>
      <c r="Q151" s="437" t="s">
        <v>1187</v>
      </c>
      <c r="R151" s="437"/>
      <c r="S151" s="437"/>
      <c r="T151" s="437" t="s">
        <v>1188</v>
      </c>
      <c r="U151" s="437" t="s">
        <v>594</v>
      </c>
      <c r="V151" s="440"/>
      <c r="W151" s="47"/>
      <c r="X151" s="47"/>
      <c r="Y151" s="47"/>
      <c r="Z151" s="47"/>
      <c r="AA151" s="47"/>
      <c r="AB151" s="47"/>
      <c r="AC151" s="47"/>
    </row>
    <row r="152">
      <c r="A152" s="47"/>
      <c r="B152" s="47"/>
      <c r="C152" s="47" t="s">
        <v>1189</v>
      </c>
      <c r="D152" s="47"/>
      <c r="E152" s="47"/>
      <c r="F152" s="47"/>
      <c r="G152" s="47"/>
      <c r="H152" s="47"/>
      <c r="I152" s="47"/>
      <c r="J152" s="47"/>
      <c r="K152" s="47"/>
      <c r="L152" s="47"/>
      <c r="M152" s="47"/>
      <c r="N152" s="437" t="s">
        <v>1190</v>
      </c>
      <c r="O152" s="438">
        <v>7.6216746E7</v>
      </c>
      <c r="P152" s="439">
        <v>8.0</v>
      </c>
      <c r="Q152" s="437" t="s">
        <v>1191</v>
      </c>
      <c r="R152" s="437"/>
      <c r="S152" s="437"/>
      <c r="T152" s="437" t="s">
        <v>1192</v>
      </c>
      <c r="U152" s="437" t="s">
        <v>594</v>
      </c>
      <c r="V152" s="440"/>
      <c r="W152" s="47"/>
      <c r="X152" s="47"/>
      <c r="Y152" s="47"/>
      <c r="Z152" s="47"/>
      <c r="AA152" s="47"/>
      <c r="AB152" s="47"/>
      <c r="AC152" s="47"/>
    </row>
    <row r="153">
      <c r="A153" s="47"/>
      <c r="B153" s="47"/>
      <c r="C153" s="47"/>
      <c r="D153" s="47"/>
      <c r="E153" s="47"/>
      <c r="F153" s="47"/>
      <c r="G153" s="47"/>
      <c r="H153" s="47"/>
      <c r="I153" s="47"/>
      <c r="J153" s="47"/>
      <c r="K153" s="47"/>
      <c r="L153" s="47"/>
      <c r="M153" s="47"/>
      <c r="N153" s="437" t="s">
        <v>1193</v>
      </c>
      <c r="O153" s="438">
        <v>7.7030305E7</v>
      </c>
      <c r="P153" s="439">
        <v>2.0</v>
      </c>
      <c r="Q153" s="437" t="s">
        <v>1194</v>
      </c>
      <c r="R153" s="437"/>
      <c r="S153" s="437"/>
      <c r="T153" s="437" t="s">
        <v>1195</v>
      </c>
      <c r="U153" s="437" t="s">
        <v>594</v>
      </c>
      <c r="V153" s="440"/>
      <c r="W153" s="47"/>
      <c r="X153" s="47"/>
      <c r="Y153" s="47"/>
      <c r="Z153" s="47"/>
      <c r="AA153" s="47"/>
      <c r="AB153" s="47"/>
      <c r="AC153" s="47"/>
    </row>
    <row r="154">
      <c r="A154" s="47"/>
      <c r="B154" s="47"/>
      <c r="C154" s="47"/>
      <c r="D154" s="47"/>
      <c r="E154" s="47"/>
      <c r="F154" s="47"/>
      <c r="G154" s="47"/>
      <c r="H154" s="47"/>
      <c r="I154" s="47"/>
      <c r="J154" s="47"/>
      <c r="K154" s="47"/>
      <c r="L154" s="47"/>
      <c r="M154" s="47"/>
      <c r="N154" s="437" t="s">
        <v>1196</v>
      </c>
      <c r="O154" s="438">
        <v>7.7679692E7</v>
      </c>
      <c r="P154" s="439">
        <v>1.0</v>
      </c>
      <c r="Q154" s="437" t="s">
        <v>1197</v>
      </c>
      <c r="R154" s="437"/>
      <c r="S154" s="437"/>
      <c r="T154" s="437" t="s">
        <v>1198</v>
      </c>
      <c r="U154" s="437" t="s">
        <v>594</v>
      </c>
      <c r="V154" s="440"/>
      <c r="W154" s="47"/>
      <c r="X154" s="47"/>
      <c r="Y154" s="47"/>
      <c r="Z154" s="47"/>
      <c r="AA154" s="47"/>
      <c r="AB154" s="47"/>
      <c r="AC154" s="47"/>
    </row>
    <row r="155">
      <c r="A155" s="47"/>
      <c r="B155" s="47"/>
      <c r="C155" s="47"/>
      <c r="D155" s="47"/>
      <c r="E155" s="47"/>
      <c r="F155" s="47"/>
      <c r="G155" s="47"/>
      <c r="H155" s="47"/>
      <c r="I155" s="47"/>
      <c r="J155" s="47"/>
      <c r="K155" s="47"/>
      <c r="L155" s="47"/>
      <c r="M155" s="47"/>
      <c r="N155" s="437" t="s">
        <v>1199</v>
      </c>
      <c r="O155" s="438">
        <v>9.688214E7</v>
      </c>
      <c r="P155" s="439">
        <v>7.0</v>
      </c>
      <c r="Q155" s="437" t="s">
        <v>299</v>
      </c>
      <c r="R155" s="437"/>
      <c r="S155" s="437"/>
      <c r="T155" s="437" t="s">
        <v>1200</v>
      </c>
      <c r="U155" s="437" t="s">
        <v>594</v>
      </c>
      <c r="V155" s="440"/>
      <c r="W155" s="47"/>
      <c r="X155" s="47"/>
      <c r="Y155" s="47"/>
      <c r="Z155" s="47"/>
      <c r="AA155" s="47"/>
      <c r="AB155" s="47"/>
      <c r="AC155" s="47"/>
    </row>
    <row r="156">
      <c r="A156" s="47"/>
      <c r="B156" s="47"/>
      <c r="C156" s="47"/>
      <c r="D156" s="47"/>
      <c r="E156" s="47"/>
      <c r="F156" s="47"/>
      <c r="G156" s="47"/>
      <c r="H156" s="47"/>
      <c r="I156" s="47"/>
      <c r="J156" s="47"/>
      <c r="K156" s="47"/>
      <c r="L156" s="47"/>
      <c r="M156" s="47"/>
      <c r="N156" s="129" t="s">
        <v>338</v>
      </c>
      <c r="O156" s="129">
        <v>7.8202133E7</v>
      </c>
      <c r="P156" s="129">
        <v>8.0</v>
      </c>
      <c r="Q156" s="129" t="s">
        <v>338</v>
      </c>
      <c r="R156" s="47"/>
      <c r="S156" s="47"/>
      <c r="T156" s="47"/>
      <c r="U156" s="47"/>
      <c r="V156" s="47"/>
      <c r="W156" s="47"/>
      <c r="X156" s="47"/>
      <c r="Y156" s="47"/>
      <c r="Z156" s="47"/>
      <c r="AA156" s="47"/>
      <c r="AB156" s="47"/>
      <c r="AC156" s="47"/>
    </row>
    <row r="157">
      <c r="A157" s="47"/>
      <c r="B157" s="47"/>
      <c r="C157" s="47"/>
      <c r="D157" s="47"/>
      <c r="E157" s="47"/>
      <c r="F157" s="47"/>
      <c r="G157" s="47"/>
      <c r="H157" s="47"/>
      <c r="I157" s="47"/>
      <c r="J157" s="47"/>
      <c r="K157" s="47"/>
      <c r="L157" s="47"/>
      <c r="M157" s="47"/>
      <c r="N157" s="129" t="s">
        <v>1201</v>
      </c>
      <c r="O157" s="47"/>
      <c r="P157" s="47"/>
      <c r="Q157" s="129" t="s">
        <v>1202</v>
      </c>
      <c r="R157" s="47"/>
      <c r="S157" s="47"/>
      <c r="T157" s="47"/>
      <c r="U157" s="47"/>
      <c r="V157" s="47"/>
      <c r="W157" s="47"/>
      <c r="X157" s="47"/>
      <c r="Y157" s="47"/>
      <c r="Z157" s="47"/>
      <c r="AA157" s="47"/>
      <c r="AB157" s="47"/>
      <c r="AC157" s="47"/>
    </row>
    <row r="158">
      <c r="A158" s="47"/>
      <c r="B158" s="47"/>
      <c r="C158" s="47"/>
      <c r="D158" s="47"/>
      <c r="E158" s="47"/>
      <c r="F158" s="47"/>
      <c r="G158" s="47"/>
      <c r="H158" s="47"/>
      <c r="I158" s="47"/>
      <c r="J158" s="47"/>
      <c r="K158" s="47"/>
      <c r="L158" s="47"/>
      <c r="M158" s="47"/>
      <c r="N158" s="148" t="s">
        <v>1203</v>
      </c>
      <c r="O158" s="129">
        <v>7.6684927E7</v>
      </c>
      <c r="P158" s="129" t="s">
        <v>617</v>
      </c>
      <c r="Q158" s="148" t="s">
        <v>1203</v>
      </c>
      <c r="R158" s="47"/>
      <c r="S158" s="47"/>
      <c r="T158" s="148" t="s">
        <v>1204</v>
      </c>
      <c r="U158" s="47"/>
      <c r="V158" s="47"/>
      <c r="W158" s="47"/>
      <c r="X158" s="47"/>
      <c r="Y158" s="47"/>
      <c r="Z158" s="47"/>
      <c r="AA158" s="47"/>
      <c r="AB158" s="47"/>
      <c r="AC158" s="47"/>
    </row>
    <row r="159">
      <c r="A159" s="47"/>
      <c r="B159" s="47"/>
      <c r="C159" s="47"/>
      <c r="D159" s="47"/>
      <c r="E159" s="47"/>
      <c r="F159" s="47"/>
      <c r="G159" s="47"/>
      <c r="H159" s="47"/>
      <c r="I159" s="47"/>
      <c r="J159" s="47"/>
      <c r="K159" s="47"/>
      <c r="L159" s="47"/>
      <c r="M159" s="47"/>
      <c r="N159" s="129" t="s">
        <v>1206</v>
      </c>
      <c r="O159" s="47"/>
      <c r="P159" s="47"/>
      <c r="Q159" s="47"/>
      <c r="R159" s="47"/>
      <c r="S159" s="47"/>
      <c r="T159" s="47"/>
      <c r="U159" s="47"/>
      <c r="V159" s="47"/>
      <c r="W159" s="47"/>
      <c r="X159" s="47"/>
      <c r="Y159" s="47"/>
      <c r="Z159" s="47"/>
      <c r="AA159" s="47"/>
      <c r="AB159" s="47"/>
      <c r="AC159" s="47"/>
    </row>
    <row r="160">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c r="AA160" s="47"/>
      <c r="AB160" s="47"/>
      <c r="AC160" s="47"/>
    </row>
    <row r="161">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47"/>
      <c r="AC161" s="47"/>
    </row>
    <row r="162">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47"/>
      <c r="AC162" s="47"/>
    </row>
    <row r="163">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47"/>
      <c r="AC163" s="47"/>
    </row>
    <row r="164">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47"/>
      <c r="AC164" s="47"/>
    </row>
    <row r="165">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47"/>
      <c r="AC165" s="47"/>
    </row>
    <row r="166">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47"/>
      <c r="AC166" s="47"/>
    </row>
    <row r="167">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47"/>
      <c r="AC167" s="47"/>
    </row>
    <row r="168">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47"/>
      <c r="AC168" s="47"/>
    </row>
    <row r="169">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47"/>
      <c r="AC169" s="47"/>
    </row>
    <row r="170">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47"/>
      <c r="AC170" s="47"/>
    </row>
    <row r="171">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47"/>
      <c r="AC171" s="47"/>
    </row>
    <row r="172">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47"/>
      <c r="AC172" s="47"/>
    </row>
    <row r="173">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47"/>
      <c r="AC173" s="47"/>
    </row>
    <row r="174">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c r="AA174" s="47"/>
      <c r="AB174" s="47"/>
      <c r="AC174" s="47"/>
    </row>
    <row r="175">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c r="AA175" s="47"/>
      <c r="AB175" s="47"/>
      <c r="AC175" s="47"/>
    </row>
    <row r="176">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c r="AA176" s="47"/>
      <c r="AB176" s="47"/>
      <c r="AC176" s="47"/>
    </row>
    <row r="177">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c r="AA177" s="47"/>
      <c r="AB177" s="47"/>
      <c r="AC177" s="47"/>
    </row>
    <row r="178">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c r="AA178" s="47"/>
      <c r="AB178" s="47"/>
      <c r="AC178" s="47"/>
    </row>
    <row r="179">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c r="AA179" s="47"/>
      <c r="AB179" s="47"/>
      <c r="AC179" s="47"/>
    </row>
    <row r="180">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c r="AA180" s="47"/>
      <c r="AB180" s="47"/>
      <c r="AC180" s="47"/>
    </row>
    <row r="181">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c r="AA181" s="47"/>
      <c r="AB181" s="47"/>
      <c r="AC181" s="47"/>
    </row>
    <row r="182">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c r="AA182" s="47"/>
      <c r="AB182" s="47"/>
      <c r="AC182" s="47"/>
    </row>
    <row r="183">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c r="AA183" s="47"/>
      <c r="AB183" s="47"/>
      <c r="AC183" s="47"/>
    </row>
    <row r="184">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c r="AA184" s="47"/>
      <c r="AB184" s="47"/>
      <c r="AC184" s="47"/>
    </row>
    <row r="185">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c r="AA185" s="47"/>
      <c r="AB185" s="47"/>
      <c r="AC185" s="47"/>
    </row>
    <row r="186">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c r="AA186" s="47"/>
      <c r="AB186" s="47"/>
      <c r="AC186" s="47"/>
    </row>
    <row r="187">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c r="AA187" s="47"/>
      <c r="AB187" s="47"/>
      <c r="AC187" s="47"/>
    </row>
    <row r="188">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c r="AA188" s="47"/>
      <c r="AB188" s="47"/>
      <c r="AC188" s="47"/>
    </row>
    <row r="189">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c r="AA189" s="47"/>
      <c r="AB189" s="47"/>
      <c r="AC189" s="47"/>
    </row>
    <row r="190">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c r="AA190" s="47"/>
      <c r="AB190" s="47"/>
      <c r="AC190" s="47"/>
    </row>
    <row r="191">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c r="AA191" s="47"/>
      <c r="AB191" s="47"/>
      <c r="AC191" s="47"/>
    </row>
    <row r="192">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c r="AA192" s="47"/>
      <c r="AB192" s="47"/>
      <c r="AC192" s="47"/>
    </row>
    <row r="193">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c r="AA193" s="47"/>
      <c r="AB193" s="47"/>
      <c r="AC193" s="47"/>
    </row>
    <row r="194">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c r="AA194" s="47"/>
      <c r="AB194" s="47"/>
      <c r="AC194" s="47"/>
    </row>
    <row r="195">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c r="AA195" s="47"/>
      <c r="AB195" s="47"/>
      <c r="AC195" s="47"/>
    </row>
    <row r="196">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c r="AA196" s="47"/>
      <c r="AB196" s="47"/>
      <c r="AC196" s="47"/>
    </row>
    <row r="197">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c r="AA197" s="47"/>
      <c r="AB197" s="47"/>
      <c r="AC197" s="47"/>
    </row>
    <row r="198">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c r="AA198" s="47"/>
      <c r="AB198" s="47"/>
      <c r="AC198" s="47"/>
    </row>
    <row r="199">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c r="AA199" s="47"/>
      <c r="AB199" s="47"/>
      <c r="AC199" s="47"/>
    </row>
    <row r="200">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c r="AA200" s="47"/>
      <c r="AB200" s="47"/>
      <c r="AC200" s="47"/>
    </row>
    <row r="201">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c r="AA201" s="47"/>
      <c r="AB201" s="47"/>
      <c r="AC201" s="47"/>
    </row>
    <row r="202">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c r="AA202" s="47"/>
      <c r="AB202" s="47"/>
      <c r="AC202" s="47"/>
    </row>
    <row r="203">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c r="AA203" s="47"/>
      <c r="AB203" s="47"/>
      <c r="AC203" s="47"/>
    </row>
    <row r="204">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c r="AA204" s="47"/>
      <c r="AB204" s="47"/>
      <c r="AC204" s="47"/>
    </row>
    <row r="205">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c r="AA205" s="47"/>
      <c r="AB205" s="47"/>
      <c r="AC205" s="47"/>
    </row>
    <row r="206">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c r="AA206" s="47"/>
      <c r="AB206" s="47"/>
      <c r="AC206" s="47"/>
    </row>
    <row r="207">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c r="AA207" s="47"/>
      <c r="AB207" s="47"/>
      <c r="AC207" s="47"/>
    </row>
    <row r="208">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c r="AA208" s="47"/>
      <c r="AB208" s="47"/>
      <c r="AC208" s="47"/>
    </row>
    <row r="209">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c r="AA209" s="47"/>
      <c r="AB209" s="47"/>
      <c r="AC209" s="47"/>
    </row>
    <row r="210">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c r="AA210" s="47"/>
      <c r="AB210" s="47"/>
      <c r="AC210" s="47"/>
    </row>
    <row r="211">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c r="AA211" s="47"/>
      <c r="AB211" s="47"/>
      <c r="AC211" s="47"/>
    </row>
    <row r="212">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c r="AA212" s="47"/>
      <c r="AB212" s="47"/>
      <c r="AC212" s="47"/>
    </row>
    <row r="213">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c r="AA213" s="47"/>
      <c r="AB213" s="47"/>
      <c r="AC213" s="47"/>
    </row>
    <row r="214">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c r="AA214" s="47"/>
      <c r="AB214" s="47"/>
      <c r="AC214" s="47"/>
    </row>
    <row r="215">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c r="AA215" s="47"/>
      <c r="AB215" s="47"/>
      <c r="AC215" s="47"/>
    </row>
    <row r="216">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c r="AA216" s="47"/>
      <c r="AB216" s="47"/>
      <c r="AC216" s="47"/>
    </row>
    <row r="217">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c r="AA217" s="47"/>
      <c r="AB217" s="47"/>
      <c r="AC217" s="47"/>
    </row>
    <row r="218">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c r="AA218" s="47"/>
      <c r="AB218" s="47"/>
      <c r="AC218" s="47"/>
    </row>
    <row r="219">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c r="AA219" s="47"/>
      <c r="AB219" s="47"/>
      <c r="AC219" s="47"/>
    </row>
    <row r="220">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c r="AA220" s="47"/>
      <c r="AB220" s="47"/>
      <c r="AC220" s="47"/>
    </row>
    <row r="221">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c r="AA221" s="47"/>
      <c r="AB221" s="47"/>
      <c r="AC221" s="47"/>
    </row>
    <row r="222">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c r="AA222" s="47"/>
      <c r="AB222" s="47"/>
      <c r="AC222" s="47"/>
    </row>
    <row r="223">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c r="AA223" s="47"/>
      <c r="AB223" s="47"/>
      <c r="AC223" s="47"/>
    </row>
    <row r="224">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c r="AA224" s="47"/>
      <c r="AB224" s="47"/>
      <c r="AC224" s="47"/>
    </row>
    <row r="225">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c r="AA225" s="47"/>
      <c r="AB225" s="47"/>
      <c r="AC225" s="47"/>
    </row>
    <row r="226">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c r="AA226" s="47"/>
      <c r="AB226" s="47"/>
      <c r="AC226" s="47"/>
    </row>
    <row r="227">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c r="AA227" s="47"/>
      <c r="AB227" s="47"/>
      <c r="AC227" s="47"/>
    </row>
    <row r="228">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c r="AA228" s="47"/>
      <c r="AB228" s="47"/>
      <c r="AC228" s="47"/>
    </row>
    <row r="229">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c r="AA229" s="47"/>
      <c r="AB229" s="47"/>
      <c r="AC229" s="47"/>
    </row>
    <row r="230">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c r="AA230" s="47"/>
      <c r="AB230" s="47"/>
      <c r="AC230" s="47"/>
    </row>
    <row r="231">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c r="AA231" s="47"/>
      <c r="AB231" s="47"/>
      <c r="AC231" s="47"/>
    </row>
    <row r="232">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c r="AA232" s="47"/>
      <c r="AB232" s="47"/>
      <c r="AC232" s="47"/>
    </row>
    <row r="233">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c r="AA233" s="47"/>
      <c r="AB233" s="47"/>
      <c r="AC233" s="47"/>
    </row>
    <row r="234">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c r="AA234" s="47"/>
      <c r="AB234" s="47"/>
      <c r="AC234" s="47"/>
    </row>
    <row r="235">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c r="AA235" s="47"/>
      <c r="AB235" s="47"/>
      <c r="AC235" s="47"/>
    </row>
    <row r="236">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c r="AA236" s="47"/>
      <c r="AB236" s="47"/>
      <c r="AC236" s="47"/>
    </row>
    <row r="237">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c r="AA237" s="47"/>
      <c r="AB237" s="47"/>
      <c r="AC237" s="47"/>
    </row>
    <row r="238">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c r="AA238" s="47"/>
      <c r="AB238" s="47"/>
      <c r="AC238" s="47"/>
    </row>
    <row r="239">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c r="AA239" s="47"/>
      <c r="AB239" s="47"/>
      <c r="AC239" s="47"/>
    </row>
    <row r="240">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c r="AA240" s="47"/>
      <c r="AB240" s="47"/>
      <c r="AC240" s="47"/>
    </row>
    <row r="241">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c r="AA241" s="47"/>
      <c r="AB241" s="47"/>
      <c r="AC241" s="47"/>
    </row>
    <row r="242">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c r="AA242" s="47"/>
      <c r="AB242" s="47"/>
      <c r="AC242" s="47"/>
    </row>
    <row r="243">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c r="AA243" s="47"/>
      <c r="AB243" s="47"/>
      <c r="AC243" s="47"/>
    </row>
    <row r="244">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c r="AA244" s="47"/>
      <c r="AB244" s="47"/>
      <c r="AC244" s="47"/>
    </row>
    <row r="245">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c r="AA245" s="47"/>
      <c r="AB245" s="47"/>
      <c r="AC245" s="47"/>
    </row>
    <row r="246">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c r="AA246" s="47"/>
      <c r="AB246" s="47"/>
      <c r="AC246" s="47"/>
    </row>
    <row r="247">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c r="AA247" s="47"/>
      <c r="AB247" s="47"/>
      <c r="AC247" s="47"/>
    </row>
    <row r="248">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c r="AA248" s="47"/>
      <c r="AB248" s="47"/>
      <c r="AC248" s="47"/>
    </row>
    <row r="249">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c r="AA249" s="47"/>
      <c r="AB249" s="47"/>
      <c r="AC249" s="47"/>
    </row>
    <row r="250">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c r="AA250" s="47"/>
      <c r="AB250" s="47"/>
      <c r="AC250" s="47"/>
    </row>
    <row r="251">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c r="AA251" s="47"/>
      <c r="AB251" s="47"/>
      <c r="AC251" s="47"/>
    </row>
    <row r="252">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c r="AA252" s="47"/>
      <c r="AB252" s="47"/>
      <c r="AC252" s="47"/>
    </row>
    <row r="253">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c r="AA253" s="47"/>
      <c r="AB253" s="47"/>
      <c r="AC253" s="47"/>
    </row>
    <row r="254">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c r="AA254" s="47"/>
      <c r="AB254" s="47"/>
      <c r="AC254" s="47"/>
    </row>
    <row r="255">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c r="AA255" s="47"/>
      <c r="AB255" s="47"/>
      <c r="AC255" s="47"/>
    </row>
    <row r="256">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c r="AA256" s="47"/>
      <c r="AB256" s="47"/>
      <c r="AC256" s="47"/>
    </row>
    <row r="257">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c r="AA257" s="47"/>
      <c r="AB257" s="47"/>
      <c r="AC257" s="47"/>
    </row>
    <row r="258">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c r="AA258" s="47"/>
      <c r="AB258" s="47"/>
      <c r="AC258" s="47"/>
    </row>
    <row r="259">
      <c r="A259" s="47"/>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c r="AA259" s="47"/>
      <c r="AB259" s="47"/>
      <c r="AC259" s="47"/>
    </row>
    <row r="260">
      <c r="A260" s="47"/>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c r="AA260" s="47"/>
      <c r="AB260" s="47"/>
      <c r="AC260" s="47"/>
    </row>
    <row r="261">
      <c r="A261" s="47"/>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c r="AA261" s="47"/>
      <c r="AB261" s="47"/>
      <c r="AC261" s="47"/>
    </row>
    <row r="262">
      <c r="A262" s="47"/>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c r="AA262" s="47"/>
      <c r="AB262" s="47"/>
      <c r="AC262" s="47"/>
    </row>
    <row r="263">
      <c r="A263" s="47"/>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c r="AA263" s="47"/>
      <c r="AB263" s="47"/>
      <c r="AC263" s="47"/>
    </row>
    <row r="264">
      <c r="A264" s="47"/>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c r="AA264" s="47"/>
      <c r="AB264" s="47"/>
      <c r="AC264" s="47"/>
    </row>
    <row r="265">
      <c r="A265" s="47"/>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c r="AA265" s="47"/>
      <c r="AB265" s="47"/>
      <c r="AC265" s="47"/>
    </row>
    <row r="266">
      <c r="A266" s="47"/>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c r="AA266" s="47"/>
      <c r="AB266" s="47"/>
      <c r="AC266" s="47"/>
    </row>
    <row r="267">
      <c r="A267" s="47"/>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c r="AA267" s="47"/>
      <c r="AB267" s="47"/>
      <c r="AC267" s="47"/>
    </row>
    <row r="268">
      <c r="A268" s="47"/>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c r="AA268" s="47"/>
      <c r="AB268" s="47"/>
      <c r="AC268" s="47"/>
    </row>
    <row r="269">
      <c r="A269" s="47"/>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c r="AA269" s="47"/>
      <c r="AB269" s="47"/>
      <c r="AC269" s="47"/>
    </row>
    <row r="270">
      <c r="A270" s="47"/>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c r="AA270" s="47"/>
      <c r="AB270" s="47"/>
      <c r="AC270" s="47"/>
    </row>
    <row r="271">
      <c r="A271" s="47"/>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c r="AA271" s="47"/>
      <c r="AB271" s="47"/>
      <c r="AC271" s="47"/>
    </row>
    <row r="272">
      <c r="A272" s="47"/>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c r="AA272" s="47"/>
      <c r="AB272" s="47"/>
      <c r="AC272" s="47"/>
    </row>
    <row r="273">
      <c r="A273" s="47"/>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c r="AA273" s="47"/>
      <c r="AB273" s="47"/>
      <c r="AC273" s="47"/>
    </row>
    <row r="274">
      <c r="A274" s="47"/>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c r="AA274" s="47"/>
      <c r="AB274" s="47"/>
      <c r="AC274" s="47"/>
    </row>
    <row r="275">
      <c r="A275" s="47"/>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c r="AA275" s="47"/>
      <c r="AB275" s="47"/>
      <c r="AC275" s="47"/>
    </row>
    <row r="276">
      <c r="A276" s="47"/>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c r="AA276" s="47"/>
      <c r="AB276" s="47"/>
      <c r="AC276" s="47"/>
    </row>
    <row r="277">
      <c r="A277" s="47"/>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c r="AA277" s="47"/>
      <c r="AB277" s="47"/>
      <c r="AC277" s="47"/>
    </row>
    <row r="278">
      <c r="A278" s="47"/>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c r="AA278" s="47"/>
      <c r="AB278" s="47"/>
      <c r="AC278" s="47"/>
    </row>
    <row r="279">
      <c r="A279" s="47"/>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c r="AA279" s="47"/>
      <c r="AB279" s="47"/>
      <c r="AC279" s="47"/>
    </row>
    <row r="280">
      <c r="A280" s="47"/>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c r="AA280" s="47"/>
      <c r="AB280" s="47"/>
      <c r="AC280" s="47"/>
    </row>
    <row r="281">
      <c r="A281" s="47"/>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c r="AA281" s="47"/>
      <c r="AB281" s="47"/>
      <c r="AC281" s="47"/>
    </row>
    <row r="282">
      <c r="A282" s="47"/>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c r="AA282" s="47"/>
      <c r="AB282" s="47"/>
      <c r="AC282" s="47"/>
    </row>
    <row r="283">
      <c r="A283" s="47"/>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c r="AA283" s="47"/>
      <c r="AB283" s="47"/>
      <c r="AC283" s="47"/>
    </row>
    <row r="284">
      <c r="A284" s="47"/>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c r="AA284" s="47"/>
      <c r="AB284" s="47"/>
      <c r="AC284" s="47"/>
    </row>
    <row r="285">
      <c r="A285" s="47"/>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c r="AA285" s="47"/>
      <c r="AB285" s="47"/>
      <c r="AC285" s="47"/>
    </row>
    <row r="286">
      <c r="A286" s="47"/>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c r="AA286" s="47"/>
      <c r="AB286" s="47"/>
      <c r="AC286" s="47"/>
    </row>
    <row r="287">
      <c r="A287" s="47"/>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c r="AA287" s="47"/>
      <c r="AB287" s="47"/>
      <c r="AC287" s="47"/>
    </row>
    <row r="288">
      <c r="A288" s="47"/>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c r="AA288" s="47"/>
      <c r="AB288" s="47"/>
      <c r="AC288" s="47"/>
    </row>
    <row r="289">
      <c r="A289" s="47"/>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c r="AA289" s="47"/>
      <c r="AB289" s="47"/>
      <c r="AC289" s="47"/>
    </row>
    <row r="290">
      <c r="A290" s="47"/>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c r="AA290" s="47"/>
      <c r="AB290" s="47"/>
      <c r="AC290" s="47"/>
    </row>
    <row r="291">
      <c r="A291" s="47"/>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c r="AA291" s="47"/>
      <c r="AB291" s="47"/>
      <c r="AC291" s="47"/>
    </row>
    <row r="292">
      <c r="A292" s="47"/>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c r="AA292" s="47"/>
      <c r="AB292" s="47"/>
      <c r="AC292" s="47"/>
    </row>
    <row r="293">
      <c r="A293" s="47"/>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c r="AA293" s="47"/>
      <c r="AB293" s="47"/>
      <c r="AC293" s="47"/>
    </row>
    <row r="294">
      <c r="A294" s="47"/>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c r="AA294" s="47"/>
      <c r="AB294" s="47"/>
      <c r="AC294" s="47"/>
    </row>
    <row r="295">
      <c r="A295" s="47"/>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c r="AA295" s="47"/>
      <c r="AB295" s="47"/>
      <c r="AC295" s="47"/>
    </row>
    <row r="296">
      <c r="A296" s="47"/>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c r="AA296" s="47"/>
      <c r="AB296" s="47"/>
      <c r="AC296" s="47"/>
    </row>
    <row r="297">
      <c r="A297" s="47"/>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c r="AA297" s="47"/>
      <c r="AB297" s="47"/>
      <c r="AC297" s="47"/>
    </row>
    <row r="298">
      <c r="A298" s="47"/>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c r="AA298" s="47"/>
      <c r="AB298" s="47"/>
      <c r="AC298" s="47"/>
    </row>
    <row r="299">
      <c r="A299" s="47"/>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c r="AA299" s="47"/>
      <c r="AB299" s="47"/>
      <c r="AC299" s="47"/>
    </row>
    <row r="300">
      <c r="A300" s="47"/>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c r="AA300" s="47"/>
      <c r="AB300" s="47"/>
      <c r="AC300" s="47"/>
    </row>
    <row r="301">
      <c r="A301" s="47"/>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c r="AA301" s="47"/>
      <c r="AB301" s="47"/>
      <c r="AC301" s="47"/>
    </row>
    <row r="302">
      <c r="A302" s="47"/>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c r="AA302" s="47"/>
      <c r="AB302" s="47"/>
      <c r="AC302" s="47"/>
    </row>
    <row r="303">
      <c r="A303" s="47"/>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c r="AA303" s="47"/>
      <c r="AB303" s="47"/>
      <c r="AC303" s="47"/>
    </row>
    <row r="304">
      <c r="A304" s="47"/>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c r="AA304" s="47"/>
      <c r="AB304" s="47"/>
      <c r="AC304" s="47"/>
    </row>
    <row r="305">
      <c r="A305" s="47"/>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c r="AA305" s="47"/>
      <c r="AB305" s="47"/>
      <c r="AC305" s="47"/>
    </row>
    <row r="306">
      <c r="A306" s="47"/>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c r="AA306" s="47"/>
      <c r="AB306" s="47"/>
      <c r="AC306" s="47"/>
    </row>
    <row r="307">
      <c r="A307" s="47"/>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c r="AA307" s="47"/>
      <c r="AB307" s="47"/>
      <c r="AC307" s="47"/>
    </row>
    <row r="308">
      <c r="A308" s="4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c r="AA308" s="47"/>
      <c r="AB308" s="47"/>
      <c r="AC308" s="47"/>
    </row>
    <row r="309">
      <c r="A309" s="4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c r="AA309" s="47"/>
      <c r="AB309" s="47"/>
      <c r="AC309" s="47"/>
    </row>
    <row r="310">
      <c r="A310" s="4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c r="AA310" s="47"/>
      <c r="AB310" s="47"/>
      <c r="AC310" s="47"/>
    </row>
    <row r="311">
      <c r="A311" s="4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c r="AA311" s="47"/>
      <c r="AB311" s="47"/>
      <c r="AC311" s="47"/>
    </row>
    <row r="312">
      <c r="A312" s="4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c r="AA312" s="47"/>
      <c r="AB312" s="47"/>
      <c r="AC312" s="47"/>
    </row>
    <row r="313">
      <c r="A313" s="47"/>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c r="AA313" s="47"/>
      <c r="AB313" s="47"/>
      <c r="AC313" s="47"/>
    </row>
    <row r="314">
      <c r="A314" s="47"/>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c r="AA314" s="47"/>
      <c r="AB314" s="47"/>
      <c r="AC314" s="47"/>
    </row>
    <row r="315">
      <c r="A315" s="47"/>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c r="AA315" s="47"/>
      <c r="AB315" s="47"/>
      <c r="AC315" s="47"/>
    </row>
    <row r="316">
      <c r="A316" s="47"/>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c r="AA316" s="47"/>
      <c r="AB316" s="47"/>
      <c r="AC316" s="47"/>
    </row>
    <row r="317">
      <c r="A317" s="47"/>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c r="AA317" s="47"/>
      <c r="AB317" s="47"/>
      <c r="AC317" s="47"/>
    </row>
    <row r="318">
      <c r="A318" s="47"/>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c r="AA318" s="47"/>
      <c r="AB318" s="47"/>
      <c r="AC318" s="47"/>
    </row>
    <row r="319">
      <c r="A319" s="47"/>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c r="AA319" s="47"/>
      <c r="AB319" s="47"/>
      <c r="AC319" s="47"/>
    </row>
    <row r="320">
      <c r="A320" s="47"/>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c r="AA320" s="47"/>
      <c r="AB320" s="47"/>
      <c r="AC320" s="47"/>
    </row>
    <row r="321">
      <c r="A321" s="47"/>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c r="AA321" s="47"/>
      <c r="AB321" s="47"/>
      <c r="AC321" s="47"/>
    </row>
    <row r="322">
      <c r="A322" s="47"/>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c r="AA322" s="47"/>
      <c r="AB322" s="47"/>
      <c r="AC322" s="47"/>
    </row>
    <row r="323">
      <c r="A323" s="47"/>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c r="AA323" s="47"/>
      <c r="AB323" s="47"/>
      <c r="AC323" s="47"/>
    </row>
    <row r="324">
      <c r="A324" s="47"/>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c r="AA324" s="47"/>
      <c r="AB324" s="47"/>
      <c r="AC324" s="47"/>
    </row>
    <row r="325">
      <c r="A325" s="47"/>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c r="AA325" s="47"/>
      <c r="AB325" s="47"/>
      <c r="AC325" s="47"/>
    </row>
    <row r="326">
      <c r="A326" s="47"/>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c r="AA326" s="47"/>
      <c r="AB326" s="47"/>
      <c r="AC326" s="47"/>
    </row>
    <row r="327">
      <c r="A327" s="47"/>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c r="AA327" s="47"/>
      <c r="AB327" s="47"/>
      <c r="AC327" s="47"/>
    </row>
    <row r="328">
      <c r="A328" s="47"/>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c r="AA328" s="47"/>
      <c r="AB328" s="47"/>
      <c r="AC328" s="47"/>
    </row>
    <row r="329">
      <c r="A329" s="47"/>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c r="AA329" s="47"/>
      <c r="AB329" s="47"/>
      <c r="AC329" s="47"/>
    </row>
    <row r="330">
      <c r="A330" s="47"/>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c r="AA330" s="47"/>
      <c r="AB330" s="47"/>
      <c r="AC330" s="47"/>
    </row>
    <row r="331">
      <c r="A331" s="47"/>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c r="AA331" s="47"/>
      <c r="AB331" s="47"/>
      <c r="AC331" s="47"/>
    </row>
    <row r="332">
      <c r="A332" s="47"/>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c r="AA332" s="47"/>
      <c r="AB332" s="47"/>
      <c r="AC332" s="47"/>
    </row>
    <row r="333">
      <c r="A333" s="47"/>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c r="AA333" s="47"/>
      <c r="AB333" s="47"/>
      <c r="AC333" s="47"/>
    </row>
    <row r="334">
      <c r="A334" s="47"/>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c r="AA334" s="47"/>
      <c r="AB334" s="47"/>
      <c r="AC334" s="47"/>
    </row>
    <row r="335">
      <c r="A335" s="47"/>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c r="AA335" s="47"/>
      <c r="AB335" s="47"/>
      <c r="AC335" s="47"/>
    </row>
    <row r="336">
      <c r="A336" s="47"/>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c r="AA336" s="47"/>
      <c r="AB336" s="47"/>
      <c r="AC336" s="47"/>
    </row>
    <row r="337">
      <c r="A337" s="47"/>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c r="AA337" s="47"/>
      <c r="AB337" s="47"/>
      <c r="AC337" s="47"/>
    </row>
    <row r="338">
      <c r="A338" s="47"/>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c r="AA338" s="47"/>
      <c r="AB338" s="47"/>
      <c r="AC338" s="47"/>
    </row>
    <row r="339">
      <c r="A339" s="47"/>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c r="AA339" s="47"/>
      <c r="AB339" s="47"/>
      <c r="AC339" s="47"/>
    </row>
    <row r="340">
      <c r="A340" s="47"/>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c r="AA340" s="47"/>
      <c r="AB340" s="47"/>
      <c r="AC340" s="47"/>
    </row>
    <row r="341">
      <c r="A341" s="47"/>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c r="AA341" s="47"/>
      <c r="AB341" s="47"/>
      <c r="AC341" s="47"/>
    </row>
    <row r="342">
      <c r="A342" s="47"/>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c r="AA342" s="47"/>
      <c r="AB342" s="47"/>
      <c r="AC342" s="47"/>
    </row>
    <row r="343">
      <c r="A343" s="47"/>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c r="AA343" s="47"/>
      <c r="AB343" s="47"/>
      <c r="AC343" s="47"/>
    </row>
    <row r="344">
      <c r="A344" s="47"/>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c r="AA344" s="47"/>
      <c r="AB344" s="47"/>
      <c r="AC344" s="47"/>
    </row>
    <row r="345">
      <c r="A345" s="4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c r="AA345" s="47"/>
      <c r="AB345" s="47"/>
      <c r="AC345" s="47"/>
    </row>
    <row r="346">
      <c r="A346" s="47"/>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c r="AA346" s="47"/>
      <c r="AB346" s="47"/>
      <c r="AC346" s="47"/>
    </row>
    <row r="347">
      <c r="A347" s="47"/>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c r="AA347" s="47"/>
      <c r="AB347" s="47"/>
      <c r="AC347" s="47"/>
    </row>
    <row r="348">
      <c r="A348" s="47"/>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c r="AA348" s="47"/>
      <c r="AB348" s="47"/>
      <c r="AC348" s="47"/>
    </row>
    <row r="349">
      <c r="A349" s="47"/>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c r="AA349" s="47"/>
      <c r="AB349" s="47"/>
      <c r="AC349" s="47"/>
    </row>
    <row r="350">
      <c r="A350" s="47"/>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c r="AA350" s="47"/>
      <c r="AB350" s="47"/>
      <c r="AC350" s="47"/>
    </row>
    <row r="351">
      <c r="A351" s="47"/>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c r="AA351" s="47"/>
      <c r="AB351" s="47"/>
      <c r="AC351" s="47"/>
    </row>
    <row r="352">
      <c r="A352" s="47"/>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c r="AA352" s="47"/>
      <c r="AB352" s="47"/>
      <c r="AC352" s="47"/>
    </row>
    <row r="353">
      <c r="A353" s="47"/>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c r="AA353" s="47"/>
      <c r="AB353" s="47"/>
      <c r="AC353" s="47"/>
    </row>
    <row r="354">
      <c r="A354" s="47"/>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c r="AA354" s="47"/>
      <c r="AB354" s="47"/>
      <c r="AC354" s="47"/>
    </row>
    <row r="355">
      <c r="A355" s="47"/>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c r="AA355" s="47"/>
      <c r="AB355" s="47"/>
      <c r="AC355" s="47"/>
    </row>
    <row r="356">
      <c r="A356" s="47"/>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c r="AA356" s="47"/>
      <c r="AB356" s="47"/>
      <c r="AC356" s="47"/>
    </row>
    <row r="357">
      <c r="A357" s="47"/>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c r="AA357" s="47"/>
      <c r="AB357" s="47"/>
      <c r="AC357" s="47"/>
    </row>
    <row r="358">
      <c r="A358" s="47"/>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c r="AA358" s="47"/>
      <c r="AB358" s="47"/>
      <c r="AC358" s="47"/>
    </row>
    <row r="359">
      <c r="A359" s="47"/>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c r="AA359" s="47"/>
      <c r="AB359" s="47"/>
      <c r="AC359" s="47"/>
    </row>
    <row r="360">
      <c r="A360" s="47"/>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c r="AA360" s="47"/>
      <c r="AB360" s="47"/>
      <c r="AC360" s="47"/>
    </row>
    <row r="361">
      <c r="A361" s="47"/>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c r="AA361" s="47"/>
      <c r="AB361" s="47"/>
      <c r="AC361" s="47"/>
    </row>
    <row r="362">
      <c r="A362" s="47"/>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c r="AA362" s="47"/>
      <c r="AB362" s="47"/>
      <c r="AC362" s="47"/>
    </row>
    <row r="363">
      <c r="A363" s="47"/>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c r="AA363" s="47"/>
      <c r="AB363" s="47"/>
      <c r="AC363" s="47"/>
    </row>
    <row r="364">
      <c r="A364" s="47"/>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c r="AA364" s="47"/>
      <c r="AB364" s="47"/>
      <c r="AC364" s="47"/>
    </row>
    <row r="365">
      <c r="A365" s="47"/>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c r="AA365" s="47"/>
      <c r="AB365" s="47"/>
      <c r="AC365" s="47"/>
    </row>
    <row r="366">
      <c r="A366" s="47"/>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c r="AA366" s="47"/>
      <c r="AB366" s="47"/>
      <c r="AC366" s="47"/>
    </row>
    <row r="367">
      <c r="A367" s="47"/>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c r="AA367" s="47"/>
      <c r="AB367" s="47"/>
      <c r="AC367" s="47"/>
    </row>
    <row r="368">
      <c r="A368" s="47"/>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c r="AA368" s="47"/>
      <c r="AB368" s="47"/>
      <c r="AC368" s="47"/>
    </row>
    <row r="369">
      <c r="A369" s="47"/>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c r="AA369" s="47"/>
      <c r="AB369" s="47"/>
      <c r="AC369" s="47"/>
    </row>
    <row r="370">
      <c r="A370" s="47"/>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c r="AA370" s="47"/>
      <c r="AB370" s="47"/>
      <c r="AC370" s="47"/>
    </row>
    <row r="371">
      <c r="A371" s="47"/>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c r="AA371" s="47"/>
      <c r="AB371" s="47"/>
      <c r="AC371" s="47"/>
    </row>
    <row r="372">
      <c r="A372" s="47"/>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c r="AA372" s="47"/>
      <c r="AB372" s="47"/>
      <c r="AC372" s="47"/>
    </row>
    <row r="373">
      <c r="A373" s="47"/>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c r="AA373" s="47"/>
      <c r="AB373" s="47"/>
      <c r="AC373" s="47"/>
    </row>
    <row r="374">
      <c r="A374" s="47"/>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c r="AA374" s="47"/>
      <c r="AB374" s="47"/>
      <c r="AC374" s="47"/>
    </row>
    <row r="375">
      <c r="A375" s="47"/>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c r="AA375" s="47"/>
      <c r="AB375" s="47"/>
      <c r="AC375" s="47"/>
    </row>
    <row r="376">
      <c r="A376" s="47"/>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c r="AA376" s="47"/>
      <c r="AB376" s="47"/>
      <c r="AC376" s="47"/>
    </row>
    <row r="377">
      <c r="A377" s="47"/>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c r="AA377" s="47"/>
      <c r="AB377" s="47"/>
      <c r="AC377" s="47"/>
    </row>
    <row r="378">
      <c r="A378" s="47"/>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c r="AA378" s="47"/>
      <c r="AB378" s="47"/>
      <c r="AC378" s="47"/>
    </row>
    <row r="379">
      <c r="A379" s="47"/>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c r="AA379" s="47"/>
      <c r="AB379" s="47"/>
      <c r="AC379" s="47"/>
    </row>
    <row r="380">
      <c r="A380" s="47"/>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c r="AA380" s="47"/>
      <c r="AB380" s="47"/>
      <c r="AC380" s="47"/>
    </row>
    <row r="381">
      <c r="A381" s="47"/>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c r="AA381" s="47"/>
      <c r="AB381" s="47"/>
      <c r="AC381" s="47"/>
    </row>
    <row r="382">
      <c r="A382" s="47"/>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c r="AA382" s="47"/>
      <c r="AB382" s="47"/>
      <c r="AC382" s="47"/>
    </row>
    <row r="383">
      <c r="A383" s="47"/>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c r="AA383" s="47"/>
      <c r="AB383" s="47"/>
      <c r="AC383" s="47"/>
    </row>
    <row r="384">
      <c r="A384" s="47"/>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c r="AA384" s="47"/>
      <c r="AB384" s="47"/>
      <c r="AC384" s="47"/>
    </row>
    <row r="385">
      <c r="A385" s="47"/>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c r="AA385" s="47"/>
      <c r="AB385" s="47"/>
      <c r="AC385" s="47"/>
    </row>
    <row r="386">
      <c r="A386" s="47"/>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c r="AA386" s="47"/>
      <c r="AB386" s="47"/>
      <c r="AC386" s="47"/>
    </row>
    <row r="387">
      <c r="A387" s="47"/>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c r="AA387" s="47"/>
      <c r="AB387" s="47"/>
      <c r="AC387" s="47"/>
    </row>
    <row r="388">
      <c r="A388" s="47"/>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c r="AA388" s="47"/>
      <c r="AB388" s="47"/>
      <c r="AC388" s="47"/>
    </row>
    <row r="389">
      <c r="A389" s="47"/>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c r="AA389" s="47"/>
      <c r="AB389" s="47"/>
      <c r="AC389" s="47"/>
    </row>
    <row r="390">
      <c r="A390" s="47"/>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c r="AA390" s="47"/>
      <c r="AB390" s="47"/>
      <c r="AC390" s="47"/>
    </row>
    <row r="391">
      <c r="A391" s="47"/>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c r="AA391" s="47"/>
      <c r="AB391" s="47"/>
      <c r="AC391" s="47"/>
    </row>
    <row r="392">
      <c r="A392" s="47"/>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c r="AA392" s="47"/>
      <c r="AB392" s="47"/>
      <c r="AC392" s="47"/>
    </row>
    <row r="393">
      <c r="A393" s="47"/>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c r="AA393" s="47"/>
      <c r="AB393" s="47"/>
      <c r="AC393" s="47"/>
    </row>
    <row r="394">
      <c r="A394" s="47"/>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c r="AA394" s="47"/>
      <c r="AB394" s="47"/>
      <c r="AC394" s="47"/>
    </row>
    <row r="395">
      <c r="A395" s="47"/>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c r="AA395" s="47"/>
      <c r="AB395" s="47"/>
      <c r="AC395" s="47"/>
    </row>
    <row r="396">
      <c r="A396" s="47"/>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c r="AA396" s="47"/>
      <c r="AB396" s="47"/>
      <c r="AC396" s="47"/>
    </row>
    <row r="397">
      <c r="A397" s="47"/>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c r="AA397" s="47"/>
      <c r="AB397" s="47"/>
      <c r="AC397" s="47"/>
    </row>
    <row r="398">
      <c r="A398" s="47"/>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c r="AA398" s="47"/>
      <c r="AB398" s="47"/>
      <c r="AC398" s="47"/>
    </row>
    <row r="399">
      <c r="A399" s="47"/>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c r="AA399" s="47"/>
      <c r="AB399" s="47"/>
      <c r="AC399" s="47"/>
    </row>
    <row r="400">
      <c r="A400" s="47"/>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c r="AA400" s="47"/>
      <c r="AB400" s="47"/>
      <c r="AC400" s="47"/>
    </row>
    <row r="401">
      <c r="A401" s="47"/>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c r="AA401" s="47"/>
      <c r="AB401" s="47"/>
      <c r="AC401" s="47"/>
    </row>
    <row r="402">
      <c r="A402" s="47"/>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c r="AA402" s="47"/>
      <c r="AB402" s="47"/>
      <c r="AC402" s="47"/>
    </row>
    <row r="403">
      <c r="A403" s="47"/>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c r="AA403" s="47"/>
      <c r="AB403" s="47"/>
      <c r="AC403" s="47"/>
    </row>
    <row r="404">
      <c r="A404" s="47"/>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c r="AA404" s="47"/>
      <c r="AB404" s="47"/>
      <c r="AC404" s="47"/>
    </row>
    <row r="405">
      <c r="A405" s="47"/>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c r="AA405" s="47"/>
      <c r="AB405" s="47"/>
      <c r="AC405" s="47"/>
    </row>
    <row r="406">
      <c r="A406" s="47"/>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c r="AA406" s="47"/>
      <c r="AB406" s="47"/>
      <c r="AC406" s="47"/>
    </row>
    <row r="407">
      <c r="A407" s="47"/>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c r="AA407" s="47"/>
      <c r="AB407" s="47"/>
      <c r="AC407" s="47"/>
    </row>
    <row r="408">
      <c r="A408" s="47"/>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c r="AA408" s="47"/>
      <c r="AB408" s="47"/>
      <c r="AC408" s="47"/>
    </row>
    <row r="409">
      <c r="A409" s="47"/>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c r="AA409" s="47"/>
      <c r="AB409" s="47"/>
      <c r="AC409" s="47"/>
    </row>
    <row r="410">
      <c r="A410" s="47"/>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c r="AA410" s="47"/>
      <c r="AB410" s="47"/>
      <c r="AC410" s="47"/>
    </row>
    <row r="411">
      <c r="A411" s="47"/>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c r="AA411" s="47"/>
      <c r="AB411" s="47"/>
      <c r="AC411" s="47"/>
    </row>
    <row r="412">
      <c r="A412" s="47"/>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c r="AA412" s="47"/>
      <c r="AB412" s="47"/>
      <c r="AC412" s="47"/>
    </row>
    <row r="413">
      <c r="A413" s="47"/>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c r="AA413" s="47"/>
      <c r="AB413" s="47"/>
      <c r="AC413" s="47"/>
    </row>
    <row r="414">
      <c r="A414" s="47"/>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c r="AA414" s="47"/>
      <c r="AB414" s="47"/>
      <c r="AC414" s="47"/>
    </row>
    <row r="415">
      <c r="A415" s="47"/>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c r="AA415" s="47"/>
      <c r="AB415" s="47"/>
      <c r="AC415" s="47"/>
    </row>
    <row r="416">
      <c r="A416" s="47"/>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c r="AA416" s="47"/>
      <c r="AB416" s="47"/>
      <c r="AC416" s="47"/>
    </row>
    <row r="417">
      <c r="A417" s="47"/>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c r="AA417" s="47"/>
      <c r="AB417" s="47"/>
      <c r="AC417" s="47"/>
    </row>
    <row r="418">
      <c r="A418" s="47"/>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c r="AA418" s="47"/>
      <c r="AB418" s="47"/>
      <c r="AC418" s="47"/>
    </row>
    <row r="419">
      <c r="A419" s="47"/>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c r="AA419" s="47"/>
      <c r="AB419" s="47"/>
      <c r="AC419" s="47"/>
    </row>
    <row r="420">
      <c r="A420" s="47"/>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c r="AA420" s="47"/>
      <c r="AB420" s="47"/>
      <c r="AC420" s="47"/>
    </row>
    <row r="421">
      <c r="A421" s="47"/>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c r="AA421" s="47"/>
      <c r="AB421" s="47"/>
      <c r="AC421" s="47"/>
    </row>
    <row r="422">
      <c r="A422" s="47"/>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c r="AA422" s="47"/>
      <c r="AB422" s="47"/>
      <c r="AC422" s="47"/>
    </row>
    <row r="423">
      <c r="A423" s="47"/>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c r="AA423" s="47"/>
      <c r="AB423" s="47"/>
      <c r="AC423" s="47"/>
    </row>
    <row r="424">
      <c r="A424" s="47"/>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c r="AA424" s="47"/>
      <c r="AB424" s="47"/>
      <c r="AC424" s="47"/>
    </row>
    <row r="425">
      <c r="A425" s="47"/>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c r="AA425" s="47"/>
      <c r="AB425" s="47"/>
      <c r="AC425" s="47"/>
    </row>
    <row r="426">
      <c r="A426" s="47"/>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c r="AA426" s="47"/>
      <c r="AB426" s="47"/>
      <c r="AC426" s="47"/>
    </row>
    <row r="427">
      <c r="A427" s="47"/>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c r="AA427" s="47"/>
      <c r="AB427" s="47"/>
      <c r="AC427" s="47"/>
    </row>
    <row r="428">
      <c r="A428" s="47"/>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c r="AA428" s="47"/>
      <c r="AB428" s="47"/>
      <c r="AC428" s="47"/>
    </row>
    <row r="429">
      <c r="A429" s="47"/>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c r="AA429" s="47"/>
      <c r="AB429" s="47"/>
      <c r="AC429" s="47"/>
    </row>
    <row r="430">
      <c r="A430" s="47"/>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c r="AA430" s="47"/>
      <c r="AB430" s="47"/>
      <c r="AC430" s="47"/>
    </row>
    <row r="431">
      <c r="A431" s="47"/>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c r="AA431" s="47"/>
      <c r="AB431" s="47"/>
      <c r="AC431" s="47"/>
    </row>
    <row r="432">
      <c r="A432" s="47"/>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c r="AA432" s="47"/>
      <c r="AB432" s="47"/>
      <c r="AC432" s="47"/>
    </row>
    <row r="433">
      <c r="A433" s="47"/>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c r="AA433" s="47"/>
      <c r="AB433" s="47"/>
      <c r="AC433" s="47"/>
    </row>
    <row r="434">
      <c r="A434" s="4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c r="AA434" s="47"/>
      <c r="AB434" s="47"/>
      <c r="AC434" s="47"/>
    </row>
    <row r="435">
      <c r="A435" s="47"/>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c r="AA435" s="47"/>
      <c r="AB435" s="47"/>
      <c r="AC435" s="47"/>
    </row>
    <row r="436">
      <c r="A436" s="47"/>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c r="AA436" s="47"/>
      <c r="AB436" s="47"/>
      <c r="AC436" s="47"/>
    </row>
    <row r="437">
      <c r="A437" s="47"/>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c r="AA437" s="47"/>
      <c r="AB437" s="47"/>
      <c r="AC437" s="47"/>
    </row>
    <row r="438">
      <c r="A438" s="47"/>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c r="AA438" s="47"/>
      <c r="AB438" s="47"/>
      <c r="AC438" s="47"/>
    </row>
    <row r="439">
      <c r="A439" s="47"/>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c r="AA439" s="47"/>
      <c r="AB439" s="47"/>
      <c r="AC439" s="47"/>
    </row>
    <row r="440">
      <c r="A440" s="47"/>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c r="AA440" s="47"/>
      <c r="AB440" s="47"/>
      <c r="AC440" s="47"/>
    </row>
    <row r="441">
      <c r="A441" s="47"/>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c r="AA441" s="47"/>
      <c r="AB441" s="47"/>
      <c r="AC441" s="47"/>
    </row>
    <row r="442">
      <c r="A442" s="47"/>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c r="AA442" s="47"/>
      <c r="AB442" s="47"/>
      <c r="AC442" s="47"/>
    </row>
    <row r="443">
      <c r="A443" s="47"/>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c r="AA443" s="47"/>
      <c r="AB443" s="47"/>
      <c r="AC443" s="47"/>
    </row>
    <row r="444">
      <c r="A444" s="47"/>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c r="AA444" s="47"/>
      <c r="AB444" s="47"/>
      <c r="AC444" s="47"/>
    </row>
    <row r="445">
      <c r="A445" s="47"/>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c r="AA445" s="47"/>
      <c r="AB445" s="47"/>
      <c r="AC445" s="47"/>
    </row>
    <row r="446">
      <c r="A446" s="47"/>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c r="AA446" s="47"/>
      <c r="AB446" s="47"/>
      <c r="AC446" s="47"/>
    </row>
    <row r="447">
      <c r="A447" s="47"/>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c r="AA447" s="47"/>
      <c r="AB447" s="47"/>
      <c r="AC447" s="47"/>
    </row>
    <row r="448">
      <c r="A448" s="47"/>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c r="AA448" s="47"/>
      <c r="AB448" s="47"/>
      <c r="AC448" s="47"/>
    </row>
    <row r="449">
      <c r="A449" s="47"/>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c r="AA449" s="47"/>
      <c r="AB449" s="47"/>
      <c r="AC449" s="47"/>
    </row>
    <row r="450">
      <c r="A450" s="47"/>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c r="AA450" s="47"/>
      <c r="AB450" s="47"/>
      <c r="AC450" s="47"/>
    </row>
    <row r="451">
      <c r="A451" s="47"/>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c r="AA451" s="47"/>
      <c r="AB451" s="47"/>
      <c r="AC451" s="47"/>
    </row>
    <row r="452">
      <c r="A452" s="47"/>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c r="AA452" s="47"/>
      <c r="AB452" s="47"/>
      <c r="AC452" s="47"/>
    </row>
    <row r="453">
      <c r="A453" s="47"/>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c r="AA453" s="47"/>
      <c r="AB453" s="47"/>
      <c r="AC453" s="47"/>
    </row>
    <row r="454">
      <c r="A454" s="47"/>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c r="AA454" s="47"/>
      <c r="AB454" s="47"/>
      <c r="AC454" s="47"/>
    </row>
    <row r="455">
      <c r="A455" s="47"/>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c r="AA455" s="47"/>
      <c r="AB455" s="47"/>
      <c r="AC455" s="47"/>
    </row>
    <row r="456">
      <c r="A456" s="47"/>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c r="AA456" s="47"/>
      <c r="AB456" s="47"/>
      <c r="AC456" s="47"/>
    </row>
    <row r="457">
      <c r="A457" s="47"/>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c r="AA457" s="47"/>
      <c r="AB457" s="47"/>
      <c r="AC457" s="47"/>
    </row>
    <row r="458">
      <c r="A458" s="47"/>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c r="AA458" s="47"/>
      <c r="AB458" s="47"/>
      <c r="AC458" s="47"/>
    </row>
    <row r="459">
      <c r="A459" s="47"/>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c r="AA459" s="47"/>
      <c r="AB459" s="47"/>
      <c r="AC459" s="47"/>
    </row>
    <row r="460">
      <c r="A460" s="47"/>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c r="AA460" s="47"/>
      <c r="AB460" s="47"/>
      <c r="AC460" s="47"/>
    </row>
    <row r="461">
      <c r="A461" s="47"/>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c r="AA461" s="47"/>
      <c r="AB461" s="47"/>
      <c r="AC461" s="47"/>
    </row>
    <row r="462">
      <c r="A462" s="47"/>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c r="AA462" s="47"/>
      <c r="AB462" s="47"/>
      <c r="AC462" s="47"/>
    </row>
    <row r="463">
      <c r="A463" s="47"/>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c r="AA463" s="47"/>
      <c r="AB463" s="47"/>
      <c r="AC463" s="47"/>
    </row>
    <row r="464">
      <c r="A464" s="47"/>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c r="AA464" s="47"/>
      <c r="AB464" s="47"/>
      <c r="AC464" s="47"/>
    </row>
    <row r="465">
      <c r="A465" s="47"/>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c r="AA465" s="47"/>
      <c r="AB465" s="47"/>
      <c r="AC465" s="47"/>
    </row>
    <row r="466">
      <c r="A466" s="47"/>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c r="AA466" s="47"/>
      <c r="AB466" s="47"/>
      <c r="AC466" s="47"/>
    </row>
    <row r="467">
      <c r="A467" s="47"/>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c r="AA467" s="47"/>
      <c r="AB467" s="47"/>
      <c r="AC467" s="47"/>
    </row>
    <row r="468">
      <c r="A468" s="47"/>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c r="AA468" s="47"/>
      <c r="AB468" s="47"/>
      <c r="AC468" s="47"/>
    </row>
    <row r="469">
      <c r="A469" s="47"/>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c r="AA469" s="47"/>
      <c r="AB469" s="47"/>
      <c r="AC469" s="47"/>
    </row>
    <row r="470">
      <c r="A470" s="47"/>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c r="AA470" s="47"/>
      <c r="AB470" s="47"/>
      <c r="AC470" s="47"/>
    </row>
    <row r="471">
      <c r="A471" s="47"/>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c r="AA471" s="47"/>
      <c r="AB471" s="47"/>
      <c r="AC471" s="47"/>
    </row>
    <row r="472">
      <c r="A472" s="47"/>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c r="AA472" s="47"/>
      <c r="AB472" s="47"/>
      <c r="AC472" s="47"/>
    </row>
    <row r="473">
      <c r="A473" s="47"/>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c r="AA473" s="47"/>
      <c r="AB473" s="47"/>
      <c r="AC473" s="47"/>
    </row>
    <row r="474">
      <c r="A474" s="47"/>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c r="AA474" s="47"/>
      <c r="AB474" s="47"/>
      <c r="AC474" s="47"/>
    </row>
    <row r="475">
      <c r="A475" s="47"/>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c r="AA475" s="47"/>
      <c r="AB475" s="47"/>
      <c r="AC475" s="47"/>
    </row>
    <row r="476">
      <c r="A476" s="47"/>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c r="AA476" s="47"/>
      <c r="AB476" s="47"/>
      <c r="AC476" s="47"/>
    </row>
    <row r="477">
      <c r="A477" s="47"/>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c r="AA477" s="47"/>
      <c r="AB477" s="47"/>
      <c r="AC477" s="47"/>
    </row>
    <row r="478">
      <c r="A478" s="47"/>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c r="AA478" s="47"/>
      <c r="AB478" s="47"/>
      <c r="AC478" s="47"/>
    </row>
    <row r="479">
      <c r="A479" s="47"/>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c r="AA479" s="47"/>
      <c r="AB479" s="47"/>
      <c r="AC479" s="47"/>
    </row>
    <row r="480">
      <c r="A480" s="47"/>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c r="AA480" s="47"/>
      <c r="AB480" s="47"/>
      <c r="AC480" s="47"/>
    </row>
    <row r="481">
      <c r="A481" s="47"/>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c r="AA481" s="47"/>
      <c r="AB481" s="47"/>
      <c r="AC481" s="47"/>
    </row>
    <row r="482">
      <c r="A482" s="47"/>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c r="AA482" s="47"/>
      <c r="AB482" s="47"/>
      <c r="AC482" s="47"/>
    </row>
    <row r="483">
      <c r="A483" s="47"/>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c r="AA483" s="47"/>
      <c r="AB483" s="47"/>
      <c r="AC483" s="47"/>
    </row>
    <row r="484">
      <c r="A484" s="47"/>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c r="AA484" s="47"/>
      <c r="AB484" s="47"/>
      <c r="AC484" s="47"/>
    </row>
    <row r="485">
      <c r="A485" s="47"/>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c r="AA485" s="47"/>
      <c r="AB485" s="47"/>
      <c r="AC485" s="47"/>
    </row>
    <row r="486">
      <c r="A486" s="47"/>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c r="AA486" s="47"/>
      <c r="AB486" s="47"/>
      <c r="AC486" s="47"/>
    </row>
    <row r="487">
      <c r="A487" s="47"/>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c r="AA487" s="47"/>
      <c r="AB487" s="47"/>
      <c r="AC487" s="47"/>
    </row>
    <row r="488">
      <c r="A488" s="47"/>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c r="AA488" s="47"/>
      <c r="AB488" s="47"/>
      <c r="AC488" s="47"/>
    </row>
    <row r="489">
      <c r="A489" s="47"/>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c r="AA489" s="47"/>
      <c r="AB489" s="47"/>
      <c r="AC489" s="47"/>
    </row>
    <row r="490">
      <c r="A490" s="47"/>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c r="AA490" s="47"/>
      <c r="AB490" s="47"/>
      <c r="AC490" s="47"/>
    </row>
    <row r="491">
      <c r="A491" s="47"/>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c r="AA491" s="47"/>
      <c r="AB491" s="47"/>
      <c r="AC491" s="47"/>
    </row>
    <row r="492">
      <c r="A492" s="47"/>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c r="AA492" s="47"/>
      <c r="AB492" s="47"/>
      <c r="AC492" s="47"/>
    </row>
    <row r="493">
      <c r="A493" s="47"/>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c r="AA493" s="47"/>
      <c r="AB493" s="47"/>
      <c r="AC493" s="47"/>
    </row>
    <row r="494">
      <c r="A494" s="47"/>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c r="AA494" s="47"/>
      <c r="AB494" s="47"/>
      <c r="AC494" s="47"/>
    </row>
    <row r="495">
      <c r="A495" s="47"/>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c r="AA495" s="47"/>
      <c r="AB495" s="47"/>
      <c r="AC495" s="47"/>
    </row>
    <row r="496">
      <c r="A496" s="47"/>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c r="AA496" s="47"/>
      <c r="AB496" s="47"/>
      <c r="AC496" s="47"/>
    </row>
    <row r="497">
      <c r="A497" s="47"/>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c r="AA497" s="47"/>
      <c r="AB497" s="47"/>
      <c r="AC497" s="47"/>
    </row>
    <row r="498">
      <c r="A498" s="47"/>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c r="AA498" s="47"/>
      <c r="AB498" s="47"/>
      <c r="AC498" s="47"/>
    </row>
    <row r="499">
      <c r="A499" s="47"/>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c r="AA499" s="47"/>
      <c r="AB499" s="47"/>
      <c r="AC499" s="47"/>
    </row>
    <row r="500">
      <c r="A500" s="47"/>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c r="AA500" s="47"/>
      <c r="AB500" s="47"/>
      <c r="AC500" s="47"/>
    </row>
    <row r="501">
      <c r="A501" s="47"/>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c r="AA501" s="47"/>
      <c r="AB501" s="47"/>
      <c r="AC501" s="47"/>
    </row>
    <row r="502">
      <c r="A502" s="47"/>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c r="AA502" s="47"/>
      <c r="AB502" s="47"/>
      <c r="AC502" s="47"/>
    </row>
    <row r="503">
      <c r="A503" s="47"/>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c r="AA503" s="47"/>
      <c r="AB503" s="47"/>
      <c r="AC503" s="47"/>
    </row>
    <row r="504">
      <c r="A504" s="47"/>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c r="AA504" s="47"/>
      <c r="AB504" s="47"/>
      <c r="AC504" s="47"/>
    </row>
    <row r="505">
      <c r="A505" s="47"/>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c r="AA505" s="47"/>
      <c r="AB505" s="47"/>
      <c r="AC505" s="47"/>
    </row>
    <row r="506">
      <c r="A506" s="47"/>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c r="AA506" s="47"/>
      <c r="AB506" s="47"/>
      <c r="AC506" s="47"/>
    </row>
    <row r="507">
      <c r="A507" s="47"/>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c r="AA507" s="47"/>
      <c r="AB507" s="47"/>
      <c r="AC507" s="47"/>
    </row>
    <row r="508">
      <c r="A508" s="47"/>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c r="AA508" s="47"/>
      <c r="AB508" s="47"/>
      <c r="AC508" s="47"/>
    </row>
    <row r="509">
      <c r="A509" s="47"/>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c r="AA509" s="47"/>
      <c r="AB509" s="47"/>
      <c r="AC509" s="47"/>
    </row>
    <row r="510">
      <c r="A510" s="47"/>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c r="AA510" s="47"/>
      <c r="AB510" s="47"/>
      <c r="AC510" s="47"/>
    </row>
    <row r="511">
      <c r="A511" s="47"/>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c r="AA511" s="47"/>
      <c r="AB511" s="47"/>
      <c r="AC511" s="47"/>
    </row>
    <row r="512">
      <c r="A512" s="47"/>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c r="AA512" s="47"/>
      <c r="AB512" s="47"/>
      <c r="AC512" s="47"/>
    </row>
    <row r="513">
      <c r="A513" s="47"/>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c r="AA513" s="47"/>
      <c r="AB513" s="47"/>
      <c r="AC513" s="47"/>
    </row>
    <row r="514">
      <c r="A514" s="47"/>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c r="AA514" s="47"/>
      <c r="AB514" s="47"/>
      <c r="AC514" s="47"/>
    </row>
    <row r="515">
      <c r="A515" s="47"/>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c r="AA515" s="47"/>
      <c r="AB515" s="47"/>
      <c r="AC515" s="47"/>
    </row>
    <row r="516">
      <c r="A516" s="47"/>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c r="AA516" s="47"/>
      <c r="AB516" s="47"/>
      <c r="AC516" s="47"/>
    </row>
    <row r="517">
      <c r="A517" s="47"/>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c r="AA517" s="47"/>
      <c r="AB517" s="47"/>
      <c r="AC517" s="47"/>
    </row>
    <row r="518">
      <c r="A518" s="47"/>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c r="AA518" s="47"/>
      <c r="AB518" s="47"/>
      <c r="AC518" s="47"/>
    </row>
    <row r="519">
      <c r="A519" s="47"/>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c r="AA519" s="47"/>
      <c r="AB519" s="47"/>
      <c r="AC519" s="47"/>
    </row>
    <row r="520">
      <c r="A520" s="47"/>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c r="AA520" s="47"/>
      <c r="AB520" s="47"/>
      <c r="AC520" s="47"/>
    </row>
    <row r="521">
      <c r="A521" s="47"/>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c r="AA521" s="47"/>
      <c r="AB521" s="47"/>
      <c r="AC521" s="47"/>
    </row>
    <row r="522">
      <c r="A522" s="47"/>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c r="AA522" s="47"/>
      <c r="AB522" s="47"/>
      <c r="AC522" s="47"/>
    </row>
    <row r="523">
      <c r="A523" s="47"/>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c r="AA523" s="47"/>
      <c r="AB523" s="47"/>
      <c r="AC523" s="47"/>
    </row>
    <row r="524">
      <c r="A524" s="47"/>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c r="AA524" s="47"/>
      <c r="AB524" s="47"/>
      <c r="AC524" s="47"/>
    </row>
    <row r="525">
      <c r="A525" s="47"/>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c r="AA525" s="47"/>
      <c r="AB525" s="47"/>
      <c r="AC525" s="47"/>
    </row>
    <row r="526">
      <c r="A526" s="47"/>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c r="AA526" s="47"/>
      <c r="AB526" s="47"/>
      <c r="AC526" s="47"/>
    </row>
    <row r="527">
      <c r="A527" s="47"/>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c r="AA527" s="47"/>
      <c r="AB527" s="47"/>
      <c r="AC527" s="47"/>
    </row>
    <row r="528">
      <c r="A528" s="47"/>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c r="AA528" s="47"/>
      <c r="AB528" s="47"/>
      <c r="AC528" s="47"/>
    </row>
    <row r="529">
      <c r="A529" s="47"/>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c r="AA529" s="47"/>
      <c r="AB529" s="47"/>
      <c r="AC529" s="47"/>
    </row>
    <row r="530">
      <c r="A530" s="47"/>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c r="AA530" s="47"/>
      <c r="AB530" s="47"/>
      <c r="AC530" s="47"/>
    </row>
    <row r="531">
      <c r="A531" s="47"/>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c r="AA531" s="47"/>
      <c r="AB531" s="47"/>
      <c r="AC531" s="47"/>
    </row>
    <row r="532">
      <c r="A532" s="47"/>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c r="AA532" s="47"/>
      <c r="AB532" s="47"/>
      <c r="AC532" s="47"/>
    </row>
    <row r="533">
      <c r="A533" s="47"/>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c r="AA533" s="47"/>
      <c r="AB533" s="47"/>
      <c r="AC533" s="47"/>
    </row>
    <row r="534">
      <c r="A534" s="47"/>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c r="AA534" s="47"/>
      <c r="AB534" s="47"/>
      <c r="AC534" s="47"/>
    </row>
    <row r="535">
      <c r="A535" s="47"/>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c r="AA535" s="47"/>
      <c r="AB535" s="47"/>
      <c r="AC535" s="47"/>
    </row>
    <row r="536">
      <c r="A536" s="47"/>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c r="AA536" s="47"/>
      <c r="AB536" s="47"/>
      <c r="AC536" s="47"/>
    </row>
    <row r="537">
      <c r="A537" s="47"/>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c r="AA537" s="47"/>
      <c r="AB537" s="47"/>
      <c r="AC537" s="47"/>
    </row>
    <row r="538">
      <c r="A538" s="4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c r="AA538" s="47"/>
      <c r="AB538" s="47"/>
      <c r="AC538" s="47"/>
    </row>
    <row r="539">
      <c r="A539" s="47"/>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c r="AA539" s="47"/>
      <c r="AB539" s="47"/>
      <c r="AC539" s="47"/>
    </row>
    <row r="540">
      <c r="A540" s="47"/>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c r="AA540" s="47"/>
      <c r="AB540" s="47"/>
      <c r="AC540" s="47"/>
    </row>
    <row r="541">
      <c r="A541" s="47"/>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c r="AA541" s="47"/>
      <c r="AB541" s="47"/>
      <c r="AC541" s="47"/>
    </row>
    <row r="542">
      <c r="A542" s="47"/>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c r="AA542" s="47"/>
      <c r="AB542" s="47"/>
      <c r="AC542" s="47"/>
    </row>
    <row r="543">
      <c r="A543" s="47"/>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c r="AA543" s="47"/>
      <c r="AB543" s="47"/>
      <c r="AC543" s="47"/>
    </row>
    <row r="544">
      <c r="A544" s="47"/>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c r="AA544" s="47"/>
      <c r="AB544" s="47"/>
      <c r="AC544" s="47"/>
    </row>
    <row r="545">
      <c r="A545" s="47"/>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c r="AA545" s="47"/>
      <c r="AB545" s="47"/>
      <c r="AC545" s="47"/>
    </row>
    <row r="546">
      <c r="A546" s="47"/>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c r="AA546" s="47"/>
      <c r="AB546" s="47"/>
      <c r="AC546" s="47"/>
    </row>
    <row r="547">
      <c r="A547" s="47"/>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c r="AA547" s="47"/>
      <c r="AB547" s="47"/>
      <c r="AC547" s="47"/>
    </row>
    <row r="548">
      <c r="A548" s="47"/>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c r="AA548" s="47"/>
      <c r="AB548" s="47"/>
      <c r="AC548" s="47"/>
    </row>
    <row r="549">
      <c r="A549" s="47"/>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c r="AA549" s="47"/>
      <c r="AB549" s="47"/>
      <c r="AC549" s="47"/>
    </row>
    <row r="550">
      <c r="A550" s="47"/>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c r="AA550" s="47"/>
      <c r="AB550" s="47"/>
      <c r="AC550" s="47"/>
    </row>
    <row r="551">
      <c r="A551" s="47"/>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c r="AA551" s="47"/>
      <c r="AB551" s="47"/>
      <c r="AC551" s="47"/>
    </row>
    <row r="552">
      <c r="A552" s="47"/>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c r="AA552" s="47"/>
      <c r="AB552" s="47"/>
      <c r="AC552" s="47"/>
    </row>
    <row r="553">
      <c r="A553" s="47"/>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c r="AA553" s="47"/>
      <c r="AB553" s="47"/>
      <c r="AC553" s="47"/>
    </row>
    <row r="554">
      <c r="A554" s="47"/>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c r="AA554" s="47"/>
      <c r="AB554" s="47"/>
      <c r="AC554" s="47"/>
    </row>
    <row r="555">
      <c r="A555" s="47"/>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c r="AA555" s="47"/>
      <c r="AB555" s="47"/>
      <c r="AC555" s="47"/>
    </row>
    <row r="556">
      <c r="A556" s="47"/>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c r="AA556" s="47"/>
      <c r="AB556" s="47"/>
      <c r="AC556" s="47"/>
    </row>
    <row r="557">
      <c r="A557" s="47"/>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c r="AA557" s="47"/>
      <c r="AB557" s="47"/>
      <c r="AC557" s="47"/>
    </row>
    <row r="558">
      <c r="A558" s="47"/>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c r="AA558" s="47"/>
      <c r="AB558" s="47"/>
      <c r="AC558" s="47"/>
    </row>
    <row r="559">
      <c r="A559" s="47"/>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c r="AA559" s="47"/>
      <c r="AB559" s="47"/>
      <c r="AC559" s="47"/>
    </row>
    <row r="560">
      <c r="A560" s="47"/>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c r="AA560" s="47"/>
      <c r="AB560" s="47"/>
      <c r="AC560" s="47"/>
    </row>
    <row r="561">
      <c r="A561" s="47"/>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c r="AA561" s="47"/>
      <c r="AB561" s="47"/>
      <c r="AC561" s="47"/>
    </row>
    <row r="562">
      <c r="A562" s="47"/>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c r="AA562" s="47"/>
      <c r="AB562" s="47"/>
      <c r="AC562" s="47"/>
    </row>
    <row r="563">
      <c r="A563" s="47"/>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c r="AA563" s="47"/>
      <c r="AB563" s="47"/>
      <c r="AC563" s="47"/>
    </row>
    <row r="564">
      <c r="A564" s="47"/>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c r="AA564" s="47"/>
      <c r="AB564" s="47"/>
      <c r="AC564" s="47"/>
    </row>
    <row r="565">
      <c r="A565" s="47"/>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c r="AA565" s="47"/>
      <c r="AB565" s="47"/>
      <c r="AC565" s="47"/>
    </row>
    <row r="566">
      <c r="A566" s="47"/>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c r="AA566" s="47"/>
      <c r="AB566" s="47"/>
      <c r="AC566" s="47"/>
    </row>
    <row r="567">
      <c r="A567" s="47"/>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c r="AA567" s="47"/>
      <c r="AB567" s="47"/>
      <c r="AC567" s="47"/>
    </row>
    <row r="568">
      <c r="A568" s="47"/>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c r="AA568" s="47"/>
      <c r="AB568" s="47"/>
      <c r="AC568" s="47"/>
    </row>
    <row r="569">
      <c r="A569" s="47"/>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c r="AA569" s="47"/>
      <c r="AB569" s="47"/>
      <c r="AC569" s="47"/>
    </row>
    <row r="570">
      <c r="A570" s="47"/>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c r="AA570" s="47"/>
      <c r="AB570" s="47"/>
      <c r="AC570" s="47"/>
    </row>
    <row r="571">
      <c r="A571" s="47"/>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c r="AA571" s="47"/>
      <c r="AB571" s="47"/>
      <c r="AC571" s="47"/>
    </row>
    <row r="572">
      <c r="A572" s="47"/>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c r="AA572" s="47"/>
      <c r="AB572" s="47"/>
      <c r="AC572" s="47"/>
    </row>
    <row r="573">
      <c r="A573" s="47"/>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c r="AA573" s="47"/>
      <c r="AB573" s="47"/>
      <c r="AC573" s="47"/>
    </row>
    <row r="574">
      <c r="A574" s="47"/>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c r="AA574" s="47"/>
      <c r="AB574" s="47"/>
      <c r="AC574" s="47"/>
    </row>
    <row r="575">
      <c r="A575" s="47"/>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c r="AA575" s="47"/>
      <c r="AB575" s="47"/>
      <c r="AC575" s="47"/>
    </row>
    <row r="576">
      <c r="A576" s="47"/>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c r="AA576" s="47"/>
      <c r="AB576" s="47"/>
      <c r="AC576" s="47"/>
    </row>
    <row r="577">
      <c r="A577" s="47"/>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c r="AA577" s="47"/>
      <c r="AB577" s="47"/>
      <c r="AC577" s="47"/>
    </row>
    <row r="578">
      <c r="A578" s="47"/>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c r="AA578" s="47"/>
      <c r="AB578" s="47"/>
      <c r="AC578" s="47"/>
    </row>
    <row r="579">
      <c r="A579" s="47"/>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c r="AA579" s="47"/>
      <c r="AB579" s="47"/>
      <c r="AC579" s="47"/>
    </row>
    <row r="580">
      <c r="A580" s="47"/>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c r="AA580" s="47"/>
      <c r="AB580" s="47"/>
      <c r="AC580" s="47"/>
    </row>
    <row r="581">
      <c r="A581" s="47"/>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c r="AA581" s="47"/>
      <c r="AB581" s="47"/>
      <c r="AC581" s="47"/>
    </row>
    <row r="582">
      <c r="A582" s="47"/>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c r="AA582" s="47"/>
      <c r="AB582" s="47"/>
      <c r="AC582" s="47"/>
    </row>
    <row r="583">
      <c r="A583" s="47"/>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c r="AA583" s="47"/>
      <c r="AB583" s="47"/>
      <c r="AC583" s="47"/>
    </row>
    <row r="584">
      <c r="A584" s="47"/>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c r="AA584" s="47"/>
      <c r="AB584" s="47"/>
      <c r="AC584" s="47"/>
    </row>
    <row r="585">
      <c r="A585" s="47"/>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c r="AA585" s="47"/>
      <c r="AB585" s="47"/>
      <c r="AC585" s="47"/>
    </row>
    <row r="586">
      <c r="A586" s="47"/>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c r="AA586" s="47"/>
      <c r="AB586" s="47"/>
      <c r="AC586" s="47"/>
    </row>
    <row r="587">
      <c r="A587" s="47"/>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c r="AA587" s="47"/>
      <c r="AB587" s="47"/>
      <c r="AC587" s="47"/>
    </row>
    <row r="588">
      <c r="A588" s="47"/>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c r="AA588" s="47"/>
      <c r="AB588" s="47"/>
      <c r="AC588" s="47"/>
    </row>
    <row r="589">
      <c r="A589" s="47"/>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c r="AA589" s="47"/>
      <c r="AB589" s="47"/>
      <c r="AC589" s="47"/>
    </row>
    <row r="590">
      <c r="A590" s="47"/>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c r="AA590" s="47"/>
      <c r="AB590" s="47"/>
      <c r="AC590" s="47"/>
    </row>
    <row r="591">
      <c r="A591" s="47"/>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c r="AA591" s="47"/>
      <c r="AB591" s="47"/>
      <c r="AC591" s="47"/>
    </row>
    <row r="592">
      <c r="A592" s="47"/>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c r="AA592" s="47"/>
      <c r="AB592" s="47"/>
      <c r="AC592" s="47"/>
    </row>
    <row r="593">
      <c r="A593" s="47"/>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c r="AA593" s="47"/>
      <c r="AB593" s="47"/>
      <c r="AC593" s="47"/>
    </row>
    <row r="594">
      <c r="A594" s="47"/>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c r="AA594" s="47"/>
      <c r="AB594" s="47"/>
      <c r="AC594" s="47"/>
    </row>
    <row r="595">
      <c r="A595" s="47"/>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c r="AA595" s="47"/>
      <c r="AB595" s="47"/>
      <c r="AC595" s="47"/>
    </row>
    <row r="596">
      <c r="A596" s="47"/>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c r="AA596" s="47"/>
      <c r="AB596" s="47"/>
      <c r="AC596" s="47"/>
    </row>
    <row r="597">
      <c r="A597" s="47"/>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c r="AA597" s="47"/>
      <c r="AB597" s="47"/>
      <c r="AC597" s="47"/>
    </row>
    <row r="598">
      <c r="A598" s="47"/>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c r="AA598" s="47"/>
      <c r="AB598" s="47"/>
      <c r="AC598" s="47"/>
    </row>
    <row r="599">
      <c r="A599" s="47"/>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c r="AA599" s="47"/>
      <c r="AB599" s="47"/>
      <c r="AC599" s="47"/>
    </row>
    <row r="600">
      <c r="A600" s="47"/>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c r="AA600" s="47"/>
      <c r="AB600" s="47"/>
      <c r="AC600" s="47"/>
    </row>
    <row r="601">
      <c r="A601" s="4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c r="AA601" s="47"/>
      <c r="AB601" s="47"/>
      <c r="AC601" s="47"/>
    </row>
    <row r="602">
      <c r="A602" s="47"/>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c r="AA602" s="47"/>
      <c r="AB602" s="47"/>
      <c r="AC602" s="47"/>
    </row>
    <row r="603">
      <c r="A603" s="47"/>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c r="AA603" s="47"/>
      <c r="AB603" s="47"/>
      <c r="AC603" s="47"/>
    </row>
    <row r="604">
      <c r="A604" s="47"/>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c r="AA604" s="47"/>
      <c r="AB604" s="47"/>
      <c r="AC604" s="47"/>
    </row>
    <row r="605">
      <c r="A605" s="47"/>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c r="AA605" s="47"/>
      <c r="AB605" s="47"/>
      <c r="AC605" s="47"/>
    </row>
    <row r="606">
      <c r="A606" s="47"/>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c r="AA606" s="47"/>
      <c r="AB606" s="47"/>
      <c r="AC606" s="47"/>
    </row>
    <row r="607">
      <c r="A607" s="47"/>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c r="AA607" s="47"/>
      <c r="AB607" s="47"/>
      <c r="AC607" s="47"/>
    </row>
    <row r="608">
      <c r="A608" s="47"/>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c r="AA608" s="47"/>
      <c r="AB608" s="47"/>
      <c r="AC608" s="47"/>
    </row>
    <row r="609">
      <c r="A609" s="47"/>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c r="AA609" s="47"/>
      <c r="AB609" s="47"/>
      <c r="AC609" s="47"/>
    </row>
    <row r="610">
      <c r="A610" s="47"/>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c r="AA610" s="47"/>
      <c r="AB610" s="47"/>
      <c r="AC610" s="47"/>
    </row>
    <row r="611">
      <c r="A611" s="47"/>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c r="AA611" s="47"/>
      <c r="AB611" s="47"/>
      <c r="AC611" s="47"/>
    </row>
    <row r="612">
      <c r="A612" s="47"/>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c r="AA612" s="47"/>
      <c r="AB612" s="47"/>
      <c r="AC612" s="47"/>
    </row>
    <row r="613">
      <c r="A613" s="47"/>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c r="AA613" s="47"/>
      <c r="AB613" s="47"/>
      <c r="AC613" s="47"/>
    </row>
    <row r="614">
      <c r="A614" s="47"/>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c r="AA614" s="47"/>
      <c r="AB614" s="47"/>
      <c r="AC614" s="47"/>
    </row>
    <row r="615">
      <c r="A615" s="47"/>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c r="AA615" s="47"/>
      <c r="AB615" s="47"/>
      <c r="AC615" s="47"/>
    </row>
    <row r="616">
      <c r="A616" s="47"/>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c r="AA616" s="47"/>
      <c r="AB616" s="47"/>
      <c r="AC616" s="47"/>
    </row>
    <row r="617">
      <c r="A617" s="47"/>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c r="AA617" s="47"/>
      <c r="AB617" s="47"/>
      <c r="AC617" s="47"/>
    </row>
    <row r="618">
      <c r="A618" s="47"/>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c r="AA618" s="47"/>
      <c r="AB618" s="47"/>
      <c r="AC618" s="47"/>
    </row>
    <row r="619">
      <c r="A619" s="47"/>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c r="AA619" s="47"/>
      <c r="AB619" s="47"/>
      <c r="AC619" s="47"/>
    </row>
    <row r="620">
      <c r="A620" s="47"/>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c r="AA620" s="47"/>
      <c r="AB620" s="47"/>
      <c r="AC620" s="47"/>
    </row>
    <row r="621">
      <c r="A621" s="47"/>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c r="AA621" s="47"/>
      <c r="AB621" s="47"/>
      <c r="AC621" s="47"/>
    </row>
    <row r="622">
      <c r="A622" s="47"/>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c r="AA622" s="47"/>
      <c r="AB622" s="47"/>
      <c r="AC622" s="47"/>
    </row>
    <row r="623">
      <c r="A623" s="47"/>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c r="AA623" s="47"/>
      <c r="AB623" s="47"/>
      <c r="AC623" s="47"/>
    </row>
    <row r="624">
      <c r="A624" s="47"/>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c r="AA624" s="47"/>
      <c r="AB624" s="47"/>
      <c r="AC624" s="47"/>
    </row>
    <row r="625">
      <c r="A625" s="47"/>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c r="AA625" s="47"/>
      <c r="AB625" s="47"/>
      <c r="AC625" s="47"/>
    </row>
    <row r="626">
      <c r="A626" s="47"/>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c r="AA626" s="47"/>
      <c r="AB626" s="47"/>
      <c r="AC626" s="47"/>
    </row>
    <row r="627">
      <c r="A627" s="47"/>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c r="AA627" s="47"/>
      <c r="AB627" s="47"/>
      <c r="AC627" s="47"/>
    </row>
    <row r="628">
      <c r="A628" s="47"/>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c r="AA628" s="47"/>
      <c r="AB628" s="47"/>
      <c r="AC628" s="47"/>
    </row>
    <row r="629">
      <c r="A629" s="47"/>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c r="AA629" s="47"/>
      <c r="AB629" s="47"/>
      <c r="AC629" s="47"/>
    </row>
    <row r="630">
      <c r="A630" s="47"/>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c r="AA630" s="47"/>
      <c r="AB630" s="47"/>
      <c r="AC630" s="47"/>
    </row>
    <row r="631">
      <c r="A631" s="47"/>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c r="AA631" s="47"/>
      <c r="AB631" s="47"/>
      <c r="AC631" s="47"/>
    </row>
    <row r="632">
      <c r="A632" s="47"/>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c r="AA632" s="47"/>
      <c r="AB632" s="47"/>
      <c r="AC632" s="47"/>
    </row>
    <row r="633">
      <c r="A633" s="47"/>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c r="AA633" s="47"/>
      <c r="AB633" s="47"/>
      <c r="AC633" s="47"/>
    </row>
    <row r="634">
      <c r="A634" s="47"/>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c r="AA634" s="47"/>
      <c r="AB634" s="47"/>
      <c r="AC634" s="47"/>
    </row>
    <row r="635">
      <c r="A635" s="47"/>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c r="AA635" s="47"/>
      <c r="AB635" s="47"/>
      <c r="AC635" s="47"/>
    </row>
    <row r="636">
      <c r="A636" s="47"/>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c r="AA636" s="47"/>
      <c r="AB636" s="47"/>
      <c r="AC636" s="47"/>
    </row>
    <row r="637">
      <c r="A637" s="47"/>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c r="AA637" s="47"/>
      <c r="AB637" s="47"/>
      <c r="AC637" s="47"/>
    </row>
    <row r="638">
      <c r="A638" s="47"/>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c r="AA638" s="47"/>
      <c r="AB638" s="47"/>
      <c r="AC638" s="47"/>
    </row>
    <row r="639">
      <c r="A639" s="47"/>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c r="AA639" s="47"/>
      <c r="AB639" s="47"/>
      <c r="AC639" s="47"/>
    </row>
    <row r="640">
      <c r="A640" s="47"/>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c r="AA640" s="47"/>
      <c r="AB640" s="47"/>
      <c r="AC640" s="47"/>
    </row>
    <row r="641">
      <c r="A641" s="47"/>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c r="AA641" s="47"/>
      <c r="AB641" s="47"/>
      <c r="AC641" s="47"/>
    </row>
    <row r="642">
      <c r="A642" s="47"/>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c r="AA642" s="47"/>
      <c r="AB642" s="47"/>
      <c r="AC642" s="47"/>
    </row>
    <row r="643">
      <c r="A643" s="47"/>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c r="AA643" s="47"/>
      <c r="AB643" s="47"/>
      <c r="AC643" s="47"/>
    </row>
    <row r="644">
      <c r="A644" s="47"/>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c r="AA644" s="47"/>
      <c r="AB644" s="47"/>
      <c r="AC644" s="47"/>
    </row>
    <row r="645">
      <c r="A645" s="47"/>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c r="AA645" s="47"/>
      <c r="AB645" s="47"/>
      <c r="AC645" s="47"/>
    </row>
    <row r="646">
      <c r="A646" s="47"/>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c r="AA646" s="47"/>
      <c r="AB646" s="47"/>
      <c r="AC646" s="47"/>
    </row>
    <row r="647">
      <c r="A647" s="47"/>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c r="AA647" s="47"/>
      <c r="AB647" s="47"/>
      <c r="AC647" s="47"/>
    </row>
    <row r="648">
      <c r="A648" s="47"/>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c r="AA648" s="47"/>
      <c r="AB648" s="47"/>
      <c r="AC648" s="47"/>
    </row>
    <row r="649">
      <c r="A649" s="47"/>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c r="AA649" s="47"/>
      <c r="AB649" s="47"/>
      <c r="AC649" s="47"/>
    </row>
    <row r="650">
      <c r="A650" s="47"/>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c r="AA650" s="47"/>
      <c r="AB650" s="47"/>
      <c r="AC650" s="47"/>
    </row>
    <row r="651">
      <c r="A651" s="47"/>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c r="AA651" s="47"/>
      <c r="AB651" s="47"/>
      <c r="AC651" s="47"/>
    </row>
    <row r="652">
      <c r="A652" s="47"/>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c r="AA652" s="47"/>
      <c r="AB652" s="47"/>
      <c r="AC652" s="47"/>
    </row>
    <row r="653">
      <c r="A653" s="47"/>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c r="AA653" s="47"/>
      <c r="AB653" s="47"/>
      <c r="AC653" s="47"/>
    </row>
    <row r="654">
      <c r="A654" s="47"/>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c r="AA654" s="47"/>
      <c r="AB654" s="47"/>
      <c r="AC654" s="47"/>
    </row>
    <row r="655">
      <c r="A655" s="47"/>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c r="AA655" s="47"/>
      <c r="AB655" s="47"/>
      <c r="AC655" s="47"/>
    </row>
    <row r="656">
      <c r="A656" s="47"/>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c r="AA656" s="47"/>
      <c r="AB656" s="47"/>
      <c r="AC656" s="47"/>
    </row>
    <row r="657">
      <c r="A657" s="47"/>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c r="AA657" s="47"/>
      <c r="AB657" s="47"/>
      <c r="AC657" s="47"/>
    </row>
    <row r="658">
      <c r="A658" s="47"/>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c r="AA658" s="47"/>
      <c r="AB658" s="47"/>
      <c r="AC658" s="47"/>
    </row>
    <row r="659">
      <c r="A659" s="47"/>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c r="AA659" s="47"/>
      <c r="AB659" s="47"/>
      <c r="AC659" s="47"/>
    </row>
    <row r="660">
      <c r="A660" s="47"/>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c r="AA660" s="47"/>
      <c r="AB660" s="47"/>
      <c r="AC660" s="47"/>
    </row>
    <row r="661">
      <c r="A661" s="47"/>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c r="AA661" s="47"/>
      <c r="AB661" s="47"/>
      <c r="AC661" s="47"/>
    </row>
    <row r="662">
      <c r="A662" s="47"/>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c r="AA662" s="47"/>
      <c r="AB662" s="47"/>
      <c r="AC662" s="47"/>
    </row>
    <row r="663">
      <c r="A663" s="47"/>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c r="AA663" s="47"/>
      <c r="AB663" s="47"/>
      <c r="AC663" s="47"/>
    </row>
    <row r="664">
      <c r="A664" s="47"/>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c r="AA664" s="47"/>
      <c r="AB664" s="47"/>
      <c r="AC664" s="47"/>
    </row>
    <row r="665">
      <c r="A665" s="47"/>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c r="AA665" s="47"/>
      <c r="AB665" s="47"/>
      <c r="AC665" s="47"/>
    </row>
    <row r="666">
      <c r="A666" s="47"/>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c r="AA666" s="47"/>
      <c r="AB666" s="47"/>
      <c r="AC666" s="47"/>
    </row>
    <row r="667">
      <c r="A667" s="47"/>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c r="AA667" s="47"/>
      <c r="AB667" s="47"/>
      <c r="AC667" s="47"/>
    </row>
    <row r="668">
      <c r="A668" s="47"/>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c r="AA668" s="47"/>
      <c r="AB668" s="47"/>
      <c r="AC668" s="47"/>
    </row>
    <row r="669">
      <c r="A669" s="47"/>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c r="AA669" s="47"/>
      <c r="AB669" s="47"/>
      <c r="AC669" s="47"/>
    </row>
    <row r="670">
      <c r="A670" s="47"/>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c r="AA670" s="47"/>
      <c r="AB670" s="47"/>
      <c r="AC670" s="47"/>
    </row>
    <row r="671">
      <c r="A671" s="47"/>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c r="AA671" s="47"/>
      <c r="AB671" s="47"/>
      <c r="AC671" s="47"/>
    </row>
    <row r="672">
      <c r="A672" s="47"/>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c r="AA672" s="47"/>
      <c r="AB672" s="47"/>
      <c r="AC672" s="47"/>
    </row>
    <row r="673">
      <c r="A673" s="47"/>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c r="AA673" s="47"/>
      <c r="AB673" s="47"/>
      <c r="AC673" s="47"/>
    </row>
    <row r="674">
      <c r="A674" s="47"/>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c r="AA674" s="47"/>
      <c r="AB674" s="47"/>
      <c r="AC674" s="47"/>
    </row>
    <row r="675">
      <c r="A675" s="47"/>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c r="AA675" s="47"/>
      <c r="AB675" s="47"/>
      <c r="AC675" s="47"/>
    </row>
    <row r="676">
      <c r="A676" s="4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c r="AA676" s="47"/>
      <c r="AB676" s="47"/>
      <c r="AC676" s="47"/>
    </row>
    <row r="677">
      <c r="A677" s="47"/>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c r="AA677" s="47"/>
      <c r="AB677" s="47"/>
      <c r="AC677" s="47"/>
    </row>
    <row r="678">
      <c r="A678" s="47"/>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c r="AA678" s="47"/>
      <c r="AB678" s="47"/>
      <c r="AC678" s="47"/>
    </row>
    <row r="679">
      <c r="A679" s="47"/>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c r="AA679" s="47"/>
      <c r="AB679" s="47"/>
      <c r="AC679" s="47"/>
    </row>
    <row r="680">
      <c r="A680" s="47"/>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c r="AA680" s="47"/>
      <c r="AB680" s="47"/>
      <c r="AC680" s="47"/>
    </row>
    <row r="681">
      <c r="A681" s="47"/>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c r="AA681" s="47"/>
      <c r="AB681" s="47"/>
      <c r="AC681" s="47"/>
    </row>
    <row r="682">
      <c r="A682" s="47"/>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c r="AA682" s="47"/>
      <c r="AB682" s="47"/>
      <c r="AC682" s="47"/>
    </row>
    <row r="683">
      <c r="A683" s="47"/>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c r="AA683" s="47"/>
      <c r="AB683" s="47"/>
      <c r="AC683" s="47"/>
    </row>
    <row r="684">
      <c r="A684" s="47"/>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c r="AA684" s="47"/>
      <c r="AB684" s="47"/>
      <c r="AC684" s="47"/>
    </row>
    <row r="685">
      <c r="A685" s="47"/>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c r="AA685" s="47"/>
      <c r="AB685" s="47"/>
      <c r="AC685" s="47"/>
    </row>
    <row r="686">
      <c r="A686" s="47"/>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c r="AA686" s="47"/>
      <c r="AB686" s="47"/>
      <c r="AC686" s="47"/>
    </row>
    <row r="687">
      <c r="A687" s="47"/>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c r="AA687" s="47"/>
      <c r="AB687" s="47"/>
      <c r="AC687" s="47"/>
    </row>
    <row r="688">
      <c r="A688" s="47"/>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c r="AA688" s="47"/>
      <c r="AB688" s="47"/>
      <c r="AC688" s="47"/>
    </row>
    <row r="689">
      <c r="A689" s="47"/>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c r="AA689" s="47"/>
      <c r="AB689" s="47"/>
      <c r="AC689" s="47"/>
    </row>
    <row r="690">
      <c r="A690" s="47"/>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c r="AA690" s="47"/>
      <c r="AB690" s="47"/>
      <c r="AC690" s="47"/>
    </row>
    <row r="691">
      <c r="A691" s="47"/>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c r="AA691" s="47"/>
      <c r="AB691" s="47"/>
      <c r="AC691" s="47"/>
    </row>
    <row r="692">
      <c r="A692" s="47"/>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c r="AA692" s="47"/>
      <c r="AB692" s="47"/>
      <c r="AC692" s="47"/>
    </row>
    <row r="693">
      <c r="A693" s="47"/>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c r="AA693" s="47"/>
      <c r="AB693" s="47"/>
      <c r="AC693" s="47"/>
    </row>
    <row r="694">
      <c r="A694" s="47"/>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c r="AA694" s="47"/>
      <c r="AB694" s="47"/>
      <c r="AC694" s="47"/>
    </row>
    <row r="695">
      <c r="A695" s="47"/>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c r="AA695" s="47"/>
      <c r="AB695" s="47"/>
      <c r="AC695" s="47"/>
    </row>
    <row r="696">
      <c r="A696" s="47"/>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c r="AA696" s="47"/>
      <c r="AB696" s="47"/>
      <c r="AC696" s="47"/>
    </row>
    <row r="697">
      <c r="A697" s="47"/>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c r="AA697" s="47"/>
      <c r="AB697" s="47"/>
      <c r="AC697" s="47"/>
    </row>
    <row r="698">
      <c r="A698" s="47"/>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c r="AA698" s="47"/>
      <c r="AB698" s="47"/>
      <c r="AC698" s="47"/>
    </row>
    <row r="699">
      <c r="A699" s="47"/>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c r="AA699" s="47"/>
      <c r="AB699" s="47"/>
      <c r="AC699" s="47"/>
    </row>
    <row r="700">
      <c r="A700" s="47"/>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c r="AA700" s="47"/>
      <c r="AB700" s="47"/>
      <c r="AC700" s="47"/>
    </row>
    <row r="701">
      <c r="A701" s="47"/>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c r="AA701" s="47"/>
      <c r="AB701" s="47"/>
      <c r="AC701" s="47"/>
    </row>
    <row r="702">
      <c r="A702" s="47"/>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c r="AA702" s="47"/>
      <c r="AB702" s="47"/>
      <c r="AC702" s="47"/>
    </row>
    <row r="703">
      <c r="A703" s="47"/>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c r="AA703" s="47"/>
      <c r="AB703" s="47"/>
      <c r="AC703" s="47"/>
    </row>
    <row r="704">
      <c r="A704" s="47"/>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c r="AA704" s="47"/>
      <c r="AB704" s="47"/>
      <c r="AC704" s="47"/>
    </row>
    <row r="705">
      <c r="A705" s="47"/>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c r="AA705" s="47"/>
      <c r="AB705" s="47"/>
      <c r="AC705" s="47"/>
    </row>
    <row r="706">
      <c r="A706" s="47"/>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c r="AA706" s="47"/>
      <c r="AB706" s="47"/>
      <c r="AC706" s="47"/>
    </row>
    <row r="707">
      <c r="A707" s="47"/>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c r="AA707" s="47"/>
      <c r="AB707" s="47"/>
      <c r="AC707" s="47"/>
    </row>
    <row r="708">
      <c r="A708" s="47"/>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c r="AA708" s="47"/>
      <c r="AB708" s="47"/>
      <c r="AC708" s="47"/>
    </row>
    <row r="709">
      <c r="A709" s="4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c r="AA709" s="47"/>
      <c r="AB709" s="47"/>
      <c r="AC709" s="47"/>
    </row>
    <row r="710">
      <c r="A710" s="47"/>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c r="AA710" s="47"/>
      <c r="AB710" s="47"/>
      <c r="AC710" s="47"/>
    </row>
    <row r="711">
      <c r="A711" s="47"/>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c r="AA711" s="47"/>
      <c r="AB711" s="47"/>
      <c r="AC711" s="47"/>
    </row>
    <row r="712">
      <c r="A712" s="47"/>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c r="AA712" s="47"/>
      <c r="AB712" s="47"/>
      <c r="AC712" s="47"/>
    </row>
    <row r="713">
      <c r="A713" s="47"/>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c r="AA713" s="47"/>
      <c r="AB713" s="47"/>
      <c r="AC713" s="47"/>
    </row>
    <row r="714">
      <c r="A714" s="47"/>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c r="AA714" s="47"/>
      <c r="AB714" s="47"/>
      <c r="AC714" s="47"/>
    </row>
    <row r="715">
      <c r="A715" s="47"/>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c r="AA715" s="47"/>
      <c r="AB715" s="47"/>
      <c r="AC715" s="47"/>
    </row>
    <row r="716">
      <c r="A716" s="47"/>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c r="AA716" s="47"/>
      <c r="AB716" s="47"/>
      <c r="AC716" s="47"/>
    </row>
    <row r="717">
      <c r="A717" s="47"/>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c r="AA717" s="47"/>
      <c r="AB717" s="47"/>
      <c r="AC717" s="47"/>
    </row>
    <row r="718">
      <c r="A718" s="47"/>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c r="AA718" s="47"/>
      <c r="AB718" s="47"/>
      <c r="AC718" s="47"/>
    </row>
    <row r="719">
      <c r="A719" s="47"/>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c r="AA719" s="47"/>
      <c r="AB719" s="47"/>
      <c r="AC719" s="47"/>
    </row>
    <row r="720">
      <c r="A720" s="47"/>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c r="AA720" s="47"/>
      <c r="AB720" s="47"/>
      <c r="AC720" s="47"/>
    </row>
    <row r="721">
      <c r="A721" s="47"/>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c r="AA721" s="47"/>
      <c r="AB721" s="47"/>
      <c r="AC721" s="47"/>
    </row>
    <row r="722">
      <c r="A722" s="47"/>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c r="AA722" s="47"/>
      <c r="AB722" s="47"/>
      <c r="AC722" s="47"/>
    </row>
    <row r="723">
      <c r="A723" s="47"/>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c r="AA723" s="47"/>
      <c r="AB723" s="47"/>
      <c r="AC723" s="47"/>
    </row>
    <row r="724">
      <c r="A724" s="47"/>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c r="AA724" s="47"/>
      <c r="AB724" s="47"/>
      <c r="AC724" s="47"/>
    </row>
    <row r="725">
      <c r="A725" s="47"/>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c r="AA725" s="47"/>
      <c r="AB725" s="47"/>
      <c r="AC725" s="47"/>
    </row>
    <row r="726">
      <c r="A726" s="47"/>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c r="AA726" s="47"/>
      <c r="AB726" s="47"/>
      <c r="AC726" s="47"/>
    </row>
    <row r="727">
      <c r="A727" s="47"/>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c r="AA727" s="47"/>
      <c r="AB727" s="47"/>
      <c r="AC727" s="47"/>
    </row>
    <row r="728">
      <c r="A728" s="47"/>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c r="AA728" s="47"/>
      <c r="AB728" s="47"/>
      <c r="AC728" s="47"/>
    </row>
    <row r="729">
      <c r="A729" s="47"/>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c r="AA729" s="47"/>
      <c r="AB729" s="47"/>
      <c r="AC729" s="47"/>
    </row>
    <row r="730">
      <c r="A730" s="47"/>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c r="AA730" s="47"/>
      <c r="AB730" s="47"/>
      <c r="AC730" s="47"/>
    </row>
    <row r="731">
      <c r="A731" s="47"/>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c r="AA731" s="47"/>
      <c r="AB731" s="47"/>
      <c r="AC731" s="47"/>
    </row>
    <row r="732">
      <c r="A732" s="47"/>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c r="AA732" s="47"/>
      <c r="AB732" s="47"/>
      <c r="AC732" s="47"/>
    </row>
    <row r="733">
      <c r="A733" s="47"/>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c r="AA733" s="47"/>
      <c r="AB733" s="47"/>
      <c r="AC733" s="47"/>
    </row>
    <row r="734">
      <c r="A734" s="47"/>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c r="AA734" s="47"/>
      <c r="AB734" s="47"/>
      <c r="AC734" s="47"/>
    </row>
    <row r="735">
      <c r="A735" s="47"/>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c r="AA735" s="47"/>
      <c r="AB735" s="47"/>
      <c r="AC735" s="47"/>
    </row>
    <row r="736">
      <c r="A736" s="47"/>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c r="AA736" s="47"/>
      <c r="AB736" s="47"/>
      <c r="AC736" s="47"/>
    </row>
    <row r="737">
      <c r="A737" s="47"/>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c r="AA737" s="47"/>
      <c r="AB737" s="47"/>
      <c r="AC737" s="47"/>
    </row>
    <row r="738">
      <c r="A738" s="47"/>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c r="AA738" s="47"/>
      <c r="AB738" s="47"/>
      <c r="AC738" s="47"/>
    </row>
    <row r="739">
      <c r="A739" s="47"/>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c r="AA739" s="47"/>
      <c r="AB739" s="47"/>
      <c r="AC739" s="47"/>
    </row>
    <row r="740">
      <c r="A740" s="47"/>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c r="AA740" s="47"/>
      <c r="AB740" s="47"/>
      <c r="AC740" s="47"/>
    </row>
    <row r="741">
      <c r="A741" s="47"/>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c r="AA741" s="47"/>
      <c r="AB741" s="47"/>
      <c r="AC741" s="47"/>
    </row>
    <row r="742">
      <c r="A742" s="4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c r="AA742" s="47"/>
      <c r="AB742" s="47"/>
      <c r="AC742" s="47"/>
    </row>
    <row r="743">
      <c r="A743" s="47"/>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c r="AA743" s="47"/>
      <c r="AB743" s="47"/>
      <c r="AC743" s="47"/>
    </row>
    <row r="744">
      <c r="A744" s="47"/>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c r="AA744" s="47"/>
      <c r="AB744" s="47"/>
      <c r="AC744" s="47"/>
    </row>
    <row r="745">
      <c r="A745" s="47"/>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c r="AA745" s="47"/>
      <c r="AB745" s="47"/>
      <c r="AC745" s="47"/>
    </row>
    <row r="746">
      <c r="A746" s="47"/>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c r="AA746" s="47"/>
      <c r="AB746" s="47"/>
      <c r="AC746" s="47"/>
    </row>
    <row r="747">
      <c r="A747" s="47"/>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c r="AA747" s="47"/>
      <c r="AB747" s="47"/>
      <c r="AC747" s="47"/>
    </row>
    <row r="748">
      <c r="A748" s="47"/>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c r="AA748" s="47"/>
      <c r="AB748" s="47"/>
      <c r="AC748" s="47"/>
    </row>
    <row r="749">
      <c r="A749" s="47"/>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c r="AA749" s="47"/>
      <c r="AB749" s="47"/>
      <c r="AC749" s="47"/>
    </row>
    <row r="750">
      <c r="A750" s="47"/>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c r="AA750" s="47"/>
      <c r="AB750" s="47"/>
      <c r="AC750" s="47"/>
    </row>
    <row r="751">
      <c r="A751" s="47"/>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c r="AA751" s="47"/>
      <c r="AB751" s="47"/>
      <c r="AC751" s="47"/>
    </row>
    <row r="752">
      <c r="A752" s="47"/>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c r="AA752" s="47"/>
      <c r="AB752" s="47"/>
      <c r="AC752" s="47"/>
    </row>
    <row r="753">
      <c r="A753" s="47"/>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c r="AA753" s="47"/>
      <c r="AB753" s="47"/>
      <c r="AC753" s="47"/>
    </row>
    <row r="754">
      <c r="A754" s="47"/>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c r="AA754" s="47"/>
      <c r="AB754" s="47"/>
      <c r="AC754" s="47"/>
    </row>
    <row r="755">
      <c r="A755" s="47"/>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c r="AA755" s="47"/>
      <c r="AB755" s="47"/>
      <c r="AC755" s="47"/>
    </row>
    <row r="756">
      <c r="A756" s="47"/>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c r="AA756" s="47"/>
      <c r="AB756" s="47"/>
      <c r="AC756" s="47"/>
    </row>
    <row r="757">
      <c r="A757" s="47"/>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c r="AA757" s="47"/>
      <c r="AB757" s="47"/>
      <c r="AC757" s="47"/>
    </row>
    <row r="758">
      <c r="A758" s="47"/>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c r="AA758" s="47"/>
      <c r="AB758" s="47"/>
      <c r="AC758" s="47"/>
    </row>
    <row r="759">
      <c r="A759" s="47"/>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c r="AA759" s="47"/>
      <c r="AB759" s="47"/>
      <c r="AC759" s="47"/>
    </row>
    <row r="760">
      <c r="A760" s="47"/>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c r="AA760" s="47"/>
      <c r="AB760" s="47"/>
      <c r="AC760" s="47"/>
    </row>
    <row r="761">
      <c r="A761" s="47"/>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c r="AA761" s="47"/>
      <c r="AB761" s="47"/>
      <c r="AC761" s="47"/>
    </row>
    <row r="762">
      <c r="A762" s="4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c r="AA762" s="47"/>
      <c r="AB762" s="47"/>
      <c r="AC762" s="47"/>
    </row>
    <row r="763">
      <c r="A763" s="47"/>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c r="AA763" s="47"/>
      <c r="AB763" s="47"/>
      <c r="AC763" s="47"/>
    </row>
    <row r="764">
      <c r="A764" s="47"/>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c r="AA764" s="47"/>
      <c r="AB764" s="47"/>
      <c r="AC764" s="47"/>
    </row>
    <row r="765">
      <c r="A765" s="47"/>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c r="AA765" s="47"/>
      <c r="AB765" s="47"/>
      <c r="AC765" s="47"/>
    </row>
    <row r="766">
      <c r="A766" s="47"/>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c r="AA766" s="47"/>
      <c r="AB766" s="47"/>
      <c r="AC766" s="47"/>
    </row>
    <row r="767">
      <c r="A767" s="47"/>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c r="AA767" s="47"/>
      <c r="AB767" s="47"/>
      <c r="AC767" s="47"/>
    </row>
    <row r="768">
      <c r="A768" s="47"/>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c r="AA768" s="47"/>
      <c r="AB768" s="47"/>
      <c r="AC768" s="47"/>
    </row>
    <row r="769">
      <c r="A769" s="47"/>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c r="AA769" s="47"/>
      <c r="AB769" s="47"/>
      <c r="AC769" s="47"/>
    </row>
    <row r="770">
      <c r="A770" s="47"/>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c r="AA770" s="47"/>
      <c r="AB770" s="47"/>
      <c r="AC770" s="47"/>
    </row>
    <row r="771">
      <c r="A771" s="47"/>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c r="AA771" s="47"/>
      <c r="AB771" s="47"/>
      <c r="AC771" s="47"/>
    </row>
    <row r="772">
      <c r="A772" s="47"/>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c r="AA772" s="47"/>
      <c r="AB772" s="47"/>
      <c r="AC772" s="47"/>
    </row>
    <row r="773">
      <c r="A773" s="47"/>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c r="AA773" s="47"/>
      <c r="AB773" s="47"/>
      <c r="AC773" s="47"/>
    </row>
    <row r="774">
      <c r="A774" s="47"/>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c r="AA774" s="47"/>
      <c r="AB774" s="47"/>
      <c r="AC774" s="47"/>
    </row>
    <row r="775">
      <c r="A775" s="47"/>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c r="AA775" s="47"/>
      <c r="AB775" s="47"/>
      <c r="AC775" s="47"/>
    </row>
    <row r="776">
      <c r="A776" s="47"/>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c r="AA776" s="47"/>
      <c r="AB776" s="47"/>
      <c r="AC776" s="47"/>
    </row>
    <row r="777">
      <c r="A777" s="47"/>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c r="AA777" s="47"/>
      <c r="AB777" s="47"/>
      <c r="AC777" s="47"/>
    </row>
    <row r="778">
      <c r="A778" s="47"/>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c r="AA778" s="47"/>
      <c r="AB778" s="47"/>
      <c r="AC778" s="47"/>
    </row>
    <row r="779">
      <c r="A779" s="47"/>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c r="AA779" s="47"/>
      <c r="AB779" s="47"/>
      <c r="AC779" s="47"/>
    </row>
    <row r="780">
      <c r="A780" s="47"/>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c r="AA780" s="47"/>
      <c r="AB780" s="47"/>
      <c r="AC780" s="47"/>
    </row>
    <row r="781">
      <c r="A781" s="47"/>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c r="AA781" s="47"/>
      <c r="AB781" s="47"/>
      <c r="AC781" s="47"/>
    </row>
    <row r="782">
      <c r="A782" s="47"/>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c r="AA782" s="47"/>
      <c r="AB782" s="47"/>
      <c r="AC782" s="47"/>
    </row>
    <row r="783">
      <c r="A783" s="47"/>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c r="AA783" s="47"/>
      <c r="AB783" s="47"/>
      <c r="AC783" s="47"/>
    </row>
    <row r="784">
      <c r="A784" s="47"/>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c r="AA784" s="47"/>
      <c r="AB784" s="47"/>
      <c r="AC784" s="47"/>
    </row>
    <row r="785">
      <c r="A785" s="47"/>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c r="AA785" s="47"/>
      <c r="AB785" s="47"/>
      <c r="AC785" s="47"/>
    </row>
    <row r="786">
      <c r="A786" s="47"/>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c r="AA786" s="47"/>
      <c r="AB786" s="47"/>
      <c r="AC786" s="47"/>
    </row>
    <row r="787">
      <c r="A787" s="47"/>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c r="AA787" s="47"/>
      <c r="AB787" s="47"/>
      <c r="AC787" s="47"/>
    </row>
    <row r="788">
      <c r="A788" s="47"/>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c r="AA788" s="47"/>
      <c r="AB788" s="47"/>
      <c r="AC788" s="47"/>
    </row>
    <row r="789">
      <c r="A789" s="47"/>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c r="AA789" s="47"/>
      <c r="AB789" s="47"/>
      <c r="AC789" s="47"/>
    </row>
    <row r="790">
      <c r="A790" s="47"/>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c r="AA790" s="47"/>
      <c r="AB790" s="47"/>
      <c r="AC790" s="47"/>
    </row>
    <row r="791">
      <c r="A791" s="47"/>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c r="AA791" s="47"/>
      <c r="AB791" s="47"/>
      <c r="AC791" s="47"/>
    </row>
    <row r="792">
      <c r="A792" s="47"/>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c r="AA792" s="47"/>
      <c r="AB792" s="47"/>
      <c r="AC792" s="47"/>
    </row>
    <row r="793">
      <c r="A793" s="47"/>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c r="AA793" s="47"/>
      <c r="AB793" s="47"/>
      <c r="AC793" s="47"/>
    </row>
    <row r="794">
      <c r="A794" s="47"/>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c r="AA794" s="47"/>
      <c r="AB794" s="47"/>
      <c r="AC794" s="47"/>
    </row>
    <row r="795">
      <c r="A795" s="47"/>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c r="AA795" s="47"/>
      <c r="AB795" s="47"/>
      <c r="AC795" s="47"/>
    </row>
    <row r="796">
      <c r="A796" s="47"/>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c r="AA796" s="47"/>
      <c r="AB796" s="47"/>
      <c r="AC796" s="47"/>
    </row>
    <row r="797">
      <c r="A797" s="47"/>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c r="AA797" s="47"/>
      <c r="AB797" s="47"/>
      <c r="AC797" s="47"/>
    </row>
    <row r="798">
      <c r="A798" s="47"/>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c r="AA798" s="47"/>
      <c r="AB798" s="47"/>
      <c r="AC798" s="47"/>
    </row>
    <row r="799">
      <c r="A799" s="47"/>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c r="AA799" s="47"/>
      <c r="AB799" s="47"/>
      <c r="AC799" s="47"/>
    </row>
    <row r="800">
      <c r="A800" s="47"/>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c r="AA800" s="47"/>
      <c r="AB800" s="47"/>
      <c r="AC800" s="47"/>
    </row>
    <row r="801">
      <c r="A801" s="47"/>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c r="AA801" s="47"/>
      <c r="AB801" s="47"/>
      <c r="AC801" s="47"/>
    </row>
    <row r="802">
      <c r="A802" s="4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c r="AA802" s="47"/>
      <c r="AB802" s="47"/>
      <c r="AC802" s="47"/>
    </row>
    <row r="803">
      <c r="A803" s="47"/>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c r="AA803" s="47"/>
      <c r="AB803" s="47"/>
      <c r="AC803" s="47"/>
    </row>
    <row r="804">
      <c r="A804" s="47"/>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c r="AA804" s="47"/>
      <c r="AB804" s="47"/>
      <c r="AC804" s="47"/>
    </row>
    <row r="805">
      <c r="A805" s="47"/>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c r="AA805" s="47"/>
      <c r="AB805" s="47"/>
      <c r="AC805" s="47"/>
    </row>
    <row r="806">
      <c r="A806" s="47"/>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c r="AA806" s="47"/>
      <c r="AB806" s="47"/>
      <c r="AC806" s="47"/>
    </row>
    <row r="807">
      <c r="A807" s="47"/>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c r="AA807" s="47"/>
      <c r="AB807" s="47"/>
      <c r="AC807" s="47"/>
    </row>
    <row r="808">
      <c r="A808" s="47"/>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c r="AA808" s="47"/>
      <c r="AB808" s="47"/>
      <c r="AC808" s="47"/>
    </row>
    <row r="809">
      <c r="A809" s="47"/>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c r="AA809" s="47"/>
      <c r="AB809" s="47"/>
      <c r="AC809" s="47"/>
    </row>
    <row r="810">
      <c r="A810" s="47"/>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c r="AA810" s="47"/>
      <c r="AB810" s="47"/>
      <c r="AC810" s="47"/>
    </row>
    <row r="811">
      <c r="A811" s="47"/>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c r="AA811" s="47"/>
      <c r="AB811" s="47"/>
      <c r="AC811" s="47"/>
    </row>
    <row r="812">
      <c r="A812" s="47"/>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c r="AA812" s="47"/>
      <c r="AB812" s="47"/>
      <c r="AC812" s="47"/>
    </row>
    <row r="813">
      <c r="A813" s="47"/>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c r="AA813" s="47"/>
      <c r="AB813" s="47"/>
      <c r="AC813" s="47"/>
    </row>
    <row r="814">
      <c r="A814" s="47"/>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c r="AA814" s="47"/>
      <c r="AB814" s="47"/>
      <c r="AC814" s="47"/>
    </row>
    <row r="815">
      <c r="A815" s="47"/>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c r="AA815" s="47"/>
      <c r="AB815" s="47"/>
      <c r="AC815" s="47"/>
    </row>
    <row r="816">
      <c r="A816" s="47"/>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c r="AA816" s="47"/>
      <c r="AB816" s="47"/>
      <c r="AC816" s="47"/>
    </row>
    <row r="817">
      <c r="A817" s="47"/>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c r="AA817" s="47"/>
      <c r="AB817" s="47"/>
      <c r="AC817" s="47"/>
    </row>
    <row r="818">
      <c r="A818" s="47"/>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c r="AA818" s="47"/>
      <c r="AB818" s="47"/>
      <c r="AC818" s="47"/>
    </row>
    <row r="819">
      <c r="A819" s="47"/>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c r="AA819" s="47"/>
      <c r="AB819" s="47"/>
      <c r="AC819" s="47"/>
    </row>
    <row r="820">
      <c r="A820" s="47"/>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c r="AA820" s="47"/>
      <c r="AB820" s="47"/>
      <c r="AC820" s="47"/>
    </row>
    <row r="821">
      <c r="A821" s="47"/>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c r="AA821" s="47"/>
      <c r="AB821" s="47"/>
      <c r="AC821" s="47"/>
    </row>
    <row r="822">
      <c r="A822" s="47"/>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c r="AA822" s="47"/>
      <c r="AB822" s="47"/>
      <c r="AC822" s="47"/>
    </row>
    <row r="823">
      <c r="A823" s="47"/>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c r="AA823" s="47"/>
      <c r="AB823" s="47"/>
      <c r="AC823" s="47"/>
    </row>
    <row r="824">
      <c r="A824" s="47"/>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c r="AA824" s="47"/>
      <c r="AB824" s="47"/>
      <c r="AC824" s="47"/>
    </row>
    <row r="825">
      <c r="A825" s="47"/>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c r="AA825" s="47"/>
      <c r="AB825" s="47"/>
      <c r="AC825" s="47"/>
    </row>
    <row r="826">
      <c r="A826" s="47"/>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c r="AA826" s="47"/>
      <c r="AB826" s="47"/>
      <c r="AC826" s="47"/>
    </row>
    <row r="827">
      <c r="A827" s="47"/>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c r="AA827" s="47"/>
      <c r="AB827" s="47"/>
      <c r="AC827" s="47"/>
    </row>
    <row r="828">
      <c r="A828" s="47"/>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c r="AA828" s="47"/>
      <c r="AB828" s="47"/>
      <c r="AC828" s="47"/>
    </row>
    <row r="829">
      <c r="A829" s="47"/>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c r="AA829" s="47"/>
      <c r="AB829" s="47"/>
      <c r="AC829" s="47"/>
    </row>
    <row r="830">
      <c r="A830" s="47"/>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c r="AA830" s="47"/>
      <c r="AB830" s="47"/>
      <c r="AC830" s="47"/>
    </row>
    <row r="831">
      <c r="A831" s="47"/>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c r="AA831" s="47"/>
      <c r="AB831" s="47"/>
      <c r="AC831" s="47"/>
    </row>
    <row r="832">
      <c r="A832" s="47"/>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c r="AA832" s="47"/>
      <c r="AB832" s="47"/>
      <c r="AC832" s="47"/>
    </row>
    <row r="833">
      <c r="A833" s="47"/>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c r="AA833" s="47"/>
      <c r="AB833" s="47"/>
      <c r="AC833" s="47"/>
    </row>
    <row r="834">
      <c r="A834" s="47"/>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c r="AA834" s="47"/>
      <c r="AB834" s="47"/>
      <c r="AC834" s="47"/>
    </row>
    <row r="835">
      <c r="A835" s="47"/>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c r="AA835" s="47"/>
      <c r="AB835" s="47"/>
      <c r="AC835" s="47"/>
    </row>
    <row r="836">
      <c r="A836" s="47"/>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c r="AA836" s="47"/>
      <c r="AB836" s="47"/>
      <c r="AC836" s="47"/>
    </row>
    <row r="837">
      <c r="A837" s="47"/>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c r="AA837" s="47"/>
      <c r="AB837" s="47"/>
      <c r="AC837" s="47"/>
    </row>
    <row r="838">
      <c r="A838" s="47"/>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c r="AA838" s="47"/>
      <c r="AB838" s="47"/>
      <c r="AC838" s="47"/>
    </row>
    <row r="839">
      <c r="A839" s="47"/>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c r="AA839" s="47"/>
      <c r="AB839" s="47"/>
      <c r="AC839" s="47"/>
    </row>
    <row r="840">
      <c r="A840" s="47"/>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c r="AA840" s="47"/>
      <c r="AB840" s="47"/>
      <c r="AC840" s="47"/>
    </row>
    <row r="841">
      <c r="A841" s="47"/>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c r="AA841" s="47"/>
      <c r="AB841" s="47"/>
      <c r="AC841" s="47"/>
    </row>
    <row r="842">
      <c r="A842" s="47"/>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c r="AA842" s="47"/>
      <c r="AB842" s="47"/>
      <c r="AC842" s="47"/>
    </row>
    <row r="843">
      <c r="A843" s="47"/>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c r="AA843" s="47"/>
      <c r="AB843" s="47"/>
      <c r="AC843" s="47"/>
    </row>
    <row r="844">
      <c r="A844" s="47"/>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c r="AA844" s="47"/>
      <c r="AB844" s="47"/>
      <c r="AC844" s="47"/>
    </row>
    <row r="845">
      <c r="A845" s="47"/>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c r="AA845" s="47"/>
      <c r="AB845" s="47"/>
      <c r="AC845" s="47"/>
    </row>
    <row r="846">
      <c r="A846" s="47"/>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c r="AA846" s="47"/>
      <c r="AB846" s="47"/>
      <c r="AC846" s="47"/>
    </row>
    <row r="847">
      <c r="A847" s="47"/>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c r="AA847" s="47"/>
      <c r="AB847" s="47"/>
      <c r="AC847" s="47"/>
    </row>
    <row r="848">
      <c r="A848" s="47"/>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c r="AA848" s="47"/>
      <c r="AB848" s="47"/>
      <c r="AC848" s="47"/>
    </row>
    <row r="849">
      <c r="A849" s="47"/>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c r="AA849" s="47"/>
      <c r="AB849" s="47"/>
      <c r="AC849" s="47"/>
    </row>
    <row r="850">
      <c r="A850" s="47"/>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c r="AA850" s="47"/>
      <c r="AB850" s="47"/>
      <c r="AC850" s="47"/>
    </row>
    <row r="851">
      <c r="A851" s="47"/>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c r="AA851" s="47"/>
      <c r="AB851" s="47"/>
      <c r="AC851" s="47"/>
    </row>
    <row r="852">
      <c r="A852" s="47"/>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c r="AA852" s="47"/>
      <c r="AB852" s="47"/>
      <c r="AC852" s="47"/>
    </row>
    <row r="853">
      <c r="A853" s="47"/>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c r="AA853" s="47"/>
      <c r="AB853" s="47"/>
      <c r="AC853" s="47"/>
    </row>
    <row r="854">
      <c r="A854" s="47"/>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c r="AA854" s="47"/>
      <c r="AB854" s="47"/>
      <c r="AC854" s="47"/>
    </row>
    <row r="855">
      <c r="A855" s="47"/>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c r="AA855" s="47"/>
      <c r="AB855" s="47"/>
      <c r="AC855" s="47"/>
    </row>
    <row r="856">
      <c r="A856" s="47"/>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c r="AA856" s="47"/>
      <c r="AB856" s="47"/>
      <c r="AC856" s="47"/>
    </row>
    <row r="857">
      <c r="A857" s="47"/>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c r="AA857" s="47"/>
      <c r="AB857" s="47"/>
      <c r="AC857" s="47"/>
    </row>
    <row r="858">
      <c r="A858" s="47"/>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c r="AA858" s="47"/>
      <c r="AB858" s="47"/>
      <c r="AC858" s="47"/>
    </row>
    <row r="859">
      <c r="A859" s="47"/>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c r="AA859" s="47"/>
      <c r="AB859" s="47"/>
      <c r="AC859" s="47"/>
    </row>
    <row r="860">
      <c r="A860" s="47"/>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c r="AA860" s="47"/>
      <c r="AB860" s="47"/>
      <c r="AC860" s="47"/>
    </row>
    <row r="861">
      <c r="A861" s="47"/>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c r="AA861" s="47"/>
      <c r="AB861" s="47"/>
      <c r="AC861" s="47"/>
    </row>
    <row r="862">
      <c r="A862" s="4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c r="AA862" s="47"/>
      <c r="AB862" s="47"/>
      <c r="AC862" s="47"/>
    </row>
    <row r="863">
      <c r="A863" s="47"/>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c r="AA863" s="47"/>
      <c r="AB863" s="47"/>
      <c r="AC863" s="47"/>
    </row>
    <row r="864">
      <c r="A864" s="47"/>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c r="AA864" s="47"/>
      <c r="AB864" s="47"/>
      <c r="AC864" s="47"/>
    </row>
    <row r="865">
      <c r="A865" s="47"/>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c r="AA865" s="47"/>
      <c r="AB865" s="47"/>
      <c r="AC865" s="47"/>
    </row>
    <row r="866">
      <c r="A866" s="47"/>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c r="AA866" s="47"/>
      <c r="AB866" s="47"/>
      <c r="AC866" s="47"/>
    </row>
    <row r="867">
      <c r="A867" s="47"/>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c r="AA867" s="47"/>
      <c r="AB867" s="47"/>
      <c r="AC867" s="47"/>
    </row>
    <row r="868">
      <c r="A868" s="47"/>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c r="AA868" s="47"/>
      <c r="AB868" s="47"/>
      <c r="AC868" s="47"/>
    </row>
    <row r="869">
      <c r="A869" s="47"/>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c r="AA869" s="47"/>
      <c r="AB869" s="47"/>
      <c r="AC869" s="47"/>
    </row>
    <row r="870">
      <c r="A870" s="47"/>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c r="AA870" s="47"/>
      <c r="AB870" s="47"/>
      <c r="AC870" s="47"/>
    </row>
    <row r="871">
      <c r="A871" s="47"/>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c r="AA871" s="47"/>
      <c r="AB871" s="47"/>
      <c r="AC871" s="47"/>
    </row>
    <row r="872">
      <c r="A872" s="47"/>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c r="AA872" s="47"/>
      <c r="AB872" s="47"/>
      <c r="AC872" s="47"/>
    </row>
    <row r="873">
      <c r="A873" s="47"/>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c r="AA873" s="47"/>
      <c r="AB873" s="47"/>
      <c r="AC873" s="47"/>
    </row>
    <row r="874">
      <c r="A874" s="47"/>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c r="AA874" s="47"/>
      <c r="AB874" s="47"/>
      <c r="AC874" s="47"/>
    </row>
    <row r="875">
      <c r="A875" s="47"/>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c r="AA875" s="47"/>
      <c r="AB875" s="47"/>
      <c r="AC875" s="47"/>
    </row>
    <row r="876">
      <c r="A876" s="47"/>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c r="AA876" s="47"/>
      <c r="AB876" s="47"/>
      <c r="AC876" s="47"/>
    </row>
    <row r="877">
      <c r="A877" s="47"/>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c r="AA877" s="47"/>
      <c r="AB877" s="47"/>
      <c r="AC877" s="47"/>
    </row>
    <row r="878">
      <c r="A878" s="47"/>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c r="AA878" s="47"/>
      <c r="AB878" s="47"/>
      <c r="AC878" s="47"/>
    </row>
    <row r="879">
      <c r="A879" s="47"/>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c r="AA879" s="47"/>
      <c r="AB879" s="47"/>
      <c r="AC879" s="47"/>
    </row>
    <row r="880">
      <c r="A880" s="47"/>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c r="AA880" s="47"/>
      <c r="AB880" s="47"/>
      <c r="AC880" s="47"/>
    </row>
    <row r="881">
      <c r="A881" s="47"/>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c r="AA881" s="47"/>
      <c r="AB881" s="47"/>
      <c r="AC881" s="47"/>
    </row>
    <row r="882">
      <c r="A882" s="47"/>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c r="AA882" s="47"/>
      <c r="AB882" s="47"/>
      <c r="AC882" s="47"/>
    </row>
    <row r="883">
      <c r="A883" s="47"/>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c r="AA883" s="47"/>
      <c r="AB883" s="47"/>
      <c r="AC883" s="47"/>
    </row>
    <row r="884">
      <c r="A884" s="47"/>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c r="AA884" s="47"/>
      <c r="AB884" s="47"/>
      <c r="AC884" s="47"/>
    </row>
    <row r="885">
      <c r="A885" s="47"/>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c r="AA885" s="47"/>
      <c r="AB885" s="47"/>
      <c r="AC885" s="47"/>
    </row>
    <row r="886">
      <c r="A886" s="47"/>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c r="AA886" s="47"/>
      <c r="AB886" s="47"/>
      <c r="AC886" s="47"/>
    </row>
    <row r="887">
      <c r="A887" s="47"/>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c r="AA887" s="47"/>
      <c r="AB887" s="47"/>
      <c r="AC887" s="47"/>
    </row>
    <row r="888">
      <c r="A888" s="47"/>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c r="AA888" s="47"/>
      <c r="AB888" s="47"/>
      <c r="AC888" s="47"/>
    </row>
    <row r="889">
      <c r="A889" s="47"/>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c r="AA889" s="47"/>
      <c r="AB889" s="47"/>
      <c r="AC889" s="47"/>
    </row>
    <row r="890">
      <c r="A890" s="47"/>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c r="AA890" s="47"/>
      <c r="AB890" s="47"/>
      <c r="AC890" s="47"/>
    </row>
    <row r="891">
      <c r="A891" s="47"/>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c r="AA891" s="47"/>
      <c r="AB891" s="47"/>
      <c r="AC891" s="47"/>
    </row>
    <row r="892">
      <c r="A892" s="47"/>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c r="AA892" s="47"/>
      <c r="AB892" s="47"/>
      <c r="AC892" s="47"/>
    </row>
    <row r="893">
      <c r="A893" s="47"/>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c r="AA893" s="47"/>
      <c r="AB893" s="47"/>
      <c r="AC893" s="47"/>
    </row>
    <row r="894">
      <c r="A894" s="47"/>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c r="AA894" s="47"/>
      <c r="AB894" s="47"/>
      <c r="AC894" s="47"/>
    </row>
    <row r="895">
      <c r="A895" s="47"/>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c r="AA895" s="47"/>
      <c r="AB895" s="47"/>
      <c r="AC895" s="47"/>
    </row>
    <row r="896">
      <c r="A896" s="47"/>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c r="AA896" s="47"/>
      <c r="AB896" s="47"/>
      <c r="AC896" s="47"/>
    </row>
    <row r="897">
      <c r="A897" s="47"/>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c r="AA897" s="47"/>
      <c r="AB897" s="47"/>
      <c r="AC897" s="47"/>
    </row>
    <row r="898">
      <c r="A898" s="47"/>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c r="AA898" s="47"/>
      <c r="AB898" s="47"/>
      <c r="AC898" s="47"/>
    </row>
    <row r="899">
      <c r="A899" s="47"/>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c r="AA899" s="47"/>
      <c r="AB899" s="47"/>
      <c r="AC899" s="47"/>
    </row>
    <row r="900">
      <c r="A900" s="47"/>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c r="AA900" s="47"/>
      <c r="AB900" s="47"/>
      <c r="AC900" s="47"/>
    </row>
    <row r="901">
      <c r="A901" s="47"/>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c r="AA901" s="47"/>
      <c r="AB901" s="47"/>
      <c r="AC901" s="47"/>
    </row>
    <row r="902">
      <c r="A902" s="47"/>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c r="AA902" s="47"/>
      <c r="AB902" s="47"/>
      <c r="AC902" s="47"/>
    </row>
    <row r="903">
      <c r="A903" s="47"/>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c r="AA903" s="47"/>
      <c r="AB903" s="47"/>
      <c r="AC903" s="47"/>
    </row>
    <row r="904">
      <c r="A904" s="47"/>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c r="AA904" s="47"/>
      <c r="AB904" s="47"/>
      <c r="AC904" s="47"/>
    </row>
    <row r="905">
      <c r="A905" s="47"/>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c r="AA905" s="47"/>
      <c r="AB905" s="47"/>
      <c r="AC905" s="47"/>
    </row>
    <row r="906">
      <c r="A906" s="47"/>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c r="AA906" s="47"/>
      <c r="AB906" s="47"/>
      <c r="AC906" s="47"/>
    </row>
    <row r="907">
      <c r="A907" s="47"/>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c r="AA907" s="47"/>
      <c r="AB907" s="47"/>
      <c r="AC907" s="47"/>
    </row>
    <row r="908">
      <c r="A908" s="47"/>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c r="AA908" s="47"/>
      <c r="AB908" s="47"/>
      <c r="AC908" s="47"/>
    </row>
    <row r="909">
      <c r="A909" s="47"/>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c r="AA909" s="47"/>
      <c r="AB909" s="47"/>
      <c r="AC909" s="47"/>
    </row>
    <row r="910">
      <c r="A910" s="47"/>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c r="AA910" s="47"/>
      <c r="AB910" s="47"/>
      <c r="AC910" s="47"/>
    </row>
    <row r="911">
      <c r="A911" s="47"/>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c r="AA911" s="47"/>
      <c r="AB911" s="47"/>
      <c r="AC911" s="47"/>
    </row>
    <row r="912">
      <c r="A912" s="47"/>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c r="AA912" s="47"/>
      <c r="AB912" s="47"/>
      <c r="AC912" s="47"/>
    </row>
    <row r="913">
      <c r="A913" s="47"/>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c r="AA913" s="47"/>
      <c r="AB913" s="47"/>
      <c r="AC913" s="47"/>
    </row>
    <row r="914">
      <c r="A914" s="47"/>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c r="AA914" s="47"/>
      <c r="AB914" s="47"/>
      <c r="AC914" s="47"/>
    </row>
    <row r="915">
      <c r="A915" s="47"/>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c r="AA915" s="47"/>
      <c r="AB915" s="47"/>
      <c r="AC915" s="47"/>
    </row>
    <row r="916">
      <c r="A916" s="47"/>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c r="AA916" s="47"/>
      <c r="AB916" s="47"/>
      <c r="AC916" s="47"/>
    </row>
    <row r="917">
      <c r="A917" s="47"/>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c r="AA917" s="47"/>
      <c r="AB917" s="47"/>
      <c r="AC917" s="47"/>
    </row>
    <row r="918">
      <c r="A918" s="47"/>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c r="AA918" s="47"/>
      <c r="AB918" s="47"/>
      <c r="AC918" s="47"/>
    </row>
    <row r="919">
      <c r="A919" s="47"/>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c r="AA919" s="47"/>
      <c r="AB919" s="47"/>
      <c r="AC919" s="47"/>
    </row>
    <row r="920">
      <c r="A920" s="47"/>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c r="AA920" s="47"/>
      <c r="AB920" s="47"/>
      <c r="AC920" s="47"/>
    </row>
    <row r="921">
      <c r="A921" s="47"/>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c r="AA921" s="47"/>
      <c r="AB921" s="47"/>
      <c r="AC921" s="47"/>
    </row>
    <row r="922">
      <c r="A922" s="47"/>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c r="AA922" s="47"/>
      <c r="AB922" s="47"/>
      <c r="AC922" s="47"/>
    </row>
    <row r="923">
      <c r="A923" s="47"/>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c r="AA923" s="47"/>
      <c r="AB923" s="47"/>
      <c r="AC923" s="47"/>
    </row>
    <row r="924">
      <c r="A924" s="47"/>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c r="AA924" s="47"/>
      <c r="AB924" s="47"/>
      <c r="AC924" s="47"/>
    </row>
    <row r="925">
      <c r="A925" s="47"/>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c r="AA925" s="47"/>
      <c r="AB925" s="47"/>
      <c r="AC925" s="47"/>
    </row>
    <row r="926">
      <c r="A926" s="47"/>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c r="AA926" s="47"/>
      <c r="AB926" s="47"/>
      <c r="AC926" s="47"/>
    </row>
    <row r="927">
      <c r="A927" s="47"/>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c r="AA927" s="47"/>
      <c r="AB927" s="47"/>
      <c r="AC927" s="47"/>
    </row>
    <row r="928">
      <c r="A928" s="47"/>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c r="AA928" s="47"/>
      <c r="AB928" s="47"/>
      <c r="AC928" s="47"/>
    </row>
    <row r="929">
      <c r="A929" s="47"/>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c r="AA929" s="47"/>
      <c r="AB929" s="47"/>
      <c r="AC929" s="47"/>
    </row>
    <row r="930">
      <c r="A930" s="47"/>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c r="AA930" s="47"/>
      <c r="AB930" s="47"/>
      <c r="AC930" s="47"/>
    </row>
    <row r="931">
      <c r="A931" s="47"/>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c r="AA931" s="47"/>
      <c r="AB931" s="47"/>
      <c r="AC931" s="47"/>
    </row>
    <row r="932">
      <c r="A932" s="47"/>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c r="AA932" s="47"/>
      <c r="AB932" s="47"/>
      <c r="AC932" s="47"/>
    </row>
    <row r="933">
      <c r="A933" s="47"/>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c r="AA933" s="47"/>
      <c r="AB933" s="47"/>
      <c r="AC933" s="47"/>
    </row>
    <row r="934">
      <c r="A934" s="47"/>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c r="AA934" s="47"/>
      <c r="AB934" s="47"/>
      <c r="AC934" s="47"/>
    </row>
    <row r="935">
      <c r="A935" s="47"/>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c r="AA935" s="47"/>
      <c r="AB935" s="47"/>
      <c r="AC935" s="47"/>
    </row>
    <row r="936">
      <c r="A936" s="47"/>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c r="AA936" s="47"/>
      <c r="AB936" s="47"/>
      <c r="AC936" s="47"/>
    </row>
    <row r="937">
      <c r="A937" s="47"/>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c r="AA937" s="47"/>
      <c r="AB937" s="47"/>
      <c r="AC937" s="47"/>
    </row>
    <row r="938">
      <c r="A938" s="47"/>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c r="AA938" s="47"/>
      <c r="AB938" s="47"/>
      <c r="AC938" s="47"/>
    </row>
    <row r="939">
      <c r="A939" s="47"/>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c r="AA939" s="47"/>
      <c r="AB939" s="47"/>
      <c r="AC939" s="47"/>
    </row>
    <row r="940">
      <c r="A940" s="47"/>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c r="AA940" s="47"/>
      <c r="AB940" s="47"/>
      <c r="AC940" s="47"/>
    </row>
    <row r="941">
      <c r="A941" s="47"/>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c r="AA941" s="47"/>
      <c r="AB941" s="47"/>
      <c r="AC941" s="47"/>
    </row>
    <row r="942">
      <c r="A942" s="47"/>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c r="AA942" s="47"/>
      <c r="AB942" s="47"/>
      <c r="AC942" s="47"/>
    </row>
    <row r="943">
      <c r="A943" s="47"/>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c r="AA943" s="47"/>
      <c r="AB943" s="47"/>
      <c r="AC943" s="47"/>
    </row>
    <row r="944">
      <c r="A944" s="47"/>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c r="AA944" s="47"/>
      <c r="AB944" s="47"/>
      <c r="AC944" s="47"/>
    </row>
    <row r="945">
      <c r="A945" s="47"/>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c r="AA945" s="47"/>
      <c r="AB945" s="47"/>
      <c r="AC945" s="47"/>
    </row>
    <row r="946">
      <c r="A946" s="47"/>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c r="AA946" s="47"/>
      <c r="AB946" s="47"/>
      <c r="AC946" s="47"/>
    </row>
    <row r="947">
      <c r="A947" s="47"/>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c r="AA947" s="47"/>
      <c r="AB947" s="47"/>
      <c r="AC947" s="47"/>
    </row>
    <row r="948">
      <c r="A948" s="47"/>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c r="AA948" s="47"/>
      <c r="AB948" s="47"/>
      <c r="AC948" s="47"/>
    </row>
    <row r="949">
      <c r="A949" s="47"/>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c r="AA949" s="47"/>
      <c r="AB949" s="47"/>
      <c r="AC949" s="47"/>
    </row>
    <row r="950">
      <c r="A950" s="47"/>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c r="AA950" s="47"/>
      <c r="AB950" s="47"/>
      <c r="AC950" s="47"/>
    </row>
    <row r="951">
      <c r="A951" s="47"/>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c r="AA951" s="47"/>
      <c r="AB951" s="47"/>
      <c r="AC951" s="47"/>
    </row>
    <row r="952">
      <c r="A952" s="47"/>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c r="AA952" s="47"/>
      <c r="AB952" s="47"/>
      <c r="AC952" s="47"/>
    </row>
    <row r="953">
      <c r="A953" s="47"/>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c r="AA953" s="47"/>
      <c r="AB953" s="47"/>
      <c r="AC953" s="47"/>
    </row>
    <row r="954">
      <c r="A954" s="47"/>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c r="AA954" s="47"/>
      <c r="AB954" s="47"/>
      <c r="AC954" s="47"/>
    </row>
    <row r="955">
      <c r="A955" s="47"/>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c r="AA955" s="47"/>
      <c r="AB955" s="47"/>
      <c r="AC955" s="47"/>
    </row>
    <row r="956">
      <c r="A956" s="47"/>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c r="AA956" s="47"/>
      <c r="AB956" s="47"/>
      <c r="AC956" s="47"/>
    </row>
    <row r="957">
      <c r="A957" s="47"/>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c r="AA957" s="47"/>
      <c r="AB957" s="47"/>
      <c r="AC957" s="47"/>
    </row>
    <row r="958">
      <c r="A958" s="47"/>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c r="AA958" s="47"/>
      <c r="AB958" s="47"/>
      <c r="AC958" s="47"/>
    </row>
    <row r="959">
      <c r="A959" s="47"/>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c r="AA959" s="47"/>
      <c r="AB959" s="47"/>
      <c r="AC959" s="47"/>
    </row>
    <row r="960">
      <c r="A960" s="47"/>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c r="AA960" s="47"/>
      <c r="AB960" s="47"/>
      <c r="AC960" s="47"/>
    </row>
    <row r="961">
      <c r="A961" s="47"/>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c r="AA961" s="47"/>
      <c r="AB961" s="47"/>
      <c r="AC961" s="47"/>
    </row>
    <row r="962">
      <c r="A962" s="47"/>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c r="AA962" s="47"/>
      <c r="AB962" s="47"/>
      <c r="AC962" s="47"/>
    </row>
    <row r="963">
      <c r="A963" s="47"/>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c r="AA963" s="47"/>
      <c r="AB963" s="47"/>
      <c r="AC963" s="47"/>
    </row>
    <row r="964">
      <c r="A964" s="47"/>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c r="AA964" s="47"/>
      <c r="AB964" s="47"/>
      <c r="AC964" s="47"/>
    </row>
    <row r="965">
      <c r="A965" s="47"/>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c r="AA965" s="47"/>
      <c r="AB965" s="47"/>
      <c r="AC965" s="47"/>
    </row>
    <row r="966">
      <c r="A966" s="47"/>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c r="AA966" s="47"/>
      <c r="AB966" s="47"/>
      <c r="AC966" s="47"/>
    </row>
    <row r="967">
      <c r="A967" s="47"/>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c r="AA967" s="47"/>
      <c r="AB967" s="47"/>
      <c r="AC967" s="47"/>
    </row>
    <row r="968">
      <c r="A968" s="47"/>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c r="AA968" s="47"/>
      <c r="AB968" s="47"/>
      <c r="AC968" s="47"/>
    </row>
    <row r="969">
      <c r="A969" s="47"/>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c r="AA969" s="47"/>
      <c r="AB969" s="47"/>
      <c r="AC969" s="47"/>
    </row>
    <row r="970">
      <c r="A970" s="47"/>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c r="AA970" s="47"/>
      <c r="AB970" s="47"/>
      <c r="AC970" s="47"/>
    </row>
    <row r="971">
      <c r="A971" s="47"/>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c r="AA971" s="47"/>
      <c r="AB971" s="47"/>
      <c r="AC971" s="47"/>
    </row>
    <row r="972">
      <c r="A972" s="47"/>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c r="AA972" s="47"/>
      <c r="AB972" s="47"/>
      <c r="AC972" s="47"/>
    </row>
    <row r="973">
      <c r="A973" s="47"/>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c r="AA973" s="47"/>
      <c r="AB973" s="47"/>
      <c r="AC973" s="47"/>
    </row>
    <row r="974">
      <c r="A974" s="47"/>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c r="AA974" s="47"/>
      <c r="AB974" s="47"/>
      <c r="AC974" s="47"/>
    </row>
    <row r="975">
      <c r="A975" s="47"/>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c r="AA975" s="47"/>
      <c r="AB975" s="47"/>
      <c r="AC975" s="47"/>
    </row>
    <row r="976">
      <c r="A976" s="47"/>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c r="AA976" s="47"/>
      <c r="AB976" s="47"/>
      <c r="AC976" s="47"/>
    </row>
    <row r="977">
      <c r="A977" s="47"/>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c r="AA977" s="47"/>
      <c r="AB977" s="47"/>
      <c r="AC977" s="47"/>
    </row>
    <row r="978">
      <c r="A978" s="47"/>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c r="AA978" s="47"/>
      <c r="AB978" s="47"/>
      <c r="AC978" s="47"/>
    </row>
    <row r="979">
      <c r="A979" s="47"/>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c r="AA979" s="47"/>
      <c r="AB979" s="47"/>
      <c r="AC979" s="47"/>
    </row>
    <row r="980">
      <c r="A980" s="47"/>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c r="AA980" s="47"/>
      <c r="AB980" s="47"/>
      <c r="AC980" s="47"/>
    </row>
    <row r="981">
      <c r="A981" s="47"/>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c r="AA981" s="47"/>
      <c r="AB981" s="47"/>
      <c r="AC981" s="47"/>
    </row>
    <row r="982">
      <c r="A982" s="47"/>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c r="AA982" s="47"/>
      <c r="AB982" s="47"/>
      <c r="AC982" s="47"/>
    </row>
    <row r="983">
      <c r="A983" s="47"/>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c r="AA983" s="47"/>
      <c r="AB983" s="47"/>
      <c r="AC983" s="47"/>
    </row>
    <row r="984">
      <c r="A984" s="47"/>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c r="AA984" s="47"/>
      <c r="AB984" s="47"/>
      <c r="AC984" s="47"/>
    </row>
    <row r="985">
      <c r="A985" s="47"/>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c r="AA985" s="47"/>
      <c r="AB985" s="47"/>
      <c r="AC985" s="47"/>
    </row>
    <row r="986">
      <c r="A986" s="47"/>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c r="AA986" s="47"/>
      <c r="AB986" s="47"/>
      <c r="AC986" s="47"/>
    </row>
    <row r="987">
      <c r="A987" s="47"/>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c r="AA987" s="47"/>
      <c r="AB987" s="47"/>
      <c r="AC987" s="47"/>
    </row>
    <row r="988">
      <c r="A988" s="47"/>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c r="AA988" s="47"/>
      <c r="AB988" s="47"/>
      <c r="AC988" s="47"/>
    </row>
    <row r="989">
      <c r="A989" s="47"/>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c r="AA989" s="47"/>
      <c r="AB989" s="47"/>
      <c r="AC989" s="47"/>
    </row>
    <row r="990">
      <c r="A990" s="47"/>
      <c r="B990" s="47"/>
      <c r="C990" s="47"/>
      <c r="D990" s="47"/>
      <c r="E990" s="47"/>
      <c r="F990" s="47"/>
      <c r="G990" s="47"/>
      <c r="H990" s="47"/>
      <c r="I990" s="47"/>
      <c r="J990" s="47"/>
      <c r="K990" s="47"/>
      <c r="L990" s="47"/>
      <c r="M990" s="47"/>
      <c r="N990" s="47"/>
      <c r="O990" s="47"/>
      <c r="P990" s="47"/>
      <c r="Q990" s="47"/>
      <c r="R990" s="47"/>
      <c r="S990" s="47"/>
      <c r="T990" s="47"/>
      <c r="U990" s="47"/>
      <c r="V990" s="47"/>
      <c r="W990" s="47"/>
      <c r="X990" s="47"/>
      <c r="Y990" s="47"/>
      <c r="Z990" s="47"/>
      <c r="AA990" s="47"/>
      <c r="AB990" s="47"/>
      <c r="AC990" s="47"/>
    </row>
    <row r="991">
      <c r="A991" s="47"/>
      <c r="B991" s="47"/>
      <c r="C991" s="47"/>
      <c r="D991" s="47"/>
      <c r="E991" s="47"/>
      <c r="F991" s="47"/>
      <c r="G991" s="47"/>
      <c r="H991" s="47"/>
      <c r="I991" s="47"/>
      <c r="J991" s="47"/>
      <c r="K991" s="47"/>
      <c r="L991" s="47"/>
      <c r="M991" s="47"/>
      <c r="N991" s="47"/>
      <c r="O991" s="47"/>
      <c r="P991" s="47"/>
      <c r="Q991" s="47"/>
      <c r="R991" s="47"/>
      <c r="S991" s="47"/>
      <c r="T991" s="47"/>
      <c r="U991" s="47"/>
      <c r="V991" s="47"/>
      <c r="W991" s="47"/>
      <c r="X991" s="47"/>
      <c r="Y991" s="47"/>
      <c r="Z991" s="47"/>
      <c r="AA991" s="47"/>
      <c r="AB991" s="47"/>
      <c r="AC991" s="47"/>
    </row>
    <row r="992">
      <c r="A992" s="47"/>
      <c r="B992" s="47"/>
      <c r="C992" s="47"/>
      <c r="D992" s="47"/>
      <c r="E992" s="47"/>
      <c r="F992" s="47"/>
      <c r="G992" s="47"/>
      <c r="H992" s="47"/>
      <c r="I992" s="47"/>
      <c r="J992" s="47"/>
      <c r="K992" s="47"/>
      <c r="L992" s="47"/>
      <c r="M992" s="47"/>
      <c r="N992" s="47"/>
      <c r="O992" s="47"/>
      <c r="P992" s="47"/>
      <c r="Q992" s="47"/>
      <c r="R992" s="47"/>
      <c r="S992" s="47"/>
      <c r="T992" s="47"/>
      <c r="U992" s="47"/>
      <c r="V992" s="47"/>
      <c r="W992" s="47"/>
      <c r="X992" s="47"/>
      <c r="Y992" s="47"/>
      <c r="Z992" s="47"/>
      <c r="AA992" s="47"/>
      <c r="AB992" s="47"/>
      <c r="AC992" s="47"/>
    </row>
    <row r="993">
      <c r="A993" s="47"/>
      <c r="B993" s="47"/>
      <c r="C993" s="47"/>
      <c r="D993" s="47"/>
      <c r="E993" s="47"/>
      <c r="F993" s="47"/>
      <c r="G993" s="47"/>
      <c r="H993" s="47"/>
      <c r="I993" s="47"/>
      <c r="J993" s="47"/>
      <c r="K993" s="47"/>
      <c r="L993" s="47"/>
      <c r="M993" s="47"/>
      <c r="N993" s="47"/>
      <c r="O993" s="47"/>
      <c r="P993" s="47"/>
      <c r="Q993" s="47"/>
      <c r="R993" s="47"/>
      <c r="S993" s="47"/>
      <c r="T993" s="47"/>
      <c r="U993" s="47"/>
      <c r="V993" s="47"/>
      <c r="W993" s="47"/>
      <c r="X993" s="47"/>
      <c r="Y993" s="47"/>
      <c r="Z993" s="47"/>
      <c r="AA993" s="47"/>
      <c r="AB993" s="47"/>
      <c r="AC993" s="47"/>
    </row>
    <row r="994">
      <c r="A994" s="47"/>
      <c r="B994" s="47"/>
      <c r="C994" s="47"/>
      <c r="D994" s="47"/>
      <c r="E994" s="47"/>
      <c r="F994" s="47"/>
      <c r="G994" s="47"/>
      <c r="H994" s="47"/>
      <c r="I994" s="47"/>
      <c r="J994" s="47"/>
      <c r="K994" s="47"/>
      <c r="L994" s="47"/>
      <c r="M994" s="47"/>
      <c r="N994" s="47"/>
      <c r="O994" s="47"/>
      <c r="P994" s="47"/>
      <c r="Q994" s="47"/>
      <c r="R994" s="47"/>
      <c r="S994" s="47"/>
      <c r="T994" s="47"/>
      <c r="U994" s="47"/>
      <c r="V994" s="47"/>
      <c r="W994" s="47"/>
      <c r="X994" s="47"/>
      <c r="Y994" s="47"/>
      <c r="Z994" s="47"/>
      <c r="AA994" s="47"/>
      <c r="AB994" s="47"/>
      <c r="AC994" s="47"/>
    </row>
    <row r="995">
      <c r="A995" s="47"/>
      <c r="B995" s="47"/>
      <c r="C995" s="47"/>
      <c r="D995" s="47"/>
      <c r="E995" s="47"/>
      <c r="F995" s="47"/>
      <c r="G995" s="47"/>
      <c r="H995" s="47"/>
      <c r="I995" s="47"/>
      <c r="J995" s="47"/>
      <c r="K995" s="47"/>
      <c r="L995" s="47"/>
      <c r="M995" s="47"/>
      <c r="N995" s="47"/>
      <c r="O995" s="47"/>
      <c r="P995" s="47"/>
      <c r="Q995" s="47"/>
      <c r="R995" s="47"/>
      <c r="S995" s="47"/>
      <c r="T995" s="47"/>
      <c r="U995" s="47"/>
      <c r="V995" s="47"/>
      <c r="W995" s="47"/>
      <c r="X995" s="47"/>
      <c r="Y995" s="47"/>
      <c r="Z995" s="47"/>
      <c r="AA995" s="47"/>
      <c r="AB995" s="47"/>
      <c r="AC995" s="47"/>
    </row>
    <row r="996">
      <c r="A996" s="47"/>
      <c r="B996" s="47"/>
      <c r="C996" s="47"/>
      <c r="D996" s="47"/>
      <c r="E996" s="47"/>
      <c r="F996" s="47"/>
      <c r="G996" s="47"/>
      <c r="H996" s="47"/>
      <c r="I996" s="47"/>
      <c r="J996" s="47"/>
      <c r="K996" s="47"/>
      <c r="L996" s="47"/>
      <c r="M996" s="47"/>
      <c r="N996" s="47"/>
      <c r="O996" s="47"/>
      <c r="P996" s="47"/>
      <c r="Q996" s="47"/>
      <c r="R996" s="47"/>
      <c r="S996" s="47"/>
      <c r="T996" s="47"/>
      <c r="U996" s="47"/>
      <c r="V996" s="47"/>
      <c r="W996" s="47"/>
      <c r="X996" s="47"/>
      <c r="Y996" s="47"/>
      <c r="Z996" s="47"/>
      <c r="AA996" s="47"/>
      <c r="AB996" s="47"/>
      <c r="AC996" s="47"/>
    </row>
    <row r="997">
      <c r="A997" s="47"/>
      <c r="B997" s="47"/>
      <c r="C997" s="47"/>
      <c r="D997" s="47"/>
      <c r="E997" s="47"/>
      <c r="F997" s="47"/>
      <c r="G997" s="47"/>
      <c r="H997" s="47"/>
      <c r="I997" s="47"/>
      <c r="J997" s="47"/>
      <c r="K997" s="47"/>
      <c r="L997" s="47"/>
      <c r="M997" s="47"/>
      <c r="N997" s="47"/>
      <c r="O997" s="47"/>
      <c r="P997" s="47"/>
      <c r="Q997" s="47"/>
      <c r="R997" s="47"/>
      <c r="S997" s="47"/>
      <c r="T997" s="47"/>
      <c r="U997" s="47"/>
      <c r="V997" s="47"/>
      <c r="W997" s="47"/>
      <c r="X997" s="47"/>
      <c r="Y997" s="47"/>
      <c r="Z997" s="47"/>
      <c r="AA997" s="47"/>
      <c r="AB997" s="47"/>
      <c r="AC997" s="47"/>
    </row>
    <row r="998">
      <c r="A998" s="47"/>
      <c r="B998" s="47"/>
      <c r="C998" s="47"/>
      <c r="D998" s="47"/>
      <c r="E998" s="47"/>
      <c r="F998" s="47"/>
      <c r="G998" s="47"/>
      <c r="H998" s="47"/>
      <c r="I998" s="47"/>
      <c r="J998" s="47"/>
      <c r="K998" s="47"/>
      <c r="L998" s="47"/>
      <c r="M998" s="47"/>
      <c r="N998" s="47"/>
      <c r="O998" s="47"/>
      <c r="P998" s="47"/>
      <c r="Q998" s="47"/>
      <c r="R998" s="47"/>
      <c r="S998" s="47"/>
      <c r="T998" s="47"/>
      <c r="U998" s="47"/>
      <c r="V998" s="47"/>
      <c r="W998" s="47"/>
      <c r="X998" s="47"/>
      <c r="Y998" s="47"/>
      <c r="Z998" s="47"/>
      <c r="AA998" s="47"/>
      <c r="AB998" s="47"/>
      <c r="AC998" s="47"/>
    </row>
    <row r="999">
      <c r="A999" s="47"/>
      <c r="B999" s="47"/>
      <c r="C999" s="47"/>
      <c r="D999" s="47"/>
      <c r="E999" s="47"/>
      <c r="F999" s="47"/>
      <c r="G999" s="47"/>
      <c r="H999" s="47"/>
      <c r="I999" s="47"/>
      <c r="J999" s="47"/>
      <c r="K999" s="47"/>
      <c r="L999" s="47"/>
      <c r="M999" s="47"/>
      <c r="N999" s="47"/>
      <c r="O999" s="47"/>
      <c r="P999" s="47"/>
      <c r="Q999" s="47"/>
      <c r="R999" s="47"/>
      <c r="S999" s="47"/>
      <c r="T999" s="47"/>
      <c r="U999" s="47"/>
      <c r="V999" s="47"/>
      <c r="W999" s="47"/>
      <c r="X999" s="47"/>
      <c r="Y999" s="47"/>
      <c r="Z999" s="47"/>
      <c r="AA999" s="47"/>
      <c r="AB999" s="47"/>
      <c r="AC999" s="47"/>
    </row>
    <row r="1000">
      <c r="A1000" s="47"/>
      <c r="B1000" s="47"/>
      <c r="C1000" s="47"/>
      <c r="D1000" s="47"/>
      <c r="E1000" s="47"/>
      <c r="F1000" s="47"/>
      <c r="G1000" s="47"/>
      <c r="H1000" s="47"/>
      <c r="I1000" s="47"/>
      <c r="J1000" s="47"/>
      <c r="K1000" s="47"/>
      <c r="L1000" s="47"/>
      <c r="M1000" s="47"/>
      <c r="N1000" s="47"/>
      <c r="O1000" s="47"/>
      <c r="P1000" s="47"/>
      <c r="Q1000" s="47"/>
      <c r="R1000" s="47"/>
      <c r="S1000" s="47"/>
      <c r="T1000" s="47"/>
      <c r="U1000" s="47"/>
      <c r="V1000" s="47"/>
      <c r="W1000" s="47"/>
      <c r="X1000" s="47"/>
      <c r="Y1000" s="47"/>
      <c r="Z1000" s="47"/>
      <c r="AA1000" s="47"/>
      <c r="AB1000" s="47"/>
      <c r="AC1000" s="47"/>
    </row>
    <row r="1001">
      <c r="A1001" s="47"/>
      <c r="B1001" s="47"/>
      <c r="C1001" s="47"/>
      <c r="D1001" s="47"/>
      <c r="E1001" s="47"/>
      <c r="F1001" s="47"/>
      <c r="G1001" s="47"/>
      <c r="H1001" s="47"/>
      <c r="I1001" s="47"/>
      <c r="J1001" s="47"/>
      <c r="K1001" s="47"/>
      <c r="L1001" s="47"/>
      <c r="M1001" s="47"/>
      <c r="N1001" s="47"/>
      <c r="O1001" s="47"/>
      <c r="P1001" s="47"/>
      <c r="Q1001" s="47"/>
      <c r="R1001" s="47"/>
      <c r="S1001" s="47"/>
      <c r="T1001" s="47"/>
      <c r="U1001" s="47"/>
      <c r="V1001" s="47"/>
      <c r="W1001" s="47"/>
      <c r="X1001" s="47"/>
      <c r="Y1001" s="47"/>
      <c r="Z1001" s="47"/>
      <c r="AA1001" s="47"/>
      <c r="AB1001" s="47"/>
      <c r="AC1001" s="47"/>
    </row>
  </sheetData>
  <autoFilter ref="$A$2:$AC$159"/>
  <mergeCells count="3">
    <mergeCell ref="Z90:AB90"/>
    <mergeCell ref="X91:Y91"/>
    <mergeCell ref="Z91:AA91"/>
  </mergeCells>
  <hyperlinks>
    <hyperlink r:id="rId1" ref="T18"/>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6" max="6" width="25.0"/>
  </cols>
  <sheetData>
    <row r="1">
      <c r="A1" s="494" t="str">
        <f t="shared" ref="A1:A999" si="1">AD1</f>
        <v>N°</v>
      </c>
      <c r="B1" s="495" t="str">
        <f>IFERROR(__xludf.DUMMYFUNCTION("IMPORTRANGE(""https://docs.google.com/spreadsheets/d/1Dz9D4r98_okJYtOMWli3EWCiG9bWW1Wu2cHFRjpYMpc/edit?gid=1165819795#gid=1165819795"",""Respuestas de formulario 1!A:AC"")"),"Marca temporal")</f>
        <v>Marca temporal</v>
      </c>
      <c r="C1" s="495" t="str">
        <f>IFERROR(__xludf.DUMMYFUNCTION("""COMPUTED_VALUE"""),"Dirección de correo electrónico")</f>
        <v>Dirección de correo electrónico</v>
      </c>
      <c r="D1" s="495" t="str">
        <f>IFERROR(__xludf.DUMMYFUNCTION("""COMPUTED_VALUE"""),"Responsable UCT")</f>
        <v>Responsable UCT</v>
      </c>
      <c r="E1" s="495" t="str">
        <f>IFERROR(__xludf.DUMMYFUNCTION("""COMPUTED_VALUE"""),"Numero de Pedido (OP)")</f>
        <v>Numero de Pedido (OP)</v>
      </c>
      <c r="F1" s="496" t="str">
        <f>IFERROR(__xludf.DUMMYFUNCTION("""COMPUTED_VALUE"""),"Orden de Compra (OC)")</f>
        <v>Orden de Compra (OC)</v>
      </c>
      <c r="G1" s="40" t="str">
        <f>IFERROR(__xludf.DUMMYFUNCTION("""COMPUTED_VALUE"""),"Precio del Trabajo")</f>
        <v>Precio del Trabajo</v>
      </c>
      <c r="H1" s="495" t="str">
        <f>IFERROR(__xludf.DUMMYFUNCTION("""COMPUTED_VALUE"""),"Fecha Orden de Compra (OC)")</f>
        <v>Fecha Orden de Compra (OC)</v>
      </c>
      <c r="I1" s="495" t="str">
        <f>IFERROR(__xludf.DUMMYFUNCTION("""COMPUTED_VALUE"""),"Fecha Inicio Trabajos")</f>
        <v>Fecha Inicio Trabajos</v>
      </c>
      <c r="J1" s="495" t="str">
        <f>IFERROR(__xludf.DUMMYFUNCTION("""COMPUTED_VALUE"""),"Campus")</f>
        <v>Campus</v>
      </c>
      <c r="K1" s="495" t="str">
        <f>IFERROR(__xludf.DUMMYFUNCTION("""COMPUTED_VALUE"""),"Edificio")</f>
        <v>Edificio</v>
      </c>
      <c r="L1" s="495" t="str">
        <f>IFERROR(__xludf.DUMMYFUNCTION("""COMPUTED_VALUE"""),"Razón Social Proveedor")</f>
        <v>Razón Social Proveedor</v>
      </c>
      <c r="M1" s="495" t="str">
        <f>IFERROR(__xludf.DUMMYFUNCTION("""COMPUTED_VALUE"""),"RUT Empresa")</f>
        <v>RUT Empresa</v>
      </c>
      <c r="N1" s="495" t="str">
        <f>IFERROR(__xludf.DUMMYFUNCTION("""COMPUTED_VALUE"""),"Responsable del Servicio")</f>
        <v>Responsable del Servicio</v>
      </c>
      <c r="O1" s="495" t="str">
        <f>IFERROR(__xludf.DUMMYFUNCTION("""COMPUTED_VALUE"""),"Tipo de Servicio")</f>
        <v>Tipo de Servicio</v>
      </c>
      <c r="P1" s="495" t="str">
        <f>IFERROR(__xludf.DUMMYFUNCTION("""COMPUTED_VALUE"""),"Tipo de Mantención")</f>
        <v>Tipo de Mantención</v>
      </c>
      <c r="Q1" s="495" t="str">
        <f>IFERROR(__xludf.DUMMYFUNCTION("""COMPUTED_VALUE"""),"Tipo de Operación")</f>
        <v>Tipo de Operación</v>
      </c>
      <c r="R1" s="495" t="str">
        <f>IFERROR(__xludf.DUMMYFUNCTION("""COMPUTED_VALUE"""),"Tipo de Obra")</f>
        <v>Tipo de Obra</v>
      </c>
      <c r="S1" s="495" t="str">
        <f>IFERROR(__xludf.DUMMYFUNCTION("""COMPUTED_VALUE"""),"Estado de Obra")</f>
        <v>Estado de Obra</v>
      </c>
      <c r="T1" s="495" t="str">
        <f>IFERROR(__xludf.DUMMYFUNCTION("""COMPUTED_VALUE"""),"EP")</f>
        <v>EP</v>
      </c>
      <c r="U1" s="494" t="str">
        <f>IFERROR(__xludf.DUMMYFUNCTION("""COMPUTED_VALUE"""),"Monto del EP")</f>
        <v>Monto del EP</v>
      </c>
      <c r="V1" s="495" t="str">
        <f>IFERROR(__xludf.DUMMYFUNCTION("""COMPUTED_VALUE"""),"Descripción del Trabajo Realizado")</f>
        <v>Descripción del Trabajo Realizado</v>
      </c>
      <c r="W1" s="495" t="str">
        <f>IFERROR(__xludf.DUMMYFUNCTION("""COMPUTED_VALUE"""),"Observaciones o Recomendaciones Técnicas")</f>
        <v>Observaciones o Recomendaciones Técnicas</v>
      </c>
      <c r="X1" s="495" t="str">
        <f>IFERROR(__xludf.DUMMYFUNCTION("""COMPUTED_VALUE"""),"Evidencia Fotográfica")</f>
        <v>Evidencia Fotográfica</v>
      </c>
      <c r="Y1" s="495" t="str">
        <f>IFERROR(__xludf.DUMMYFUNCTION("""COMPUTED_VALUE"""),"Correo de Contacto")</f>
        <v>Correo de Contacto</v>
      </c>
      <c r="Z1" s="495" t="str">
        <f>IFERROR(__xludf.DUMMYFUNCTION("""COMPUTED_VALUE"""),"Monto OC")</f>
        <v>Monto OC</v>
      </c>
      <c r="AA1" s="495" t="str">
        <f>IFERROR(__xludf.DUMMYFUNCTION("""COMPUTED_VALUE"""),"Monto Orden de Compra
Ingrese el Precio IVA incluido.
(*) Con puntos, sin signo $.
Ejemplo: 100.000.000")</f>
        <v>Monto Orden de Compra
Ingrese el Precio IVA incluido.
(*) Con puntos, sin signo $.
Ejemplo: 100.000.000</v>
      </c>
      <c r="AB1" s="495" t="str">
        <f>IFERROR(__xludf.DUMMYFUNCTION("""COMPUTED_VALUE"""),"Columna 24")</f>
        <v>Columna 24</v>
      </c>
      <c r="AC1" s="495" t="str">
        <f>IFERROR(__xludf.DUMMYFUNCTION("""COMPUTED_VALUE"""),"Fecha de Orden de Compra (OC)")</f>
        <v>Fecha de Orden de Compra (OC)</v>
      </c>
      <c r="AD1" s="494" t="str">
        <f>IFERROR(__xludf.DUMMYFUNCTION("""COMPUTED_VALUE"""),"N°")</f>
        <v>N°</v>
      </c>
    </row>
    <row r="2">
      <c r="A2" s="495" t="str">
        <f t="shared" si="1"/>
        <v>RC-360_26</v>
      </c>
      <c r="B2" s="497">
        <f>IFERROR(__xludf.DUMMYFUNCTION("""COMPUTED_VALUE"""),46240.37720456018)</f>
        <v>46240.3772</v>
      </c>
      <c r="C2" s="495" t="str">
        <f>IFERROR(__xludf.DUMMYFUNCTION("""COMPUTED_VALUE"""),"")</f>
        <v/>
      </c>
      <c r="D2" s="495" t="str">
        <f>IFERROR(__xludf.DUMMYFUNCTION("""COMPUTED_VALUE"""),"Mauricio Zurita Aldea")</f>
        <v>Mauricio Zurita Aldea</v>
      </c>
      <c r="E2" s="495"/>
      <c r="F2" s="496" t="str">
        <f>IFERROR(__xludf.DUMMYFUNCTION("""COMPUTED_VALUE"""),"13100 - 2025")</f>
        <v>13100 - 2025</v>
      </c>
      <c r="G2" s="495"/>
      <c r="H2" s="495"/>
      <c r="I2" s="495"/>
      <c r="J2" s="495" t="str">
        <f>IFERROR(__xludf.DUMMYFUNCTION("""COMPUTED_VALUE"""),"Campus San Francisco - CSF")</f>
        <v>Campus San Francisco - CSF</v>
      </c>
      <c r="K2" s="495" t="str">
        <f>IFERROR(__xludf.DUMMYFUNCTION("""COMPUTED_VALUE"""),"01")</f>
        <v>01</v>
      </c>
      <c r="L2" s="495" t="str">
        <f>IFERROR(__xludf.DUMMYFUNCTION("""COMPUTED_VALUE"""),"Gyg servicios spa")</f>
        <v>Gyg servicios spa</v>
      </c>
      <c r="M2" s="495" t="str">
        <f>IFERROR(__xludf.DUMMYFUNCTION("""COMPUTED_VALUE"""),"77.215.624-3")</f>
        <v>77.215.624-3</v>
      </c>
      <c r="N2" s="495" t="str">
        <f>IFERROR(__xludf.DUMMYFUNCTION("""COMPUTED_VALUE"""),"Gustavo Fuentes - Supervisor Técnico")</f>
        <v>Gustavo Fuentes - Supervisor Técnico</v>
      </c>
      <c r="O2" s="495" t="str">
        <f>IFERROR(__xludf.DUMMYFUNCTION("""COMPUTED_VALUE"""),"Mantenciones")</f>
        <v>Mantenciones</v>
      </c>
      <c r="P2" s="495" t="str">
        <f>IFERROR(__xludf.DUMMYFUNCTION("""COMPUTED_VALUE"""),"Instalaciones Eléctricas")</f>
        <v>Instalaciones Eléctricas</v>
      </c>
      <c r="Q2" s="495"/>
      <c r="R2" s="495"/>
      <c r="S2" s="495"/>
      <c r="T2" s="495"/>
      <c r="U2" s="495"/>
      <c r="V2" s="495" t="str">
        <f>IFERROR(__xludf.DUMMYFUNCTION("""COMPUTED_VALUE"""),"Instalación de 9 controles de Acceso")</f>
        <v>Instalación de 9 controles de Acceso</v>
      </c>
      <c r="W2" s="495"/>
      <c r="X2" s="495" t="str">
        <f>IFERROR(__xludf.DUMMYFUNCTION("""COMPUTED_VALUE"""),"https://drive.google.com/open?id=1ZcrrKWrriGPbmxVX4BLNTstgQuPOfrWe, https://drive.google.com/open?id=1-z-R4_IeGODgG0vV_MAl-DOhW1MS61pL, https://drive.google.com/open?id=1jyWPbtJZNrkzOV2N5GktzNS_hqDyjeE6")</f>
        <v>https://drive.google.com/open?id=1ZcrrKWrriGPbmxVX4BLNTstgQuPOfrWe, https://drive.google.com/open?id=1-z-R4_IeGODgG0vV_MAl-DOhW1MS61pL, https://drive.google.com/open?id=1jyWPbtJZNrkzOV2N5GktzNS_hqDyjeE6</v>
      </c>
      <c r="Y2" s="495" t="str">
        <f>IFERROR(__xludf.DUMMYFUNCTION("""COMPUTED_VALUE"""),"contacto@gygtecnologias.com")</f>
        <v>contacto@gygtecnologias.com</v>
      </c>
      <c r="Z2" s="498">
        <f>IFERROR(__xludf.DUMMYFUNCTION("""COMPUTED_VALUE"""),1.257354E7)</f>
        <v>12573540</v>
      </c>
      <c r="AA2" s="495"/>
      <c r="AB2" s="495"/>
      <c r="AC2" s="495"/>
      <c r="AD2" s="495" t="str">
        <f>IFERROR(__xludf.DUMMYFUNCTION("""COMPUTED_VALUE"""),"RC-360_26")</f>
        <v>RC-360_26</v>
      </c>
    </row>
    <row r="3">
      <c r="A3" s="495" t="str">
        <f t="shared" si="1"/>
        <v>RC-013</v>
      </c>
      <c r="B3" s="497">
        <f>IFERROR(__xludf.DUMMYFUNCTION("""COMPUTED_VALUE"""),45898.43310476852)</f>
        <v>45898.4331</v>
      </c>
      <c r="C3" s="495" t="str">
        <f>IFERROR(__xludf.DUMMYFUNCTION("""COMPUTED_VALUE"""),"")</f>
        <v/>
      </c>
      <c r="D3" s="495" t="str">
        <f>IFERROR(__xludf.DUMMYFUNCTION("""COMPUTED_VALUE"""),"Cristóbal Correa del Río")</f>
        <v>Cristóbal Correa del Río</v>
      </c>
      <c r="E3" s="495"/>
      <c r="F3" s="496" t="str">
        <f>IFERROR(__xludf.DUMMYFUNCTION("""COMPUTED_VALUE"""),"2025 - 7555 ")</f>
        <v>2025 - 7555 </v>
      </c>
      <c r="G3" s="495"/>
      <c r="H3" s="495"/>
      <c r="I3" s="495"/>
      <c r="J3" s="495" t="str">
        <f>IFERROR(__xludf.DUMMYFUNCTION("""COMPUTED_VALUE"""),"Campus Prieto Norte - CHS")</f>
        <v>Campus Prieto Norte - CHS</v>
      </c>
      <c r="K3" s="495" t="str">
        <f>IFERROR(__xludf.DUMMYFUNCTION("""COMPUTED_VALUE"""),"01")</f>
        <v>01</v>
      </c>
      <c r="L3" s="495" t="str">
        <f>IFERROR(__xludf.DUMMYFUNCTION("""COMPUTED_VALUE"""),"Flavia Oyarzun Soto")</f>
        <v>Flavia Oyarzun Soto</v>
      </c>
      <c r="M3" s="495" t="str">
        <f>IFERROR(__xludf.DUMMYFUNCTION("""COMPUTED_VALUE"""),"5.503.590-3")</f>
        <v>5.503.590-3</v>
      </c>
      <c r="N3" s="495" t="str">
        <f>IFERROR(__xludf.DUMMYFUNCTION("""COMPUTED_VALUE"""),"Roberto Lassalle (supervisor)")</f>
        <v>Roberto Lassalle (supervisor)</v>
      </c>
      <c r="O3" s="495" t="str">
        <f>IFERROR(__xludf.DUMMYFUNCTION("""COMPUTED_VALUE"""),"Obras")</f>
        <v>Obras</v>
      </c>
      <c r="P3" s="495"/>
      <c r="Q3" s="495"/>
      <c r="R3" s="495" t="str">
        <f>IFERROR(__xludf.DUMMYFUNCTION("""COMPUTED_VALUE"""),"Nuevo Edificio")</f>
        <v>Nuevo Edificio</v>
      </c>
      <c r="S3" s="495" t="str">
        <f>IFERROR(__xludf.DUMMYFUNCTION("""COMPUTED_VALUE"""),"Recepción de Obra - RC")</f>
        <v>Recepción de Obra - RC</v>
      </c>
      <c r="T3" s="495"/>
      <c r="U3" s="495"/>
      <c r="V3" s="495" t="str">
        <f>IFERROR(__xludf.DUMMYFUNCTION("""COMPUTED_VALUE"""),"Instalar 30 espejos redondos en nuevo edificio Hospital de Simulación Prieto Norte.")</f>
        <v>Instalar 30 espejos redondos en nuevo edificio Hospital de Simulación Prieto Norte.</v>
      </c>
      <c r="W3" s="495" t="str">
        <f>IFERROR(__xludf.DUMMYFUNCTION("""COMPUTED_VALUE"""),"No requiere")</f>
        <v>No requiere</v>
      </c>
      <c r="X3" s="495" t="str">
        <f>IFERROR(__xludf.DUMMYFUNCTION("""COMPUTED_VALUE"""),"https://drive.google.com/open?id=1tFT63Z5vt7R80Rmx0QtHf0eyewQKJNJf, https://drive.google.com/open?id=1pi-scmmjGUbLAXmFKkE2lu5uY2FGipCv")</f>
        <v>https://drive.google.com/open?id=1tFT63Z5vt7R80Rmx0QtHf0eyewQKJNJf, https://drive.google.com/open?id=1pi-scmmjGUbLAXmFKkE2lu5uY2FGipCv</v>
      </c>
      <c r="Y3" s="495" t="str">
        <f>IFERROR(__xludf.DUMMYFUNCTION("""COMPUTED_VALUE"""),"roberto.lassalle@gmail.com")</f>
        <v>roberto.lassalle@gmail.com</v>
      </c>
      <c r="Z3" s="495"/>
      <c r="AA3" s="495"/>
      <c r="AB3" s="495"/>
      <c r="AC3" s="495"/>
      <c r="AD3" s="495" t="str">
        <f>IFERROR(__xludf.DUMMYFUNCTION("""COMPUTED_VALUE"""),"RC-013")</f>
        <v>RC-013</v>
      </c>
    </row>
    <row r="4">
      <c r="A4" s="495" t="str">
        <f t="shared" si="1"/>
        <v>RC-359_26</v>
      </c>
      <c r="B4" s="497">
        <f>IFERROR(__xludf.DUMMYFUNCTION("""COMPUTED_VALUE"""),46239.74387005787)</f>
        <v>46239.74387</v>
      </c>
      <c r="C4" s="495" t="str">
        <f>IFERROR(__xludf.DUMMYFUNCTION("""COMPUTED_VALUE"""),"")</f>
        <v/>
      </c>
      <c r="D4" s="495" t="str">
        <f>IFERROR(__xludf.DUMMYFUNCTION("""COMPUTED_VALUE"""),"Mauricio Matus Belmar")</f>
        <v>Mauricio Matus Belmar</v>
      </c>
      <c r="E4" s="495"/>
      <c r="F4" s="496" t="str">
        <f>IFERROR(__xludf.DUMMYFUNCTION("""COMPUTED_VALUE"""),"6248-2026")</f>
        <v>6248-2026</v>
      </c>
      <c r="G4" s="495"/>
      <c r="H4" s="495"/>
      <c r="I4" s="495"/>
      <c r="J4" s="495" t="str">
        <f>IFERROR(__xludf.DUMMYFUNCTION("""COMPUTED_VALUE"""),"Campus San Francisco - CSF")</f>
        <v>Campus San Francisco - CSF</v>
      </c>
      <c r="K4" s="495" t="str">
        <f>IFERROR(__xludf.DUMMYFUNCTION("""COMPUTED_VALUE"""),"07")</f>
        <v>07</v>
      </c>
      <c r="L4" s="495" t="str">
        <f>IFERROR(__xludf.DUMMYFUNCTION("""COMPUTED_VALUE"""),"Kume Ruka SpA")</f>
        <v>Kume Ruka SpA</v>
      </c>
      <c r="M4" s="495" t="str">
        <f>IFERROR(__xludf.DUMMYFUNCTION("""COMPUTED_VALUE"""),"77.929.977-5")</f>
        <v>77.929.977-5</v>
      </c>
      <c r="N4" s="495" t="str">
        <f>IFERROR(__xludf.DUMMYFUNCTION("""COMPUTED_VALUE"""),"Hector Zambrano")</f>
        <v>Hector Zambrano</v>
      </c>
      <c r="O4" s="495" t="str">
        <f>IFERROR(__xludf.DUMMYFUNCTION("""COMPUTED_VALUE"""),"Mantenciones")</f>
        <v>Mantenciones</v>
      </c>
      <c r="P4" s="495" t="str">
        <f>IFERROR(__xludf.DUMMYFUNCTION("""COMPUTED_VALUE"""),"Cubiertas")</f>
        <v>Cubiertas</v>
      </c>
      <c r="Q4" s="495"/>
      <c r="R4" s="495"/>
      <c r="S4" s="495"/>
      <c r="T4" s="495"/>
      <c r="U4" s="495"/>
      <c r="V4" s="495" t="str">
        <f>IFERROR(__xludf.DUMMYFUNCTION("""COMPUTED_VALUE"""),"Reparación de cubierta de teja asfáltica en sus cuatro aguas, junto a una limpieza de canaletas.")</f>
        <v>Reparación de cubierta de teja asfáltica en sus cuatro aguas, junto a una limpieza de canaletas.</v>
      </c>
      <c r="W4" s="495"/>
      <c r="X4" s="495" t="str">
        <f>IFERROR(__xludf.DUMMYFUNCTION("""COMPUTED_VALUE"""),"https://drive.google.com/open?id=1cXvDJ7N2IhzZHogjIvg142W4z5I1YLys, https://drive.google.com/open?id=1aYKnKhXqw7iQwiwWitUwE1qO3Mb_1JRE, https://drive.google.com/open?id=1RZwZNyN7BIj71mA_XgkLx4u7xEO1rBda, https://drive.google.com/open?id=1OjcSN0zDthQfPXi9v"&amp;"9WRzxBnfze6clPW")</f>
        <v>https://drive.google.com/open?id=1cXvDJ7N2IhzZHogjIvg142W4z5I1YLys, https://drive.google.com/open?id=1aYKnKhXqw7iQwiwWitUwE1qO3Mb_1JRE, https://drive.google.com/open?id=1RZwZNyN7BIj71mA_XgkLx4u7xEO1rBda, https://drive.google.com/open?id=1OjcSN0zDthQfPXi9v9WRzxBnfze6clPW</v>
      </c>
      <c r="Y4" s="495" t="str">
        <f>IFERROR(__xludf.DUMMYFUNCTION("""COMPUTED_VALUE"""),"hzambranoleal@gmail.com")</f>
        <v>hzambranoleal@gmail.com</v>
      </c>
      <c r="Z4" s="498">
        <f>IFERROR(__xludf.DUMMYFUNCTION("""COMPUTED_VALUE"""),373851.0)</f>
        <v>373851</v>
      </c>
      <c r="AA4" s="495"/>
      <c r="AB4" s="495"/>
      <c r="AC4" s="495"/>
      <c r="AD4" s="495" t="str">
        <f>IFERROR(__xludf.DUMMYFUNCTION("""COMPUTED_VALUE"""),"RC-359_26")</f>
        <v>RC-359_26</v>
      </c>
    </row>
    <row r="5">
      <c r="A5" s="495" t="str">
        <f t="shared" si="1"/>
        <v>RC-357_26</v>
      </c>
      <c r="B5" s="497">
        <f>IFERROR(__xludf.DUMMYFUNCTION("""COMPUTED_VALUE"""),46238.457962465276)</f>
        <v>46238.45796</v>
      </c>
      <c r="C5" s="495" t="str">
        <f>IFERROR(__xludf.DUMMYFUNCTION("""COMPUTED_VALUE"""),"")</f>
        <v/>
      </c>
      <c r="D5" s="495" t="str">
        <f>IFERROR(__xludf.DUMMYFUNCTION("""COMPUTED_VALUE"""),"Mauricio Matus Belmar")</f>
        <v>Mauricio Matus Belmar</v>
      </c>
      <c r="E5" s="495"/>
      <c r="F5" s="496" t="str">
        <f>IFERROR(__xludf.DUMMYFUNCTION("""COMPUTED_VALUE"""),"5284-2026")</f>
        <v>5284-2026</v>
      </c>
      <c r="G5" s="495"/>
      <c r="H5" s="495"/>
      <c r="I5" s="495"/>
      <c r="J5" s="495" t="str">
        <f>IFERROR(__xludf.DUMMYFUNCTION("""COMPUTED_VALUE"""),"Campus Dr. Luis Rivas del Canto - CRC")</f>
        <v>Campus Dr. Luis Rivas del Canto - CRC</v>
      </c>
      <c r="K5" s="495">
        <f>IFERROR(__xludf.DUMMYFUNCTION("""COMPUTED_VALUE"""),17.0)</f>
        <v>17</v>
      </c>
      <c r="L5" s="495" t="str">
        <f>IFERROR(__xludf.DUMMYFUNCTION("""COMPUTED_VALUE"""),"Inversiones y Constructora JBG SpA ")</f>
        <v>Inversiones y Constructora JBG SpA </v>
      </c>
      <c r="M5" s="495" t="str">
        <f>IFERROR(__xludf.DUMMYFUNCTION("""COMPUTED_VALUE"""),"77.119.724-8")</f>
        <v>77.119.724-8</v>
      </c>
      <c r="N5" s="495" t="str">
        <f>IFERROR(__xludf.DUMMYFUNCTION("""COMPUTED_VALUE"""),"Jorge barra  G gerente operaciones")</f>
        <v>Jorge barra  G gerente operaciones</v>
      </c>
      <c r="O5" s="495" t="str">
        <f>IFERROR(__xludf.DUMMYFUNCTION("""COMPUTED_VALUE"""),"Mantenciones")</f>
        <v>Mantenciones</v>
      </c>
      <c r="P5" s="495" t="str">
        <f>IFERROR(__xludf.DUMMYFUNCTION("""COMPUTED_VALUE"""),"Cubiertas")</f>
        <v>Cubiertas</v>
      </c>
      <c r="Q5" s="495"/>
      <c r="R5" s="495"/>
      <c r="S5" s="495"/>
      <c r="T5" s="495"/>
      <c r="U5" s="495"/>
      <c r="V5" s="495" t="str">
        <f>IFERROR(__xludf.DUMMYFUNCTION("""COMPUTED_VALUE"""),"Sellos y colocación  de fijaciones en cubierta a intervenir")</f>
        <v>Sellos y colocación  de fijaciones en cubierta a intervenir</v>
      </c>
      <c r="W5" s="495" t="str">
        <f>IFERROR(__xludf.DUMMYFUNCTION("""COMPUTED_VALUE"""),"El.swctor esta con clavos y sin sellos la mayoría de la.cubierta y además.los policarbonatos están quemados por clima y se aco será el cambio.de estas planchas y recambio de fijaciones y sellos de clavos a tornillos de madera .")</f>
        <v>El.swctor esta con clavos y sin sellos la mayoría de la.cubierta y además.los policarbonatos están quemados por clima y se aco será el cambio.de estas planchas y recambio de fijaciones y sellos de clavos a tornillos de madera .</v>
      </c>
      <c r="X5" s="499" t="str">
        <f>IFERROR(__xludf.DUMMYFUNCTION("""COMPUTED_VALUE"""),"https://drive.google.com/open?id=1Ulh_7RPC9fk_MoIrBlF0bLa7huCYzYbx")</f>
        <v>https://drive.google.com/open?id=1Ulh_7RPC9fk_MoIrBlF0bLa7huCYzYbx</v>
      </c>
      <c r="Y5" s="495" t="str">
        <f>IFERROR(__xludf.DUMMYFUNCTION("""COMPUTED_VALUE"""),"constructorajbg@gmail.com")</f>
        <v>constructorajbg@gmail.com</v>
      </c>
      <c r="Z5" s="498">
        <f>IFERROR(__xludf.DUMMYFUNCTION("""COMPUTED_VALUE"""),202200.0)</f>
        <v>202200</v>
      </c>
      <c r="AA5" s="495"/>
      <c r="AB5" s="495"/>
      <c r="AC5" s="495"/>
      <c r="AD5" s="495" t="str">
        <f>IFERROR(__xludf.DUMMYFUNCTION("""COMPUTED_VALUE"""),"RC-357_26")</f>
        <v>RC-357_26</v>
      </c>
    </row>
    <row r="6">
      <c r="A6" s="495" t="str">
        <f t="shared" si="1"/>
        <v>RC-356_26</v>
      </c>
      <c r="B6" s="497">
        <f>IFERROR(__xludf.DUMMYFUNCTION("""COMPUTED_VALUE"""),46237.611955636574)</f>
        <v>46237.61196</v>
      </c>
      <c r="C6" s="495" t="str">
        <f>IFERROR(__xludf.DUMMYFUNCTION("""COMPUTED_VALUE"""),"")</f>
        <v/>
      </c>
      <c r="D6" s="495" t="str">
        <f>IFERROR(__xludf.DUMMYFUNCTION("""COMPUTED_VALUE"""),"Cristóbal Correa del Río")</f>
        <v>Cristóbal Correa del Río</v>
      </c>
      <c r="E6" s="495"/>
      <c r="F6" s="496">
        <f>IFERROR(__xludf.DUMMYFUNCTION("""COMPUTED_VALUE"""),5675.0)</f>
        <v>5675</v>
      </c>
      <c r="G6" s="495"/>
      <c r="H6" s="495"/>
      <c r="I6" s="495"/>
      <c r="J6" s="495" t="str">
        <f>IFERROR(__xludf.DUMMYFUNCTION("""COMPUTED_VALUE"""),"Campus San Francisco - CSF")</f>
        <v>Campus San Francisco - CSF</v>
      </c>
      <c r="K6" s="495" t="str">
        <f>IFERROR(__xludf.DUMMYFUNCTION("""COMPUTED_VALUE"""),"05")</f>
        <v>05</v>
      </c>
      <c r="L6" s="495" t="str">
        <f>IFERROR(__xludf.DUMMYFUNCTION("""COMPUTED_VALUE"""),"Construcciones: luisexequielsoliscatalan, e.i.r.l")</f>
        <v>Construcciones: luisexequielsoliscatalan, e.i.r.l</v>
      </c>
      <c r="M6" s="495" t="str">
        <f>IFERROR(__xludf.DUMMYFUNCTION("""COMPUTED_VALUE"""),"77.280.635-3")</f>
        <v>77.280.635-3</v>
      </c>
      <c r="N6" s="495" t="str">
        <f>IFERROR(__xludf.DUMMYFUNCTION("""COMPUTED_VALUE"""),"Luis solis , contratista")</f>
        <v>Luis solis , contratista</v>
      </c>
      <c r="O6" s="495" t="str">
        <f>IFERROR(__xludf.DUMMYFUNCTION("""COMPUTED_VALUE"""),"Mantenciones")</f>
        <v>Mantenciones</v>
      </c>
      <c r="P6" s="495" t="str">
        <f>IFERROR(__xludf.DUMMYFUNCTION("""COMPUTED_VALUE"""),"Terminaciones Interiores")</f>
        <v>Terminaciones Interiores</v>
      </c>
      <c r="Q6" s="495"/>
      <c r="R6" s="495"/>
      <c r="S6" s="495"/>
      <c r="T6" s="495"/>
      <c r="U6" s="495"/>
      <c r="V6" s="495" t="str">
        <f>IFERROR(__xludf.DUMMYFUNCTION("""COMPUTED_VALUE"""),"Encerar piso escenario aula magna , en dos manos ")</f>
        <v>Encerar piso escenario aula magna , en dos manos </v>
      </c>
      <c r="W6" s="495" t="str">
        <f>IFERROR(__xludf.DUMMYFUNCTION("""COMPUTED_VALUE"""),"Se debe encerar el piso del escenario de manera esporadica. ")</f>
        <v>Se debe encerar el piso del escenario de manera esporadica. </v>
      </c>
      <c r="X6" s="495" t="str">
        <f>IFERROR(__xludf.DUMMYFUNCTION("""COMPUTED_VALUE"""),"https://drive.google.com/open?id=1xbW61loVe-eiAkJklrN0Qdc1LNmSlyCR, https://drive.google.com/open?id=1I18hWgqLslzv4smsflo24huQHFs9_nc6, https://drive.google.com/open?id=1r_y8P2YtjHB2pyaKw1WwS6x42abNxKRi, https://drive.google.com/open?id=1n2adLbfRfSCBBusDP"&amp;"MIZ5HWASbbX580n, https://drive.google.com/open?id=1eA_cMYy4rwD8tc53gKDVLPAMOFK9mmRA")</f>
        <v>https://drive.google.com/open?id=1xbW61loVe-eiAkJklrN0Qdc1LNmSlyCR, https://drive.google.com/open?id=1I18hWgqLslzv4smsflo24huQHFs9_nc6, https://drive.google.com/open?id=1r_y8P2YtjHB2pyaKw1WwS6x42abNxKRi, https://drive.google.com/open?id=1n2adLbfRfSCBBusDPMIZ5HWASbbX580n, https://drive.google.com/open?id=1eA_cMYy4rwD8tc53gKDVLPAMOFK9mmRA</v>
      </c>
      <c r="Y6" s="495" t="str">
        <f>IFERROR(__xludf.DUMMYFUNCTION("""COMPUTED_VALUE"""),"luis.exequielsolis@gmail.com")</f>
        <v>luis.exequielsolis@gmail.com</v>
      </c>
      <c r="Z6" s="498">
        <f>IFERROR(__xludf.DUMMYFUNCTION("""COMPUTED_VALUE"""),366282.0)</f>
        <v>366282</v>
      </c>
      <c r="AA6" s="495"/>
      <c r="AB6" s="495"/>
      <c r="AC6" s="495"/>
      <c r="AD6" s="495" t="str">
        <f>IFERROR(__xludf.DUMMYFUNCTION("""COMPUTED_VALUE"""),"RC-356_26")</f>
        <v>RC-356_26</v>
      </c>
    </row>
    <row r="7">
      <c r="A7" s="495" t="str">
        <f t="shared" si="1"/>
        <v>RC-355_26</v>
      </c>
      <c r="B7" s="497">
        <f>IFERROR(__xludf.DUMMYFUNCTION("""COMPUTED_VALUE"""),46237.59575050926)</f>
        <v>46237.59575</v>
      </c>
      <c r="C7" s="495" t="str">
        <f>IFERROR(__xludf.DUMMYFUNCTION("""COMPUTED_VALUE"""),"")</f>
        <v/>
      </c>
      <c r="D7" s="495" t="str">
        <f>IFERROR(__xludf.DUMMYFUNCTION("""COMPUTED_VALUE"""),"Mauricio Matus Belmar")</f>
        <v>Mauricio Matus Belmar</v>
      </c>
      <c r="E7" s="495"/>
      <c r="F7" s="496" t="str">
        <f>IFERROR(__xludf.DUMMYFUNCTION("""COMPUTED_VALUE"""),"4144-2026")</f>
        <v>4144-2026</v>
      </c>
      <c r="G7" s="495"/>
      <c r="H7" s="495"/>
      <c r="I7" s="495"/>
      <c r="J7" s="495" t="str">
        <f>IFERROR(__xludf.DUMMYFUNCTION("""COMPUTED_VALUE"""),"Campus Educación Continua - CEC")</f>
        <v>Campus Educación Continua - CEC</v>
      </c>
      <c r="K7" s="495" t="str">
        <f>IFERROR(__xludf.DUMMYFUNCTION("""COMPUTED_VALUE"""),"Sin número")</f>
        <v>Sin número</v>
      </c>
      <c r="L7" s="495" t="str">
        <f>IFERROR(__xludf.DUMMYFUNCTION("""COMPUTED_VALUE"""),"Innovaclima MQ SPA")</f>
        <v>Innovaclima MQ SPA</v>
      </c>
      <c r="M7" s="495" t="str">
        <f>IFERROR(__xludf.DUMMYFUNCTION("""COMPUTED_VALUE"""),"76.464.159-0")</f>
        <v>76.464.159-0</v>
      </c>
      <c r="N7" s="495" t="str">
        <f>IFERROR(__xludf.DUMMYFUNCTION("""COMPUTED_VALUE"""),"Miguel Quezada Yáñez")</f>
        <v>Miguel Quezada Yáñez</v>
      </c>
      <c r="O7" s="495" t="str">
        <f>IFERROR(__xludf.DUMMYFUNCTION("""COMPUTED_VALUE"""),"Mantenciones")</f>
        <v>Mantenciones</v>
      </c>
      <c r="P7" s="495" t="str">
        <f>IFERROR(__xludf.DUMMYFUNCTION("""COMPUTED_VALUE"""),"Requerimientos Emergentes e Imprevistos")</f>
        <v>Requerimientos Emergentes e Imprevistos</v>
      </c>
      <c r="Q7" s="495"/>
      <c r="R7" s="495"/>
      <c r="S7" s="495"/>
      <c r="T7" s="495"/>
      <c r="U7" s="495"/>
      <c r="V7" s="495" t="str">
        <f>IFERROR(__xludf.DUMMYFUNCTION("""COMPUTED_VALUE"""),"Cambio pistón regulación de presión combustión, quemador de Caldera ")</f>
        <v>Cambio pistón regulación de presión combustión, quemador de Caldera </v>
      </c>
      <c r="W7" s="495"/>
      <c r="X7" s="499" t="str">
        <f>IFERROR(__xludf.DUMMYFUNCTION("""COMPUTED_VALUE"""),"https://drive.google.com/open?id=1j8Zhb213Rmf_3f3J6zybBjHBRg0Zex3h")</f>
        <v>https://drive.google.com/open?id=1j8Zhb213Rmf_3f3J6zybBjHBRg0Zex3h</v>
      </c>
      <c r="Y7" s="495" t="str">
        <f>IFERROR(__xludf.DUMMYFUNCTION("""COMPUTED_VALUE"""),"mquezaday@gmail.com")</f>
        <v>mquezaday@gmail.com</v>
      </c>
      <c r="Z7" s="498">
        <f>IFERROR(__xludf.DUMMYFUNCTION("""COMPUTED_VALUE"""),231336.0)</f>
        <v>231336</v>
      </c>
      <c r="AA7" s="495"/>
      <c r="AB7" s="495"/>
      <c r="AC7" s="495"/>
      <c r="AD7" s="495" t="str">
        <f>IFERROR(__xludf.DUMMYFUNCTION("""COMPUTED_VALUE"""),"RC-355_26")</f>
        <v>RC-355_26</v>
      </c>
    </row>
    <row r="8">
      <c r="A8" s="495" t="str">
        <f t="shared" si="1"/>
        <v>RC-353_26</v>
      </c>
      <c r="B8" s="497">
        <f>IFERROR(__xludf.DUMMYFUNCTION("""COMPUTED_VALUE"""),46237.53648609953)</f>
        <v>46237.53649</v>
      </c>
      <c r="C8" s="495" t="str">
        <f>IFERROR(__xludf.DUMMYFUNCTION("""COMPUTED_VALUE"""),"")</f>
        <v/>
      </c>
      <c r="D8" s="495" t="str">
        <f>IFERROR(__xludf.DUMMYFUNCTION("""COMPUTED_VALUE"""),"Felipe Anselme Grandón")</f>
        <v>Felipe Anselme Grandón</v>
      </c>
      <c r="E8" s="495"/>
      <c r="F8" s="496" t="str">
        <f>IFERROR(__xludf.DUMMYFUNCTION("""COMPUTED_VALUE"""),"6244 - 2026")</f>
        <v>6244 - 2026</v>
      </c>
      <c r="G8" s="495"/>
      <c r="H8" s="495"/>
      <c r="I8" s="495"/>
      <c r="J8" s="495" t="str">
        <f>IFERROR(__xludf.DUMMYFUNCTION("""COMPUTED_VALUE"""),"Campus San Juan Pablo II - CJP")</f>
        <v>Campus San Juan Pablo II - CJP</v>
      </c>
      <c r="K8" s="495" t="str">
        <f>IFERROR(__xludf.DUMMYFUNCTION("""COMPUTED_VALUE"""),"08")</f>
        <v>08</v>
      </c>
      <c r="L8" s="495" t="str">
        <f>IFERROR(__xludf.DUMMYFUNCTION("""COMPUTED_VALUE"""),"Constructora IGECE Ltda.")</f>
        <v>Constructora IGECE Ltda.</v>
      </c>
      <c r="M8" s="495" t="str">
        <f>IFERROR(__xludf.DUMMYFUNCTION("""COMPUTED_VALUE"""),"76.878.824-3")</f>
        <v>76.878.824-3</v>
      </c>
      <c r="N8" s="495" t="str">
        <f>IFERROR(__xludf.DUMMYFUNCTION("""COMPUTED_VALUE"""),"Carlos Troncoso - Gerente General ")</f>
        <v>Carlos Troncoso - Gerente General </v>
      </c>
      <c r="O8" s="495" t="str">
        <f>IFERROR(__xludf.DUMMYFUNCTION("""COMPUTED_VALUE"""),"Mantenciones")</f>
        <v>Mantenciones</v>
      </c>
      <c r="P8" s="495" t="str">
        <f>IFERROR(__xludf.DUMMYFUNCTION("""COMPUTED_VALUE"""),"Terminaciones Interiores")</f>
        <v>Terminaciones Interiores</v>
      </c>
      <c r="Q8" s="495"/>
      <c r="R8" s="495"/>
      <c r="S8" s="495"/>
      <c r="T8" s="495"/>
      <c r="U8" s="495"/>
      <c r="V8" s="495" t="str">
        <f>IFERROR(__xludf.DUMMYFUNCTION("""COMPUTED_VALUE"""),"Retiro y Reinstalación Gabinete CJP08 Sala 135:
DESARME GABINETE DE ALUMINIO , RETIRO JUANQUILLOS Y VIDRIOS
INSTALACION GABINETE DE ALUMINIO , INSTALACION DE JUNQUILLOS SELLADOS
CAMBIO DE 2 VIDRIOS NUEVOS UNO CON PERFORACION PARA LA CAMPANA
ASEO Y RETIRO"&amp;" DE ESCOMBROS")</f>
        <v>Retiro y Reinstalación Gabinete CJP08 Sala 135:
DESARME GABINETE DE ALUMINIO , RETIRO JUANQUILLOS Y VIDRIOS
INSTALACION GABINETE DE ALUMINIO , INSTALACION DE JUNQUILLOS SELLADOS
CAMBIO DE 2 VIDRIOS NUEVOS UNO CON PERFORACION PARA LA CAMPANA
ASEO Y RETIRO DE ESCOMBROS</v>
      </c>
      <c r="W8" s="495"/>
      <c r="X8" s="495" t="str">
        <f>IFERROR(__xludf.DUMMYFUNCTION("""COMPUTED_VALUE"""),"https://drive.google.com/open?id=1Mxjkmdr7EOcEXVBGglX_JIkI2EiM-u20, https://drive.google.com/open?id=1F4HiZi2uh25ULMlT8P15gyEWwB_btnk-, https://drive.google.com/open?id=1z1p8rMj9cb1IalnHySayB3MdDlF5lae-, https://drive.google.com/open?id=1QjDjL_kI3vIErVi6T"&amp;"HMSwFJlq38G7sR7")</f>
        <v>https://drive.google.com/open?id=1Mxjkmdr7EOcEXVBGglX_JIkI2EiM-u20, https://drive.google.com/open?id=1F4HiZi2uh25ULMlT8P15gyEWwB_btnk-, https://drive.google.com/open?id=1z1p8rMj9cb1IalnHySayB3MdDlF5lae-, https://drive.google.com/open?id=1QjDjL_kI3vIErVi6THMSwFJlq38G7sR7</v>
      </c>
      <c r="Y8" s="495" t="str">
        <f>IFERROR(__xludf.DUMMYFUNCTION("""COMPUTED_VALUE"""),"fabian.i.burgos.s@gmail.com")</f>
        <v>fabian.i.burgos.s@gmail.com</v>
      </c>
      <c r="Z8" s="498">
        <f>IFERROR(__xludf.DUMMYFUNCTION("""COMPUTED_VALUE"""),296310.0)</f>
        <v>296310</v>
      </c>
      <c r="AA8" s="495"/>
      <c r="AB8" s="495"/>
      <c r="AC8" s="495"/>
      <c r="AD8" s="495" t="str">
        <f>IFERROR(__xludf.DUMMYFUNCTION("""COMPUTED_VALUE"""),"RC-353_26")</f>
        <v>RC-353_26</v>
      </c>
    </row>
    <row r="9">
      <c r="A9" s="495" t="str">
        <f t="shared" si="1"/>
        <v>RC-352_26</v>
      </c>
      <c r="B9" s="497">
        <f>IFERROR(__xludf.DUMMYFUNCTION("""COMPUTED_VALUE"""),46237.47947388889)</f>
        <v>46237.47947</v>
      </c>
      <c r="C9" s="495" t="str">
        <f>IFERROR(__xludf.DUMMYFUNCTION("""COMPUTED_VALUE"""),"")</f>
        <v/>
      </c>
      <c r="D9" s="495" t="str">
        <f>IFERROR(__xludf.DUMMYFUNCTION("""COMPUTED_VALUE"""),"Juan Ignacio Solís de Ovando")</f>
        <v>Juan Ignacio Solís de Ovando</v>
      </c>
      <c r="E9" s="495"/>
      <c r="F9" s="496" t="str">
        <f>IFERROR(__xludf.DUMMYFUNCTION("""COMPUTED_VALUE"""),"5650 - 2026")</f>
        <v>5650 - 2026</v>
      </c>
      <c r="G9" s="495"/>
      <c r="H9" s="495"/>
      <c r="I9" s="495"/>
      <c r="J9" s="495" t="str">
        <f>IFERROR(__xludf.DUMMYFUNCTION("""COMPUTED_VALUE"""),"Campus Dr. Luis Rivas del Canto - CRC")</f>
        <v>Campus Dr. Luis Rivas del Canto - CRC</v>
      </c>
      <c r="K9" s="495" t="str">
        <f>IFERROR(__xludf.DUMMYFUNCTION("""COMPUTED_VALUE"""),"Exterior")</f>
        <v>Exterior</v>
      </c>
      <c r="L9" s="495" t="str">
        <f>IFERROR(__xludf.DUMMYFUNCTION("""COMPUTED_VALUE"""),"Constructora IGECE Ltda.")</f>
        <v>Constructora IGECE Ltda.</v>
      </c>
      <c r="M9" s="495" t="str">
        <f>IFERROR(__xludf.DUMMYFUNCTION("""COMPUTED_VALUE"""),"76.878.824-3")</f>
        <v>76.878.824-3</v>
      </c>
      <c r="N9" s="495" t="str">
        <f>IFERROR(__xludf.DUMMYFUNCTION("""COMPUTED_VALUE"""),"Carlos Troncoso - Gerente General ")</f>
        <v>Carlos Troncoso - Gerente General </v>
      </c>
      <c r="O9" s="495" t="str">
        <f>IFERROR(__xludf.DUMMYFUNCTION("""COMPUTED_VALUE"""),"Mantenciones")</f>
        <v>Mantenciones</v>
      </c>
      <c r="P9" s="495" t="str">
        <f>IFERROR(__xludf.DUMMYFUNCTION("""COMPUTED_VALUE"""),"Suelos")</f>
        <v>Suelos</v>
      </c>
      <c r="Q9" s="495"/>
      <c r="R9" s="495"/>
      <c r="S9" s="495"/>
      <c r="T9" s="495"/>
      <c r="U9" s="495"/>
      <c r="V9" s="495" t="str">
        <f>IFERROR(__xludf.DUMMYFUNCTION("""COMPUTED_VALUE"""),"Fabricación Estructura Radier: Escarpe, relleno, compactado,
hormigonado, incorporación de fibra de refuerzo para hormigón.")</f>
        <v>Fabricación Estructura Radier: Escarpe, relleno, compactado,
hormigonado, incorporación de fibra de refuerzo para hormigón.</v>
      </c>
      <c r="W9" s="495"/>
      <c r="X9" s="495" t="str">
        <f>IFERROR(__xludf.DUMMYFUNCTION("""COMPUTED_VALUE"""),"https://drive.google.com/open?id=1x-CSt9_jBwpg5WGrbqHlO1ySU4qD9LsY, https://drive.google.com/open?id=1pZ7fHMthId7MUgTBlb-j4WqGI8myLjea, https://drive.google.com/open?id=1AIOL2t3zd1G2EhjBc8EoUs1FBvQ-GgKV, https://drive.google.com/open?id=1SqLlCwmVk71SqF7p-"&amp;"pjWzte5Qu-SKrAW, https://drive.google.com/open?id=13XHaHo3mHtcuBAWLXqaMLar577ld_UlV, https://drive.google.com/open?id=1xEp2Rvg3ervvQJnbFKSlX8WCEstIrYQh")</f>
        <v>https://drive.google.com/open?id=1x-CSt9_jBwpg5WGrbqHlO1ySU4qD9LsY, https://drive.google.com/open?id=1pZ7fHMthId7MUgTBlb-j4WqGI8myLjea, https://drive.google.com/open?id=1AIOL2t3zd1G2EhjBc8EoUs1FBvQ-GgKV, https://drive.google.com/open?id=1SqLlCwmVk71SqF7p-pjWzte5Qu-SKrAW, https://drive.google.com/open?id=13XHaHo3mHtcuBAWLXqaMLar577ld_UlV, https://drive.google.com/open?id=1xEp2Rvg3ervvQJnbFKSlX8WCEstIrYQh</v>
      </c>
      <c r="Y9" s="495" t="str">
        <f>IFERROR(__xludf.DUMMYFUNCTION("""COMPUTED_VALUE"""),"fabian.i.burgos.s@gmail.com")</f>
        <v>fabian.i.burgos.s@gmail.com</v>
      </c>
      <c r="Z9" s="498">
        <f>IFERROR(__xludf.DUMMYFUNCTION("""COMPUTED_VALUE"""),791648.0)</f>
        <v>791648</v>
      </c>
      <c r="AA9" s="495"/>
      <c r="AB9" s="495"/>
      <c r="AC9" s="495"/>
      <c r="AD9" s="495" t="str">
        <f>IFERROR(__xludf.DUMMYFUNCTION("""COMPUTED_VALUE"""),"RC-352_26")</f>
        <v>RC-352_26</v>
      </c>
    </row>
    <row r="10">
      <c r="A10" s="495" t="str">
        <f t="shared" si="1"/>
        <v>RC-351_26</v>
      </c>
      <c r="B10" s="497">
        <f>IFERROR(__xludf.DUMMYFUNCTION("""COMPUTED_VALUE"""),46237.477459594906)</f>
        <v>46237.47746</v>
      </c>
      <c r="C10" s="495" t="str">
        <f>IFERROR(__xludf.DUMMYFUNCTION("""COMPUTED_VALUE"""),"")</f>
        <v/>
      </c>
      <c r="D10" s="495" t="str">
        <f>IFERROR(__xludf.DUMMYFUNCTION("""COMPUTED_VALUE"""),"Cristóbal Correa del Río")</f>
        <v>Cristóbal Correa del Río</v>
      </c>
      <c r="E10" s="495"/>
      <c r="F10" s="496" t="str">
        <f>IFERROR(__xludf.DUMMYFUNCTION("""COMPUTED_VALUE"""),"5251 - 2026")</f>
        <v>5251 - 2026</v>
      </c>
      <c r="G10" s="495"/>
      <c r="H10" s="495"/>
      <c r="I10" s="495"/>
      <c r="J10" s="495" t="str">
        <f>IFERROR(__xludf.DUMMYFUNCTION("""COMPUTED_VALUE"""),"Campus San Francisco - CSF")</f>
        <v>Campus San Francisco - CSF</v>
      </c>
      <c r="K10" s="495">
        <f>IFERROR(__xludf.DUMMYFUNCTION("""COMPUTED_VALUE"""),12.0)</f>
        <v>12</v>
      </c>
      <c r="L10" s="495" t="str">
        <f>IFERROR(__xludf.DUMMYFUNCTION("""COMPUTED_VALUE"""),"Constructora IGECE Ltda.")</f>
        <v>Constructora IGECE Ltda.</v>
      </c>
      <c r="M10" s="495" t="str">
        <f>IFERROR(__xludf.DUMMYFUNCTION("""COMPUTED_VALUE"""),"76.878.824-3")</f>
        <v>76.878.824-3</v>
      </c>
      <c r="N10" s="495" t="str">
        <f>IFERROR(__xludf.DUMMYFUNCTION("""COMPUTED_VALUE"""),"Carlos Troncoso - Gerente General ")</f>
        <v>Carlos Troncoso - Gerente General </v>
      </c>
      <c r="O10" s="495" t="str">
        <f>IFERROR(__xludf.DUMMYFUNCTION("""COMPUTED_VALUE"""),"Mantenciones")</f>
        <v>Mantenciones</v>
      </c>
      <c r="P10" s="495" t="str">
        <f>IFERROR(__xludf.DUMMYFUNCTION("""COMPUTED_VALUE"""),"Suelos")</f>
        <v>Suelos</v>
      </c>
      <c r="Q10" s="495"/>
      <c r="R10" s="495"/>
      <c r="S10" s="495"/>
      <c r="T10" s="495"/>
      <c r="U10" s="495"/>
      <c r="V10" s="495" t="str">
        <f>IFERROR(__xludf.DUMMYFUNCTION("""COMPUTED_VALUE"""),"Fabricación Rampa Hormigón 0,15x1,4x2,35: Retiro Estructura piso, instalación polietileno,
instalación malla Acma, instalación moldajes, hormigonado, afinado y pintado.")</f>
        <v>Fabricación Rampa Hormigón 0,15x1,4x2,35: Retiro Estructura piso, instalación polietileno,
instalación malla Acma, instalación moldajes, hormigonado, afinado y pintado.</v>
      </c>
      <c r="W10" s="495"/>
      <c r="X10" s="495" t="str">
        <f>IFERROR(__xludf.DUMMYFUNCTION("""COMPUTED_VALUE"""),"https://drive.google.com/open?id=1MZCCO-0EUxPyeH1EEetjvaq6maNVSe8d, https://drive.google.com/open?id=1DbLkxULSKuPHjCnIY2pl5vYkX27Q5hk0, https://drive.google.com/open?id=1CQ2koqm3VFKu78EdjWyF2QlbaYCv2sVL, https://drive.google.com/open?id=1EzgeOtiSQEVPl0jMu"&amp;"OjHl6V5yymtRhol")</f>
        <v>https://drive.google.com/open?id=1MZCCO-0EUxPyeH1EEetjvaq6maNVSe8d, https://drive.google.com/open?id=1DbLkxULSKuPHjCnIY2pl5vYkX27Q5hk0, https://drive.google.com/open?id=1CQ2koqm3VFKu78EdjWyF2QlbaYCv2sVL, https://drive.google.com/open?id=1EzgeOtiSQEVPl0jMuOjHl6V5yymtRhol</v>
      </c>
      <c r="Y10" s="495" t="str">
        <f>IFERROR(__xludf.DUMMYFUNCTION("""COMPUTED_VALUE"""),"fabian.i.burgos.s@gmail.com")</f>
        <v>fabian.i.burgos.s@gmail.com</v>
      </c>
      <c r="Z10" s="498">
        <f>IFERROR(__xludf.DUMMYFUNCTION("""COMPUTED_VALUE"""),365996.0)</f>
        <v>365996</v>
      </c>
      <c r="AA10" s="495"/>
      <c r="AB10" s="495"/>
      <c r="AC10" s="495"/>
      <c r="AD10" s="495" t="str">
        <f>IFERROR(__xludf.DUMMYFUNCTION("""COMPUTED_VALUE"""),"RC-351_26")</f>
        <v>RC-351_26</v>
      </c>
    </row>
    <row r="11">
      <c r="A11" s="495" t="str">
        <f t="shared" si="1"/>
        <v>RC-350_26</v>
      </c>
      <c r="B11" s="497">
        <f>IFERROR(__xludf.DUMMYFUNCTION("""COMPUTED_VALUE"""),46237.47530471065)</f>
        <v>46237.4753</v>
      </c>
      <c r="C11" s="495" t="str">
        <f>IFERROR(__xludf.DUMMYFUNCTION("""COMPUTED_VALUE"""),"")</f>
        <v/>
      </c>
      <c r="D11" s="495" t="str">
        <f>IFERROR(__xludf.DUMMYFUNCTION("""COMPUTED_VALUE"""),"Mauricio Matus Belmar")</f>
        <v>Mauricio Matus Belmar</v>
      </c>
      <c r="E11" s="495"/>
      <c r="F11" s="496" t="str">
        <f>IFERROR(__xludf.DUMMYFUNCTION("""COMPUTED_VALUE"""),"4874 - 2026")</f>
        <v>4874 - 2026</v>
      </c>
      <c r="G11" s="495"/>
      <c r="H11" s="495"/>
      <c r="I11" s="495"/>
      <c r="J11" s="495" t="str">
        <f>IFERROR(__xludf.DUMMYFUNCTION("""COMPUTED_VALUE"""),"Campus San Juan Pablo II - CJP")</f>
        <v>Campus San Juan Pablo II - CJP</v>
      </c>
      <c r="K11" s="495" t="str">
        <f>IFERROR(__xludf.DUMMYFUNCTION("""COMPUTED_VALUE"""),"02")</f>
        <v>02</v>
      </c>
      <c r="L11" s="495" t="str">
        <f>IFERROR(__xludf.DUMMYFUNCTION("""COMPUTED_VALUE"""),"Constructora IGECE Ltda.")</f>
        <v>Constructora IGECE Ltda.</v>
      </c>
      <c r="M11" s="495" t="str">
        <f>IFERROR(__xludf.DUMMYFUNCTION("""COMPUTED_VALUE"""),"76.878.824-3")</f>
        <v>76.878.824-3</v>
      </c>
      <c r="N11" s="495" t="str">
        <f>IFERROR(__xludf.DUMMYFUNCTION("""COMPUTED_VALUE"""),"Carlos Troncoso - Gerente General ")</f>
        <v>Carlos Troncoso - Gerente General </v>
      </c>
      <c r="O11" s="495" t="str">
        <f>IFERROR(__xludf.DUMMYFUNCTION("""COMPUTED_VALUE"""),"Mantenciones")</f>
        <v>Mantenciones</v>
      </c>
      <c r="P11" s="495" t="str">
        <f>IFERROR(__xludf.DUMMYFUNCTION("""COMPUTED_VALUE"""),"Terminaciones Interiores")</f>
        <v>Terminaciones Interiores</v>
      </c>
      <c r="Q11" s="495"/>
      <c r="R11" s="495"/>
      <c r="S11" s="495"/>
      <c r="T11" s="495"/>
      <c r="U11" s="495"/>
      <c r="V11" s="495" t="str">
        <f>IFERROR(__xludf.DUMMYFUNCTION("""COMPUTED_VALUE"""),"Cambio Plancha + Pintura CJP02 Of 5: Retiro plancha con humedad, instalación
nueva plancha, huinchas, empaste, yeso, lijado, aplicación 2 manos de pintura
látex.")</f>
        <v>Cambio Plancha + Pintura CJP02 Of 5: Retiro plancha con humedad, instalación
nueva plancha, huinchas, empaste, yeso, lijado, aplicación 2 manos de pintura
látex.</v>
      </c>
      <c r="W11" s="495"/>
      <c r="X11" s="495" t="str">
        <f>IFERROR(__xludf.DUMMYFUNCTION("""COMPUTED_VALUE"""),"https://drive.google.com/open?id=1TecFEMyOMNTqA0fPN2Ns5nfC8LQ4M4eq, https://drive.google.com/open?id=1rJkR8ncZRV-wX_nCZp-l9Q9RTpnU5u-4, https://drive.google.com/open?id=1qyRtw6a6_tQeIC5sXS9KsqBX7JT1Xr7F, https://drive.google.com/open?id=1q8B4wU1mjhNCrbtQI"&amp;"6phjJnEMIoFy_L5")</f>
        <v>https://drive.google.com/open?id=1TecFEMyOMNTqA0fPN2Ns5nfC8LQ4M4eq, https://drive.google.com/open?id=1rJkR8ncZRV-wX_nCZp-l9Q9RTpnU5u-4, https://drive.google.com/open?id=1qyRtw6a6_tQeIC5sXS9KsqBX7JT1Xr7F, https://drive.google.com/open?id=1q8B4wU1mjhNCrbtQI6phjJnEMIoFy_L5</v>
      </c>
      <c r="Y11" s="495" t="str">
        <f>IFERROR(__xludf.DUMMYFUNCTION("""COMPUTED_VALUE"""),"fabian.i.burgos.s@gmail.com")</f>
        <v>fabian.i.burgos.s@gmail.com</v>
      </c>
      <c r="Z11" s="498">
        <f>IFERROR(__xludf.DUMMYFUNCTION("""COMPUTED_VALUE"""),235620.0)</f>
        <v>235620</v>
      </c>
      <c r="AA11" s="495"/>
      <c r="AB11" s="495"/>
      <c r="AC11" s="495"/>
      <c r="AD11" s="495" t="str">
        <f>IFERROR(__xludf.DUMMYFUNCTION("""COMPUTED_VALUE"""),"RC-350_26")</f>
        <v>RC-350_26</v>
      </c>
    </row>
    <row r="12">
      <c r="A12" s="495" t="str">
        <f t="shared" si="1"/>
        <v>RC-348_26</v>
      </c>
      <c r="B12" s="497">
        <f>IFERROR(__xludf.DUMMYFUNCTION("""COMPUTED_VALUE"""),46237.468722997684)</f>
        <v>46237.46872</v>
      </c>
      <c r="C12" s="495" t="str">
        <f>IFERROR(__xludf.DUMMYFUNCTION("""COMPUTED_VALUE"""),"")</f>
        <v/>
      </c>
      <c r="D12" s="495" t="str">
        <f>IFERROR(__xludf.DUMMYFUNCTION("""COMPUTED_VALUE"""),"Cristóbal Correa del Río")</f>
        <v>Cristóbal Correa del Río</v>
      </c>
      <c r="E12" s="495"/>
      <c r="F12" s="496" t="str">
        <f>IFERROR(__xludf.DUMMYFUNCTION("""COMPUTED_VALUE"""),"4219 - 2026")</f>
        <v>4219 - 2026</v>
      </c>
      <c r="G12" s="495"/>
      <c r="H12" s="495"/>
      <c r="I12" s="495"/>
      <c r="J12" s="495" t="str">
        <f>IFERROR(__xludf.DUMMYFUNCTION("""COMPUTED_VALUE"""),"Campus San Francisco - CSF")</f>
        <v>Campus San Francisco - CSF</v>
      </c>
      <c r="K12" s="495">
        <f>IFERROR(__xludf.DUMMYFUNCTION("""COMPUTED_VALUE"""),16.0)</f>
        <v>16</v>
      </c>
      <c r="L12" s="495" t="str">
        <f>IFERROR(__xludf.DUMMYFUNCTION("""COMPUTED_VALUE"""),"Constructora IGECE Ltda.")</f>
        <v>Constructora IGECE Ltda.</v>
      </c>
      <c r="M12" s="495" t="str">
        <f>IFERROR(__xludf.DUMMYFUNCTION("""COMPUTED_VALUE"""),"76.878.824-3")</f>
        <v>76.878.824-3</v>
      </c>
      <c r="N12" s="495" t="str">
        <f>IFERROR(__xludf.DUMMYFUNCTION("""COMPUTED_VALUE"""),"Carlos Troncoso - Gerente General ")</f>
        <v>Carlos Troncoso - Gerente General </v>
      </c>
      <c r="O12" s="495" t="str">
        <f>IFERROR(__xludf.DUMMYFUNCTION("""COMPUTED_VALUE"""),"Mantenciones")</f>
        <v>Mantenciones</v>
      </c>
      <c r="P12" s="495" t="str">
        <f>IFERROR(__xludf.DUMMYFUNCTION("""COMPUTED_VALUE"""),"Terminaciones Interiores")</f>
        <v>Terminaciones Interiores</v>
      </c>
      <c r="Q12" s="495"/>
      <c r="R12" s="495"/>
      <c r="S12" s="495"/>
      <c r="T12" s="495"/>
      <c r="U12" s="495"/>
      <c r="V12" s="495" t="str">
        <f>IFERROR(__xludf.DUMMYFUNCTION("""COMPUTED_VALUE"""),"Fabricación 2 Escritorios 0,75x1,75x0,73 : Fabricación en marco acero
40x30x3 electro pintado, base Melamina blanca 15 mm, instalación
tapacantos blanco en todo el perímetro de la cubierta instalación tapas en
las 8 patas de los escritorios.
Fabricación "&amp;"2 Cajoneras con ruedas 0,4x0,4x0,68: Fabricación en
melamina blanca de 15 mm espesor, instalación 8 ruedas giratorias con
freno (soporta hasta 45 kg cada rueda).
Retape tabique 1,64x1,1 + Pintura 2.3x2.4: Instalación plancha yeso
cartón st 10 mm, refuerz"&amp;"o con Metalcon 60, huinchas, pasta, lijado,
aplicación 2 manos de pintura tipo esmalte al agua (definir color).
Fabricación e instalación Mampara: Fabricación e instalación Mampara
puerta abatible + paño fijo, marco aluminio color champaña, vidrios simpl"&amp;"e.
ORDEN, ASEO Y RETIRO EXEDENTES: Se Realiza aseo general y retiro
de todo residuo generado por los trabajos, dejando todo en perfectas
condiciones.")</f>
        <v>Fabricación 2 Escritorios 0,75x1,75x0,73 : Fabricación en marco acero
40x30x3 electro pintado, base Melamina blanca 15 mm, instalación
tapacantos blanco en todo el perímetro de la cubierta instalación tapas en
las 8 patas de los escritorios.
Fabricación 2 Cajoneras con ruedas 0,4x0,4x0,68: Fabricación en
melamina blanca de 15 mm espesor, instalación 8 ruedas giratorias con
freno (soporta hasta 45 kg cada rueda).
Retape tabique 1,64x1,1 + Pintura 2.3x2.4: Instalación plancha yeso
cartón st 10 mm, refuerzo con Metalcon 60, huinchas, pasta, lijado,
aplicación 2 manos de pintura tipo esmalte al agua (definir color).
Fabricación e instalación Mampara: Fabricación e instalación Mampara
puerta abatible + paño fijo, marco aluminio color champaña, vidrios simple.
ORDEN, ASEO Y RETIRO EXEDENTES: Se Realiza aseo general y retiro
de todo residuo generado por los trabajos, dejando todo en perfectas
condiciones.</v>
      </c>
      <c r="W12" s="495"/>
      <c r="X12" s="495" t="str">
        <f>IFERROR(__xludf.DUMMYFUNCTION("""COMPUTED_VALUE"""),"https://drive.google.com/open?id=1eXefSUA-Pl_JOnlhc8kFHBYa8eXggMMI, https://drive.google.com/open?id=1MtqwqrcfBlVC2YbrA6mqj2zDFVtQ_3ap, https://drive.google.com/open?id=1jVSChMSXexAkQts9TKDxW4wSWUN9TNA_, https://drive.google.com/open?id=1y3mg6nsNGPInGgGmO"&amp;"KcvlGXMyJOiGWaF")</f>
        <v>https://drive.google.com/open?id=1eXefSUA-Pl_JOnlhc8kFHBYa8eXggMMI, https://drive.google.com/open?id=1MtqwqrcfBlVC2YbrA6mqj2zDFVtQ_3ap, https://drive.google.com/open?id=1jVSChMSXexAkQts9TKDxW4wSWUN9TNA_, https://drive.google.com/open?id=1y3mg6nsNGPInGgGmOKcvlGXMyJOiGWaF</v>
      </c>
      <c r="Y12" s="495" t="str">
        <f>IFERROR(__xludf.DUMMYFUNCTION("""COMPUTED_VALUE"""),"fabian.i.burgos.s@gmail.com")</f>
        <v>fabian.i.burgos.s@gmail.com</v>
      </c>
      <c r="Z12" s="498">
        <f>IFERROR(__xludf.DUMMYFUNCTION("""COMPUTED_VALUE"""),1401043.0)</f>
        <v>1401043</v>
      </c>
      <c r="AA12" s="495"/>
      <c r="AB12" s="495"/>
      <c r="AC12" s="495"/>
      <c r="AD12" s="495" t="str">
        <f>IFERROR(__xludf.DUMMYFUNCTION("""COMPUTED_VALUE"""),"RC-348_26")</f>
        <v>RC-348_26</v>
      </c>
    </row>
    <row r="13">
      <c r="A13" s="495" t="str">
        <f t="shared" si="1"/>
        <v>RC-023</v>
      </c>
      <c r="B13" s="497">
        <f>IFERROR(__xludf.DUMMYFUNCTION("""COMPUTED_VALUE"""),45905.51824628472)</f>
        <v>45905.51825</v>
      </c>
      <c r="C13" s="495" t="str">
        <f>IFERROR(__xludf.DUMMYFUNCTION("""COMPUTED_VALUE"""),"")</f>
        <v/>
      </c>
      <c r="D13" s="495" t="str">
        <f>IFERROR(__xludf.DUMMYFUNCTION("""COMPUTED_VALUE"""),"Mauricio Matus Belmar")</f>
        <v>Mauricio Matus Belmar</v>
      </c>
      <c r="E13" s="495"/>
      <c r="F13" s="496">
        <f>IFERROR(__xludf.DUMMYFUNCTION("""COMPUTED_VALUE"""),6077.0)</f>
        <v>6077</v>
      </c>
      <c r="G13" s="495"/>
      <c r="H13" s="495"/>
      <c r="I13" s="495"/>
      <c r="J13" s="495" t="str">
        <f>IFERROR(__xludf.DUMMYFUNCTION("""COMPUTED_VALUE"""),"Campus Pillanlelbun - CPL")</f>
        <v>Campus Pillanlelbun - CPL</v>
      </c>
      <c r="K13" s="495" t="str">
        <f>IFERROR(__xludf.DUMMYFUNCTION("""COMPUTED_VALUE"""),"Exterior")</f>
        <v>Exterior</v>
      </c>
      <c r="L13" s="495" t="str">
        <f>IFERROR(__xludf.DUMMYFUNCTION("""COMPUTED_VALUE"""),"Empresa Constructora IGECE Ltda.")</f>
        <v>Empresa Constructora IGECE Ltda.</v>
      </c>
      <c r="M13" s="495" t="str">
        <f>IFERROR(__xludf.DUMMYFUNCTION("""COMPUTED_VALUE"""),"76.878.824-3")</f>
        <v>76.878.824-3</v>
      </c>
      <c r="N13" s="495" t="str">
        <f>IFERROR(__xludf.DUMMYFUNCTION("""COMPUTED_VALUE"""),"Carlos Troncoso Gerente General ")</f>
        <v>Carlos Troncoso Gerente General </v>
      </c>
      <c r="O13" s="495" t="str">
        <f>IFERROR(__xludf.DUMMYFUNCTION("""COMPUTED_VALUE"""),"Obras")</f>
        <v>Obras</v>
      </c>
      <c r="P13" s="495"/>
      <c r="Q13" s="495"/>
      <c r="R13" s="495" t="str">
        <f>IFERROR(__xludf.DUMMYFUNCTION("""COMPUTED_VALUE"""),"Remodelación")</f>
        <v>Remodelación</v>
      </c>
      <c r="S13" s="495" t="str">
        <f>IFERROR(__xludf.DUMMYFUNCTION("""COMPUTED_VALUE"""),"Recepción de Obra - RC")</f>
        <v>Recepción de Obra - RC</v>
      </c>
      <c r="T13" s="495"/>
      <c r="U13" s="495"/>
      <c r="V13" s="495" t="str">
        <f>IFERROR(__xludf.DUMMYFUNCTION("""COMPUTED_VALUE"""),"Se realizó mejoramiento sala de ordeña, sector lechería ")</f>
        <v>Se realizó mejoramiento sala de ordeña, sector lechería </v>
      </c>
      <c r="W13" s="495"/>
      <c r="X13" s="495" t="str">
        <f>IFERROR(__xludf.DUMMYFUNCTION("""COMPUTED_VALUE"""),"https://drive.google.com/open?id=1eWpC4neyrHAD3N8XHBpmddWthpqNwhtF, https://drive.google.com/open?id=1R5J1r0XqeyJtgDJuR7OrW3sNMISWUO8O, https://drive.google.com/open?id=1k1KZ8kDZnF945MxkjSpMOBc4zXchBrmV, https://drive.google.com/open?id=1KZC1AckmhXQ0ZhSiu"&amp;"_QzaQEnttYXqo4S, https://drive.google.com/open?id=1tWUUYUKqIoC1DX7oUVVPGK1eHk0mhtFD")</f>
        <v>https://drive.google.com/open?id=1eWpC4neyrHAD3N8XHBpmddWthpqNwhtF, https://drive.google.com/open?id=1R5J1r0XqeyJtgDJuR7OrW3sNMISWUO8O, https://drive.google.com/open?id=1k1KZ8kDZnF945MxkjSpMOBc4zXchBrmV, https://drive.google.com/open?id=1KZC1AckmhXQ0ZhSiu_QzaQEnttYXqo4S, https://drive.google.com/open?id=1tWUUYUKqIoC1DX7oUVVPGK1eHk0mhtFD</v>
      </c>
      <c r="Y13" s="495" t="str">
        <f>IFERROR(__xludf.DUMMYFUNCTION("""COMPUTED_VALUE"""),"carlostroncosom@hotmail.com")</f>
        <v>carlostroncosom@hotmail.com</v>
      </c>
      <c r="Z13" s="495"/>
      <c r="AA13" s="495"/>
      <c r="AB13" s="495"/>
      <c r="AC13" s="495"/>
      <c r="AD13" s="495" t="str">
        <f>IFERROR(__xludf.DUMMYFUNCTION("""COMPUTED_VALUE"""),"RC-023")</f>
        <v>RC-023</v>
      </c>
    </row>
    <row r="14">
      <c r="A14" s="495" t="str">
        <f t="shared" si="1"/>
        <v>RC-347_26</v>
      </c>
      <c r="B14" s="497">
        <f>IFERROR(__xludf.DUMMYFUNCTION("""COMPUTED_VALUE"""),46237.4660028125)</f>
        <v>46237.466</v>
      </c>
      <c r="C14" s="495" t="str">
        <f>IFERROR(__xludf.DUMMYFUNCTION("""COMPUTED_VALUE"""),"")</f>
        <v/>
      </c>
      <c r="D14" s="495" t="str">
        <f>IFERROR(__xludf.DUMMYFUNCTION("""COMPUTED_VALUE"""),"Carol Huenchual Chañilao")</f>
        <v>Carol Huenchual Chañilao</v>
      </c>
      <c r="E14" s="495"/>
      <c r="F14" s="496" t="str">
        <f>IFERROR(__xludf.DUMMYFUNCTION("""COMPUTED_VALUE"""),"5189 - 2026")</f>
        <v>5189 - 2026</v>
      </c>
      <c r="G14" s="495"/>
      <c r="H14" s="495"/>
      <c r="I14" s="495"/>
      <c r="J14" s="495" t="str">
        <f>IFERROR(__xludf.DUMMYFUNCTION("""COMPUTED_VALUE"""),"Campus San Francisco - CSF")</f>
        <v>Campus San Francisco - CSF</v>
      </c>
      <c r="K14" s="495">
        <f>IFERROR(__xludf.DUMMYFUNCTION("""COMPUTED_VALUE"""),10.0)</f>
        <v>10</v>
      </c>
      <c r="L14" s="495" t="str">
        <f>IFERROR(__xludf.DUMMYFUNCTION("""COMPUTED_VALUE"""),"Constructora IGECE Ltda.")</f>
        <v>Constructora IGECE Ltda.</v>
      </c>
      <c r="M14" s="495" t="str">
        <f>IFERROR(__xludf.DUMMYFUNCTION("""COMPUTED_VALUE"""),"76.878.824-3")</f>
        <v>76.878.824-3</v>
      </c>
      <c r="N14" s="495" t="str">
        <f>IFERROR(__xludf.DUMMYFUNCTION("""COMPUTED_VALUE"""),"Carlos Troncoso - Gerente General ")</f>
        <v>Carlos Troncoso - Gerente General </v>
      </c>
      <c r="O14" s="495" t="str">
        <f>IFERROR(__xludf.DUMMYFUNCTION("""COMPUTED_VALUE"""),"Mantenciones")</f>
        <v>Mantenciones</v>
      </c>
      <c r="P14" s="495" t="str">
        <f>IFERROR(__xludf.DUMMYFUNCTION("""COMPUTED_VALUE"""),"Cubiertas")</f>
        <v>Cubiertas</v>
      </c>
      <c r="Q14" s="495"/>
      <c r="R14" s="495"/>
      <c r="S14" s="495"/>
      <c r="T14" s="495"/>
      <c r="U14" s="495"/>
      <c r="V14" s="495" t="str">
        <f>IFERROR(__xludf.DUMMYFUNCTION("""COMPUTED_VALUE"""),"Detalle Trabajos Filtración CSF10 Sala de estar: Revisión y
detección filtración, secado cubierta sector reparar, repaso y
mejoramientos sellos varios.")</f>
        <v>Detalle Trabajos Filtración CSF10 Sala de estar: Revisión y
detección filtración, secado cubierta sector reparar, repaso y
mejoramientos sellos varios.</v>
      </c>
      <c r="W14" s="495"/>
      <c r="X14" s="499" t="str">
        <f>IFERROR(__xludf.DUMMYFUNCTION("""COMPUTED_VALUE"""),"https://drive.google.com/open?id=13xhYLXIUr7r951KqW8GfDmyxjOneyDFF")</f>
        <v>https://drive.google.com/open?id=13xhYLXIUr7r951KqW8GfDmyxjOneyDFF</v>
      </c>
      <c r="Y14" s="495" t="str">
        <f>IFERROR(__xludf.DUMMYFUNCTION("""COMPUTED_VALUE"""),"fabian.i.burgos.s@gmail.com")</f>
        <v>fabian.i.burgos.s@gmail.com</v>
      </c>
      <c r="Z14" s="498">
        <f>IFERROR(__xludf.DUMMYFUNCTION("""COMPUTED_VALUE"""),338079.0)</f>
        <v>338079</v>
      </c>
      <c r="AA14" s="495"/>
      <c r="AB14" s="495"/>
      <c r="AC14" s="495"/>
      <c r="AD14" s="495" t="str">
        <f>IFERROR(__xludf.DUMMYFUNCTION("""COMPUTED_VALUE"""),"RC-347_26")</f>
        <v>RC-347_26</v>
      </c>
    </row>
    <row r="15">
      <c r="A15" s="495" t="str">
        <f t="shared" si="1"/>
        <v>RC-345_26</v>
      </c>
      <c r="B15" s="497">
        <f>IFERROR(__xludf.DUMMYFUNCTION("""COMPUTED_VALUE"""),46237.463149664356)</f>
        <v>46237.46315</v>
      </c>
      <c r="C15" s="495" t="str">
        <f>IFERROR(__xludf.DUMMYFUNCTION("""COMPUTED_VALUE"""),"")</f>
        <v/>
      </c>
      <c r="D15" s="495" t="str">
        <f>IFERROR(__xludf.DUMMYFUNCTION("""COMPUTED_VALUE"""),"Carol Huenchual Chañilao")</f>
        <v>Carol Huenchual Chañilao</v>
      </c>
      <c r="E15" s="495"/>
      <c r="F15" s="496" t="str">
        <f>IFERROR(__xludf.DUMMYFUNCTION("""COMPUTED_VALUE"""),"5171 - 2026")</f>
        <v>5171 - 2026</v>
      </c>
      <c r="G15" s="495"/>
      <c r="H15" s="495"/>
      <c r="I15" s="495"/>
      <c r="J15" s="495" t="str">
        <f>IFERROR(__xludf.DUMMYFUNCTION("""COMPUTED_VALUE"""),"Campus San Francisco - CSF")</f>
        <v>Campus San Francisco - CSF</v>
      </c>
      <c r="K15" s="495">
        <f>IFERROR(__xludf.DUMMYFUNCTION("""COMPUTED_VALUE"""),13.0)</f>
        <v>13</v>
      </c>
      <c r="L15" s="495" t="str">
        <f>IFERROR(__xludf.DUMMYFUNCTION("""COMPUTED_VALUE"""),"Constructora IGECE Ltda.")</f>
        <v>Constructora IGECE Ltda.</v>
      </c>
      <c r="M15" s="495" t="str">
        <f>IFERROR(__xludf.DUMMYFUNCTION("""COMPUTED_VALUE"""),"76.878.824-3")</f>
        <v>76.878.824-3</v>
      </c>
      <c r="N15" s="495" t="str">
        <f>IFERROR(__xludf.DUMMYFUNCTION("""COMPUTED_VALUE"""),"Carlos Troncoso - Gerente General ")</f>
        <v>Carlos Troncoso - Gerente General </v>
      </c>
      <c r="O15" s="495" t="str">
        <f>IFERROR(__xludf.DUMMYFUNCTION("""COMPUTED_VALUE"""),"Mantenciones")</f>
        <v>Mantenciones</v>
      </c>
      <c r="P15" s="495" t="str">
        <f>IFERROR(__xludf.DUMMYFUNCTION("""COMPUTED_VALUE"""),"Cubiertas")</f>
        <v>Cubiertas</v>
      </c>
      <c r="Q15" s="495"/>
      <c r="R15" s="495"/>
      <c r="S15" s="495"/>
      <c r="T15" s="495"/>
      <c r="U15" s="495"/>
      <c r="V15" s="495" t="str">
        <f>IFERROR(__xludf.DUMMYFUNCTION("""COMPUTED_VALUE"""),"Filtración CSF13 Oficina con goteras: Revisión filtración,
mejoramiento sellos y revisión tornillos.")</f>
        <v>Filtración CSF13 Oficina con goteras: Revisión filtración,
mejoramiento sellos y revisión tornillos.</v>
      </c>
      <c r="W15" s="495"/>
      <c r="X15" s="495" t="str">
        <f>IFERROR(__xludf.DUMMYFUNCTION("""COMPUTED_VALUE"""),"https://drive.google.com/open?id=1KQShVGp2Yx3dEbof2R1Zr5ehIHsOqtqG, https://drive.google.com/open?id=1bo7HMi_b4kk9Zd-6z4b9HDpm-W06Vhm3, https://drive.google.com/open?id=1UhpAFIPkHjaExbQsf6bkAwSMEUBN8sjE")</f>
        <v>https://drive.google.com/open?id=1KQShVGp2Yx3dEbof2R1Zr5ehIHsOqtqG, https://drive.google.com/open?id=1bo7HMi_b4kk9Zd-6z4b9HDpm-W06Vhm3, https://drive.google.com/open?id=1UhpAFIPkHjaExbQsf6bkAwSMEUBN8sjE</v>
      </c>
      <c r="Y15" s="495" t="str">
        <f>IFERROR(__xludf.DUMMYFUNCTION("""COMPUTED_VALUE"""),"fabian.i.burgos.s@gmail.com")</f>
        <v>fabian.i.burgos.s@gmail.com</v>
      </c>
      <c r="Z15" s="498">
        <f>IFERROR(__xludf.DUMMYFUNCTION("""COMPUTED_VALUE"""),57120.0)</f>
        <v>57120</v>
      </c>
      <c r="AA15" s="495"/>
      <c r="AB15" s="495"/>
      <c r="AC15" s="495"/>
      <c r="AD15" s="495" t="str">
        <f>IFERROR(__xludf.DUMMYFUNCTION("""COMPUTED_VALUE"""),"RC-345_26")</f>
        <v>RC-345_26</v>
      </c>
    </row>
    <row r="16">
      <c r="A16" s="495" t="str">
        <f t="shared" si="1"/>
        <v>RC-344_26</v>
      </c>
      <c r="B16" s="497">
        <f>IFERROR(__xludf.DUMMYFUNCTION("""COMPUTED_VALUE"""),46234.3973606713)</f>
        <v>46234.39736</v>
      </c>
      <c r="C16" s="495" t="str">
        <f>IFERROR(__xludf.DUMMYFUNCTION("""COMPUTED_VALUE"""),"")</f>
        <v/>
      </c>
      <c r="D16" s="495" t="str">
        <f>IFERROR(__xludf.DUMMYFUNCTION("""COMPUTED_VALUE"""),"Oscar Painén Briones")</f>
        <v>Oscar Painén Briones</v>
      </c>
      <c r="E16" s="495"/>
      <c r="F16" s="496" t="str">
        <f>IFERROR(__xludf.DUMMYFUNCTION("""COMPUTED_VALUE"""),"6269 2026")</f>
        <v>6269 2026</v>
      </c>
      <c r="G16" s="495"/>
      <c r="H16" s="495"/>
      <c r="I16" s="495"/>
      <c r="J16" s="495" t="str">
        <f>IFERROR(__xludf.DUMMYFUNCTION("""COMPUTED_VALUE"""),"Campus San Francisco - CSF")</f>
        <v>Campus San Francisco - CSF</v>
      </c>
      <c r="K16" s="495">
        <f>IFERROR(__xludf.DUMMYFUNCTION("""COMPUTED_VALUE"""),14.0)</f>
        <v>14</v>
      </c>
      <c r="L16" s="495" t="str">
        <f>IFERROR(__xludf.DUMMYFUNCTION("""COMPUTED_VALUE"""),"Ingertemuco Ingeniería Spa ")</f>
        <v>Ingertemuco Ingeniería Spa </v>
      </c>
      <c r="M16" s="495" t="str">
        <f>IFERROR(__xludf.DUMMYFUNCTION("""COMPUTED_VALUE"""),"77.369.471-0")</f>
        <v>77.369.471-0</v>
      </c>
      <c r="N16" s="495" t="str">
        <f>IFERROR(__xludf.DUMMYFUNCTION("""COMPUTED_VALUE"""),"Christian Ortega")</f>
        <v>Christian Ortega</v>
      </c>
      <c r="O16" s="495" t="str">
        <f>IFERROR(__xludf.DUMMYFUNCTION("""COMPUTED_VALUE"""),"Mantenciones")</f>
        <v>Mantenciones</v>
      </c>
      <c r="P16" s="495" t="str">
        <f>IFERROR(__xludf.DUMMYFUNCTION("""COMPUTED_VALUE"""),"Instalaciones Eléctricas")</f>
        <v>Instalaciones Eléctricas</v>
      </c>
      <c r="Q16" s="495"/>
      <c r="R16" s="495"/>
      <c r="S16" s="495"/>
      <c r="T16" s="495"/>
      <c r="U16" s="495"/>
      <c r="V16" s="495" t="str">
        <f>IFERROR(__xludf.DUMMYFUNCTION("""COMPUTED_VALUE"""),"Se instalan accesorios de control de acceso en CSF14, retirados previamente de CJPII")</f>
        <v>Se instalan accesorios de control de acceso en CSF14, retirados previamente de CJPII</v>
      </c>
      <c r="W16" s="495"/>
      <c r="X16" s="495" t="str">
        <f>IFERROR(__xludf.DUMMYFUNCTION("""COMPUTED_VALUE"""),"https://drive.google.com/open?id=1AVc9ZJSpTWkfsXuO802G3A_MtVH-MmM-, https://drive.google.com/open?id=1o2bAUe8A80fgQxTIELs4hbdGL_PUqLTg, https://drive.google.com/open?id=1U-P1x59nHbsWsQAgjneXicRP6Gj80z50, https://drive.google.com/open?id=1d7NN7joU8cIHktjHn"&amp;"1YwPvZ0eD4by5DO, https://drive.google.com/open?id=1MT0RHyqLkOj2DJfmZ_KYg4mHsj2owddE")</f>
        <v>https://drive.google.com/open?id=1AVc9ZJSpTWkfsXuO802G3A_MtVH-MmM-, https://drive.google.com/open?id=1o2bAUe8A80fgQxTIELs4hbdGL_PUqLTg, https://drive.google.com/open?id=1U-P1x59nHbsWsQAgjneXicRP6Gj80z50, https://drive.google.com/open?id=1d7NN7joU8cIHktjHn1YwPvZ0eD4by5DO, https://drive.google.com/open?id=1MT0RHyqLkOj2DJfmZ_KYg4mHsj2owddE</v>
      </c>
      <c r="Y16" s="495" t="str">
        <f>IFERROR(__xludf.DUMMYFUNCTION("""COMPUTED_VALUE"""),"comercialingertemuco@gmail.com")</f>
        <v>comercialingertemuco@gmail.com</v>
      </c>
      <c r="Z16" s="498">
        <f>IFERROR(__xludf.DUMMYFUNCTION("""COMPUTED_VALUE"""),211502.0)</f>
        <v>211502</v>
      </c>
      <c r="AA16" s="495"/>
      <c r="AB16" s="495"/>
      <c r="AC16" s="495"/>
      <c r="AD16" s="495" t="str">
        <f>IFERROR(__xludf.DUMMYFUNCTION("""COMPUTED_VALUE"""),"RC-344_26")</f>
        <v>RC-344_26</v>
      </c>
    </row>
    <row r="17">
      <c r="A17" s="495" t="str">
        <f t="shared" si="1"/>
        <v>RC-343_26</v>
      </c>
      <c r="B17" s="497">
        <f>IFERROR(__xludf.DUMMYFUNCTION("""COMPUTED_VALUE"""),46232.43033674768)</f>
        <v>46232.43034</v>
      </c>
      <c r="C17" s="495" t="str">
        <f>IFERROR(__xludf.DUMMYFUNCTION("""COMPUTED_VALUE"""),"")</f>
        <v/>
      </c>
      <c r="D17" s="495" t="str">
        <f>IFERROR(__xludf.DUMMYFUNCTION("""COMPUTED_VALUE"""),"Carol Huenchual Chañilao")</f>
        <v>Carol Huenchual Chañilao</v>
      </c>
      <c r="E17" s="495"/>
      <c r="F17" s="496" t="str">
        <f>IFERROR(__xludf.DUMMYFUNCTION("""COMPUTED_VALUE"""),"6260-2026")</f>
        <v>6260-2026</v>
      </c>
      <c r="G17" s="495"/>
      <c r="H17" s="495"/>
      <c r="I17" s="495"/>
      <c r="J17" s="495" t="str">
        <f>IFERROR(__xludf.DUMMYFUNCTION("""COMPUTED_VALUE"""),"Campus San Francisco - CSF")</f>
        <v>Campus San Francisco - CSF</v>
      </c>
      <c r="K17" s="495" t="str">
        <f>IFERROR(__xludf.DUMMYFUNCTION("""COMPUTED_VALUE"""),"03")</f>
        <v>03</v>
      </c>
      <c r="L17" s="495" t="str">
        <f>IFERROR(__xludf.DUMMYFUNCTION("""COMPUTED_VALUE"""),"Flavia Oyarzun Soto ")</f>
        <v>Flavia Oyarzun Soto </v>
      </c>
      <c r="M17" s="495" t="str">
        <f>IFERROR(__xludf.DUMMYFUNCTION("""COMPUTED_VALUE"""),"5.503.590-3")</f>
        <v>5.503.590-3</v>
      </c>
      <c r="N17" s="495" t="str">
        <f>IFERROR(__xludf.DUMMYFUNCTION("""COMPUTED_VALUE"""),"Roberto lassalle supervisor")</f>
        <v>Roberto lassalle supervisor</v>
      </c>
      <c r="O17" s="495" t="str">
        <f>IFERROR(__xludf.DUMMYFUNCTION("""COMPUTED_VALUE"""),"Mantenciones")</f>
        <v>Mantenciones</v>
      </c>
      <c r="P17" s="495" t="str">
        <f>IFERROR(__xludf.DUMMYFUNCTION("""COMPUTED_VALUE"""),"Cubiertas")</f>
        <v>Cubiertas</v>
      </c>
      <c r="Q17" s="495"/>
      <c r="R17" s="495"/>
      <c r="S17" s="495"/>
      <c r="T17" s="495"/>
      <c r="U17" s="495"/>
      <c r="V17" s="495" t="str">
        <f>IFERROR(__xludf.DUMMYFUNCTION("""COMPUTED_VALUE"""),"Cambio de forro interior de cielo pasillo techado")</f>
        <v>Cambio de forro interior de cielo pasillo techado</v>
      </c>
      <c r="W17" s="495" t="str">
        <f>IFERROR(__xludf.DUMMYFUNCTION("""COMPUTED_VALUE"""),"Se supervisó en terreno.")</f>
        <v>Se supervisó en terreno.</v>
      </c>
      <c r="X17" s="495" t="str">
        <f>IFERROR(__xludf.DUMMYFUNCTION("""COMPUTED_VALUE"""),"https://drive.google.com/open?id=12NVDdFT4TSoSBXXdcxqr0WOxamCoEwOB, https://drive.google.com/open?id=1TUH_4r4hjXMLFJB-3ta5AuS5EuohekTV")</f>
        <v>https://drive.google.com/open?id=12NVDdFT4TSoSBXXdcxqr0WOxamCoEwOB, https://drive.google.com/open?id=1TUH_4r4hjXMLFJB-3ta5AuS5EuohekTV</v>
      </c>
      <c r="Y17" s="495" t="str">
        <f>IFERROR(__xludf.DUMMYFUNCTION("""COMPUTED_VALUE"""),"roberto.lassalle@gmail.com")</f>
        <v>roberto.lassalle@gmail.com</v>
      </c>
      <c r="Z17" s="498">
        <f>IFERROR(__xludf.DUMMYFUNCTION("""COMPUTED_VALUE"""),189210.0)</f>
        <v>189210</v>
      </c>
      <c r="AA17" s="495"/>
      <c r="AB17" s="495"/>
      <c r="AC17" s="495"/>
      <c r="AD17" s="495" t="str">
        <f>IFERROR(__xludf.DUMMYFUNCTION("""COMPUTED_VALUE"""),"RC-343_26")</f>
        <v>RC-343_26</v>
      </c>
    </row>
    <row r="18">
      <c r="A18" s="495" t="str">
        <f t="shared" si="1"/>
        <v>RC-342_26</v>
      </c>
      <c r="B18" s="497">
        <f>IFERROR(__xludf.DUMMYFUNCTION("""COMPUTED_VALUE"""),46232.42619452546)</f>
        <v>46232.42619</v>
      </c>
      <c r="C18" s="495" t="str">
        <f>IFERROR(__xludf.DUMMYFUNCTION("""COMPUTED_VALUE"""),"")</f>
        <v/>
      </c>
      <c r="D18" s="495" t="str">
        <f>IFERROR(__xludf.DUMMYFUNCTION("""COMPUTED_VALUE"""),"Carol Huenchual Chañilao")</f>
        <v>Carol Huenchual Chañilao</v>
      </c>
      <c r="E18" s="495"/>
      <c r="F18" s="496" t="str">
        <f>IFERROR(__xludf.DUMMYFUNCTION("""COMPUTED_VALUE"""),"6310-2026")</f>
        <v>6310-2026</v>
      </c>
      <c r="G18" s="495"/>
      <c r="H18" s="495"/>
      <c r="I18" s="495"/>
      <c r="J18" s="495" t="str">
        <f>IFERROR(__xludf.DUMMYFUNCTION("""COMPUTED_VALUE"""),"Campus San Francisco - CSF")</f>
        <v>Campus San Francisco - CSF</v>
      </c>
      <c r="K18" s="495">
        <f>IFERROR(__xludf.DUMMYFUNCTION("""COMPUTED_VALUE"""),11.0)</f>
        <v>11</v>
      </c>
      <c r="L18" s="495" t="str">
        <f>IFERROR(__xludf.DUMMYFUNCTION("""COMPUTED_VALUE"""),"Flavia Oyarzun Soto ")</f>
        <v>Flavia Oyarzun Soto </v>
      </c>
      <c r="M18" s="495" t="str">
        <f>IFERROR(__xludf.DUMMYFUNCTION("""COMPUTED_VALUE"""),"5.503.590-3")</f>
        <v>5.503.590-3</v>
      </c>
      <c r="N18" s="495" t="str">
        <f>IFERROR(__xludf.DUMMYFUNCTION("""COMPUTED_VALUE"""),"Roberto Lassalle supervisor ")</f>
        <v>Roberto Lassalle supervisor </v>
      </c>
      <c r="O18" s="495" t="str">
        <f>IFERROR(__xludf.DUMMYFUNCTION("""COMPUTED_VALUE"""),"Mantenciones")</f>
        <v>Mantenciones</v>
      </c>
      <c r="P18" s="495" t="str">
        <f>IFERROR(__xludf.DUMMYFUNCTION("""COMPUTED_VALUE"""),"Terminaciones Interiores")</f>
        <v>Terminaciones Interiores</v>
      </c>
      <c r="Q18" s="495"/>
      <c r="R18" s="495"/>
      <c r="S18" s="495"/>
      <c r="T18" s="495"/>
      <c r="U18" s="495"/>
      <c r="V18" s="495" t="str">
        <f>IFERROR(__xludf.DUMMYFUNCTION("""COMPUTED_VALUE"""),"Reparación de piso interior de porcelanato")</f>
        <v>Reparación de piso interior de porcelanato</v>
      </c>
      <c r="W18" s="495" t="str">
        <f>IFERROR(__xludf.DUMMYFUNCTION("""COMPUTED_VALUE"""),"Se inspeccionó en terreno con solicitante. ")</f>
        <v>Se inspeccionó en terreno con solicitante. </v>
      </c>
      <c r="X18" s="495" t="str">
        <f>IFERROR(__xludf.DUMMYFUNCTION("""COMPUTED_VALUE"""),"https://drive.google.com/open?id=164zZZvkDA41AGcrYMdXHbZQXIZXg4hqO, https://drive.google.com/open?id=1o7jEOBuNjf4pcdM7Bcp9jksQ4tSNe6Mt, https://drive.google.com/open?id=1hNkDOtRa3kPprSo6mLgDVwG1Z1bcfhP4, https://drive.google.com/open?id=1yPzC4AoTaxBxLuLW5"&amp;"Ao3QqebmXCGrKo7")</f>
        <v>https://drive.google.com/open?id=164zZZvkDA41AGcrYMdXHbZQXIZXg4hqO, https://drive.google.com/open?id=1o7jEOBuNjf4pcdM7Bcp9jksQ4tSNe6Mt, https://drive.google.com/open?id=1hNkDOtRa3kPprSo6mLgDVwG1Z1bcfhP4, https://drive.google.com/open?id=1yPzC4AoTaxBxLuLW5Ao3QqebmXCGrKo7</v>
      </c>
      <c r="Y18" s="495" t="str">
        <f>IFERROR(__xludf.DUMMYFUNCTION("""COMPUTED_VALUE"""),"roberto.lassalle@gmail.com")</f>
        <v>roberto.lassalle@gmail.com</v>
      </c>
      <c r="Z18" s="498">
        <f>IFERROR(__xludf.DUMMYFUNCTION("""COMPUTED_VALUE"""),2111774.0)</f>
        <v>2111774</v>
      </c>
      <c r="AA18" s="495"/>
      <c r="AB18" s="495"/>
      <c r="AC18" s="495"/>
      <c r="AD18" s="495" t="str">
        <f>IFERROR(__xludf.DUMMYFUNCTION("""COMPUTED_VALUE"""),"RC-342_26")</f>
        <v>RC-342_26</v>
      </c>
    </row>
    <row r="19">
      <c r="A19" s="495" t="str">
        <f t="shared" si="1"/>
        <v>RC-340_26</v>
      </c>
      <c r="B19" s="497">
        <f>IFERROR(__xludf.DUMMYFUNCTION("""COMPUTED_VALUE"""),46230.86683726852)</f>
        <v>46230.86684</v>
      </c>
      <c r="C19" s="495" t="str">
        <f>IFERROR(__xludf.DUMMYFUNCTION("""COMPUTED_VALUE"""),"")</f>
        <v/>
      </c>
      <c r="D19" s="495" t="str">
        <f>IFERROR(__xludf.DUMMYFUNCTION("""COMPUTED_VALUE"""),"Mauricio Matus Belmar")</f>
        <v>Mauricio Matus Belmar</v>
      </c>
      <c r="E19" s="495"/>
      <c r="F19" s="496" t="str">
        <f>IFERROR(__xludf.DUMMYFUNCTION("""COMPUTED_VALUE"""),"5134-2026")</f>
        <v>5134-2026</v>
      </c>
      <c r="G19" s="495"/>
      <c r="H19" s="495"/>
      <c r="I19" s="495"/>
      <c r="J19" s="495" t="str">
        <f>IFERROR(__xludf.DUMMYFUNCTION("""COMPUTED_VALUE"""),"Campus Educación Continua - CEC")</f>
        <v>Campus Educación Continua - CEC</v>
      </c>
      <c r="K19" s="495">
        <f>IFERROR(__xludf.DUMMYFUNCTION("""COMPUTED_VALUE"""),18.0)</f>
        <v>18</v>
      </c>
      <c r="L19" s="495" t="str">
        <f>IFERROR(__xludf.DUMMYFUNCTION("""COMPUTED_VALUE"""),"InnovaclimaMQ SPA")</f>
        <v>InnovaclimaMQ SPA</v>
      </c>
      <c r="M19" s="495" t="str">
        <f>IFERROR(__xludf.DUMMYFUNCTION("""COMPUTED_VALUE"""),"76.464.159-0")</f>
        <v>76.464.159-0</v>
      </c>
      <c r="N19" s="495" t="str">
        <f>IFERROR(__xludf.DUMMYFUNCTION("""COMPUTED_VALUE"""),"Miguel Quezada Yáñez, Dueño")</f>
        <v>Miguel Quezada Yáñez, Dueño</v>
      </c>
      <c r="O19" s="495" t="str">
        <f>IFERROR(__xludf.DUMMYFUNCTION("""COMPUTED_VALUE"""),"Mantenciones")</f>
        <v>Mantenciones</v>
      </c>
      <c r="P19" s="495" t="str">
        <f>IFERROR(__xludf.DUMMYFUNCTION("""COMPUTED_VALUE"""),"Requerimientos Emergentes e Imprevistos")</f>
        <v>Requerimientos Emergentes e Imprevistos</v>
      </c>
      <c r="Q19" s="495"/>
      <c r="R19" s="495"/>
      <c r="S19" s="495"/>
      <c r="T19" s="495"/>
      <c r="U19" s="495"/>
      <c r="V19" s="495" t="str">
        <f>IFERROR(__xludf.DUMMYFUNCTION("""COMPUTED_VALUE"""),"Cambio de bomba centrifuga de calefacción por una nueva. Estaba en mal estado")</f>
        <v>Cambio de bomba centrifuga de calefacción por una nueva. Estaba en mal estado</v>
      </c>
      <c r="W19" s="495" t="str">
        <f>IFERROR(__xludf.DUMMYFUNCTION("""COMPUTED_VALUE"""),"requiere verificación de caudal")</f>
        <v>requiere verificación de caudal</v>
      </c>
      <c r="X19" s="495" t="str">
        <f>IFERROR(__xludf.DUMMYFUNCTION("""COMPUTED_VALUE"""),"https://drive.google.com/open?id=1m1j-Jd_u9syseAViEwtc-40daYlPR9cE, https://drive.google.com/open?id=1QH97lvyotzqMXGz-Aw-Ub04OYNs-vMak")</f>
        <v>https://drive.google.com/open?id=1m1j-Jd_u9syseAViEwtc-40daYlPR9cE, https://drive.google.com/open?id=1QH97lvyotzqMXGz-Aw-Ub04OYNs-vMak</v>
      </c>
      <c r="Y19" s="495" t="str">
        <f>IFERROR(__xludf.DUMMYFUNCTION("""COMPUTED_VALUE"""),"mquezaday@gmail.com")</f>
        <v>mquezaday@gmail.com</v>
      </c>
      <c r="Z19" s="498">
        <f>IFERROR(__xludf.DUMMYFUNCTION("""COMPUTED_VALUE"""),1130500.0)</f>
        <v>1130500</v>
      </c>
      <c r="AA19" s="495"/>
      <c r="AB19" s="495"/>
      <c r="AC19" s="495"/>
      <c r="AD19" s="495" t="str">
        <f>IFERROR(__xludf.DUMMYFUNCTION("""COMPUTED_VALUE"""),"RC-340_26")</f>
        <v>RC-340_26</v>
      </c>
    </row>
    <row r="20">
      <c r="A20" s="495" t="str">
        <f t="shared" si="1"/>
        <v>RC-339_26</v>
      </c>
      <c r="B20" s="497">
        <f>IFERROR(__xludf.DUMMYFUNCTION("""COMPUTED_VALUE"""),46230.66630143518)</f>
        <v>46230.6663</v>
      </c>
      <c r="C20" s="495" t="str">
        <f>IFERROR(__xludf.DUMMYFUNCTION("""COMPUTED_VALUE"""),"")</f>
        <v/>
      </c>
      <c r="D20" s="495" t="str">
        <f>IFERROR(__xludf.DUMMYFUNCTION("""COMPUTED_VALUE"""),"Arturo Meza Vega")</f>
        <v>Arturo Meza Vega</v>
      </c>
      <c r="E20" s="495"/>
      <c r="F20" s="496" t="str">
        <f>IFERROR(__xludf.DUMMYFUNCTION("""COMPUTED_VALUE"""),"5782 - 2026")</f>
        <v>5782 - 2026</v>
      </c>
      <c r="G20" s="495"/>
      <c r="H20" s="495"/>
      <c r="I20" s="495"/>
      <c r="J20" s="495" t="str">
        <f>IFERROR(__xludf.DUMMYFUNCTION("""COMPUTED_VALUE"""),"Campus Dr. Luis Rivas del Canto - CRC")</f>
        <v>Campus Dr. Luis Rivas del Canto - CRC</v>
      </c>
      <c r="K20" s="495">
        <f>IFERROR(__xludf.DUMMYFUNCTION("""COMPUTED_VALUE"""),10.0)</f>
        <v>10</v>
      </c>
      <c r="L20" s="495" t="str">
        <f>IFERROR(__xludf.DUMMYFUNCTION("""COMPUTED_VALUE"""),"J&amp;D Ingeniería y Ejecución SPA")</f>
        <v>J&amp;D Ingeniería y Ejecución SPA</v>
      </c>
      <c r="M20" s="495" t="str">
        <f>IFERROR(__xludf.DUMMYFUNCTION("""COMPUTED_VALUE"""),"78.368.635-K")</f>
        <v>78.368.635-K</v>
      </c>
      <c r="N20" s="495" t="str">
        <f>IFERROR(__xludf.DUMMYFUNCTION("""COMPUTED_VALUE"""),"José Espinoza - Jefe de Proyectos")</f>
        <v>José Espinoza - Jefe de Proyectos</v>
      </c>
      <c r="O20" s="495" t="str">
        <f>IFERROR(__xludf.DUMMYFUNCTION("""COMPUTED_VALUE"""),"Mantenciones")</f>
        <v>Mantenciones</v>
      </c>
      <c r="P20" s="495" t="str">
        <f>IFERROR(__xludf.DUMMYFUNCTION("""COMPUTED_VALUE"""),"Instalaciones Eléctricas")</f>
        <v>Instalaciones Eléctricas</v>
      </c>
      <c r="Q20" s="495"/>
      <c r="R20" s="495"/>
      <c r="S20" s="495"/>
      <c r="T20" s="495"/>
      <c r="U20" s="495"/>
      <c r="V20" s="495" t="str">
        <f>IFERROR(__xludf.DUMMYFUNCTION("""COMPUTED_VALUE"""),"Mejoras para control de iluminación y acceso a controles remotos auditorio CRC10")</f>
        <v>Mejoras para control de iluminación y acceso a controles remotos auditorio CRC10</v>
      </c>
      <c r="W20" s="495"/>
      <c r="X20" s="499" t="str">
        <f>IFERROR(__xludf.DUMMYFUNCTION("""COMPUTED_VALUE"""),"https://drive.google.com/open?id=1ffk0KrfeL6AlDoXHdX20bIsC9tK7Q-S7")</f>
        <v>https://drive.google.com/open?id=1ffk0KrfeL6AlDoXHdX20bIsC9tK7Q-S7</v>
      </c>
      <c r="Y20" s="495" t="str">
        <f>IFERROR(__xludf.DUMMYFUNCTION("""COMPUTED_VALUE"""),"jotayde.ingenieria@gmail.com")</f>
        <v>jotayde.ingenieria@gmail.com</v>
      </c>
      <c r="Z20" s="498">
        <f>IFERROR(__xludf.DUMMYFUNCTION("""COMPUTED_VALUE"""),446250.0)</f>
        <v>446250</v>
      </c>
      <c r="AA20" s="495"/>
      <c r="AB20" s="495"/>
      <c r="AC20" s="495"/>
      <c r="AD20" s="495" t="str">
        <f>IFERROR(__xludf.DUMMYFUNCTION("""COMPUTED_VALUE"""),"RC-339_26")</f>
        <v>RC-339_26</v>
      </c>
    </row>
    <row r="21">
      <c r="A21" s="495" t="str">
        <f t="shared" si="1"/>
        <v>RC-338_26</v>
      </c>
      <c r="B21" s="497">
        <f>IFERROR(__xludf.DUMMYFUNCTION("""COMPUTED_VALUE"""),46229.76060300926)</f>
        <v>46229.7606</v>
      </c>
      <c r="C21" s="495" t="str">
        <f>IFERROR(__xludf.DUMMYFUNCTION("""COMPUTED_VALUE"""),"")</f>
        <v/>
      </c>
      <c r="D21" s="495" t="str">
        <f>IFERROR(__xludf.DUMMYFUNCTION("""COMPUTED_VALUE"""),"Mauricio Matus Belmar")</f>
        <v>Mauricio Matus Belmar</v>
      </c>
      <c r="E21" s="495"/>
      <c r="F21" s="496" t="str">
        <f>IFERROR(__xludf.DUMMYFUNCTION("""COMPUTED_VALUE"""),"6273-2026")</f>
        <v>6273-2026</v>
      </c>
      <c r="G21" s="495"/>
      <c r="H21" s="495"/>
      <c r="I21" s="495"/>
      <c r="J21" s="495" t="str">
        <f>IFERROR(__xludf.DUMMYFUNCTION("""COMPUTED_VALUE"""),"Campus San Francisco - CSF")</f>
        <v>Campus San Francisco - CSF</v>
      </c>
      <c r="K21" s="495">
        <f>IFERROR(__xludf.DUMMYFUNCTION("""COMPUTED_VALUE"""),17.0)</f>
        <v>17</v>
      </c>
      <c r="L21" s="495" t="str">
        <f>IFERROR(__xludf.DUMMYFUNCTION("""COMPUTED_VALUE"""),"Flavia Oyarzun Soto")</f>
        <v>Flavia Oyarzun Soto</v>
      </c>
      <c r="M21" s="495" t="str">
        <f>IFERROR(__xludf.DUMMYFUNCTION("""COMPUTED_VALUE"""),"5.503.590-3")</f>
        <v>5.503.590-3</v>
      </c>
      <c r="N21" s="495" t="str">
        <f>IFERROR(__xludf.DUMMYFUNCTION("""COMPUTED_VALUE"""),"Supervisor, Roberto Lassalle Prado")</f>
        <v>Supervisor, Roberto Lassalle Prado</v>
      </c>
      <c r="O21" s="495" t="str">
        <f>IFERROR(__xludf.DUMMYFUNCTION("""COMPUTED_VALUE"""),"Mantenciones")</f>
        <v>Mantenciones</v>
      </c>
      <c r="P21" s="495" t="str">
        <f>IFERROR(__xludf.DUMMYFUNCTION("""COMPUTED_VALUE"""),"Cubiertas")</f>
        <v>Cubiertas</v>
      </c>
      <c r="Q21" s="495"/>
      <c r="R21" s="495"/>
      <c r="S21" s="495"/>
      <c r="T21" s="495"/>
      <c r="U21" s="495"/>
      <c r="V21" s="495" t="str">
        <f>IFERROR(__xludf.DUMMYFUNCTION("""COMPUTED_VALUE"""),"Reparación de techumbre y forros de coronación ")</f>
        <v>Reparación de techumbre y forros de coronación </v>
      </c>
      <c r="W21" s="495"/>
      <c r="X21" s="495" t="str">
        <f>IFERROR(__xludf.DUMMYFUNCTION("""COMPUTED_VALUE"""),"https://drive.google.com/open?id=1lplSFqzu2lRs3NObOla0i17yB9-k-eac, https://drive.google.com/open?id=1UJyl1ol5K-OXvSDyJsxBCORBNDG0AjDU, https://drive.google.com/open?id=12rCjgYL0eeLC47Llv2uqWaq2JDabnhtY, https://drive.google.com/open?id=1qxIAl2iLFB813MBIs"&amp;"wkaSaSO0IJ_zBk5")</f>
        <v>https://drive.google.com/open?id=1lplSFqzu2lRs3NObOla0i17yB9-k-eac, https://drive.google.com/open?id=1UJyl1ol5K-OXvSDyJsxBCORBNDG0AjDU, https://drive.google.com/open?id=12rCjgYL0eeLC47Llv2uqWaq2JDabnhtY, https://drive.google.com/open?id=1qxIAl2iLFB813MBIswkaSaSO0IJ_zBk5</v>
      </c>
      <c r="Y21" s="495" t="str">
        <f>IFERROR(__xludf.DUMMYFUNCTION("""COMPUTED_VALUE"""),"roberto.lassalle@gmail.com")</f>
        <v>roberto.lassalle@gmail.com</v>
      </c>
      <c r="Z21" s="498">
        <f>IFERROR(__xludf.DUMMYFUNCTION("""COMPUTED_VALUE"""),702100.0)</f>
        <v>702100</v>
      </c>
      <c r="AA21" s="495"/>
      <c r="AB21" s="495"/>
      <c r="AC21" s="495"/>
      <c r="AD21" s="495" t="str">
        <f>IFERROR(__xludf.DUMMYFUNCTION("""COMPUTED_VALUE"""),"RC-338_26")</f>
        <v>RC-338_26</v>
      </c>
    </row>
    <row r="22">
      <c r="A22" s="495" t="str">
        <f t="shared" si="1"/>
        <v>RC-337_26</v>
      </c>
      <c r="B22" s="497">
        <f>IFERROR(__xludf.DUMMYFUNCTION("""COMPUTED_VALUE"""),46229.75704627315)</f>
        <v>46229.75705</v>
      </c>
      <c r="C22" s="495" t="str">
        <f>IFERROR(__xludf.DUMMYFUNCTION("""COMPUTED_VALUE"""),"")</f>
        <v/>
      </c>
      <c r="D22" s="495" t="str">
        <f>IFERROR(__xludf.DUMMYFUNCTION("""COMPUTED_VALUE"""),"Mauricio Matus Belmar")</f>
        <v>Mauricio Matus Belmar</v>
      </c>
      <c r="E22" s="495"/>
      <c r="F22" s="496" t="str">
        <f>IFERROR(__xludf.DUMMYFUNCTION("""COMPUTED_VALUE"""),"6272-2026")</f>
        <v>6272-2026</v>
      </c>
      <c r="G22" s="495"/>
      <c r="H22" s="495"/>
      <c r="I22" s="495"/>
      <c r="J22" s="495" t="str">
        <f>IFERROR(__xludf.DUMMYFUNCTION("""COMPUTED_VALUE"""),"Campus Dr. Luis Rivas del Canto - CRC")</f>
        <v>Campus Dr. Luis Rivas del Canto - CRC</v>
      </c>
      <c r="K22" s="495" t="str">
        <f>IFERROR(__xludf.DUMMYFUNCTION("""COMPUTED_VALUE"""),"01")</f>
        <v>01</v>
      </c>
      <c r="L22" s="495" t="str">
        <f>IFERROR(__xludf.DUMMYFUNCTION("""COMPUTED_VALUE"""),"Flavia Oyarzun Soto")</f>
        <v>Flavia Oyarzun Soto</v>
      </c>
      <c r="M22" s="495" t="str">
        <f>IFERROR(__xludf.DUMMYFUNCTION("""COMPUTED_VALUE"""),"5.503.590-3")</f>
        <v>5.503.590-3</v>
      </c>
      <c r="N22" s="495" t="str">
        <f>IFERROR(__xludf.DUMMYFUNCTION("""COMPUTED_VALUE"""),"Supervisor Roberto Lassalle Prado")</f>
        <v>Supervisor Roberto Lassalle Prado</v>
      </c>
      <c r="O22" s="495" t="str">
        <f>IFERROR(__xludf.DUMMYFUNCTION("""COMPUTED_VALUE"""),"Mantenciones")</f>
        <v>Mantenciones</v>
      </c>
      <c r="P22" s="495" t="str">
        <f>IFERROR(__xludf.DUMMYFUNCTION("""COMPUTED_VALUE"""),"Cubiertas")</f>
        <v>Cubiertas</v>
      </c>
      <c r="Q22" s="495"/>
      <c r="R22" s="495"/>
      <c r="S22" s="495"/>
      <c r="T22" s="495"/>
      <c r="U22" s="495"/>
      <c r="V22" s="495" t="str">
        <f>IFERROR(__xludf.DUMMYFUNCTION("""COMPUTED_VALUE"""),"Reparaciones de cubiertas por temporal 2026")</f>
        <v>Reparaciones de cubiertas por temporal 2026</v>
      </c>
      <c r="W22" s="495"/>
      <c r="X22" s="495" t="str">
        <f>IFERROR(__xludf.DUMMYFUNCTION("""COMPUTED_VALUE"""),"https://drive.google.com/open?id=1SqCLHLQCw5Mh9NIkArtIvVOd9NqxHOFH, https://drive.google.com/open?id=1MczrgiPJuAluv67mvK9uxPIQG9yf3WkM, https://drive.google.com/open?id=1KKrzxu-uvrTirILXcB9Fe5ej5M94R7Xb")</f>
        <v>https://drive.google.com/open?id=1SqCLHLQCw5Mh9NIkArtIvVOd9NqxHOFH, https://drive.google.com/open?id=1MczrgiPJuAluv67mvK9uxPIQG9yf3WkM, https://drive.google.com/open?id=1KKrzxu-uvrTirILXcB9Fe5ej5M94R7Xb</v>
      </c>
      <c r="Y22" s="495" t="str">
        <f>IFERROR(__xludf.DUMMYFUNCTION("""COMPUTED_VALUE"""),"roberto.lassalle@gmail.com")</f>
        <v>roberto.lassalle@gmail.com</v>
      </c>
      <c r="Z22" s="498">
        <f>IFERROR(__xludf.DUMMYFUNCTION("""COMPUTED_VALUE"""),642600.0)</f>
        <v>642600</v>
      </c>
      <c r="AA22" s="495"/>
      <c r="AB22" s="495"/>
      <c r="AC22" s="495"/>
      <c r="AD22" s="495" t="str">
        <f>IFERROR(__xludf.DUMMYFUNCTION("""COMPUTED_VALUE"""),"RC-337_26")</f>
        <v>RC-337_26</v>
      </c>
    </row>
    <row r="23">
      <c r="A23" s="495" t="str">
        <f t="shared" si="1"/>
        <v>RC-336_26</v>
      </c>
      <c r="B23" s="497">
        <f>IFERROR(__xludf.DUMMYFUNCTION("""COMPUTED_VALUE"""),46229.74959869213)</f>
        <v>46229.7496</v>
      </c>
      <c r="C23" s="495" t="str">
        <f>IFERROR(__xludf.DUMMYFUNCTION("""COMPUTED_VALUE"""),"")</f>
        <v/>
      </c>
      <c r="D23" s="495" t="str">
        <f>IFERROR(__xludf.DUMMYFUNCTION("""COMPUTED_VALUE"""),"Mauricio Matus Belmar")</f>
        <v>Mauricio Matus Belmar</v>
      </c>
      <c r="E23" s="495"/>
      <c r="F23" s="496" t="str">
        <f>IFERROR(__xludf.DUMMYFUNCTION("""COMPUTED_VALUE"""),"6055-2026")</f>
        <v>6055-2026</v>
      </c>
      <c r="G23" s="495"/>
      <c r="H23" s="495"/>
      <c r="I23" s="495"/>
      <c r="J23" s="495" t="str">
        <f>IFERROR(__xludf.DUMMYFUNCTION("""COMPUTED_VALUE"""),"Campus Dr. Luis Rivas del Canto - CRC")</f>
        <v>Campus Dr. Luis Rivas del Canto - CRC</v>
      </c>
      <c r="K23" s="495" t="str">
        <f>IFERROR(__xludf.DUMMYFUNCTION("""COMPUTED_VALUE"""),"01")</f>
        <v>01</v>
      </c>
      <c r="L23" s="495" t="str">
        <f>IFERROR(__xludf.DUMMYFUNCTION("""COMPUTED_VALUE"""),"Flavia Oyarzun Soto")</f>
        <v>Flavia Oyarzun Soto</v>
      </c>
      <c r="M23" s="495" t="str">
        <f>IFERROR(__xludf.DUMMYFUNCTION("""COMPUTED_VALUE"""),"5.503.590-3")</f>
        <v>5.503.590-3</v>
      </c>
      <c r="N23" s="495" t="str">
        <f>IFERROR(__xludf.DUMMYFUNCTION("""COMPUTED_VALUE"""),"Roberto Lassalle Prado, Supervisor")</f>
        <v>Roberto Lassalle Prado, Supervisor</v>
      </c>
      <c r="O23" s="495" t="str">
        <f>IFERROR(__xludf.DUMMYFUNCTION("""COMPUTED_VALUE"""),"Mantenciones")</f>
        <v>Mantenciones</v>
      </c>
      <c r="P23" s="495" t="str">
        <f>IFERROR(__xludf.DUMMYFUNCTION("""COMPUTED_VALUE"""),"Cubiertas")</f>
        <v>Cubiertas</v>
      </c>
      <c r="Q23" s="495"/>
      <c r="R23" s="495"/>
      <c r="S23" s="495"/>
      <c r="T23" s="495"/>
      <c r="U23" s="495"/>
      <c r="V23" s="495" t="str">
        <f>IFERROR(__xludf.DUMMYFUNCTION("""COMPUTED_VALUE"""),"Cambio de planchas de zinc y cambio de tornillos")</f>
        <v>Cambio de planchas de zinc y cambio de tornillos</v>
      </c>
      <c r="W23" s="495"/>
      <c r="X23" s="495" t="str">
        <f>IFERROR(__xludf.DUMMYFUNCTION("""COMPUTED_VALUE"""),"https://drive.google.com/open?id=148ugR2C02vxcpVKpSZdf0ExydEauty_w, https://drive.google.com/open?id=11NG257TXifxuKJ5h7ddlCKs_C-l9mrBR, https://drive.google.com/open?id=17Sd6Xxpgy4dC7d7ty6GSerq2AcI5-pDk, https://drive.google.com/open?id=1T0SYBnT3XE27GvArX"&amp;"nqBM0h7MnayZEAh")</f>
        <v>https://drive.google.com/open?id=148ugR2C02vxcpVKpSZdf0ExydEauty_w, https://drive.google.com/open?id=11NG257TXifxuKJ5h7ddlCKs_C-l9mrBR, https://drive.google.com/open?id=17Sd6Xxpgy4dC7d7ty6GSerq2AcI5-pDk, https://drive.google.com/open?id=1T0SYBnT3XE27GvArXnqBM0h7MnayZEAh</v>
      </c>
      <c r="Y23" s="495" t="str">
        <f>IFERROR(__xludf.DUMMYFUNCTION("""COMPUTED_VALUE"""),"roberto.lassalle@gmail.com")</f>
        <v>roberto.lassalle@gmail.com</v>
      </c>
      <c r="Z23" s="498">
        <f>IFERROR(__xludf.DUMMYFUNCTION("""COMPUTED_VALUE"""),648550.0)</f>
        <v>648550</v>
      </c>
      <c r="AA23" s="495"/>
      <c r="AB23" s="495"/>
      <c r="AC23" s="495"/>
      <c r="AD23" s="495" t="str">
        <f>IFERROR(__xludf.DUMMYFUNCTION("""COMPUTED_VALUE"""),"RC-336_26")</f>
        <v>RC-336_26</v>
      </c>
    </row>
    <row r="24">
      <c r="A24" s="495" t="str">
        <f t="shared" si="1"/>
        <v>RC-335_26</v>
      </c>
      <c r="B24" s="497">
        <f>IFERROR(__xludf.DUMMYFUNCTION("""COMPUTED_VALUE"""),46229.74447416667)</f>
        <v>46229.74447</v>
      </c>
      <c r="C24" s="495" t="str">
        <f>IFERROR(__xludf.DUMMYFUNCTION("""COMPUTED_VALUE"""),"")</f>
        <v/>
      </c>
      <c r="D24" s="495" t="str">
        <f>IFERROR(__xludf.DUMMYFUNCTION("""COMPUTED_VALUE"""),"Mauricio Matus Belmar")</f>
        <v>Mauricio Matus Belmar</v>
      </c>
      <c r="E24" s="495"/>
      <c r="F24" s="496" t="str">
        <f>IFERROR(__xludf.DUMMYFUNCTION("""COMPUTED_VALUE"""),"6020-2026")</f>
        <v>6020-2026</v>
      </c>
      <c r="G24" s="495"/>
      <c r="H24" s="495"/>
      <c r="I24" s="495"/>
      <c r="J24" s="495" t="str">
        <f>IFERROR(__xludf.DUMMYFUNCTION("""COMPUTED_VALUE"""),"Campus Dr. Luis Rivas del Canto - CRC")</f>
        <v>Campus Dr. Luis Rivas del Canto - CRC</v>
      </c>
      <c r="K24" s="495" t="str">
        <f>IFERROR(__xludf.DUMMYFUNCTION("""COMPUTED_VALUE"""),"Exterior")</f>
        <v>Exterior</v>
      </c>
      <c r="L24" s="495" t="str">
        <f>IFERROR(__xludf.DUMMYFUNCTION("""COMPUTED_VALUE"""),"Flavia Oyarzun Soto")</f>
        <v>Flavia Oyarzun Soto</v>
      </c>
      <c r="M24" s="495" t="str">
        <f>IFERROR(__xludf.DUMMYFUNCTION("""COMPUTED_VALUE"""),"5.503.590-3")</f>
        <v>5.503.590-3</v>
      </c>
      <c r="N24" s="495" t="str">
        <f>IFERROR(__xludf.DUMMYFUNCTION("""COMPUTED_VALUE"""),"Mauricio Matus")</f>
        <v>Mauricio Matus</v>
      </c>
      <c r="O24" s="495" t="str">
        <f>IFERROR(__xludf.DUMMYFUNCTION("""COMPUTED_VALUE"""),"Mantenciones")</f>
        <v>Mantenciones</v>
      </c>
      <c r="P24" s="495" t="str">
        <f>IFERROR(__xludf.DUMMYFUNCTION("""COMPUTED_VALUE"""),"Requerimientos Emergentes e Imprevistos")</f>
        <v>Requerimientos Emergentes e Imprevistos</v>
      </c>
      <c r="Q24" s="495"/>
      <c r="R24" s="495"/>
      <c r="S24" s="495"/>
      <c r="T24" s="495"/>
      <c r="U24" s="495"/>
      <c r="V24" s="495" t="str">
        <f>IFERROR(__xludf.DUMMYFUNCTION("""COMPUTED_VALUE"""),"Reparación cerco perimetral")</f>
        <v>Reparación cerco perimetral</v>
      </c>
      <c r="W24" s="495"/>
      <c r="X24" s="495" t="str">
        <f>IFERROR(__xludf.DUMMYFUNCTION("""COMPUTED_VALUE"""),"https://drive.google.com/open?id=1pUVrqXF6lHmrjtn3-3wuiIncSksjju-z, https://drive.google.com/open?id=1-RX-YHMgDLTvhusmintB7oZkzmQTDdO0, https://drive.google.com/open?id=1cxT_r7qS68SYQqi5l4xNdGatP-jz0owl, https://drive.google.com/open?id=15oBSK-L1U-umRB3NS"&amp;"lqaL6964mFvn_er")</f>
        <v>https://drive.google.com/open?id=1pUVrqXF6lHmrjtn3-3wuiIncSksjju-z, https://drive.google.com/open?id=1-RX-YHMgDLTvhusmintB7oZkzmQTDdO0, https://drive.google.com/open?id=1cxT_r7qS68SYQqi5l4xNdGatP-jz0owl, https://drive.google.com/open?id=15oBSK-L1U-umRB3NSlqaL6964mFvn_er</v>
      </c>
      <c r="Y24" s="495" t="str">
        <f>IFERROR(__xludf.DUMMYFUNCTION("""COMPUTED_VALUE"""),"roberto.lassalle@gmail.com")</f>
        <v>roberto.lassalle@gmail.com</v>
      </c>
      <c r="Z24" s="498">
        <f>IFERROR(__xludf.DUMMYFUNCTION("""COMPUTED_VALUE"""),257040.0)</f>
        <v>257040</v>
      </c>
      <c r="AA24" s="495"/>
      <c r="AB24" s="495"/>
      <c r="AC24" s="495"/>
      <c r="AD24" s="495" t="str">
        <f>IFERROR(__xludf.DUMMYFUNCTION("""COMPUTED_VALUE"""),"RC-335_26")</f>
        <v>RC-335_26</v>
      </c>
    </row>
    <row r="25">
      <c r="A25" s="495" t="str">
        <f t="shared" si="1"/>
        <v>RC-334_26</v>
      </c>
      <c r="B25" s="497">
        <f>IFERROR(__xludf.DUMMYFUNCTION("""COMPUTED_VALUE"""),46227.394847013886)</f>
        <v>46227.39485</v>
      </c>
      <c r="C25" s="495" t="str">
        <f>IFERROR(__xludf.DUMMYFUNCTION("""COMPUTED_VALUE"""),"")</f>
        <v/>
      </c>
      <c r="D25" s="495" t="str">
        <f>IFERROR(__xludf.DUMMYFUNCTION("""COMPUTED_VALUE"""),"Mauricio Matus Belmar")</f>
        <v>Mauricio Matus Belmar</v>
      </c>
      <c r="E25" s="495"/>
      <c r="F25" s="496" t="str">
        <f>IFERROR(__xludf.DUMMYFUNCTION("""COMPUTED_VALUE"""),"4189-2026")</f>
        <v>4189-2026</v>
      </c>
      <c r="G25" s="495"/>
      <c r="H25" s="495"/>
      <c r="I25" s="495"/>
      <c r="J25" s="495" t="str">
        <f>IFERROR(__xludf.DUMMYFUNCTION("""COMPUTED_VALUE"""),"Campus Dr. Luis Rivas del Canto - CRC")</f>
        <v>Campus Dr. Luis Rivas del Canto - CRC</v>
      </c>
      <c r="K25" s="495" t="str">
        <f>IFERROR(__xludf.DUMMYFUNCTION("""COMPUTED_VALUE"""),"09")</f>
        <v>09</v>
      </c>
      <c r="L25" s="495" t="str">
        <f>IFERROR(__xludf.DUMMYFUNCTION("""COMPUTED_VALUE"""),"SOC. GONZALEZ GAJARDO Y CIA. LTDA")</f>
        <v>SOC. GONZALEZ GAJARDO Y CIA. LTDA</v>
      </c>
      <c r="M25" s="495" t="str">
        <f>IFERROR(__xludf.DUMMYFUNCTION("""COMPUTED_VALUE"""),"76.265.749-K")</f>
        <v>76.265.749-K</v>
      </c>
      <c r="N25" s="495" t="str">
        <f>IFERROR(__xludf.DUMMYFUNCTION("""COMPUTED_VALUE"""),"MARCELO GONZALEZ")</f>
        <v>MARCELO GONZALEZ</v>
      </c>
      <c r="O25" s="495" t="str">
        <f>IFERROR(__xludf.DUMMYFUNCTION("""COMPUTED_VALUE"""),"Mantenciones")</f>
        <v>Mantenciones</v>
      </c>
      <c r="P25" s="495" t="str">
        <f>IFERROR(__xludf.DUMMYFUNCTION("""COMPUTED_VALUE"""),"Instalaciones de Agua Potable")</f>
        <v>Instalaciones de Agua Potable</v>
      </c>
      <c r="Q25" s="495"/>
      <c r="R25" s="495"/>
      <c r="S25" s="495"/>
      <c r="T25" s="495"/>
      <c r="U25" s="495"/>
      <c r="V25" s="495" t="str">
        <f>IFERROR(__xludf.DUMMYFUNCTION("""COMPUTED_VALUE"""),"MODERNIZACION SALA DE BOMBAS CRC09")</f>
        <v>MODERNIZACION SALA DE BOMBAS CRC09</v>
      </c>
      <c r="W25" s="495" t="str">
        <f>IFERROR(__xludf.DUMMYFUNCTION("""COMPUTED_VALUE"""),"NO")</f>
        <v>NO</v>
      </c>
      <c r="X25" s="495" t="str">
        <f>IFERROR(__xludf.DUMMYFUNCTION("""COMPUTED_VALUE"""),"https://drive.google.com/open?id=1VZoXIp1Ul00pN_vJHqbrqSyzNHBnF2YL, https://drive.google.com/open?id=1m0OviF7NHzWPS77IoG0pWRwhOEeGmL0D, https://drive.google.com/open?id=1yDGu6qYLUR6ykPBRvP-pVdx8HQOnzzmY")</f>
        <v>https://drive.google.com/open?id=1VZoXIp1Ul00pN_vJHqbrqSyzNHBnF2YL, https://drive.google.com/open?id=1m0OviF7NHzWPS77IoG0pWRwhOEeGmL0D, https://drive.google.com/open?id=1yDGu6qYLUR6ykPBRvP-pVdx8HQOnzzmY</v>
      </c>
      <c r="Y25" s="495" t="str">
        <f>IFERROR(__xludf.DUMMYFUNCTION("""COMPUTED_VALUE"""),"operaciones@tecfull.cl")</f>
        <v>operaciones@tecfull.cl</v>
      </c>
      <c r="Z25" s="498">
        <f>IFERROR(__xludf.DUMMYFUNCTION("""COMPUTED_VALUE"""),1.06624E7)</f>
        <v>10662400</v>
      </c>
      <c r="AA25" s="495"/>
      <c r="AB25" s="495"/>
      <c r="AC25" s="495"/>
      <c r="AD25" s="495" t="str">
        <f>IFERROR(__xludf.DUMMYFUNCTION("""COMPUTED_VALUE"""),"RC-334_26")</f>
        <v>RC-334_26</v>
      </c>
    </row>
    <row r="26">
      <c r="A26" s="495" t="str">
        <f t="shared" si="1"/>
        <v>RC-333_26</v>
      </c>
      <c r="B26" s="497">
        <f>IFERROR(__xludf.DUMMYFUNCTION("""COMPUTED_VALUE"""),46226.52963063658)</f>
        <v>46226.52963</v>
      </c>
      <c r="C26" s="495" t="str">
        <f>IFERROR(__xludf.DUMMYFUNCTION("""COMPUTED_VALUE"""),"")</f>
        <v/>
      </c>
      <c r="D26" s="495" t="str">
        <f>IFERROR(__xludf.DUMMYFUNCTION("""COMPUTED_VALUE"""),"Mauricio Matus Belmar")</f>
        <v>Mauricio Matus Belmar</v>
      </c>
      <c r="E26" s="495"/>
      <c r="F26" s="496" t="str">
        <f>IFERROR(__xludf.DUMMYFUNCTION("""COMPUTED_VALUE"""),"6256-2026")</f>
        <v>6256-2026</v>
      </c>
      <c r="G26" s="495"/>
      <c r="H26" s="495"/>
      <c r="I26" s="495"/>
      <c r="J26" s="495" t="str">
        <f>IFERROR(__xludf.DUMMYFUNCTION("""COMPUTED_VALUE"""),"Campus San Francisco - CSF")</f>
        <v>Campus San Francisco - CSF</v>
      </c>
      <c r="K26" s="495" t="str">
        <f>IFERROR(__xludf.DUMMYFUNCTION("""COMPUTED_VALUE"""),"Exterior")</f>
        <v>Exterior</v>
      </c>
      <c r="L26" s="495" t="str">
        <f>IFERROR(__xludf.DUMMYFUNCTION("""COMPUTED_VALUE"""),"GATICAR SPA ")</f>
        <v>GATICAR SPA </v>
      </c>
      <c r="M26" s="495" t="str">
        <f>IFERROR(__xludf.DUMMYFUNCTION("""COMPUTED_VALUE"""),"77.578.487-3")</f>
        <v>77.578.487-3</v>
      </c>
      <c r="N26" s="495" t="str">
        <f>IFERROR(__xludf.DUMMYFUNCTION("""COMPUTED_VALUE"""),"HECTOR ANDRES GATICA BADILLA ")</f>
        <v>HECTOR ANDRES GATICA BADILLA </v>
      </c>
      <c r="O26" s="495" t="str">
        <f>IFERROR(__xludf.DUMMYFUNCTION("""COMPUTED_VALUE"""),"Mantenciones")</f>
        <v>Mantenciones</v>
      </c>
      <c r="P26" s="495" t="str">
        <f>IFERROR(__xludf.DUMMYFUNCTION("""COMPUTED_VALUE"""),"Requerimientos Emergentes e Imprevistos")</f>
        <v>Requerimientos Emergentes e Imprevistos</v>
      </c>
      <c r="Q26" s="495"/>
      <c r="R26" s="495"/>
      <c r="S26" s="495"/>
      <c r="T26" s="495"/>
      <c r="U26" s="495"/>
      <c r="V26" s="495" t="str">
        <f>IFERROR(__xludf.DUMMYFUNCTION("""COMPUTED_VALUE"""),"TRABAJOS DE MEJORAMIENTO POST TEMPORAL ESPACIOS ABIERTOS")</f>
        <v>TRABAJOS DE MEJORAMIENTO POST TEMPORAL ESPACIOS ABIERTOS</v>
      </c>
      <c r="W26" s="495"/>
      <c r="X26" s="495" t="str">
        <f>IFERROR(__xludf.DUMMYFUNCTION("""COMPUTED_VALUE"""),"https://drive.google.com/open?id=1xXsMbGTYZWjEOIAiBPM0wNx4_YzufCju, https://drive.google.com/open?id=17wvwFn9HCaCEUl3cssmCcMM2r1Kz3bGD, https://drive.google.com/open?id=1lOrEoF3lmhK4wgHzKKW_a__Uh_zU3WXg")</f>
        <v>https://drive.google.com/open?id=1xXsMbGTYZWjEOIAiBPM0wNx4_YzufCju, https://drive.google.com/open?id=17wvwFn9HCaCEUl3cssmCcMM2r1Kz3bGD, https://drive.google.com/open?id=1lOrEoF3lmhK4wgHzKKW_a__Uh_zU3WXg</v>
      </c>
      <c r="Y26" s="495" t="str">
        <f>IFERROR(__xludf.DUMMYFUNCTION("""COMPUTED_VALUE"""),"serviciogaticar@gmail.com")</f>
        <v>serviciogaticar@gmail.com</v>
      </c>
      <c r="Z26" s="498">
        <f>IFERROR(__xludf.DUMMYFUNCTION("""COMPUTED_VALUE"""),535500.0)</f>
        <v>535500</v>
      </c>
      <c r="AA26" s="495"/>
      <c r="AB26" s="495"/>
      <c r="AC26" s="495"/>
      <c r="AD26" s="495" t="str">
        <f>IFERROR(__xludf.DUMMYFUNCTION("""COMPUTED_VALUE"""),"RC-333_26")</f>
        <v>RC-333_26</v>
      </c>
    </row>
    <row r="27">
      <c r="A27" s="495" t="str">
        <f t="shared" si="1"/>
        <v>RC-332_26</v>
      </c>
      <c r="B27" s="497">
        <f>IFERROR(__xludf.DUMMYFUNCTION("""COMPUTED_VALUE"""),46226.43909023148)</f>
        <v>46226.43909</v>
      </c>
      <c r="C27" s="495" t="str">
        <f>IFERROR(__xludf.DUMMYFUNCTION("""COMPUTED_VALUE"""),"")</f>
        <v/>
      </c>
      <c r="D27" s="495" t="str">
        <f>IFERROR(__xludf.DUMMYFUNCTION("""COMPUTED_VALUE"""),"Mauricio Matus Belmar")</f>
        <v>Mauricio Matus Belmar</v>
      </c>
      <c r="E27" s="495"/>
      <c r="F27" s="496" t="str">
        <f>IFERROR(__xludf.DUMMYFUNCTION("""COMPUTED_VALUE"""),"6223-2026")</f>
        <v>6223-2026</v>
      </c>
      <c r="G27" s="495"/>
      <c r="H27" s="495"/>
      <c r="I27" s="495"/>
      <c r="J27" s="495" t="str">
        <f>IFERROR(__xludf.DUMMYFUNCTION("""COMPUTED_VALUE"""),"Campus Dr. Luis Rivas del Canto - CRC")</f>
        <v>Campus Dr. Luis Rivas del Canto - CRC</v>
      </c>
      <c r="K27" s="495" t="str">
        <f>IFERROR(__xludf.DUMMYFUNCTION("""COMPUTED_VALUE"""),"03")</f>
        <v>03</v>
      </c>
      <c r="L27" s="495" t="str">
        <f>IFERROR(__xludf.DUMMYFUNCTION("""COMPUTED_VALUE"""),"INGENIERIA Y CONSTRUCCIONES ELEKTRICA SPA")</f>
        <v>INGENIERIA Y CONSTRUCCIONES ELEKTRICA SPA</v>
      </c>
      <c r="M27" s="495" t="str">
        <f>IFERROR(__xludf.DUMMYFUNCTION("""COMPUTED_VALUE"""),"76.884.395-3")</f>
        <v>76.884.395-3</v>
      </c>
      <c r="N27" s="495" t="str">
        <f>IFERROR(__xludf.DUMMYFUNCTION("""COMPUTED_VALUE"""),"Marco Paine Salgado - Gerente")</f>
        <v>Marco Paine Salgado - Gerente</v>
      </c>
      <c r="O27" s="495" t="str">
        <f>IFERROR(__xludf.DUMMYFUNCTION("""COMPUTED_VALUE"""),"Mantenciones")</f>
        <v>Mantenciones</v>
      </c>
      <c r="P27" s="495" t="str">
        <f>IFERROR(__xludf.DUMMYFUNCTION("""COMPUTED_VALUE"""),"Instalaciones Eléctricas")</f>
        <v>Instalaciones Eléctricas</v>
      </c>
      <c r="Q27" s="495"/>
      <c r="R27" s="495"/>
      <c r="S27" s="495"/>
      <c r="T27" s="495"/>
      <c r="U27" s="495"/>
      <c r="V27" s="495" t="str">
        <f>IFERROR(__xludf.DUMMYFUNCTION("""COMPUTED_VALUE"""),"REPARACIÓN ELÉCTRICA SALA 230 EDIFICIO CRC03")</f>
        <v>REPARACIÓN ELÉCTRICA SALA 230 EDIFICIO CRC03</v>
      </c>
      <c r="W27" s="495"/>
      <c r="X27" s="495" t="str">
        <f>IFERROR(__xludf.DUMMYFUNCTION("""COMPUTED_VALUE"""),"https://drive.google.com/open?id=1wZurFkWnzlb5ZESFXVYGflSqe_G_Nm84, https://drive.google.com/open?id=1OXaFw1ddFDv5ejsIiNMTv1pQZmDK3k7k, https://drive.google.com/open?id=1V69eq7LYtQuK3uCwW1sFQz_aAaEX0yEY, https://drive.google.com/open?id=19EzRX1407xK5nDOQX"&amp;"yULV7nZhC7BVTmB")</f>
        <v>https://drive.google.com/open?id=1wZurFkWnzlb5ZESFXVYGflSqe_G_Nm84, https://drive.google.com/open?id=1OXaFw1ddFDv5ejsIiNMTv1pQZmDK3k7k, https://drive.google.com/open?id=1V69eq7LYtQuK3uCwW1sFQz_aAaEX0yEY, https://drive.google.com/open?id=19EzRX1407xK5nDOQXyULV7nZhC7BVTmB</v>
      </c>
      <c r="Y27" s="495" t="str">
        <f>IFERROR(__xludf.DUMMYFUNCTION("""COMPUTED_VALUE"""),"marcopaine@gmail.com")</f>
        <v>marcopaine@gmail.com</v>
      </c>
      <c r="Z27" s="498">
        <f>IFERROR(__xludf.DUMMYFUNCTION("""COMPUTED_VALUE"""),890675.0)</f>
        <v>890675</v>
      </c>
      <c r="AA27" s="495"/>
      <c r="AB27" s="495"/>
      <c r="AC27" s="495"/>
      <c r="AD27" s="495" t="str">
        <f>IFERROR(__xludf.DUMMYFUNCTION("""COMPUTED_VALUE"""),"RC-332_26")</f>
        <v>RC-332_26</v>
      </c>
    </row>
    <row r="28">
      <c r="A28" s="495" t="str">
        <f t="shared" si="1"/>
        <v>RC-038</v>
      </c>
      <c r="B28" s="497">
        <f>IFERROR(__xludf.DUMMYFUNCTION("""COMPUTED_VALUE"""),45939.47406658565)</f>
        <v>45939.47407</v>
      </c>
      <c r="C28" s="495" t="str">
        <f>IFERROR(__xludf.DUMMYFUNCTION("""COMPUTED_VALUE"""),"")</f>
        <v/>
      </c>
      <c r="D28" s="495" t="str">
        <f>IFERROR(__xludf.DUMMYFUNCTION("""COMPUTED_VALUE"""),"Leonor Ríos Morales")</f>
        <v>Leonor Ríos Morales</v>
      </c>
      <c r="E28" s="495"/>
      <c r="F28" s="496" t="str">
        <f>IFERROR(__xludf.DUMMYFUNCTION("""COMPUTED_VALUE"""),"8552 - 2025")</f>
        <v>8552 - 2025</v>
      </c>
      <c r="G28" s="495"/>
      <c r="H28" s="495"/>
      <c r="I28" s="495"/>
      <c r="J28" s="495" t="str">
        <f>IFERROR(__xludf.DUMMYFUNCTION("""COMPUTED_VALUE"""),"Campus Prieto Norte - CHS")</f>
        <v>Campus Prieto Norte - CHS</v>
      </c>
      <c r="K28" s="495" t="str">
        <f>IFERROR(__xludf.DUMMYFUNCTION("""COMPUTED_VALUE"""),"01")</f>
        <v>01</v>
      </c>
      <c r="L28" s="495" t="str">
        <f>IFERROR(__xludf.DUMMYFUNCTION("""COMPUTED_VALUE"""),"DSIETE SPA")</f>
        <v>DSIETE SPA</v>
      </c>
      <c r="M28" s="495" t="str">
        <f>IFERROR(__xludf.DUMMYFUNCTION("""COMPUTED_VALUE"""),"77.964.311-5")</f>
        <v>77.964.311-5</v>
      </c>
      <c r="N28" s="495" t="str">
        <f>IFERROR(__xludf.DUMMYFUNCTION("""COMPUTED_VALUE"""),"Daniella Vidal")</f>
        <v>Daniella Vidal</v>
      </c>
      <c r="O28" s="495" t="str">
        <f>IFERROR(__xludf.DUMMYFUNCTION("""COMPUTED_VALUE"""),"Obras")</f>
        <v>Obras</v>
      </c>
      <c r="P28" s="495"/>
      <c r="Q28" s="495"/>
      <c r="R28" s="495" t="str">
        <f>IFERROR(__xludf.DUMMYFUNCTION("""COMPUTED_VALUE"""),"Exteriores")</f>
        <v>Exteriores</v>
      </c>
      <c r="S28" s="495" t="str">
        <f>IFERROR(__xludf.DUMMYFUNCTION("""COMPUTED_VALUE"""),"Recepción de Obra - RC")</f>
        <v>Recepción de Obra - RC</v>
      </c>
      <c r="T28" s="495"/>
      <c r="U28" s="495"/>
      <c r="V28" s="495" t="str">
        <f>IFERROR(__xludf.DUMMYFUNCTION("""COMPUTED_VALUE"""),"Letras volumétricas costado exterior")</f>
        <v>Letras volumétricas costado exterior</v>
      </c>
      <c r="W28" s="495" t="str">
        <f>IFERROR(__xludf.DUMMYFUNCTION("""COMPUTED_VALUE"""),"NA")</f>
        <v>NA</v>
      </c>
      <c r="X28" s="499" t="str">
        <f>IFERROR(__xludf.DUMMYFUNCTION("""COMPUTED_VALUE"""),"https://drive.google.com/open?id=1_h4rGzW0NLTH0vlf0RjjgDqp7D7dkD4C")</f>
        <v>https://drive.google.com/open?id=1_h4rGzW0NLTH0vlf0RjjgDqp7D7dkD4C</v>
      </c>
      <c r="Y28" s="495" t="str">
        <f>IFERROR(__xludf.DUMMYFUNCTION("""COMPUTED_VALUE"""),"lrios@uct.cl")</f>
        <v>lrios@uct.cl</v>
      </c>
      <c r="Z28" s="495"/>
      <c r="AA28" s="495"/>
      <c r="AB28" s="495"/>
      <c r="AC28" s="495"/>
      <c r="AD28" s="495" t="str">
        <f>IFERROR(__xludf.DUMMYFUNCTION("""COMPUTED_VALUE"""),"RC-038")</f>
        <v>RC-038</v>
      </c>
    </row>
    <row r="29">
      <c r="A29" s="495" t="str">
        <f t="shared" si="1"/>
        <v>RC-331_26</v>
      </c>
      <c r="B29" s="497">
        <f>IFERROR(__xludf.DUMMYFUNCTION("""COMPUTED_VALUE"""),46225.58467123842)</f>
        <v>46225.58467</v>
      </c>
      <c r="C29" s="495" t="str">
        <f>IFERROR(__xludf.DUMMYFUNCTION("""COMPUTED_VALUE"""),"")</f>
        <v/>
      </c>
      <c r="D29" s="495" t="str">
        <f>IFERROR(__xludf.DUMMYFUNCTION("""COMPUTED_VALUE"""),"Carol Huenchual Chañilao")</f>
        <v>Carol Huenchual Chañilao</v>
      </c>
      <c r="E29" s="495"/>
      <c r="F29" s="496" t="str">
        <f>IFERROR(__xludf.DUMMYFUNCTION("""COMPUTED_VALUE"""),"6072-2026")</f>
        <v>6072-2026</v>
      </c>
      <c r="G29" s="495"/>
      <c r="H29" s="495"/>
      <c r="I29" s="495"/>
      <c r="J29" s="495" t="str">
        <f>IFERROR(__xludf.DUMMYFUNCTION("""COMPUTED_VALUE"""),"Campus San Francisco - CSF")</f>
        <v>Campus San Francisco - CSF</v>
      </c>
      <c r="K29" s="495" t="str">
        <f>IFERROR(__xludf.DUMMYFUNCTION("""COMPUTED_VALUE"""),"05")</f>
        <v>05</v>
      </c>
      <c r="L29" s="495" t="str">
        <f>IFERROR(__xludf.DUMMYFUNCTION("""COMPUTED_VALUE"""),"FCM Ingenieria Spa")</f>
        <v>FCM Ingenieria Spa</v>
      </c>
      <c r="M29" s="495" t="str">
        <f>IFERROR(__xludf.DUMMYFUNCTION("""COMPUTED_VALUE"""),"76.881.945-9")</f>
        <v>76.881.945-9</v>
      </c>
      <c r="N29" s="495" t="str">
        <f>IFERROR(__xludf.DUMMYFUNCTION("""COMPUTED_VALUE"""),"Marcelo Cruces Araneda, Ingeniero Mecánico")</f>
        <v>Marcelo Cruces Araneda, Ingeniero Mecánico</v>
      </c>
      <c r="O29" s="495" t="str">
        <f>IFERROR(__xludf.DUMMYFUNCTION("""COMPUTED_VALUE"""),"Mantenciones")</f>
        <v>Mantenciones</v>
      </c>
      <c r="P29" s="495" t="str">
        <f>IFERROR(__xludf.DUMMYFUNCTION("""COMPUTED_VALUE"""),"Requerimientos Emergentes e Imprevistos")</f>
        <v>Requerimientos Emergentes e Imprevistos</v>
      </c>
      <c r="Q29" s="495"/>
      <c r="R29" s="495"/>
      <c r="S29" s="495"/>
      <c r="T29" s="495"/>
      <c r="U29" s="495"/>
      <c r="V29" s="495" t="str">
        <f>IFERROR(__xludf.DUMMYFUNCTION("""COMPUTED_VALUE"""),"Limpieza de radiadores  y circuito de sistema de calefacción central")</f>
        <v>Limpieza de radiadores  y circuito de sistema de calefacción central</v>
      </c>
      <c r="W29" s="495" t="str">
        <f>IFERROR(__xludf.DUMMYFUNCTION("""COMPUTED_VALUE"""),"Se pudo observar que el circuito no cuenta con purgadores automaticos, se recomienda la instalación de al menos 6 purgadores automáticos, 4 en la parte mas alta de la instalación y 2 en el colector en la zona de la caldera.")</f>
        <v>Se pudo observar que el circuito no cuenta con purgadores automaticos, se recomienda la instalación de al menos 6 purgadores automáticos, 4 en la parte mas alta de la instalación y 2 en el colector en la zona de la caldera.</v>
      </c>
      <c r="X29" s="495" t="str">
        <f>IFERROR(__xludf.DUMMYFUNCTION("""COMPUTED_VALUE"""),"https://drive.google.com/open?id=1xrzsFx1wvmbptSS_fL9L6FSyWThUAPqC, https://drive.google.com/open?id=10ulMJfujFzsEYqNLmr_54fQe3lNgwYMR, https://drive.google.com/open?id=1_OAxXKs1Gb2_tu0GzW8YMqXrO5KsDJGO, https://drive.google.com/open?id=1Fdm2VG5nnkeMq7baA"&amp;"UFSyluJ0NMtIqw0, https://drive.google.com/open?id=1qIoH_8MpmD0YeNgaKdkrfBnQrHVMYuwQ, https://drive.google.com/open?id=1FVBvSaIi52Y-6z_GMSuyoNxjEG5DOlLD, https://drive.google.com/open?id=14JWLA_2OveGxqysNo-mQxXMr52KC85MD, https://drive.google.com/open?id=1"&amp;"V7hwoWy2if-SOSkGS44hpEOiHwhJ9Yx7, https://drive.google.com/open?id=1Pnm6XN0nOKFQJIPFOTo6cMvO36L8-e1_, https://drive.google.com/open?id=1_pEIsW29PlKOQUTLuXbmTvLGusbHmo41")</f>
        <v>https://drive.google.com/open?id=1xrzsFx1wvmbptSS_fL9L6FSyWThUAPqC, https://drive.google.com/open?id=10ulMJfujFzsEYqNLmr_54fQe3lNgwYMR, https://drive.google.com/open?id=1_OAxXKs1Gb2_tu0GzW8YMqXrO5KsDJGO, https://drive.google.com/open?id=1Fdm2VG5nnkeMq7baAUFSyluJ0NMtIqw0, https://drive.google.com/open?id=1qIoH_8MpmD0YeNgaKdkrfBnQrHVMYuwQ, https://drive.google.com/open?id=1FVBvSaIi52Y-6z_GMSuyoNxjEG5DOlLD, https://drive.google.com/open?id=14JWLA_2OveGxqysNo-mQxXMr52KC85MD, https://drive.google.com/open?id=1V7hwoWy2if-SOSkGS44hpEOiHwhJ9Yx7, https://drive.google.com/open?id=1Pnm6XN0nOKFQJIPFOTo6cMvO36L8-e1_, https://drive.google.com/open?id=1_pEIsW29PlKOQUTLuXbmTvLGusbHmo41</v>
      </c>
      <c r="Y29" s="495" t="str">
        <f>IFERROR(__xludf.DUMMYFUNCTION("""COMPUTED_VALUE"""),"marcelocruces@fcmingenieria.cl")</f>
        <v>marcelocruces@fcmingenieria.cl</v>
      </c>
      <c r="Z29" s="498">
        <f>IFERROR(__xludf.DUMMYFUNCTION("""COMPUTED_VALUE"""),799985.0)</f>
        <v>799985</v>
      </c>
      <c r="AA29" s="495"/>
      <c r="AB29" s="495"/>
      <c r="AC29" s="495"/>
      <c r="AD29" s="495" t="str">
        <f>IFERROR(__xludf.DUMMYFUNCTION("""COMPUTED_VALUE"""),"RC-331_26")</f>
        <v>RC-331_26</v>
      </c>
    </row>
    <row r="30">
      <c r="A30" s="495" t="str">
        <f t="shared" si="1"/>
        <v>RC-330_26</v>
      </c>
      <c r="B30" s="497">
        <f>IFERROR(__xludf.DUMMYFUNCTION("""COMPUTED_VALUE"""),46225.57534650463)</f>
        <v>46225.57535</v>
      </c>
      <c r="C30" s="495" t="str">
        <f>IFERROR(__xludf.DUMMYFUNCTION("""COMPUTED_VALUE"""),"")</f>
        <v/>
      </c>
      <c r="D30" s="495" t="str">
        <f>IFERROR(__xludf.DUMMYFUNCTION("""COMPUTED_VALUE"""),"Carol Huenchual Chañilao")</f>
        <v>Carol Huenchual Chañilao</v>
      </c>
      <c r="E30" s="495"/>
      <c r="F30" s="496" t="str">
        <f>IFERROR(__xludf.DUMMYFUNCTION("""COMPUTED_VALUE"""),"6070-2026")</f>
        <v>6070-2026</v>
      </c>
      <c r="G30" s="495"/>
      <c r="H30" s="495"/>
      <c r="I30" s="495"/>
      <c r="J30" s="495" t="str">
        <f>IFERROR(__xludf.DUMMYFUNCTION("""COMPUTED_VALUE"""),"Campus San Francisco - CSF")</f>
        <v>Campus San Francisco - CSF</v>
      </c>
      <c r="K30" s="495" t="str">
        <f>IFERROR(__xludf.DUMMYFUNCTION("""COMPUTED_VALUE"""),"05")</f>
        <v>05</v>
      </c>
      <c r="L30" s="495" t="str">
        <f>IFERROR(__xludf.DUMMYFUNCTION("""COMPUTED_VALUE"""),"FCM Ingeniería Spa")</f>
        <v>FCM Ingeniería Spa</v>
      </c>
      <c r="M30" s="495" t="str">
        <f>IFERROR(__xludf.DUMMYFUNCTION("""COMPUTED_VALUE"""),"76.881.945-9")</f>
        <v>76.881.945-9</v>
      </c>
      <c r="N30" s="495" t="str">
        <f>IFERROR(__xludf.DUMMYFUNCTION("""COMPUTED_VALUE"""),"Marcelo Cruces Araneda, Ingeniero Mecánico")</f>
        <v>Marcelo Cruces Araneda, Ingeniero Mecánico</v>
      </c>
      <c r="O30" s="495" t="str">
        <f>IFERROR(__xludf.DUMMYFUNCTION("""COMPUTED_VALUE"""),"Mantenciones")</f>
        <v>Mantenciones</v>
      </c>
      <c r="P30" s="495" t="str">
        <f>IFERROR(__xludf.DUMMYFUNCTION("""COMPUTED_VALUE"""),"Requerimientos Emergentes e Imprevistos")</f>
        <v>Requerimientos Emergentes e Imprevistos</v>
      </c>
      <c r="Q30" s="495"/>
      <c r="R30" s="495"/>
      <c r="S30" s="495"/>
      <c r="T30" s="495"/>
      <c r="U30" s="495"/>
      <c r="V30" s="495" t="str">
        <f>IFERROR(__xludf.DUMMYFUNCTION("""COMPUTED_VALUE"""),"Reposición de radiador doble 500x1500")</f>
        <v>Reposición de radiador doble 500x1500</v>
      </c>
      <c r="W30" s="495" t="str">
        <f>IFERROR(__xludf.DUMMYFUNCTION("""COMPUTED_VALUE"""),"Se recomienda realizar una limpieza de los radiadores periódica.")</f>
        <v>Se recomienda realizar una limpieza de los radiadores periódica.</v>
      </c>
      <c r="X30" s="499" t="str">
        <f>IFERROR(__xludf.DUMMYFUNCTION("""COMPUTED_VALUE"""),"https://drive.google.com/open?id=1NyyMwrk7ygIItgSqL4kXVkYv6ZfXkeMF")</f>
        <v>https://drive.google.com/open?id=1NyyMwrk7ygIItgSqL4kXVkYv6ZfXkeMF</v>
      </c>
      <c r="Y30" s="495" t="str">
        <f>IFERROR(__xludf.DUMMYFUNCTION("""COMPUTED_VALUE"""),"marcelocruces@fcmingenieria.cl")</f>
        <v>marcelocruces@fcmingenieria.cl</v>
      </c>
      <c r="Z30" s="498">
        <f>IFERROR(__xludf.DUMMYFUNCTION("""COMPUTED_VALUE"""),368900.0)</f>
        <v>368900</v>
      </c>
      <c r="AA30" s="495"/>
      <c r="AB30" s="495"/>
      <c r="AC30" s="495"/>
      <c r="AD30" s="495" t="str">
        <f>IFERROR(__xludf.DUMMYFUNCTION("""COMPUTED_VALUE"""),"RC-330_26")</f>
        <v>RC-330_26</v>
      </c>
    </row>
    <row r="31">
      <c r="A31" s="495" t="str">
        <f t="shared" si="1"/>
        <v>RC-329_26</v>
      </c>
      <c r="B31" s="497">
        <f>IFERROR(__xludf.DUMMYFUNCTION("""COMPUTED_VALUE"""),46225.48123204861)</f>
        <v>46225.48123</v>
      </c>
      <c r="C31" s="495" t="str">
        <f>IFERROR(__xludf.DUMMYFUNCTION("""COMPUTED_VALUE"""),"")</f>
        <v/>
      </c>
      <c r="D31" s="495" t="str">
        <f>IFERROR(__xludf.DUMMYFUNCTION("""COMPUTED_VALUE"""),"Mauricio Zurita Aldea")</f>
        <v>Mauricio Zurita Aldea</v>
      </c>
      <c r="E31" s="495"/>
      <c r="F31" s="496" t="str">
        <f>IFERROR(__xludf.DUMMYFUNCTION("""COMPUTED_VALUE"""),"12063-2026")</f>
        <v>12063-2026</v>
      </c>
      <c r="G31" s="495"/>
      <c r="H31" s="495"/>
      <c r="I31" s="495"/>
      <c r="J31" s="495" t="str">
        <f>IFERROR(__xludf.DUMMYFUNCTION("""COMPUTED_VALUE"""),"Campus San Nicolás (Curacautín) - CSN")</f>
        <v>Campus San Nicolás (Curacautín) - CSN</v>
      </c>
      <c r="K31" s="495" t="str">
        <f>IFERROR(__xludf.DUMMYFUNCTION("""COMPUTED_VALUE"""),"Exterior")</f>
        <v>Exterior</v>
      </c>
      <c r="L31" s="495" t="str">
        <f>IFERROR(__xludf.DUMMYFUNCTION("""COMPUTED_VALUE"""),"Gaticar Spa")</f>
        <v>Gaticar Spa</v>
      </c>
      <c r="M31" s="495" t="str">
        <f>IFERROR(__xludf.DUMMYFUNCTION("""COMPUTED_VALUE"""),"77.578.487-3")</f>
        <v>77.578.487-3</v>
      </c>
      <c r="N31" s="495" t="str">
        <f>IFERROR(__xludf.DUMMYFUNCTION("""COMPUTED_VALUE"""),"Hector Gatica Badilla")</f>
        <v>Hector Gatica Badilla</v>
      </c>
      <c r="O31" s="495" t="str">
        <f>IFERROR(__xludf.DUMMYFUNCTION("""COMPUTED_VALUE"""),"Mantenciones")</f>
        <v>Mantenciones</v>
      </c>
      <c r="P31" s="495" t="str">
        <f>IFERROR(__xludf.DUMMYFUNCTION("""COMPUTED_VALUE"""),"Instalaciones Eléctricas")</f>
        <v>Instalaciones Eléctricas</v>
      </c>
      <c r="Q31" s="495"/>
      <c r="R31" s="495"/>
      <c r="S31" s="495"/>
      <c r="T31" s="495"/>
      <c r="U31" s="495"/>
      <c r="V31" s="495" t="str">
        <f>IFERROR(__xludf.DUMMYFUNCTION("""COMPUTED_VALUE"""),"MANTENCION EQUIPO ELECTROGENO CENTRO RECREATIVO CURACAUTIN")</f>
        <v>MANTENCION EQUIPO ELECTROGENO CENTRO RECREATIVO CURACAUTIN</v>
      </c>
      <c r="W31" s="495"/>
      <c r="X31" s="495" t="str">
        <f>IFERROR(__xludf.DUMMYFUNCTION("""COMPUTED_VALUE"""),"https://drive.google.com/open?id=1li5WE8w-Rmsc-GF46nm3nDUyK7L6GMHV, https://drive.google.com/open?id=1vURjvwJaaM4dt3sDzTuX5sWmVIvMgAPb, https://drive.google.com/open?id=1f822A8A3Cwqu9JmlrNlqSlp8oIBeXb5J")</f>
        <v>https://drive.google.com/open?id=1li5WE8w-Rmsc-GF46nm3nDUyK7L6GMHV, https://drive.google.com/open?id=1vURjvwJaaM4dt3sDzTuX5sWmVIvMgAPb, https://drive.google.com/open?id=1f822A8A3Cwqu9JmlrNlqSlp8oIBeXb5J</v>
      </c>
      <c r="Y31" s="495" t="str">
        <f>IFERROR(__xludf.DUMMYFUNCTION("""COMPUTED_VALUE"""),"serviciogaticar@gmail.com")</f>
        <v>serviciogaticar@gmail.com</v>
      </c>
      <c r="Z31" s="498">
        <f>IFERROR(__xludf.DUMMYFUNCTION("""COMPUTED_VALUE"""),744940.0)</f>
        <v>744940</v>
      </c>
      <c r="AA31" s="495"/>
      <c r="AB31" s="495"/>
      <c r="AC31" s="495"/>
      <c r="AD31" s="495" t="str">
        <f>IFERROR(__xludf.DUMMYFUNCTION("""COMPUTED_VALUE"""),"RC-329_26")</f>
        <v>RC-329_26</v>
      </c>
    </row>
    <row r="32">
      <c r="A32" s="495" t="str">
        <f t="shared" si="1"/>
        <v>RC-328_26</v>
      </c>
      <c r="B32" s="497">
        <f>IFERROR(__xludf.DUMMYFUNCTION("""COMPUTED_VALUE"""),46225.44848637731)</f>
        <v>46225.44849</v>
      </c>
      <c r="C32" s="495" t="str">
        <f>IFERROR(__xludf.DUMMYFUNCTION("""COMPUTED_VALUE"""),"")</f>
        <v/>
      </c>
      <c r="D32" s="495" t="str">
        <f>IFERROR(__xludf.DUMMYFUNCTION("""COMPUTED_VALUE"""),"Felipe Anselme Grandón")</f>
        <v>Felipe Anselme Grandón</v>
      </c>
      <c r="E32" s="495"/>
      <c r="F32" s="496" t="str">
        <f>IFERROR(__xludf.DUMMYFUNCTION("""COMPUTED_VALUE"""),"4808-2026")</f>
        <v>4808-2026</v>
      </c>
      <c r="G32" s="495"/>
      <c r="H32" s="495"/>
      <c r="I32" s="495"/>
      <c r="J32" s="495" t="str">
        <f>IFERROR(__xludf.DUMMYFUNCTION("""COMPUTED_VALUE"""),"Campus San Francisco - CSF")</f>
        <v>Campus San Francisco - CSF</v>
      </c>
      <c r="K32" s="495" t="str">
        <f>IFERROR(__xludf.DUMMYFUNCTION("""COMPUTED_VALUE"""),"Sin número")</f>
        <v>Sin número</v>
      </c>
      <c r="L32" s="495" t="str">
        <f>IFERROR(__xludf.DUMMYFUNCTION("""COMPUTED_VALUE"""),"Sistemas Contra Incendios Super Limitada")</f>
        <v>Sistemas Contra Incendios Super Limitada</v>
      </c>
      <c r="M32" s="495" t="str">
        <f>IFERROR(__xludf.DUMMYFUNCTION("""COMPUTED_VALUE"""),"77.224.100-3")</f>
        <v>77.224.100-3</v>
      </c>
      <c r="N32" s="495" t="str">
        <f>IFERROR(__xludf.DUMMYFUNCTION("""COMPUTED_VALUE"""),"Camilo Espinosa Gerente de Administración")</f>
        <v>Camilo Espinosa Gerente de Administración</v>
      </c>
      <c r="O32" s="495" t="str">
        <f>IFERROR(__xludf.DUMMYFUNCTION("""COMPUTED_VALUE"""),"Mantenciones")</f>
        <v>Mantenciones</v>
      </c>
      <c r="P32" s="495" t="str">
        <f>IFERROR(__xludf.DUMMYFUNCTION("""COMPUTED_VALUE"""),"Alarmas de Incendio")</f>
        <v>Alarmas de Incendio</v>
      </c>
      <c r="Q32" s="495"/>
      <c r="R32" s="495"/>
      <c r="S32" s="495"/>
      <c r="T32" s="495"/>
      <c r="U32" s="495"/>
      <c r="V32" s="495" t="str">
        <f>IFERROR(__xludf.DUMMYFUNCTION("""COMPUTED_VALUE"""),"Mantención de Extintores")</f>
        <v>Mantención de Extintores</v>
      </c>
      <c r="W32" s="495"/>
      <c r="X32" s="495" t="str">
        <f>IFERROR(__xludf.DUMMYFUNCTION("""COMPUTED_VALUE"""),"https://drive.google.com/open?id=13ks_tjrHFvCcZ0NlAJwusi302D3rc8UR, https://drive.google.com/open?id=1kfBY1koLC9ZU--bLylw2uOkRX-9HChP1")</f>
        <v>https://drive.google.com/open?id=13ks_tjrHFvCcZ0NlAJwusi302D3rc8UR, https://drive.google.com/open?id=1kfBY1koLC9ZU--bLylw2uOkRX-9HChP1</v>
      </c>
      <c r="Y32" s="495" t="str">
        <f>IFERROR(__xludf.DUMMYFUNCTION("""COMPUTED_VALUE"""),"info@extintoressuper.cl")</f>
        <v>info@extintoressuper.cl</v>
      </c>
      <c r="Z32" s="498">
        <f>IFERROR(__xludf.DUMMYFUNCTION("""COMPUTED_VALUE"""),1681095.0)</f>
        <v>1681095</v>
      </c>
      <c r="AA32" s="495"/>
      <c r="AB32" s="495"/>
      <c r="AC32" s="495"/>
      <c r="AD32" s="495" t="str">
        <f>IFERROR(__xludf.DUMMYFUNCTION("""COMPUTED_VALUE"""),"RC-328_26")</f>
        <v>RC-328_26</v>
      </c>
    </row>
    <row r="33">
      <c r="A33" s="495" t="str">
        <f t="shared" si="1"/>
        <v>RC-327_26</v>
      </c>
      <c r="B33" s="497">
        <f>IFERROR(__xludf.DUMMYFUNCTION("""COMPUTED_VALUE"""),46224.72367439815)</f>
        <v>46224.72367</v>
      </c>
      <c r="C33" s="495" t="str">
        <f>IFERROR(__xludf.DUMMYFUNCTION("""COMPUTED_VALUE"""),"")</f>
        <v/>
      </c>
      <c r="D33" s="495" t="str">
        <f>IFERROR(__xludf.DUMMYFUNCTION("""COMPUTED_VALUE"""),"Mauricio Matus Belmar")</f>
        <v>Mauricio Matus Belmar</v>
      </c>
      <c r="E33" s="495"/>
      <c r="F33" s="496" t="str">
        <f>IFERROR(__xludf.DUMMYFUNCTION("""COMPUTED_VALUE"""),"6057-2026")</f>
        <v>6057-2026</v>
      </c>
      <c r="G33" s="495"/>
      <c r="H33" s="495"/>
      <c r="I33" s="495"/>
      <c r="J33" s="495" t="str">
        <f>IFERROR(__xludf.DUMMYFUNCTION("""COMPUTED_VALUE"""),"Campus Dr. Luis Rivas del Canto - CRC")</f>
        <v>Campus Dr. Luis Rivas del Canto - CRC</v>
      </c>
      <c r="K33" s="495">
        <f>IFERROR(__xludf.DUMMYFUNCTION("""COMPUTED_VALUE"""),16.0)</f>
        <v>16</v>
      </c>
      <c r="L33" s="495" t="str">
        <f>IFERROR(__xludf.DUMMYFUNCTION("""COMPUTED_VALUE"""),"Inversiones y Constructora JBG SpA ")</f>
        <v>Inversiones y Constructora JBG SpA </v>
      </c>
      <c r="M33" s="495" t="str">
        <f>IFERROR(__xludf.DUMMYFUNCTION("""COMPUTED_VALUE"""),"77.119.724-8")</f>
        <v>77.119.724-8</v>
      </c>
      <c r="N33" s="495" t="str">
        <f>IFERROR(__xludf.DUMMYFUNCTION("""COMPUTED_VALUE"""),"Jorge barra  Gerente operaciones")</f>
        <v>Jorge barra  Gerente operaciones</v>
      </c>
      <c r="O33" s="495" t="str">
        <f>IFERROR(__xludf.DUMMYFUNCTION("""COMPUTED_VALUE"""),"Mantenciones")</f>
        <v>Mantenciones</v>
      </c>
      <c r="P33" s="495" t="str">
        <f>IFERROR(__xludf.DUMMYFUNCTION("""COMPUTED_VALUE"""),"Cubiertas")</f>
        <v>Cubiertas</v>
      </c>
      <c r="Q33" s="495"/>
      <c r="R33" s="495"/>
      <c r="S33" s="495"/>
      <c r="T33" s="495"/>
      <c r="U33" s="495"/>
      <c r="V33" s="495" t="str">
        <f>IFERROR(__xludf.DUMMYFUNCTION("""COMPUTED_VALUE"""),"Sello y colocación fijaciones con sello hermetico por filtracion gotera sector central ")</f>
        <v>Sello y colocación fijaciones con sello hermetico por filtracion gotera sector central </v>
      </c>
      <c r="W33" s="495" t="str">
        <f>IFERROR(__xludf.DUMMYFUNCTION("""COMPUTED_VALUE"""),"Se recomienda limpieza de mohos qué han aparecido en interior canaletas.")</f>
        <v>Se recomienda limpieza de mohos qué han aparecido en interior canaletas.</v>
      </c>
      <c r="X33" s="495" t="str">
        <f>IFERROR(__xludf.DUMMYFUNCTION("""COMPUTED_VALUE"""),"https://drive.google.com/open?id=1gFftI0rsva_r61eHIFX4r32JO3phkdxN, https://drive.google.com/open?id=1a3SAPv7WZxaGTgPVZo5MVUfgldyl96mW")</f>
        <v>https://drive.google.com/open?id=1gFftI0rsva_r61eHIFX4r32JO3phkdxN, https://drive.google.com/open?id=1a3SAPv7WZxaGTgPVZo5MVUfgldyl96mW</v>
      </c>
      <c r="Y33" s="495" t="str">
        <f>IFERROR(__xludf.DUMMYFUNCTION("""COMPUTED_VALUE"""),"constructorajbg@gmail.com")</f>
        <v>constructorajbg@gmail.com</v>
      </c>
      <c r="Z33" s="498">
        <f>IFERROR(__xludf.DUMMYFUNCTION("""COMPUTED_VALUE"""),101150.0)</f>
        <v>101150</v>
      </c>
      <c r="AA33" s="495"/>
      <c r="AB33" s="495"/>
      <c r="AC33" s="495"/>
      <c r="AD33" s="495" t="str">
        <f>IFERROR(__xludf.DUMMYFUNCTION("""COMPUTED_VALUE"""),"RC-327_26")</f>
        <v>RC-327_26</v>
      </c>
    </row>
    <row r="34">
      <c r="A34" s="495" t="str">
        <f t="shared" si="1"/>
        <v>RC-325_26</v>
      </c>
      <c r="B34" s="497">
        <f>IFERROR(__xludf.DUMMYFUNCTION("""COMPUTED_VALUE"""),46223.61730405093)</f>
        <v>46223.6173</v>
      </c>
      <c r="C34" s="495" t="str">
        <f>IFERROR(__xludf.DUMMYFUNCTION("""COMPUTED_VALUE"""),"")</f>
        <v/>
      </c>
      <c r="D34" s="495" t="str">
        <f>IFERROR(__xludf.DUMMYFUNCTION("""COMPUTED_VALUE"""),"Mauricio Matus Belmar")</f>
        <v>Mauricio Matus Belmar</v>
      </c>
      <c r="E34" s="495"/>
      <c r="F34" s="496" t="str">
        <f>IFERROR(__xludf.DUMMYFUNCTION("""COMPUTED_VALUE"""),"6000-2026")</f>
        <v>6000-2026</v>
      </c>
      <c r="G34" s="495"/>
      <c r="H34" s="495"/>
      <c r="I34" s="495"/>
      <c r="J34" s="495" t="str">
        <f>IFERROR(__xludf.DUMMYFUNCTION("""COMPUTED_VALUE"""),"Campus San Juan Pablo II - CJP")</f>
        <v>Campus San Juan Pablo II - CJP</v>
      </c>
      <c r="K34" s="495" t="str">
        <f>IFERROR(__xludf.DUMMYFUNCTION("""COMPUTED_VALUE"""),"Exterior")</f>
        <v>Exterior</v>
      </c>
      <c r="L34" s="495" t="str">
        <f>IFERROR(__xludf.DUMMYFUNCTION("""COMPUTED_VALUE"""),"Gaticar spa")</f>
        <v>Gaticar spa</v>
      </c>
      <c r="M34" s="495" t="str">
        <f>IFERROR(__xludf.DUMMYFUNCTION("""COMPUTED_VALUE"""),"77.578.487-3")</f>
        <v>77.578.487-3</v>
      </c>
      <c r="N34" s="495" t="str">
        <f>IFERROR(__xludf.DUMMYFUNCTION("""COMPUTED_VALUE"""),"Hector Gatica Badilla")</f>
        <v>Hector Gatica Badilla</v>
      </c>
      <c r="O34" s="495" t="str">
        <f>IFERROR(__xludf.DUMMYFUNCTION("""COMPUTED_VALUE"""),"Mantenciones")</f>
        <v>Mantenciones</v>
      </c>
      <c r="P34" s="495" t="str">
        <f>IFERROR(__xludf.DUMMYFUNCTION("""COMPUTED_VALUE"""),"Requerimientos Emergentes e Imprevistos")</f>
        <v>Requerimientos Emergentes e Imprevistos</v>
      </c>
      <c r="Q34" s="495"/>
      <c r="R34" s="495"/>
      <c r="S34" s="495"/>
      <c r="T34" s="495"/>
      <c r="U34" s="495"/>
      <c r="V34" s="495" t="str">
        <f>IFERROR(__xludf.DUMMYFUNCTION("""COMPUTED_VALUE"""),"REPARACIÓN DE TUBERÍAS POR FILTRACIÓN SECTOR HUERTO Y VETERINARIA,")</f>
        <v>REPARACIÓN DE TUBERÍAS POR FILTRACIÓN SECTOR HUERTO Y VETERINARIA,</v>
      </c>
      <c r="W34" s="495"/>
      <c r="X34" s="495" t="str">
        <f>IFERROR(__xludf.DUMMYFUNCTION("""COMPUTED_VALUE"""),"https://drive.google.com/open?id=1Q632KZCxUJZEfxZIP9eyDJGsydCvIOLa, https://drive.google.com/open?id=1PsXikkz_fCs8OOFRNCLbr7Jz8MXtKzVh, https://drive.google.com/open?id=1PQAptmrLDEtIqSLD1Ui-c7YOpUDuFoyV")</f>
        <v>https://drive.google.com/open?id=1Q632KZCxUJZEfxZIP9eyDJGsydCvIOLa, https://drive.google.com/open?id=1PsXikkz_fCs8OOFRNCLbr7Jz8MXtKzVh, https://drive.google.com/open?id=1PQAptmrLDEtIqSLD1Ui-c7YOpUDuFoyV</v>
      </c>
      <c r="Y34" s="495" t="str">
        <f>IFERROR(__xludf.DUMMYFUNCTION("""COMPUTED_VALUE"""),"serviciogaticar@gmail.com")</f>
        <v>serviciogaticar@gmail.com</v>
      </c>
      <c r="Z34" s="498">
        <f>IFERROR(__xludf.DUMMYFUNCTION("""COMPUTED_VALUE"""),345100.0)</f>
        <v>345100</v>
      </c>
      <c r="AA34" s="495"/>
      <c r="AB34" s="495"/>
      <c r="AC34" s="495"/>
      <c r="AD34" s="495" t="str">
        <f>IFERROR(__xludf.DUMMYFUNCTION("""COMPUTED_VALUE"""),"RC-325_26")</f>
        <v>RC-325_26</v>
      </c>
    </row>
    <row r="35">
      <c r="A35" s="495" t="str">
        <f t="shared" si="1"/>
        <v>RC-001</v>
      </c>
      <c r="B35" s="497">
        <f>IFERROR(__xludf.DUMMYFUNCTION("""COMPUTED_VALUE"""),45950.509923680554)</f>
        <v>45950.50992</v>
      </c>
      <c r="C35" s="495" t="str">
        <f>IFERROR(__xludf.DUMMYFUNCTION("""COMPUTED_VALUE"""),"")</f>
        <v/>
      </c>
      <c r="D35" s="495" t="str">
        <f>IFERROR(__xludf.DUMMYFUNCTION("""COMPUTED_VALUE"""),"Carol Huenchual Chañilao")</f>
        <v>Carol Huenchual Chañilao</v>
      </c>
      <c r="E35" s="495"/>
      <c r="F35" s="496" t="str">
        <f>IFERROR(__xludf.DUMMYFUNCTION("""COMPUTED_VALUE"""),"9840 - 2025")</f>
        <v>9840 - 2025</v>
      </c>
      <c r="G35" s="495"/>
      <c r="H35" s="495"/>
      <c r="I35" s="495"/>
      <c r="J35" s="495" t="str">
        <f>IFERROR(__xludf.DUMMYFUNCTION("""COMPUTED_VALUE"""),"Campus San Francisco - CSF")</f>
        <v>Campus San Francisco - CSF</v>
      </c>
      <c r="K35" s="495" t="str">
        <f>IFERROR(__xludf.DUMMYFUNCTION("""COMPUTED_VALUE"""),"07")</f>
        <v>07</v>
      </c>
      <c r="L35" s="495" t="str">
        <f>IFERROR(__xludf.DUMMYFUNCTION("""COMPUTED_VALUE"""),"Marcelo Javier Jacobi Siegmund")</f>
        <v>Marcelo Javier Jacobi Siegmund</v>
      </c>
      <c r="M35" s="495" t="str">
        <f>IFERROR(__xludf.DUMMYFUNCTION("""COMPUTED_VALUE"""),"9.087.185-4")</f>
        <v>9.087.185-4</v>
      </c>
      <c r="N35" s="495" t="str">
        <f>IFERROR(__xludf.DUMMYFUNCTION("""COMPUTED_VALUE"""),"Patricio Manriquez Riffo, Jefe de operaciones")</f>
        <v>Patricio Manriquez Riffo, Jefe de operaciones</v>
      </c>
      <c r="O35" s="495" t="str">
        <f>IFERROR(__xludf.DUMMYFUNCTION("""COMPUTED_VALUE"""),"Obras")</f>
        <v>Obras</v>
      </c>
      <c r="P35" s="495"/>
      <c r="Q35" s="495"/>
      <c r="R35" s="495" t="str">
        <f>IFERROR(__xludf.DUMMYFUNCTION("""COMPUTED_VALUE"""),"Remodelación")</f>
        <v>Remodelación</v>
      </c>
      <c r="S35" s="495" t="str">
        <f>IFERROR(__xludf.DUMMYFUNCTION("""COMPUTED_VALUE"""),"Recepción de Obra - RC")</f>
        <v>Recepción de Obra - RC</v>
      </c>
      <c r="T35" s="495"/>
      <c r="U35" s="495"/>
      <c r="V35" s="495" t="str">
        <f>IFERROR(__xludf.DUMMYFUNCTION("""COMPUTED_VALUE"""),"Instalación de equipamiento de climatización, tipo slit-muro de 12.000 BTU/H, Inverter en sala de reuniones Antropología. Además se incorpora conexión a la red eléctrica independiente con sus protectores a tablero general.")</f>
        <v>Instalación de equipamiento de climatización, tipo slit-muro de 12.000 BTU/H, Inverter en sala de reuniones Antropología. Además se incorpora conexión a la red eléctrica independiente con sus protectores a tablero general.</v>
      </c>
      <c r="W35" s="495" t="str">
        <f>IFERROR(__xludf.DUMMYFUNCTION("""COMPUTED_VALUE"""),"funcionamiento óptimo, se sugiere mantención preventiva a lo mas cada año")</f>
        <v>funcionamiento óptimo, se sugiere mantención preventiva a lo mas cada año</v>
      </c>
      <c r="X35" s="495" t="str">
        <f>IFERROR(__xludf.DUMMYFUNCTION("""COMPUTED_VALUE"""),"https://drive.google.com/open?id=12CEJjKzOwNm1KL5SxqNeupC_xBH1L7Ak, https://drive.google.com/open?id=1jC47bqqtuJZ_ubKvQAQnnv_yEWu5tKN1")</f>
        <v>https://drive.google.com/open?id=12CEJjKzOwNm1KL5SxqNeupC_xBH1L7Ak, https://drive.google.com/open?id=1jC47bqqtuJZ_ubKvQAQnnv_yEWu5tKN1</v>
      </c>
      <c r="Y35" s="495" t="str">
        <f>IFERROR(__xludf.DUMMYFUNCTION("""COMPUTED_VALUE"""),"mjacobisiegmund@gmail.com")</f>
        <v>mjacobisiegmund@gmail.com</v>
      </c>
      <c r="Z35" s="495"/>
      <c r="AA35" s="495"/>
      <c r="AB35" s="495"/>
      <c r="AC35" s="495"/>
      <c r="AD35" s="495" t="str">
        <f>IFERROR(__xludf.DUMMYFUNCTION("""COMPUTED_VALUE"""),"RC-001")</f>
        <v>RC-001</v>
      </c>
    </row>
    <row r="36">
      <c r="A36" s="495" t="str">
        <f t="shared" si="1"/>
        <v>RC-002</v>
      </c>
      <c r="B36" s="497">
        <f>IFERROR(__xludf.DUMMYFUNCTION("""COMPUTED_VALUE"""),45950.51883981482)</f>
        <v>45950.51884</v>
      </c>
      <c r="C36" s="495" t="str">
        <f>IFERROR(__xludf.DUMMYFUNCTION("""COMPUTED_VALUE"""),"")</f>
        <v/>
      </c>
      <c r="D36" s="495" t="str">
        <f>IFERROR(__xludf.DUMMYFUNCTION("""COMPUTED_VALUE"""),"Mauricio Matus Belmar")</f>
        <v>Mauricio Matus Belmar</v>
      </c>
      <c r="E36" s="495"/>
      <c r="F36" s="496" t="str">
        <f>IFERROR(__xludf.DUMMYFUNCTION("""COMPUTED_VALUE"""),"9842 - 2025")</f>
        <v>9842 - 2025</v>
      </c>
      <c r="G36" s="495"/>
      <c r="H36" s="495"/>
      <c r="I36" s="495"/>
      <c r="J36" s="495" t="str">
        <f>IFERROR(__xludf.DUMMYFUNCTION("""COMPUTED_VALUE"""),"Campus Dr. Luis Rivas del Canto - CRC")</f>
        <v>Campus Dr. Luis Rivas del Canto - CRC</v>
      </c>
      <c r="K36" s="495" t="str">
        <f>IFERROR(__xludf.DUMMYFUNCTION("""COMPUTED_VALUE"""),"08")</f>
        <v>08</v>
      </c>
      <c r="L36" s="495" t="str">
        <f>IFERROR(__xludf.DUMMYFUNCTION("""COMPUTED_VALUE"""),"mjacobisiegmund@gmail.com")</f>
        <v>mjacobisiegmund@gmail.com</v>
      </c>
      <c r="M36" s="495" t="str">
        <f>IFERROR(__xludf.DUMMYFUNCTION("""COMPUTED_VALUE"""),"9.087.185-4")</f>
        <v>9.087.185-4</v>
      </c>
      <c r="N36" s="495" t="str">
        <f>IFERROR(__xludf.DUMMYFUNCTION("""COMPUTED_VALUE"""),"Patricio Manriquez Riffo. Jefe Operaciones")</f>
        <v>Patricio Manriquez Riffo. Jefe Operaciones</v>
      </c>
      <c r="O36" s="495" t="str">
        <f>IFERROR(__xludf.DUMMYFUNCTION("""COMPUTED_VALUE"""),"Operación")</f>
        <v>Operación</v>
      </c>
      <c r="P36" s="495"/>
      <c r="Q36" s="495" t="str">
        <f>IFERROR(__xludf.DUMMYFUNCTION("""COMPUTED_VALUE"""),"Climatización")</f>
        <v>Climatización</v>
      </c>
      <c r="R36" s="495"/>
      <c r="S36" s="495"/>
      <c r="T36" s="495"/>
      <c r="U36" s="495"/>
      <c r="V36" s="495" t="str">
        <f>IFERROR(__xludf.DUMMYFUNCTION("""COMPUTED_VALUE"""),"Reemplazo de tarjeta electrónica a equipo de AAc tipo MultiSplit que alimenta 4 unidades internas")</f>
        <v>Reemplazo de tarjeta electrónica a equipo de AAc tipo MultiSplit que alimenta 4 unidades internas</v>
      </c>
      <c r="W36" s="495" t="str">
        <f>IFERROR(__xludf.DUMMYFUNCTION("""COMPUTED_VALUE"""),"Mantenciones preventivas a lo mas cada año")</f>
        <v>Mantenciones preventivas a lo mas cada año</v>
      </c>
      <c r="X36" s="495" t="str">
        <f>IFERROR(__xludf.DUMMYFUNCTION("""COMPUTED_VALUE"""),"https://drive.google.com/open?id=1e63DgzCyaFqUNvbq_RK6OwqkRoJ2bAUk, https://drive.google.com/open?id=1pM6jrNfcz8rpxK92_XwfEJNgacgnvxFY")</f>
        <v>https://drive.google.com/open?id=1e63DgzCyaFqUNvbq_RK6OwqkRoJ2bAUk, https://drive.google.com/open?id=1pM6jrNfcz8rpxK92_XwfEJNgacgnvxFY</v>
      </c>
      <c r="Y36" s="495" t="str">
        <f>IFERROR(__xludf.DUMMYFUNCTION("""COMPUTED_VALUE"""),"mjacobisiegmund@gmail.com")</f>
        <v>mjacobisiegmund@gmail.com</v>
      </c>
      <c r="Z36" s="495"/>
      <c r="AA36" s="495"/>
      <c r="AB36" s="495"/>
      <c r="AC36" s="495"/>
      <c r="AD36" s="495" t="str">
        <f>IFERROR(__xludf.DUMMYFUNCTION("""COMPUTED_VALUE"""),"RC-002")</f>
        <v>RC-002</v>
      </c>
    </row>
    <row r="37">
      <c r="A37" s="495" t="str">
        <f t="shared" si="1"/>
        <v>RC-324_26</v>
      </c>
      <c r="B37" s="497">
        <f>IFERROR(__xludf.DUMMYFUNCTION("""COMPUTED_VALUE"""),46223.49033043982)</f>
        <v>46223.49033</v>
      </c>
      <c r="C37" s="495" t="str">
        <f>IFERROR(__xludf.DUMMYFUNCTION("""COMPUTED_VALUE"""),"")</f>
        <v/>
      </c>
      <c r="D37" s="495" t="str">
        <f>IFERROR(__xludf.DUMMYFUNCTION("""COMPUTED_VALUE"""),"Carol Huenchual Chañilao")</f>
        <v>Carol Huenchual Chañilao</v>
      </c>
      <c r="E37" s="495"/>
      <c r="F37" s="496" t="str">
        <f>IFERROR(__xludf.DUMMYFUNCTION("""COMPUTED_VALUE"""),"5826-2026")</f>
        <v>5826-2026</v>
      </c>
      <c r="G37" s="495"/>
      <c r="H37" s="495"/>
      <c r="I37" s="495"/>
      <c r="J37" s="495" t="str">
        <f>IFERROR(__xludf.DUMMYFUNCTION("""COMPUTED_VALUE"""),"Campus San Francisco - CSF")</f>
        <v>Campus San Francisco - CSF</v>
      </c>
      <c r="K37" s="495" t="str">
        <f>IFERROR(__xludf.DUMMYFUNCTION("""COMPUTED_VALUE"""),"05")</f>
        <v>05</v>
      </c>
      <c r="L37" s="495" t="str">
        <f>IFERROR(__xludf.DUMMYFUNCTION("""COMPUTED_VALUE"""),"FCM Ingenieria Spa")</f>
        <v>FCM Ingenieria Spa</v>
      </c>
      <c r="M37" s="495" t="str">
        <f>IFERROR(__xludf.DUMMYFUNCTION("""COMPUTED_VALUE"""),"76.881.945-9")</f>
        <v>76.881.945-9</v>
      </c>
      <c r="N37" s="495" t="str">
        <f>IFERROR(__xludf.DUMMYFUNCTION("""COMPUTED_VALUE"""),"Marcelo Cruces Araneda Ingeniero Mecánico")</f>
        <v>Marcelo Cruces Araneda Ingeniero Mecánico</v>
      </c>
      <c r="O37" s="495" t="str">
        <f>IFERROR(__xludf.DUMMYFUNCTION("""COMPUTED_VALUE"""),"Mantenciones")</f>
        <v>Mantenciones</v>
      </c>
      <c r="P37" s="495" t="str">
        <f>IFERROR(__xludf.DUMMYFUNCTION("""COMPUTED_VALUE"""),"Requerimientos Emergentes e Imprevistos")</f>
        <v>Requerimientos Emergentes e Imprevistos</v>
      </c>
      <c r="Q37" s="495"/>
      <c r="R37" s="495"/>
      <c r="S37" s="495"/>
      <c r="T37" s="495"/>
      <c r="U37" s="495"/>
      <c r="V37" s="495" t="str">
        <f>IFERROR(__xludf.DUMMYFUNCTION("""COMPUTED_VALUE"""),"Se realizó reposición de radiador de calefacción central DK 500x1800")</f>
        <v>Se realizó reposición de radiador de calefacción central DK 500x1800</v>
      </c>
      <c r="W37" s="495" t="str">
        <f>IFERROR(__xludf.DUMMYFUNCTION("""COMPUTED_VALUE"""),"Se recomienda una limpieza del radiador y el circuito cada 3 años.")</f>
        <v>Se recomienda una limpieza del radiador y el circuito cada 3 años.</v>
      </c>
      <c r="X37" s="495" t="str">
        <f>IFERROR(__xludf.DUMMYFUNCTION("""COMPUTED_VALUE"""),"https://drive.google.com/open?id=1xIJ1zwt9O9ccR84-Km-gH603Ogg7Z5v9, https://drive.google.com/open?id=1NFm5i83f7exDFtBL9BaQFREhpLMx4emg")</f>
        <v>https://drive.google.com/open?id=1xIJ1zwt9O9ccR84-Km-gH603Ogg7Z5v9, https://drive.google.com/open?id=1NFm5i83f7exDFtBL9BaQFREhpLMx4emg</v>
      </c>
      <c r="Y37" s="495" t="str">
        <f>IFERROR(__xludf.DUMMYFUNCTION("""COMPUTED_VALUE"""),"marcelocruces@fcmingenieria.cl")</f>
        <v>marcelocruces@fcmingenieria.cl</v>
      </c>
      <c r="Z37" s="498">
        <f>IFERROR(__xludf.DUMMYFUNCTION("""COMPUTED_VALUE"""),380800.0)</f>
        <v>380800</v>
      </c>
      <c r="AA37" s="495"/>
      <c r="AB37" s="495"/>
      <c r="AC37" s="495"/>
      <c r="AD37" s="495" t="str">
        <f>IFERROR(__xludf.DUMMYFUNCTION("""COMPUTED_VALUE"""),"RC-324_26")</f>
        <v>RC-324_26</v>
      </c>
    </row>
    <row r="38">
      <c r="A38" s="495" t="str">
        <f t="shared" si="1"/>
        <v>RC-319_26</v>
      </c>
      <c r="B38" s="497">
        <f>IFERROR(__xludf.DUMMYFUNCTION("""COMPUTED_VALUE"""),46217.71084407407)</f>
        <v>46217.71084</v>
      </c>
      <c r="C38" s="495" t="str">
        <f>IFERROR(__xludf.DUMMYFUNCTION("""COMPUTED_VALUE"""),"")</f>
        <v/>
      </c>
      <c r="D38" s="495" t="str">
        <f>IFERROR(__xludf.DUMMYFUNCTION("""COMPUTED_VALUE"""),"Mauricio Zurita Aldea")</f>
        <v>Mauricio Zurita Aldea</v>
      </c>
      <c r="E38" s="495"/>
      <c r="F38" s="496" t="str">
        <f>IFERROR(__xludf.DUMMYFUNCTION("""COMPUTED_VALUE"""),"13100 - 2025")</f>
        <v>13100 - 2025</v>
      </c>
      <c r="G38" s="495"/>
      <c r="H38" s="495"/>
      <c r="I38" s="495"/>
      <c r="J38" s="495" t="str">
        <f>IFERROR(__xludf.DUMMYFUNCTION("""COMPUTED_VALUE"""),"Campus San Francisco - CSF")</f>
        <v>Campus San Francisco - CSF</v>
      </c>
      <c r="K38" s="495" t="str">
        <f>IFERROR(__xludf.DUMMYFUNCTION("""COMPUTED_VALUE"""),"01")</f>
        <v>01</v>
      </c>
      <c r="L38" s="495" t="str">
        <f>IFERROR(__xludf.DUMMYFUNCTION("""COMPUTED_VALUE"""),"Gyg servicios spa")</f>
        <v>Gyg servicios spa</v>
      </c>
      <c r="M38" s="495" t="str">
        <f>IFERROR(__xludf.DUMMYFUNCTION("""COMPUTED_VALUE"""),"77.215.624-3")</f>
        <v>77.215.624-3</v>
      </c>
      <c r="N38" s="495" t="str">
        <f>IFERROR(__xludf.DUMMYFUNCTION("""COMPUTED_VALUE"""),"Gustavo Fuentes - Supervisor Tecnico")</f>
        <v>Gustavo Fuentes - Supervisor Tecnico</v>
      </c>
      <c r="O38" s="495" t="str">
        <f>IFERROR(__xludf.DUMMYFUNCTION("""COMPUTED_VALUE"""),"Mantenciones")</f>
        <v>Mantenciones</v>
      </c>
      <c r="P38" s="495" t="str">
        <f>IFERROR(__xludf.DUMMYFUNCTION("""COMPUTED_VALUE"""),"Instalaciones Eléctricas")</f>
        <v>Instalaciones Eléctricas</v>
      </c>
      <c r="Q38" s="495"/>
      <c r="R38" s="495"/>
      <c r="S38" s="495"/>
      <c r="T38" s="495"/>
      <c r="U38" s="495"/>
      <c r="V38" s="495" t="str">
        <f>IFERROR(__xludf.DUMMYFUNCTION("""COMPUTED_VALUE"""),"Instalación de 9 controles de Acceso")</f>
        <v>Instalación de 9 controles de Acceso</v>
      </c>
      <c r="W38" s="495"/>
      <c r="X38" s="495" t="str">
        <f>IFERROR(__xludf.DUMMYFUNCTION("""COMPUTED_VALUE"""),"https://drive.google.com/open?id=156VuPuN8v5Li0l2Xh-E1N9mACnsziZZU, https://drive.google.com/open?id=1fvh3gqnEpEy2LzbJyipgH9-4Yt2rSnmH, https://drive.google.com/open?id=1MO41oIrqQ7bfMP-Gesoap20rD-RTMVAu, https://drive.google.com/open?id=1MSTPZ49YyN6x42s12"&amp;"wqfB1gmeUEQK8aD")</f>
        <v>https://drive.google.com/open?id=156VuPuN8v5Li0l2Xh-E1N9mACnsziZZU, https://drive.google.com/open?id=1fvh3gqnEpEy2LzbJyipgH9-4Yt2rSnmH, https://drive.google.com/open?id=1MO41oIrqQ7bfMP-Gesoap20rD-RTMVAu, https://drive.google.com/open?id=1MSTPZ49YyN6x42s12wqfB1gmeUEQK8aD</v>
      </c>
      <c r="Y38" s="495" t="str">
        <f>IFERROR(__xludf.DUMMYFUNCTION("""COMPUTED_VALUE"""),"contacto@gygtecnologias.com")</f>
        <v>contacto@gygtecnologias.com</v>
      </c>
      <c r="Z38" s="498">
        <f>IFERROR(__xludf.DUMMYFUNCTION("""COMPUTED_VALUE"""),1.257354E7)</f>
        <v>12573540</v>
      </c>
      <c r="AA38" s="495"/>
      <c r="AB38" s="495"/>
      <c r="AC38" s="495"/>
      <c r="AD38" s="495" t="str">
        <f>IFERROR(__xludf.DUMMYFUNCTION("""COMPUTED_VALUE"""),"RC-319_26")</f>
        <v>RC-319_26</v>
      </c>
    </row>
    <row r="39">
      <c r="A39" s="495" t="str">
        <f t="shared" si="1"/>
        <v>RC-318_26</v>
      </c>
      <c r="B39" s="497">
        <f>IFERROR(__xludf.DUMMYFUNCTION("""COMPUTED_VALUE"""),46217.66469607639)</f>
        <v>46217.6647</v>
      </c>
      <c r="C39" s="495" t="str">
        <f>IFERROR(__xludf.DUMMYFUNCTION("""COMPUTED_VALUE"""),"")</f>
        <v/>
      </c>
      <c r="D39" s="495" t="str">
        <f>IFERROR(__xludf.DUMMYFUNCTION("""COMPUTED_VALUE"""),"Mauricio Zurita Aldea")</f>
        <v>Mauricio Zurita Aldea</v>
      </c>
      <c r="E39" s="495"/>
      <c r="F39" s="496" t="str">
        <f>IFERROR(__xludf.DUMMYFUNCTION("""COMPUTED_VALUE"""),"12081 - 2025")</f>
        <v>12081 - 2025</v>
      </c>
      <c r="G39" s="495"/>
      <c r="H39" s="495"/>
      <c r="I39" s="495"/>
      <c r="J39" s="495" t="str">
        <f>IFERROR(__xludf.DUMMYFUNCTION("""COMPUTED_VALUE"""),"Campus Educación Continua - CEC")</f>
        <v>Campus Educación Continua - CEC</v>
      </c>
      <c r="K39" s="495" t="str">
        <f>IFERROR(__xludf.DUMMYFUNCTION("""COMPUTED_VALUE"""),"01")</f>
        <v>01</v>
      </c>
      <c r="L39" s="495" t="str">
        <f>IFERROR(__xludf.DUMMYFUNCTION("""COMPUTED_VALUE"""),"Gyg servicios spa")</f>
        <v>Gyg servicios spa</v>
      </c>
      <c r="M39" s="495" t="str">
        <f>IFERROR(__xludf.DUMMYFUNCTION("""COMPUTED_VALUE"""),"77.215.624-3")</f>
        <v>77.215.624-3</v>
      </c>
      <c r="N39" s="495" t="str">
        <f>IFERROR(__xludf.DUMMYFUNCTION("""COMPUTED_VALUE"""),"Gustavo Fuentes - Supervisor Tecnico")</f>
        <v>Gustavo Fuentes - Supervisor Tecnico</v>
      </c>
      <c r="O39" s="495" t="str">
        <f>IFERROR(__xludf.DUMMYFUNCTION("""COMPUTED_VALUE"""),"Mantenciones")</f>
        <v>Mantenciones</v>
      </c>
      <c r="P39" s="495" t="str">
        <f>IFERROR(__xludf.DUMMYFUNCTION("""COMPUTED_VALUE"""),"Instalaciones Eléctricas")</f>
        <v>Instalaciones Eléctricas</v>
      </c>
      <c r="Q39" s="495"/>
      <c r="R39" s="495"/>
      <c r="S39" s="495"/>
      <c r="T39" s="495"/>
      <c r="U39" s="495"/>
      <c r="V39" s="495" t="str">
        <f>IFERROR(__xludf.DUMMYFUNCTION("""COMPUTED_VALUE"""),"Instalación de soporte para tv de 70 y 65 pulgadas")</f>
        <v>Instalación de soporte para tv de 70 y 65 pulgadas</v>
      </c>
      <c r="W39" s="495"/>
      <c r="X39" s="495" t="str">
        <f>IFERROR(__xludf.DUMMYFUNCTION("""COMPUTED_VALUE"""),"https://drive.google.com/open?id=1KF76Tp2j1ksT4NlNRtjC2JJcd7ORAHeG, https://drive.google.com/open?id=1127MewwHUWhAan_5XvwKaoxgSB4EdiM2")</f>
        <v>https://drive.google.com/open?id=1KF76Tp2j1ksT4NlNRtjC2JJcd7ORAHeG, https://drive.google.com/open?id=1127MewwHUWhAan_5XvwKaoxgSB4EdiM2</v>
      </c>
      <c r="Y39" s="495" t="str">
        <f>IFERROR(__xludf.DUMMYFUNCTION("""COMPUTED_VALUE"""),"contacto@gygtecnologias.com")</f>
        <v>contacto@gygtecnologias.com</v>
      </c>
      <c r="Z39" s="498">
        <f>IFERROR(__xludf.DUMMYFUNCTION("""COMPUTED_VALUE"""),578340.0)</f>
        <v>578340</v>
      </c>
      <c r="AA39" s="495"/>
      <c r="AB39" s="495"/>
      <c r="AC39" s="495"/>
      <c r="AD39" s="495" t="str">
        <f>IFERROR(__xludf.DUMMYFUNCTION("""COMPUTED_VALUE"""),"RC-318_26")</f>
        <v>RC-318_26</v>
      </c>
    </row>
    <row r="40">
      <c r="A40" s="495" t="str">
        <f t="shared" si="1"/>
        <v>RC-006</v>
      </c>
      <c r="B40" s="497">
        <f>IFERROR(__xludf.DUMMYFUNCTION("""COMPUTED_VALUE"""),45951.78632452546)</f>
        <v>45951.78632</v>
      </c>
      <c r="C40" s="495" t="str">
        <f>IFERROR(__xludf.DUMMYFUNCTION("""COMPUTED_VALUE"""),"")</f>
        <v/>
      </c>
      <c r="D40" s="495" t="str">
        <f>IFERROR(__xludf.DUMMYFUNCTION("""COMPUTED_VALUE"""),"Felipe Anselme Grandón")</f>
        <v>Felipe Anselme Grandón</v>
      </c>
      <c r="E40" s="495"/>
      <c r="F40" s="496" t="str">
        <f>IFERROR(__xludf.DUMMYFUNCTION("""COMPUTED_VALUE"""),"Orden de compra Nro 6224 - 2025 ")</f>
        <v>Orden de compra Nro 6224 - 2025 </v>
      </c>
      <c r="G40" s="495"/>
      <c r="H40" s="495"/>
      <c r="I40" s="495"/>
      <c r="J40" s="495" t="str">
        <f>IFERROR(__xludf.DUMMYFUNCTION("""COMPUTED_VALUE"""),"Campus Dr. Luis Rivas del Canto - CRC")</f>
        <v>Campus Dr. Luis Rivas del Canto - CRC</v>
      </c>
      <c r="K40" s="495" t="str">
        <f>IFERROR(__xludf.DUMMYFUNCTION("""COMPUTED_VALUE"""),"01")</f>
        <v>01</v>
      </c>
      <c r="L40" s="495" t="str">
        <f>IFERROR(__xludf.DUMMYFUNCTION("""COMPUTED_VALUE"""),"IPROSAM Ltda ")</f>
        <v>IPROSAM Ltda </v>
      </c>
      <c r="M40" s="495" t="str">
        <f>IFERROR(__xludf.DUMMYFUNCTION("""COMPUTED_VALUE"""),"76. 423.859-1")</f>
        <v>76. 423.859-1</v>
      </c>
      <c r="N40" s="495" t="str">
        <f>IFERROR(__xludf.DUMMYFUNCTION("""COMPUTED_VALUE"""),"Diógenes Sanhueza F")</f>
        <v>Diógenes Sanhueza F</v>
      </c>
      <c r="O40" s="495" t="str">
        <f>IFERROR(__xludf.DUMMYFUNCTION("""COMPUTED_VALUE"""),"Obras")</f>
        <v>Obras</v>
      </c>
      <c r="P40" s="495"/>
      <c r="Q40" s="495"/>
      <c r="R40" s="495" t="str">
        <f>IFERROR(__xludf.DUMMYFUNCTION("""COMPUTED_VALUE"""),"Ampliación")</f>
        <v>Ampliación</v>
      </c>
      <c r="S40" s="495" t="str">
        <f>IFERROR(__xludf.DUMMYFUNCTION("""COMPUTED_VALUE"""),"Recepción de Obra - RC")</f>
        <v>Recepción de Obra - RC</v>
      </c>
      <c r="T40" s="495"/>
      <c r="U40" s="495"/>
      <c r="V40" s="495" t="str">
        <f>IFERROR(__xludf.DUMMYFUNCTION("""COMPUTED_VALUE"""),"Construcción cobertizo bodega CRC ")</f>
        <v>Construcción cobertizo bodega CRC </v>
      </c>
      <c r="W40" s="495"/>
      <c r="X40" s="495" t="str">
        <f>IFERROR(__xludf.DUMMYFUNCTION("""COMPUTED_VALUE"""),"https://drive.google.com/open?id=1_kycqvRYmaT8BYWpdvAmhNxZUzMnQLhq, https://drive.google.com/open?id=1n7FGqQSi_kQQoQx3wsjo96fZUT3nA5qo, https://drive.google.com/open?id=19_K_4gv6P7jGrWc_BZrxklk3K8BtXMPs, https://drive.google.com/open?id=1_M8gOdhuLJlPF3KwB"&amp;"3-2bB7x2EzHY_uy, https://drive.google.com/open?id=1BHr0l8aCPp34GTPoxC_E7xGAPDDXKgIi")</f>
        <v>https://drive.google.com/open?id=1_kycqvRYmaT8BYWpdvAmhNxZUzMnQLhq, https://drive.google.com/open?id=1n7FGqQSi_kQQoQx3wsjo96fZUT3nA5qo, https://drive.google.com/open?id=19_K_4gv6P7jGrWc_BZrxklk3K8BtXMPs, https://drive.google.com/open?id=1_M8gOdhuLJlPF3KwB3-2bB7x2EzHY_uy, https://drive.google.com/open?id=1BHr0l8aCPp34GTPoxC_E7xGAPDDXKgIi</v>
      </c>
      <c r="Y40" s="495"/>
      <c r="Z40" s="495"/>
      <c r="AA40" s="495"/>
      <c r="AB40" s="495"/>
      <c r="AC40" s="495"/>
      <c r="AD40" s="495" t="str">
        <f>IFERROR(__xludf.DUMMYFUNCTION("""COMPUTED_VALUE"""),"RC-006")</f>
        <v>RC-006</v>
      </c>
    </row>
    <row r="41">
      <c r="A41" s="495" t="str">
        <f t="shared" si="1"/>
        <v>RC-316_26</v>
      </c>
      <c r="B41" s="497">
        <f>IFERROR(__xludf.DUMMYFUNCTION("""COMPUTED_VALUE"""),46217.419318518514)</f>
        <v>46217.41932</v>
      </c>
      <c r="C41" s="495" t="str">
        <f>IFERROR(__xludf.DUMMYFUNCTION("""COMPUTED_VALUE"""),"")</f>
        <v/>
      </c>
      <c r="D41" s="495" t="str">
        <f>IFERROR(__xludf.DUMMYFUNCTION("""COMPUTED_VALUE"""),"Juan Ignacio Solís de Ovando")</f>
        <v>Juan Ignacio Solís de Ovando</v>
      </c>
      <c r="E41" s="495"/>
      <c r="F41" s="496" t="str">
        <f>IFERROR(__xludf.DUMMYFUNCTION("""COMPUTED_VALUE"""),"5751 - 2026")</f>
        <v>5751 - 2026</v>
      </c>
      <c r="G41" s="495"/>
      <c r="H41" s="495"/>
      <c r="I41" s="495"/>
      <c r="J41" s="495" t="str">
        <f>IFERROR(__xludf.DUMMYFUNCTION("""COMPUTED_VALUE"""),"Campus San Francisco - CSF")</f>
        <v>Campus San Francisco - CSF</v>
      </c>
      <c r="K41" s="495" t="str">
        <f>IFERROR(__xludf.DUMMYFUNCTION("""COMPUTED_VALUE"""),"02")</f>
        <v>02</v>
      </c>
      <c r="L41" s="495" t="str">
        <f>IFERROR(__xludf.DUMMYFUNCTION("""COMPUTED_VALUE"""),"Constructora IGECE Ltda.")</f>
        <v>Constructora IGECE Ltda.</v>
      </c>
      <c r="M41" s="495" t="str">
        <f>IFERROR(__xludf.DUMMYFUNCTION("""COMPUTED_VALUE"""),"76.878.824-3")</f>
        <v>76.878.824-3</v>
      </c>
      <c r="N41" s="495" t="str">
        <f>IFERROR(__xludf.DUMMYFUNCTION("""COMPUTED_VALUE"""),"Carlos Troncoso - Gerente General")</f>
        <v>Carlos Troncoso - Gerente General</v>
      </c>
      <c r="O41" s="495" t="str">
        <f>IFERROR(__xludf.DUMMYFUNCTION("""COMPUTED_VALUE"""),"Mantenciones")</f>
        <v>Mantenciones</v>
      </c>
      <c r="P41" s="495" t="str">
        <f>IFERROR(__xludf.DUMMYFUNCTION("""COMPUTED_VALUE"""),"Terminaciones Interiores")</f>
        <v>Terminaciones Interiores</v>
      </c>
      <c r="Q41" s="495"/>
      <c r="R41" s="495"/>
      <c r="S41" s="495"/>
      <c r="T41" s="495"/>
      <c r="U41" s="495"/>
      <c r="V41" s="495" t="str">
        <f>IFERROR(__xludf.DUMMYFUNCTION("""COMPUTED_VALUE"""),"Reparación Butacas Aula Magna: Retiro butacas dañadas, retiro tapis dañado, instalación nuevo tapis y reinstalación butaca.")</f>
        <v>Reparación Butacas Aula Magna: Retiro butacas dañadas, retiro tapis dañado, instalación nuevo tapis y reinstalación butaca.</v>
      </c>
      <c r="W41" s="495"/>
      <c r="X41" s="495" t="str">
        <f>IFERROR(__xludf.DUMMYFUNCTION("""COMPUTED_VALUE"""),"https://drive.google.com/open?id=1kr3Q5aRnbR_La8EGV2rE2oWfdOMNRd4P, https://drive.google.com/open?id=1W9aNi8q_5g4yqRy1BvLiTp-61n1oI329, https://drive.google.com/open?id=1NRzh48vMg1LPJUmPinZ3b36GIdLv71iy")</f>
        <v>https://drive.google.com/open?id=1kr3Q5aRnbR_La8EGV2rE2oWfdOMNRd4P, https://drive.google.com/open?id=1W9aNi8q_5g4yqRy1BvLiTp-61n1oI329, https://drive.google.com/open?id=1NRzh48vMg1LPJUmPinZ3b36GIdLv71iy</v>
      </c>
      <c r="Y41" s="495" t="str">
        <f>IFERROR(__xludf.DUMMYFUNCTION("""COMPUTED_VALUE"""),"fabian.i.burgos.s@gmail.com")</f>
        <v>fabian.i.burgos.s@gmail.com</v>
      </c>
      <c r="Z41" s="498">
        <f>IFERROR(__xludf.DUMMYFUNCTION("""COMPUTED_VALUE"""),407240.0)</f>
        <v>407240</v>
      </c>
      <c r="AA41" s="495"/>
      <c r="AB41" s="495"/>
      <c r="AC41" s="495"/>
      <c r="AD41" s="495" t="str">
        <f>IFERROR(__xludf.DUMMYFUNCTION("""COMPUTED_VALUE"""),"RC-316_26")</f>
        <v>RC-316_26</v>
      </c>
    </row>
    <row r="42">
      <c r="A42" s="495" t="str">
        <f t="shared" si="1"/>
        <v>RC-314_26</v>
      </c>
      <c r="B42" s="497">
        <f>IFERROR(__xludf.DUMMYFUNCTION("""COMPUTED_VALUE"""),46216.95882059028)</f>
        <v>46216.95882</v>
      </c>
      <c r="C42" s="495" t="str">
        <f>IFERROR(__xludf.DUMMYFUNCTION("""COMPUTED_VALUE"""),"")</f>
        <v/>
      </c>
      <c r="D42" s="495" t="str">
        <f>IFERROR(__xludf.DUMMYFUNCTION("""COMPUTED_VALUE"""),"Leonor Ríos Morales")</f>
        <v>Leonor Ríos Morales</v>
      </c>
      <c r="E42" s="495"/>
      <c r="F42" s="496">
        <f>IFERROR(__xludf.DUMMYFUNCTION("""COMPUTED_VALUE"""),5439.0)</f>
        <v>5439</v>
      </c>
      <c r="G42" s="495"/>
      <c r="H42" s="495"/>
      <c r="I42" s="495"/>
      <c r="J42" s="495" t="str">
        <f>IFERROR(__xludf.DUMMYFUNCTION("""COMPUTED_VALUE"""),"Campus San Francisco - CSF")</f>
        <v>Campus San Francisco - CSF</v>
      </c>
      <c r="K42" s="495" t="str">
        <f>IFERROR(__xludf.DUMMYFUNCTION("""COMPUTED_VALUE"""),"02")</f>
        <v>02</v>
      </c>
      <c r="L42" s="495" t="str">
        <f>IFERROR(__xludf.DUMMYFUNCTION("""COMPUTED_VALUE"""),"Comercializadora Daniela Arriagada")</f>
        <v>Comercializadora Daniela Arriagada</v>
      </c>
      <c r="M42" s="495" t="str">
        <f>IFERROR(__xludf.DUMMYFUNCTION("""COMPUTED_VALUE"""),"76.707.485-9")</f>
        <v>76.707.485-9</v>
      </c>
      <c r="N42" s="495" t="str">
        <f>IFERROR(__xludf.DUMMYFUNCTION("""COMPUTED_VALUE"""),"Leonor Rios")</f>
        <v>Leonor Rios</v>
      </c>
      <c r="O42" s="495" t="str">
        <f>IFERROR(__xludf.DUMMYFUNCTION("""COMPUTED_VALUE"""),"Mantenciones")</f>
        <v>Mantenciones</v>
      </c>
      <c r="P42" s="495" t="str">
        <f>IFERROR(__xludf.DUMMYFUNCTION("""COMPUTED_VALUE"""),"Terminaciones Interiores")</f>
        <v>Terminaciones Interiores</v>
      </c>
      <c r="Q42" s="495"/>
      <c r="R42" s="495"/>
      <c r="S42" s="495"/>
      <c r="T42" s="495"/>
      <c r="U42" s="495"/>
      <c r="V42" s="495" t="str">
        <f>IFERROR(__xludf.DUMMYFUNCTION("""COMPUTED_VALUE"""),"rotulado locker biblioteca")</f>
        <v>rotulado locker biblioteca</v>
      </c>
      <c r="W42" s="495"/>
      <c r="X42" s="499" t="str">
        <f>IFERROR(__xludf.DUMMYFUNCTION("""COMPUTED_VALUE"""),"https://drive.google.com/open?id=1Ykyjmw4yOan6KjkRCEECnACb4SuGcufe")</f>
        <v>https://drive.google.com/open?id=1Ykyjmw4yOan6KjkRCEECnACb4SuGcufe</v>
      </c>
      <c r="Y42" s="495" t="str">
        <f>IFERROR(__xludf.DUMMYFUNCTION("""COMPUTED_VALUE"""),"danielaarriagadacaba@hotmail.com")</f>
        <v>danielaarriagadacaba@hotmail.com</v>
      </c>
      <c r="Z42" s="498">
        <f>IFERROR(__xludf.DUMMYFUNCTION("""COMPUTED_VALUE"""),190780.0)</f>
        <v>190780</v>
      </c>
      <c r="AA42" s="495"/>
      <c r="AB42" s="495"/>
      <c r="AC42" s="495"/>
      <c r="AD42" s="495" t="str">
        <f>IFERROR(__xludf.DUMMYFUNCTION("""COMPUTED_VALUE"""),"RC-314_26")</f>
        <v>RC-314_26</v>
      </c>
    </row>
    <row r="43">
      <c r="A43" s="495" t="str">
        <f t="shared" si="1"/>
        <v>RC-009</v>
      </c>
      <c r="B43" s="497">
        <f>IFERROR(__xludf.DUMMYFUNCTION("""COMPUTED_VALUE"""),45952.7138296875)</f>
        <v>45952.71383</v>
      </c>
      <c r="C43" s="495" t="str">
        <f>IFERROR(__xludf.DUMMYFUNCTION("""COMPUTED_VALUE"""),"")</f>
        <v/>
      </c>
      <c r="D43" s="495" t="str">
        <f>IFERROR(__xludf.DUMMYFUNCTION("""COMPUTED_VALUE"""),"Leonor Ríos Morales")</f>
        <v>Leonor Ríos Morales</v>
      </c>
      <c r="E43" s="495"/>
      <c r="F43" s="496">
        <f>IFERROR(__xludf.DUMMYFUNCTION("""COMPUTED_VALUE"""),12090.0)</f>
        <v>12090</v>
      </c>
      <c r="G43" s="495"/>
      <c r="H43" s="495"/>
      <c r="I43" s="495"/>
      <c r="J43" s="495" t="str">
        <f>IFERROR(__xludf.DUMMYFUNCTION("""COMPUTED_VALUE"""),"Campus San Juan Pablo II - CJP")</f>
        <v>Campus San Juan Pablo II - CJP</v>
      </c>
      <c r="K43" s="495" t="str">
        <f>IFERROR(__xludf.DUMMYFUNCTION("""COMPUTED_VALUE"""),"Exterior")</f>
        <v>Exterior</v>
      </c>
      <c r="L43" s="495" t="str">
        <f>IFERROR(__xludf.DUMMYFUNCTION("""COMPUTED_VALUE"""),"PUA DISEÑO SPA")</f>
        <v>PUA DISEÑO SPA</v>
      </c>
      <c r="M43" s="495" t="str">
        <f>IFERROR(__xludf.DUMMYFUNCTION("""COMPUTED_VALUE"""),"76.962.330-2")</f>
        <v>76.962.330-2</v>
      </c>
      <c r="N43" s="495" t="str">
        <f>IFERROR(__xludf.DUMMYFUNCTION("""COMPUTED_VALUE"""),"MAXIMILIANO IBAÑEZ - REPRESENTATE LEGAL")</f>
        <v>MAXIMILIANO IBAÑEZ - REPRESENTATE LEGAL</v>
      </c>
      <c r="O43" s="495" t="str">
        <f>IFERROR(__xludf.DUMMYFUNCTION("""COMPUTED_VALUE"""),"Obras")</f>
        <v>Obras</v>
      </c>
      <c r="P43" s="495"/>
      <c r="Q43" s="495"/>
      <c r="R43" s="495" t="str">
        <f>IFERROR(__xludf.DUMMYFUNCTION("""COMPUTED_VALUE"""),"Exteriores")</f>
        <v>Exteriores</v>
      </c>
      <c r="S43" s="495" t="str">
        <f>IFERROR(__xludf.DUMMYFUNCTION("""COMPUTED_VALUE"""),"Estado de Pago - EP")</f>
        <v>Estado de Pago - EP</v>
      </c>
      <c r="T43" s="495">
        <f>IFERROR(__xludf.DUMMYFUNCTION("""COMPUTED_VALUE"""),6.0)</f>
        <v>6</v>
      </c>
      <c r="U43" s="498">
        <f>IFERROR(__xludf.DUMMYFUNCTION("""COMPUTED_VALUE"""),4.4795559E7)</f>
        <v>44795559</v>
      </c>
      <c r="V43" s="495" t="str">
        <f>IFERROR(__xludf.DUMMYFUNCTION("""COMPUTED_VALUE"""),"TOTEMS DE UBICACION, SEÑALETICAS SALA DOCTORADO, TOTEM UBICACION GRAFICA, SEÑALETICA SENDERO")</f>
        <v>TOTEMS DE UBICACION, SEÑALETICAS SALA DOCTORADO, TOTEM UBICACION GRAFICA, SEÑALETICA SENDERO</v>
      </c>
      <c r="W43" s="495"/>
      <c r="X43" s="495" t="str">
        <f>IFERROR(__xludf.DUMMYFUNCTION("""COMPUTED_VALUE"""),"https://drive.google.com/open?id=1l_WkZGVByLt8yZfYwyUdazG0sgu3JYnw, https://drive.google.com/open?id=1KvZ_b49TaVl63GM9whZdJJjE-jnUaqgX, https://drive.google.com/open?id=1fk00KYMiMEatMe1kPTMRAKdrV7-V-q56, https://drive.google.com/open?id=1eMDxNGBohlA4jw-jV"&amp;"7Yii6wUGRkWtFRA, https://drive.google.com/open?id=1NAIja-_8pMlZgub7b_W0lEeuJVHWdV7r")</f>
        <v>https://drive.google.com/open?id=1l_WkZGVByLt8yZfYwyUdazG0sgu3JYnw, https://drive.google.com/open?id=1KvZ_b49TaVl63GM9whZdJJjE-jnUaqgX, https://drive.google.com/open?id=1fk00KYMiMEatMe1kPTMRAKdrV7-V-q56, https://drive.google.com/open?id=1eMDxNGBohlA4jw-jV7Yii6wUGRkWtFRA, https://drive.google.com/open?id=1NAIja-_8pMlZgub7b_W0lEeuJVHWdV7r</v>
      </c>
      <c r="Y43" s="495" t="str">
        <f>IFERROR(__xludf.DUMMYFUNCTION("""COMPUTED_VALUE"""),"info@pua.cl")</f>
        <v>info@pua.cl</v>
      </c>
      <c r="Z43" s="495"/>
      <c r="AA43" s="495"/>
      <c r="AB43" s="495"/>
      <c r="AC43" s="495"/>
      <c r="AD43" s="495" t="str">
        <f>IFERROR(__xludf.DUMMYFUNCTION("""COMPUTED_VALUE"""),"RC-009")</f>
        <v>RC-009</v>
      </c>
    </row>
    <row r="44">
      <c r="A44" s="495" t="str">
        <f t="shared" si="1"/>
        <v>RC-010</v>
      </c>
      <c r="B44" s="497">
        <f>IFERROR(__xludf.DUMMYFUNCTION("""COMPUTED_VALUE"""),45952.72431893519)</f>
        <v>45952.72432</v>
      </c>
      <c r="C44" s="495" t="str">
        <f>IFERROR(__xludf.DUMMYFUNCTION("""COMPUTED_VALUE"""),"")</f>
        <v/>
      </c>
      <c r="D44" s="495" t="str">
        <f>IFERROR(__xludf.DUMMYFUNCTION("""COMPUTED_VALUE"""),"David Silva Roco")</f>
        <v>David Silva Roco</v>
      </c>
      <c r="E44" s="495"/>
      <c r="F44" s="496" t="str">
        <f>IFERROR(__xludf.DUMMYFUNCTION("""COMPUTED_VALUE"""),"8380-2025")</f>
        <v>8380-2025</v>
      </c>
      <c r="G44" s="495"/>
      <c r="H44" s="495"/>
      <c r="I44" s="495"/>
      <c r="J44" s="495" t="str">
        <f>IFERROR(__xludf.DUMMYFUNCTION("""COMPUTED_VALUE"""),"Campus San Nicolás (Curacautín) - CSN")</f>
        <v>Campus San Nicolás (Curacautín) - CSN</v>
      </c>
      <c r="K44" s="495" t="str">
        <f>IFERROR(__xludf.DUMMYFUNCTION("""COMPUTED_VALUE"""),"01")</f>
        <v>01</v>
      </c>
      <c r="L44" s="495" t="str">
        <f>IFERROR(__xludf.DUMMYFUNCTION("""COMPUTED_VALUE"""),"Ricardo Pinedo B ")</f>
        <v>Ricardo Pinedo B </v>
      </c>
      <c r="M44" s="495" t="str">
        <f>IFERROR(__xludf.DUMMYFUNCTION("""COMPUTED_VALUE"""),"8.157.955-5")</f>
        <v>8.157.955-5</v>
      </c>
      <c r="N44" s="495" t="str">
        <f>IFERROR(__xludf.DUMMYFUNCTION("""COMPUTED_VALUE"""),"Ricardo Pinedo B gerente dueño")</f>
        <v>Ricardo Pinedo B gerente dueño</v>
      </c>
      <c r="O44" s="495" t="str">
        <f>IFERROR(__xludf.DUMMYFUNCTION("""COMPUTED_VALUE"""),"Obras")</f>
        <v>Obras</v>
      </c>
      <c r="P44" s="495"/>
      <c r="Q44" s="495"/>
      <c r="R44" s="495" t="str">
        <f>IFERROR(__xludf.DUMMYFUNCTION("""COMPUTED_VALUE"""),"Nuevo Edificio")</f>
        <v>Nuevo Edificio</v>
      </c>
      <c r="S44" s="495" t="str">
        <f>IFERROR(__xludf.DUMMYFUNCTION("""COMPUTED_VALUE"""),"Recepción de Obra - RC")</f>
        <v>Recepción de Obra - RC</v>
      </c>
      <c r="T44" s="495"/>
      <c r="U44" s="495"/>
      <c r="V44" s="495" t="str">
        <f>IFERROR(__xludf.DUMMYFUNCTION("""COMPUTED_VALUE"""),"Construcción oiscina")</f>
        <v>Construcción oiscina</v>
      </c>
      <c r="W44" s="495" t="str">
        <f>IFERROR(__xludf.DUMMYFUNCTION("""COMPUTED_VALUE"""),"Construcción piscina")</f>
        <v>Construcción piscina</v>
      </c>
      <c r="X44" s="495" t="str">
        <f>IFERROR(__xludf.DUMMYFUNCTION("""COMPUTED_VALUE"""),"https://drive.google.com/open?id=1_RBPe_ttxdfy_1nbYHYN5VW7LGb2OQWt, https://drive.google.com/open?id=1G-HEm0YmC-rLZ1xCrlFFHWGb4Q4NG1qO")</f>
        <v>https://drive.google.com/open?id=1_RBPe_ttxdfy_1nbYHYN5VW7LGb2OQWt, https://drive.google.com/open?id=1G-HEm0YmC-rLZ1xCrlFFHWGb4Q4NG1qO</v>
      </c>
      <c r="Y44" s="495" t="str">
        <f>IFERROR(__xludf.DUMMYFUNCTION("""COMPUTED_VALUE"""),"pinedo.ricardo@gmail.com")</f>
        <v>pinedo.ricardo@gmail.com</v>
      </c>
      <c r="Z44" s="495"/>
      <c r="AA44" s="495"/>
      <c r="AB44" s="495"/>
      <c r="AC44" s="495"/>
      <c r="AD44" s="495" t="str">
        <f>IFERROR(__xludf.DUMMYFUNCTION("""COMPUTED_VALUE"""),"RC-010")</f>
        <v>RC-010</v>
      </c>
    </row>
    <row r="45">
      <c r="A45" s="495" t="str">
        <f t="shared" si="1"/>
        <v>RC-313_26</v>
      </c>
      <c r="B45" s="497">
        <f>IFERROR(__xludf.DUMMYFUNCTION("""COMPUTED_VALUE"""),46216.955375219906)</f>
        <v>46216.95538</v>
      </c>
      <c r="C45" s="495" t="str">
        <f>IFERROR(__xludf.DUMMYFUNCTION("""COMPUTED_VALUE"""),"")</f>
        <v/>
      </c>
      <c r="D45" s="495" t="str">
        <f>IFERROR(__xludf.DUMMYFUNCTION("""COMPUTED_VALUE"""),"Juan Ignacio Solís de Ovando")</f>
        <v>Juan Ignacio Solís de Ovando</v>
      </c>
      <c r="E45" s="495"/>
      <c r="F45" s="496">
        <f>IFERROR(__xludf.DUMMYFUNCTION("""COMPUTED_VALUE"""),5552.0)</f>
        <v>5552</v>
      </c>
      <c r="G45" s="495"/>
      <c r="H45" s="495"/>
      <c r="I45" s="495"/>
      <c r="J45" s="495" t="str">
        <f>IFERROR(__xludf.DUMMYFUNCTION("""COMPUTED_VALUE"""),"Campus Dr. Luis Rivas del Canto - CRC")</f>
        <v>Campus Dr. Luis Rivas del Canto - CRC</v>
      </c>
      <c r="K45" s="495" t="str">
        <f>IFERROR(__xludf.DUMMYFUNCTION("""COMPUTED_VALUE"""),"03")</f>
        <v>03</v>
      </c>
      <c r="L45" s="495" t="str">
        <f>IFERROR(__xludf.DUMMYFUNCTION("""COMPUTED_VALUE"""),"comercializadora articulos ferreteria")</f>
        <v>comercializadora articulos ferreteria</v>
      </c>
      <c r="M45" s="495" t="str">
        <f>IFERROR(__xludf.DUMMYFUNCTION("""COMPUTED_VALUE"""),"76.707.485-9")</f>
        <v>76.707.485-9</v>
      </c>
      <c r="N45" s="495" t="str">
        <f>IFERROR(__xludf.DUMMYFUNCTION("""COMPUTED_VALUE"""),"Juan Ignacio Solis")</f>
        <v>Juan Ignacio Solis</v>
      </c>
      <c r="O45" s="495" t="str">
        <f>IFERROR(__xludf.DUMMYFUNCTION("""COMPUTED_VALUE"""),"Mantenciones")</f>
        <v>Mantenciones</v>
      </c>
      <c r="P45" s="495" t="str">
        <f>IFERROR(__xludf.DUMMYFUNCTION("""COMPUTED_VALUE"""),"Terminaciones Interiores")</f>
        <v>Terminaciones Interiores</v>
      </c>
      <c r="Q45" s="495"/>
      <c r="R45" s="495"/>
      <c r="S45" s="495"/>
      <c r="T45" s="495"/>
      <c r="U45" s="495"/>
      <c r="V45" s="495" t="str">
        <f>IFERROR(__xludf.DUMMYFUNCTION("""COMPUTED_VALUE"""),"instalacion empavonado")</f>
        <v>instalacion empavonado</v>
      </c>
      <c r="W45" s="495"/>
      <c r="X45" s="499" t="str">
        <f>IFERROR(__xludf.DUMMYFUNCTION("""COMPUTED_VALUE"""),"https://drive.google.com/open?id=14IPYaedLQbwgtqQBlVsUmuaMtf9nMZpt")</f>
        <v>https://drive.google.com/open?id=14IPYaedLQbwgtqQBlVsUmuaMtf9nMZpt</v>
      </c>
      <c r="Y45" s="495" t="str">
        <f>IFERROR(__xludf.DUMMYFUNCTION("""COMPUTED_VALUE"""),"danielaarriagadacaba@hotmail.com")</f>
        <v>danielaarriagadacaba@hotmail.com</v>
      </c>
      <c r="Z45" s="498">
        <f>IFERROR(__xludf.DUMMYFUNCTION("""COMPUTED_VALUE"""),282690.0)</f>
        <v>282690</v>
      </c>
      <c r="AA45" s="495"/>
      <c r="AB45" s="495"/>
      <c r="AC45" s="495"/>
      <c r="AD45" s="495" t="str">
        <f>IFERROR(__xludf.DUMMYFUNCTION("""COMPUTED_VALUE"""),"RC-313_26")</f>
        <v>RC-313_26</v>
      </c>
    </row>
    <row r="46">
      <c r="A46" s="495" t="str">
        <f t="shared" si="1"/>
        <v>RC-312_26</v>
      </c>
      <c r="B46" s="497">
        <f>IFERROR(__xludf.DUMMYFUNCTION("""COMPUTED_VALUE"""),46216.74480184028)</f>
        <v>46216.7448</v>
      </c>
      <c r="C46" s="495" t="str">
        <f>IFERROR(__xludf.DUMMYFUNCTION("""COMPUTED_VALUE"""),"")</f>
        <v/>
      </c>
      <c r="D46" s="495" t="str">
        <f>IFERROR(__xludf.DUMMYFUNCTION("""COMPUTED_VALUE"""),"Felipe Anselme Grandón")</f>
        <v>Felipe Anselme Grandón</v>
      </c>
      <c r="E46" s="495"/>
      <c r="F46" s="496" t="str">
        <f>IFERROR(__xludf.DUMMYFUNCTION("""COMPUTED_VALUE"""),"11565-2025")</f>
        <v>11565-2025</v>
      </c>
      <c r="G46" s="495"/>
      <c r="H46" s="495"/>
      <c r="I46" s="495"/>
      <c r="J46" s="495" t="str">
        <f>IFERROR(__xludf.DUMMYFUNCTION("""COMPUTED_VALUE"""),"Campus Dr. Luis Rivas del Canto - CRC")</f>
        <v>Campus Dr. Luis Rivas del Canto - CRC</v>
      </c>
      <c r="K46" s="495" t="str">
        <f>IFERROR(__xludf.DUMMYFUNCTION("""COMPUTED_VALUE"""),"Exterior")</f>
        <v>Exterior</v>
      </c>
      <c r="L46" s="495" t="str">
        <f>IFERROR(__xludf.DUMMYFUNCTION("""COMPUTED_VALUE"""),"Gaticar spa")</f>
        <v>Gaticar spa</v>
      </c>
      <c r="M46" s="495" t="str">
        <f>IFERROR(__xludf.DUMMYFUNCTION("""COMPUTED_VALUE"""),"77.578.487-3")</f>
        <v>77.578.487-3</v>
      </c>
      <c r="N46" s="495" t="str">
        <f>IFERROR(__xludf.DUMMYFUNCTION("""COMPUTED_VALUE"""),"Hector Gatica Badilla")</f>
        <v>Hector Gatica Badilla</v>
      </c>
      <c r="O46" s="495" t="str">
        <f>IFERROR(__xludf.DUMMYFUNCTION("""COMPUTED_VALUE"""),"Mantenciones")</f>
        <v>Mantenciones</v>
      </c>
      <c r="P46" s="495" t="str">
        <f>IFERROR(__xludf.DUMMYFUNCTION("""COMPUTED_VALUE"""),"Instalaciones de Agua Potable")</f>
        <v>Instalaciones de Agua Potable</v>
      </c>
      <c r="Q46" s="495"/>
      <c r="R46" s="495"/>
      <c r="S46" s="495"/>
      <c r="T46" s="495"/>
      <c r="U46" s="495"/>
      <c r="V46" s="495" t="str">
        <f>IFERROR(__xludf.DUMMYFUNCTION("""COMPUTED_VALUE"""),"PUESTA EN MARCHA SISTEMA, SEGUN COTIZACION NRO 561, DE RIEGO JARDINES
")</f>
        <v>PUESTA EN MARCHA SISTEMA, SEGUN COTIZACION NRO 561, DE RIEGO JARDINES
</v>
      </c>
      <c r="W46" s="495"/>
      <c r="X46" s="495" t="str">
        <f>IFERROR(__xludf.DUMMYFUNCTION("""COMPUTED_VALUE"""),"https://drive.google.com/open?id=1c-1xh7YI_UhrMNDy5apWDmEXK56r1US2, https://drive.google.com/open?id=1nBqjRLyeZr1Wx4x2lEAJlzjUcmuQgGjw, https://drive.google.com/open?id=1nY9Mqyny5TWtVjAjRHNJPUCONEzeVBfW")</f>
        <v>https://drive.google.com/open?id=1c-1xh7YI_UhrMNDy5apWDmEXK56r1US2, https://drive.google.com/open?id=1nBqjRLyeZr1Wx4x2lEAJlzjUcmuQgGjw, https://drive.google.com/open?id=1nY9Mqyny5TWtVjAjRHNJPUCONEzeVBfW</v>
      </c>
      <c r="Y46" s="495" t="str">
        <f>IFERROR(__xludf.DUMMYFUNCTION("""COMPUTED_VALUE"""),"serviciogaticar@gmail.com")</f>
        <v>serviciogaticar@gmail.com</v>
      </c>
      <c r="Z46" s="498">
        <f>IFERROR(__xludf.DUMMYFUNCTION("""COMPUTED_VALUE"""),773500.0)</f>
        <v>773500</v>
      </c>
      <c r="AA46" s="495"/>
      <c r="AB46" s="495"/>
      <c r="AC46" s="495"/>
      <c r="AD46" s="495" t="str">
        <f>IFERROR(__xludf.DUMMYFUNCTION("""COMPUTED_VALUE"""),"RC-312_26")</f>
        <v>RC-312_26</v>
      </c>
    </row>
    <row r="47">
      <c r="A47" s="495" t="str">
        <f t="shared" si="1"/>
        <v>RC-311_26</v>
      </c>
      <c r="B47" s="497">
        <f>IFERROR(__xludf.DUMMYFUNCTION("""COMPUTED_VALUE"""),46216.67442216435)</f>
        <v>46216.67442</v>
      </c>
      <c r="C47" s="495" t="str">
        <f>IFERROR(__xludf.DUMMYFUNCTION("""COMPUTED_VALUE"""),"")</f>
        <v/>
      </c>
      <c r="D47" s="495" t="str">
        <f>IFERROR(__xludf.DUMMYFUNCTION("""COMPUTED_VALUE"""),"Mauricio Matus Belmar")</f>
        <v>Mauricio Matus Belmar</v>
      </c>
      <c r="E47" s="495"/>
      <c r="F47" s="496" t="str">
        <f>IFERROR(__xludf.DUMMYFUNCTION("""COMPUTED_VALUE"""),"5827-2026")</f>
        <v>5827-2026</v>
      </c>
      <c r="G47" s="495"/>
      <c r="H47" s="495"/>
      <c r="I47" s="495"/>
      <c r="J47" s="495" t="str">
        <f>IFERROR(__xludf.DUMMYFUNCTION("""COMPUTED_VALUE"""),"Campus Pillanlelbun - CPL")</f>
        <v>Campus Pillanlelbun - CPL</v>
      </c>
      <c r="K47" s="495" t="str">
        <f>IFERROR(__xludf.DUMMYFUNCTION("""COMPUTED_VALUE"""),"08")</f>
        <v>08</v>
      </c>
      <c r="L47" s="495" t="str">
        <f>IFERROR(__xludf.DUMMYFUNCTION("""COMPUTED_VALUE"""),"Gaticar spa")</f>
        <v>Gaticar spa</v>
      </c>
      <c r="M47" s="495" t="str">
        <f>IFERROR(__xludf.DUMMYFUNCTION("""COMPUTED_VALUE"""),"77.578.487-3")</f>
        <v>77.578.487-3</v>
      </c>
      <c r="N47" s="495" t="str">
        <f>IFERROR(__xludf.DUMMYFUNCTION("""COMPUTED_VALUE"""),"Hector Gatica")</f>
        <v>Hector Gatica</v>
      </c>
      <c r="O47" s="495" t="str">
        <f>IFERROR(__xludf.DUMMYFUNCTION("""COMPUTED_VALUE"""),"Mantenciones")</f>
        <v>Mantenciones</v>
      </c>
      <c r="P47" s="495" t="str">
        <f>IFERROR(__xludf.DUMMYFUNCTION("""COMPUTED_VALUE"""),"Instalaciones de Agua Potable")</f>
        <v>Instalaciones de Agua Potable</v>
      </c>
      <c r="Q47" s="495"/>
      <c r="R47" s="495"/>
      <c r="S47" s="495"/>
      <c r="T47" s="495"/>
      <c r="U47" s="495"/>
      <c r="V47" s="495" t="str">
        <f>IFERROR(__xludf.DUMMYFUNCTION("""COMPUTED_VALUE"""),"CAMBIO DE TERMO ELÉCTRICO MURAL DE 120L")</f>
        <v>CAMBIO DE TERMO ELÉCTRICO MURAL DE 120L</v>
      </c>
      <c r="W47" s="495"/>
      <c r="X47" s="495" t="str">
        <f>IFERROR(__xludf.DUMMYFUNCTION("""COMPUTED_VALUE"""),"https://drive.google.com/open?id=1LLUBz9oBvrMm26w_1bY-KQcKRatGGxZM, https://drive.google.com/open?id=1e0bcStbbBQqW64HNK57gubgtqx55RBp5, https://drive.google.com/open?id=1-aHlm0oV1ecWyzHTyWl4ToQ3DO2upXc8")</f>
        <v>https://drive.google.com/open?id=1LLUBz9oBvrMm26w_1bY-KQcKRatGGxZM, https://drive.google.com/open?id=1e0bcStbbBQqW64HNK57gubgtqx55RBp5, https://drive.google.com/open?id=1-aHlm0oV1ecWyzHTyWl4ToQ3DO2upXc8</v>
      </c>
      <c r="Y47" s="495" t="str">
        <f>IFERROR(__xludf.DUMMYFUNCTION("""COMPUTED_VALUE"""),"serviciogaticar@gmail.com")</f>
        <v>serviciogaticar@gmail.com</v>
      </c>
      <c r="Z47" s="498">
        <f>IFERROR(__xludf.DUMMYFUNCTION("""COMPUTED_VALUE"""),535500.0)</f>
        <v>535500</v>
      </c>
      <c r="AA47" s="495"/>
      <c r="AB47" s="495"/>
      <c r="AC47" s="495"/>
      <c r="AD47" s="495" t="str">
        <f>IFERROR(__xludf.DUMMYFUNCTION("""COMPUTED_VALUE"""),"RC-311_26")</f>
        <v>RC-311_26</v>
      </c>
    </row>
    <row r="48">
      <c r="A48" s="495" t="str">
        <f t="shared" si="1"/>
        <v>RC-014</v>
      </c>
      <c r="B48" s="497">
        <f>IFERROR(__xludf.DUMMYFUNCTION("""COMPUTED_VALUE"""),45957.63607356482)</f>
        <v>45957.63607</v>
      </c>
      <c r="C48" s="495" t="str">
        <f>IFERROR(__xludf.DUMMYFUNCTION("""COMPUTED_VALUE"""),"")</f>
        <v/>
      </c>
      <c r="D48" s="495" t="str">
        <f>IFERROR(__xludf.DUMMYFUNCTION("""COMPUTED_VALUE"""),"Juan Ignacio Solís de Ovando")</f>
        <v>Juan Ignacio Solís de Ovando</v>
      </c>
      <c r="E48" s="495"/>
      <c r="F48" s="496" t="str">
        <f>IFERROR(__xludf.DUMMYFUNCTION("""COMPUTED_VALUE"""),"8022 - 2024")</f>
        <v>8022 - 2024</v>
      </c>
      <c r="G48" s="495"/>
      <c r="H48" s="495"/>
      <c r="I48" s="495"/>
      <c r="J48" s="495" t="str">
        <f>IFERROR(__xludf.DUMMYFUNCTION("""COMPUTED_VALUE"""),"Campus Dr. Luis Rivas del Canto - CRC")</f>
        <v>Campus Dr. Luis Rivas del Canto - CRC</v>
      </c>
      <c r="K48" s="495" t="str">
        <f>IFERROR(__xludf.DUMMYFUNCTION("""COMPUTED_VALUE"""),"Sin número")</f>
        <v>Sin número</v>
      </c>
      <c r="L48" s="495" t="str">
        <f>IFERROR(__xludf.DUMMYFUNCTION("""COMPUTED_VALUE"""),"LUIS SAEZ ALLENDES EIRL")</f>
        <v>LUIS SAEZ ALLENDES EIRL</v>
      </c>
      <c r="M48" s="495" t="str">
        <f>IFERROR(__xludf.DUMMYFUNCTION("""COMPUTED_VALUE"""),"76.219.281-0")</f>
        <v>76.219.281-0</v>
      </c>
      <c r="N48" s="495" t="str">
        <f>IFERROR(__xludf.DUMMYFUNCTION("""COMPUTED_VALUE"""),"CLAUDIA SANZANA SAEZ")</f>
        <v>CLAUDIA SANZANA SAEZ</v>
      </c>
      <c r="O48" s="495" t="str">
        <f>IFERROR(__xludf.DUMMYFUNCTION("""COMPUTED_VALUE"""),"Obras")</f>
        <v>Obras</v>
      </c>
      <c r="P48" s="495"/>
      <c r="Q48" s="495"/>
      <c r="R48" s="495" t="str">
        <f>IFERROR(__xludf.DUMMYFUNCTION("""COMPUTED_VALUE"""),"Nuevo Edificio")</f>
        <v>Nuevo Edificio</v>
      </c>
      <c r="S48" s="495" t="str">
        <f>IFERROR(__xludf.DUMMYFUNCTION("""COMPUTED_VALUE"""),"Estado de Pago - EP")</f>
        <v>Estado de Pago - EP</v>
      </c>
      <c r="T48" s="495">
        <f>IFERROR(__xludf.DUMMYFUNCTION("""COMPUTED_VALUE"""),15.0)</f>
        <v>15</v>
      </c>
      <c r="U48" s="498">
        <f>IFERROR(__xludf.DUMMYFUNCTION("""COMPUTED_VALUE"""),1.90559061E8)</f>
        <v>190559061</v>
      </c>
      <c r="V48" s="495" t="str">
        <f>IFERROR(__xludf.DUMMYFUNCTION("""COMPUTED_VALUE"""),"AVANCE DE OBRA ETAPA DE TERMINACIONES COMO TABIQUERIAS VIDRIADAS, INSTALACIONES DE PUERTAS, ARTEFACTOS SANITARIOS, GUARDAPOLVOS, ETC; ADEMAS DE AVANCES EN INSTALACIONES DE CLIMA Y ELECTRICIDAD. AVANCE EN TRABAJOS EXTERIORES REFERENTE A ITEM GRECA")</f>
        <v>AVANCE DE OBRA ETAPA DE TERMINACIONES COMO TABIQUERIAS VIDRIADAS, INSTALACIONES DE PUERTAS, ARTEFACTOS SANITARIOS, GUARDAPOLVOS, ETC; ADEMAS DE AVANCES EN INSTALACIONES DE CLIMA Y ELECTRICIDAD. AVANCE EN TRABAJOS EXTERIORES REFERENTE A ITEM GRECA</v>
      </c>
      <c r="W48" s="495"/>
      <c r="X48" s="495" t="str">
        <f>IFERROR(__xludf.DUMMYFUNCTION("""COMPUTED_VALUE"""),"https://drive.google.com/open?id=1LwozNLX10Ip_VemZV1GI0znLSXl0CzOx, https://drive.google.com/open?id=1aJF4EmwmCri2SGqwsVk_hMEaqv03qZv9, https://drive.google.com/open?id=1fMfDeWpSxbfvx9CvEzs6fr5FKg-dFi0g, https://drive.google.com/open?id=1tPIUyHiAnSd7CZCbv"&amp;"dfHTBXCG275ko-r, https://drive.google.com/open?id=1JPE8a-k6JlNxCnF1FCBxWxuKpcha1sL3")</f>
        <v>https://drive.google.com/open?id=1LwozNLX10Ip_VemZV1GI0znLSXl0CzOx, https://drive.google.com/open?id=1aJF4EmwmCri2SGqwsVk_hMEaqv03qZv9, https://drive.google.com/open?id=1fMfDeWpSxbfvx9CvEzs6fr5FKg-dFi0g, https://drive.google.com/open?id=1tPIUyHiAnSd7CZCbvdfHTBXCG275ko-r, https://drive.google.com/open?id=1JPE8a-k6JlNxCnF1FCBxWxuKpcha1sL3</v>
      </c>
      <c r="Y48" s="495" t="str">
        <f>IFERROR(__xludf.DUMMYFUNCTION("""COMPUTED_VALUE"""),"claudiasanzana@lsaingenieria.cl")</f>
        <v>claudiasanzana@lsaingenieria.cl</v>
      </c>
      <c r="Z48" s="495"/>
      <c r="AA48" s="495"/>
      <c r="AB48" s="495"/>
      <c r="AC48" s="495"/>
      <c r="AD48" s="495" t="str">
        <f>IFERROR(__xludf.DUMMYFUNCTION("""COMPUTED_VALUE"""),"RC-014")</f>
        <v>RC-014</v>
      </c>
    </row>
    <row r="49">
      <c r="A49" s="495" t="str">
        <f t="shared" si="1"/>
        <v>RC-015</v>
      </c>
      <c r="B49" s="497">
        <f>IFERROR(__xludf.DUMMYFUNCTION("""COMPUTED_VALUE"""),45957.64225085649)</f>
        <v>45957.64225</v>
      </c>
      <c r="C49" s="495" t="str">
        <f>IFERROR(__xludf.DUMMYFUNCTION("""COMPUTED_VALUE"""),"")</f>
        <v/>
      </c>
      <c r="D49" s="495" t="str">
        <f>IFERROR(__xludf.DUMMYFUNCTION("""COMPUTED_VALUE"""),"Juan Ignacio Solís de Ovando")</f>
        <v>Juan Ignacio Solís de Ovando</v>
      </c>
      <c r="E49" s="495"/>
      <c r="F49" s="496" t="str">
        <f>IFERROR(__xludf.DUMMYFUNCTION("""COMPUTED_VALUE"""),"9031 - 2025")</f>
        <v>9031 - 2025</v>
      </c>
      <c r="G49" s="495"/>
      <c r="H49" s="495"/>
      <c r="I49" s="495"/>
      <c r="J49" s="495" t="str">
        <f>IFERROR(__xludf.DUMMYFUNCTION("""COMPUTED_VALUE"""),"Campus Dr. Luis Rivas del Canto - CRC")</f>
        <v>Campus Dr. Luis Rivas del Canto - CRC</v>
      </c>
      <c r="K49" s="495" t="str">
        <f>IFERROR(__xludf.DUMMYFUNCTION("""COMPUTED_VALUE"""),"Sin número")</f>
        <v>Sin número</v>
      </c>
      <c r="L49" s="495" t="str">
        <f>IFERROR(__xludf.DUMMYFUNCTION("""COMPUTED_VALUE"""),"LUIS SAEZ ALLENDES EIRL")</f>
        <v>LUIS SAEZ ALLENDES EIRL</v>
      </c>
      <c r="M49" s="495" t="str">
        <f>IFERROR(__xludf.DUMMYFUNCTION("""COMPUTED_VALUE"""),"76.219.281-0")</f>
        <v>76.219.281-0</v>
      </c>
      <c r="N49" s="495" t="str">
        <f>IFERROR(__xludf.DUMMYFUNCTION("""COMPUTED_VALUE"""),"CLAUDIA SANZANA SAEZ")</f>
        <v>CLAUDIA SANZANA SAEZ</v>
      </c>
      <c r="O49" s="495" t="str">
        <f>IFERROR(__xludf.DUMMYFUNCTION("""COMPUTED_VALUE"""),"Obras")</f>
        <v>Obras</v>
      </c>
      <c r="P49" s="495"/>
      <c r="Q49" s="495"/>
      <c r="R49" s="495" t="str">
        <f>IFERROR(__xludf.DUMMYFUNCTION("""COMPUTED_VALUE"""),"Nuevo Edificio")</f>
        <v>Nuevo Edificio</v>
      </c>
      <c r="S49" s="495" t="str">
        <f>IFERROR(__xludf.DUMMYFUNCTION("""COMPUTED_VALUE"""),"Estado de Pago - EP")</f>
        <v>Estado de Pago - EP</v>
      </c>
      <c r="T49" s="495">
        <f>IFERROR(__xludf.DUMMYFUNCTION("""COMPUTED_VALUE"""),2.0)</f>
        <v>2</v>
      </c>
      <c r="U49" s="498">
        <f>IFERROR(__xludf.DUMMYFUNCTION("""COMPUTED_VALUE"""),8.1204459E7)</f>
        <v>81204459</v>
      </c>
      <c r="V49" s="495" t="str">
        <f>IFERROR(__xludf.DUMMYFUNCTION("""COMPUTED_VALUE"""),"AVANCES EN TRABAJOS DE MODIFICACIONES EN SEGUNDO Y TERCER NIVEL, INSTALACIONES DE BLOQUES DE VIDRIO Y TABIQUERIAS DE ALUMINIO EN SECTOR OFICINAS DE TERCER NIVEL")</f>
        <v>AVANCES EN TRABAJOS DE MODIFICACIONES EN SEGUNDO Y TERCER NIVEL, INSTALACIONES DE BLOQUES DE VIDRIO Y TABIQUERIAS DE ALUMINIO EN SECTOR OFICINAS DE TERCER NIVEL</v>
      </c>
      <c r="W49" s="495"/>
      <c r="X49" s="495" t="str">
        <f>IFERROR(__xludf.DUMMYFUNCTION("""COMPUTED_VALUE"""),"https://drive.google.com/open?id=13yqgGhjhnb1FVQxCxfANxNCzZuk1GDvo, https://drive.google.com/open?id=1CvZdPb2oMe0rODDLG5a38JKnE90dSW96, https://drive.google.com/open?id=1Z9XAsLDLJZSpS7vjU9ruDnlanZOYgAZS, https://drive.google.com/open?id=1EvyllKMKc2DtuGadH"&amp;"3yrBNNTSMqmtl4z, https://drive.google.com/open?id=1NQrNEb-JLGb8v19j6sKMQ9GnkoSAtI39")</f>
        <v>https://drive.google.com/open?id=13yqgGhjhnb1FVQxCxfANxNCzZuk1GDvo, https://drive.google.com/open?id=1CvZdPb2oMe0rODDLG5a38JKnE90dSW96, https://drive.google.com/open?id=1Z9XAsLDLJZSpS7vjU9ruDnlanZOYgAZS, https://drive.google.com/open?id=1EvyllKMKc2DtuGadH3yrBNNTSMqmtl4z, https://drive.google.com/open?id=1NQrNEb-JLGb8v19j6sKMQ9GnkoSAtI39</v>
      </c>
      <c r="Y49" s="495" t="str">
        <f>IFERROR(__xludf.DUMMYFUNCTION("""COMPUTED_VALUE"""),"claudiasanzana@lsaingenieria.cl")</f>
        <v>claudiasanzana@lsaingenieria.cl</v>
      </c>
      <c r="Z49" s="495"/>
      <c r="AA49" s="495"/>
      <c r="AB49" s="495"/>
      <c r="AC49" s="495"/>
      <c r="AD49" s="495" t="str">
        <f>IFERROR(__xludf.DUMMYFUNCTION("""COMPUTED_VALUE"""),"RC-015")</f>
        <v>RC-015</v>
      </c>
    </row>
    <row r="50">
      <c r="A50" s="495" t="str">
        <f t="shared" si="1"/>
        <v>RC-016</v>
      </c>
      <c r="B50" s="497">
        <f>IFERROR(__xludf.DUMMYFUNCTION("""COMPUTED_VALUE"""),45958.40842775463)</f>
        <v>45958.40843</v>
      </c>
      <c r="C50" s="495" t="str">
        <f>IFERROR(__xludf.DUMMYFUNCTION("""COMPUTED_VALUE"""),"")</f>
        <v/>
      </c>
      <c r="D50" s="495" t="str">
        <f>IFERROR(__xludf.DUMMYFUNCTION("""COMPUTED_VALUE"""),"Cristóbal Correa del Río")</f>
        <v>Cristóbal Correa del Río</v>
      </c>
      <c r="E50" s="495"/>
      <c r="F50" s="496" t="str">
        <f>IFERROR(__xludf.DUMMYFUNCTION("""COMPUTED_VALUE"""),"8337 - 2025")</f>
        <v>8337 - 2025</v>
      </c>
      <c r="G50" s="495"/>
      <c r="H50" s="495"/>
      <c r="I50" s="495"/>
      <c r="J50" s="495" t="str">
        <f>IFERROR(__xludf.DUMMYFUNCTION("""COMPUTED_VALUE"""),"Campus San Nicolás (Curacautín) - CSN")</f>
        <v>Campus San Nicolás (Curacautín) - CSN</v>
      </c>
      <c r="K50" s="495" t="str">
        <f>IFERROR(__xludf.DUMMYFUNCTION("""COMPUTED_VALUE"""),"Sin número")</f>
        <v>Sin número</v>
      </c>
      <c r="L50" s="495" t="str">
        <f>IFERROR(__xludf.DUMMYFUNCTION("""COMPUTED_VALUE"""),"TRECAN SPA")</f>
        <v>TRECAN SPA</v>
      </c>
      <c r="M50" s="495" t="str">
        <f>IFERROR(__xludf.DUMMYFUNCTION("""COMPUTED_VALUE"""),"78.077.589-0")</f>
        <v>78.077.589-0</v>
      </c>
      <c r="N50" s="495" t="str">
        <f>IFERROR(__xludf.DUMMYFUNCTION("""COMPUTED_VALUE"""),"RODRIGO ALEJANDRO TRECAN BELTRAN - JEFE")</f>
        <v>RODRIGO ALEJANDRO TRECAN BELTRAN - JEFE</v>
      </c>
      <c r="O50" s="495" t="str">
        <f>IFERROR(__xludf.DUMMYFUNCTION("""COMPUTED_VALUE"""),"Obras")</f>
        <v>Obras</v>
      </c>
      <c r="P50" s="495"/>
      <c r="Q50" s="495"/>
      <c r="R50" s="495" t="str">
        <f>IFERROR(__xludf.DUMMYFUNCTION("""COMPUTED_VALUE"""),"Nuevo Edificio")</f>
        <v>Nuevo Edificio</v>
      </c>
      <c r="S50" s="495" t="str">
        <f>IFERROR(__xludf.DUMMYFUNCTION("""COMPUTED_VALUE"""),"Estado de Pago - EP")</f>
        <v>Estado de Pago - EP</v>
      </c>
      <c r="T50" s="495">
        <f>IFERROR(__xludf.DUMMYFUNCTION("""COMPUTED_VALUE"""),1.0)</f>
        <v>1</v>
      </c>
      <c r="U50" s="495">
        <f>IFERROR(__xludf.DUMMYFUNCTION("""COMPUTED_VALUE"""),1.0E7)</f>
        <v>10000000</v>
      </c>
      <c r="V50" s="495" t="str">
        <f>IFERROR(__xludf.DUMMYFUNCTION("""COMPUTED_VALUE"""),"Carpintería
Canalización eléctrica
Instalación gasfitería interior ppr")</f>
        <v>Carpintería
Canalización eléctrica
Instalación gasfitería interior ppr</v>
      </c>
      <c r="W50" s="495"/>
      <c r="X50" s="495" t="str">
        <f>IFERROR(__xludf.DUMMYFUNCTION("""COMPUTED_VALUE"""),"https://drive.google.com/open?id=14t6GjUfLZhwIiqhrdqwYMVa1aQDm1net, https://drive.google.com/open?id=19lvuTgC_pGSxccyPeO6M0MV7hE6NYc7Z, https://drive.google.com/open?id=15_1N2aIM3LDbUGtnPA4OURAls8BpJhmZ, https://drive.google.com/open?id=1Yc1mAj9Qa3uEeSLRA"&amp;"snC6Ot8cKKNS7Ka, https://drive.google.com/open?id=1oOxF-3XDap1_hWybPc-uGc_buaxtK1oE")</f>
        <v>https://drive.google.com/open?id=14t6GjUfLZhwIiqhrdqwYMVa1aQDm1net, https://drive.google.com/open?id=19lvuTgC_pGSxccyPeO6M0MV7hE6NYc7Z, https://drive.google.com/open?id=15_1N2aIM3LDbUGtnPA4OURAls8BpJhmZ, https://drive.google.com/open?id=1Yc1mAj9Qa3uEeSLRAsnC6Ot8cKKNS7Ka, https://drive.google.com/open?id=1oOxF-3XDap1_hWybPc-uGc_buaxtK1oE</v>
      </c>
      <c r="Y50" s="495" t="str">
        <f>IFERROR(__xludf.DUMMYFUNCTION("""COMPUTED_VALUE"""),"tributaria@lyaconsultores.cl")</f>
        <v>tributaria@lyaconsultores.cl</v>
      </c>
      <c r="Z50" s="495"/>
      <c r="AA50" s="495"/>
      <c r="AB50" s="495"/>
      <c r="AC50" s="495"/>
      <c r="AD50" s="495" t="str">
        <f>IFERROR(__xludf.DUMMYFUNCTION("""COMPUTED_VALUE"""),"RC-016")</f>
        <v>RC-016</v>
      </c>
    </row>
    <row r="51">
      <c r="A51" s="495" t="str">
        <f t="shared" si="1"/>
        <v>RC-017</v>
      </c>
      <c r="B51" s="497">
        <f>IFERROR(__xludf.DUMMYFUNCTION("""COMPUTED_VALUE"""),45958.484436099534)</f>
        <v>45958.48444</v>
      </c>
      <c r="C51" s="495" t="str">
        <f>IFERROR(__xludf.DUMMYFUNCTION("""COMPUTED_VALUE"""),"")</f>
        <v/>
      </c>
      <c r="D51" s="495" t="str">
        <f>IFERROR(__xludf.DUMMYFUNCTION("""COMPUTED_VALUE"""),"Juan Ignacio Solís de Ovando")</f>
        <v>Juan Ignacio Solís de Ovando</v>
      </c>
      <c r="E51" s="495"/>
      <c r="F51" s="496" t="str">
        <f>IFERROR(__xludf.DUMMYFUNCTION("""COMPUTED_VALUE"""),"8022 - 2024")</f>
        <v>8022 - 2024</v>
      </c>
      <c r="G51" s="495"/>
      <c r="H51" s="495"/>
      <c r="I51" s="495"/>
      <c r="J51" s="495" t="str">
        <f>IFERROR(__xludf.DUMMYFUNCTION("""COMPUTED_VALUE"""),"Campus Dr. Luis Rivas del Canto - CRC")</f>
        <v>Campus Dr. Luis Rivas del Canto - CRC</v>
      </c>
      <c r="K51" s="495" t="str">
        <f>IFERROR(__xludf.DUMMYFUNCTION("""COMPUTED_VALUE"""),"Sin número")</f>
        <v>Sin número</v>
      </c>
      <c r="L51" s="495" t="str">
        <f>IFERROR(__xludf.DUMMYFUNCTION("""COMPUTED_VALUE"""),"LUIS SAEZ ALLENDES EIRL")</f>
        <v>LUIS SAEZ ALLENDES EIRL</v>
      </c>
      <c r="M51" s="495" t="str">
        <f>IFERROR(__xludf.DUMMYFUNCTION("""COMPUTED_VALUE"""),"76.219.281-0")</f>
        <v>76.219.281-0</v>
      </c>
      <c r="N51" s="495" t="str">
        <f>IFERROR(__xludf.DUMMYFUNCTION("""COMPUTED_VALUE"""),"CLAUDIA SANZANA SAEZ - ADMINISTRADOR DE OBRA")</f>
        <v>CLAUDIA SANZANA SAEZ - ADMINISTRADOR DE OBRA</v>
      </c>
      <c r="O51" s="495" t="str">
        <f>IFERROR(__xludf.DUMMYFUNCTION("""COMPUTED_VALUE"""),"Obras")</f>
        <v>Obras</v>
      </c>
      <c r="P51" s="495"/>
      <c r="Q51" s="495"/>
      <c r="R51" s="495" t="str">
        <f>IFERROR(__xludf.DUMMYFUNCTION("""COMPUTED_VALUE"""),"Nuevo Edificio")</f>
        <v>Nuevo Edificio</v>
      </c>
      <c r="S51" s="495" t="str">
        <f>IFERROR(__xludf.DUMMYFUNCTION("""COMPUTED_VALUE"""),"Estado de Pago - EP")</f>
        <v>Estado de Pago - EP</v>
      </c>
      <c r="T51" s="495">
        <f>IFERROR(__xludf.DUMMYFUNCTION("""COMPUTED_VALUE"""),15.0)</f>
        <v>15</v>
      </c>
      <c r="U51" s="498">
        <f>IFERROR(__xludf.DUMMYFUNCTION("""COMPUTED_VALUE"""),2.03743699E8)</f>
        <v>203743699</v>
      </c>
      <c r="V51" s="495" t="str">
        <f>IFERROR(__xludf.DUMMYFUNCTION("""COMPUTED_VALUE"""),"AVANCE EN TRABAJOS DE TERMINACIONES E INSTALACIONES")</f>
        <v>AVANCE EN TRABAJOS DE TERMINACIONES E INSTALACIONES</v>
      </c>
      <c r="W51" s="495"/>
      <c r="X51" s="495" t="str">
        <f>IFERROR(__xludf.DUMMYFUNCTION("""COMPUTED_VALUE"""),"https://drive.google.com/open?id=1Uqkgu206K2Q3PXPXVgSFiW8JtCP9GuT6, https://drive.google.com/open?id=1t1fwgkK_Bnv2zetTimaNV-ax5NvE5i9V, https://drive.google.com/open?id=1uioVeqM3FbZdVYDFbrp3R9TNOd3XhDts, https://drive.google.com/open?id=1WEDWgdPEW3C_PCq2p"&amp;"uluGTifJzdqAeAj, https://drive.google.com/open?id=1qreHSkNVBdj1Xb5WYRjCD-tpsoRc6B9Z")</f>
        <v>https://drive.google.com/open?id=1Uqkgu206K2Q3PXPXVgSFiW8JtCP9GuT6, https://drive.google.com/open?id=1t1fwgkK_Bnv2zetTimaNV-ax5NvE5i9V, https://drive.google.com/open?id=1uioVeqM3FbZdVYDFbrp3R9TNOd3XhDts, https://drive.google.com/open?id=1WEDWgdPEW3C_PCq2puluGTifJzdqAeAj, https://drive.google.com/open?id=1qreHSkNVBdj1Xb5WYRjCD-tpsoRc6B9Z</v>
      </c>
      <c r="Y51" s="495" t="str">
        <f>IFERROR(__xludf.DUMMYFUNCTION("""COMPUTED_VALUE"""),"claudiasanzana@lsaingenieria.cl")</f>
        <v>claudiasanzana@lsaingenieria.cl</v>
      </c>
      <c r="Z51" s="495"/>
      <c r="AA51" s="495"/>
      <c r="AB51" s="495"/>
      <c r="AC51" s="495"/>
      <c r="AD51" s="495" t="str">
        <f>IFERROR(__xludf.DUMMYFUNCTION("""COMPUTED_VALUE"""),"RC-017")</f>
        <v>RC-017</v>
      </c>
    </row>
    <row r="52">
      <c r="A52" s="495" t="str">
        <f t="shared" si="1"/>
        <v>RC-306_26</v>
      </c>
      <c r="B52" s="497">
        <f>IFERROR(__xludf.DUMMYFUNCTION("""COMPUTED_VALUE"""),46215.907626493055)</f>
        <v>46215.90763</v>
      </c>
      <c r="C52" s="495" t="str">
        <f>IFERROR(__xludf.DUMMYFUNCTION("""COMPUTED_VALUE"""),"")</f>
        <v/>
      </c>
      <c r="D52" s="495" t="str">
        <f>IFERROR(__xludf.DUMMYFUNCTION("""COMPUTED_VALUE"""),"Mauricio Matus Belmar")</f>
        <v>Mauricio Matus Belmar</v>
      </c>
      <c r="E52" s="495"/>
      <c r="F52" s="496" t="str">
        <f>IFERROR(__xludf.DUMMYFUNCTION("""COMPUTED_VALUE"""),"421-2026")</f>
        <v>421-2026</v>
      </c>
      <c r="G52" s="495"/>
      <c r="H52" s="495"/>
      <c r="I52" s="495"/>
      <c r="J52" s="495" t="str">
        <f>IFERROR(__xludf.DUMMYFUNCTION("""COMPUTED_VALUE"""),"Campus San Juan Pablo II - CJP")</f>
        <v>Campus San Juan Pablo II - CJP</v>
      </c>
      <c r="K52" s="495" t="str">
        <f>IFERROR(__xludf.DUMMYFUNCTION("""COMPUTED_VALUE"""),"05")</f>
        <v>05</v>
      </c>
      <c r="L52" s="495" t="str">
        <f>IFERROR(__xludf.DUMMYFUNCTION("""COMPUTED_VALUE"""),"SERVICIOS INTEGRALES CRITICOS SPA")</f>
        <v>SERVICIOS INTEGRALES CRITICOS SPA</v>
      </c>
      <c r="M52" s="495" t="str">
        <f>IFERROR(__xludf.DUMMYFUNCTION("""COMPUTED_VALUE"""),"77.248.719-3")</f>
        <v>77.248.719-3</v>
      </c>
      <c r="N52" s="495" t="str">
        <f>IFERROR(__xludf.DUMMYFUNCTION("""COMPUTED_VALUE"""),"ROBERTO FUENTES RIFFO - SUPERVISOR")</f>
        <v>ROBERTO FUENTES RIFFO - SUPERVISOR</v>
      </c>
      <c r="O52" s="495" t="str">
        <f>IFERROR(__xludf.DUMMYFUNCTION("""COMPUTED_VALUE"""),"Mantenciones")</f>
        <v>Mantenciones</v>
      </c>
      <c r="P52" s="495" t="str">
        <f>IFERROR(__xludf.DUMMYFUNCTION("""COMPUTED_VALUE"""),"Requerimientos Emergentes e Imprevistos")</f>
        <v>Requerimientos Emergentes e Imprevistos</v>
      </c>
      <c r="Q52" s="495"/>
      <c r="R52" s="495"/>
      <c r="S52" s="495"/>
      <c r="T52" s="495"/>
      <c r="U52" s="495"/>
      <c r="V52" s="495" t="str">
        <f>IFERROR(__xludf.DUMMYFUNCTION("""COMPUTED_VALUE"""),"DISEÑO PROYECTO EXTRACCION CASINO")</f>
        <v>DISEÑO PROYECTO EXTRACCION CASINO</v>
      </c>
      <c r="W52" s="495" t="str">
        <f>IFERROR(__xludf.DUMMYFUNCTION("""COMPUTED_VALUE"""),"SIN RECOMENDACIONES")</f>
        <v>SIN RECOMENDACIONES</v>
      </c>
      <c r="X52" s="495" t="str">
        <f>IFERROR(__xludf.DUMMYFUNCTION("""COMPUTED_VALUE"""),"https://drive.google.com/open?id=1JHSoEv5ZsP_1hVyLTyLV7dPyueUb_vIe, https://drive.google.com/open?id=1x5qQKoGLO7Kibwq2yfT2Cglnw9WmgKYY, https://drive.google.com/open?id=1UgJyzx6wc-E7jH6JVtgJPwTOAZHywa4m, https://drive.google.com/open?id=1OMkWC0Pqc0Tt7nyiT"&amp;"FbnRVYDPdAXtsa-")</f>
        <v>https://drive.google.com/open?id=1JHSoEv5ZsP_1hVyLTyLV7dPyueUb_vIe, https://drive.google.com/open?id=1x5qQKoGLO7Kibwq2yfT2Cglnw9WmgKYY, https://drive.google.com/open?id=1UgJyzx6wc-E7jH6JVtgJPwTOAZHywa4m, https://drive.google.com/open?id=1OMkWC0Pqc0Tt7nyiTFbnRVYDPdAXtsa-</v>
      </c>
      <c r="Y52" s="495" t="str">
        <f>IFERROR(__xludf.DUMMYFUNCTION("""COMPUTED_VALUE"""),"fuentes.roberto1@gmail.com")</f>
        <v>fuentes.roberto1@gmail.com</v>
      </c>
      <c r="Z52" s="498">
        <f>IFERROR(__xludf.DUMMYFUNCTION("""COMPUTED_VALUE"""),333200.0)</f>
        <v>333200</v>
      </c>
      <c r="AA52" s="495"/>
      <c r="AB52" s="495"/>
      <c r="AC52" s="495"/>
      <c r="AD52" s="495" t="str">
        <f>IFERROR(__xludf.DUMMYFUNCTION("""COMPUTED_VALUE"""),"RC-306_26")</f>
        <v>RC-306_26</v>
      </c>
    </row>
    <row r="53">
      <c r="A53" s="495" t="str">
        <f t="shared" si="1"/>
        <v>RC-019</v>
      </c>
      <c r="B53" s="497">
        <f>IFERROR(__xludf.DUMMYFUNCTION("""COMPUTED_VALUE"""),45960.459879016205)</f>
        <v>45960.45988</v>
      </c>
      <c r="C53" s="495" t="str">
        <f>IFERROR(__xludf.DUMMYFUNCTION("""COMPUTED_VALUE"""),"")</f>
        <v/>
      </c>
      <c r="D53" s="495" t="str">
        <f>IFERROR(__xludf.DUMMYFUNCTION("""COMPUTED_VALUE"""),"Cristóbal Correa del Río")</f>
        <v>Cristóbal Correa del Río</v>
      </c>
      <c r="E53" s="495"/>
      <c r="F53" s="496">
        <f>IFERROR(__xludf.DUMMYFUNCTION("""COMPUTED_VALUE"""),10415.0)</f>
        <v>10415</v>
      </c>
      <c r="G53" s="495"/>
      <c r="H53" s="495"/>
      <c r="I53" s="495"/>
      <c r="J53" s="495" t="str">
        <f>IFERROR(__xludf.DUMMYFUNCTION("""COMPUTED_VALUE"""),"Campus San Nicolás (Curacautín) - CSN")</f>
        <v>Campus San Nicolás (Curacautín) - CSN</v>
      </c>
      <c r="K53" s="495" t="str">
        <f>IFERROR(__xludf.DUMMYFUNCTION("""COMPUTED_VALUE"""),"Exterior")</f>
        <v>Exterior</v>
      </c>
      <c r="L53" s="495" t="str">
        <f>IFERROR(__xludf.DUMMYFUNCTION("""COMPUTED_VALUE"""),"Empresa Constructora Vitro SPA")</f>
        <v>Empresa Constructora Vitro SPA</v>
      </c>
      <c r="M53" s="495" t="str">
        <f>IFERROR(__xludf.DUMMYFUNCTION("""COMPUTED_VALUE"""),"77.631.876-0")</f>
        <v>77.631.876-0</v>
      </c>
      <c r="N53" s="495" t="str">
        <f>IFERROR(__xludf.DUMMYFUNCTION("""COMPUTED_VALUE"""),"Carlos Vidal Leal")</f>
        <v>Carlos Vidal Leal</v>
      </c>
      <c r="O53" s="495" t="str">
        <f>IFERROR(__xludf.DUMMYFUNCTION("""COMPUTED_VALUE"""),"Obras")</f>
        <v>Obras</v>
      </c>
      <c r="P53" s="495"/>
      <c r="Q53" s="495"/>
      <c r="R53" s="495" t="str">
        <f>IFERROR(__xludf.DUMMYFUNCTION("""COMPUTED_VALUE"""),"Exteriores")</f>
        <v>Exteriores</v>
      </c>
      <c r="S53" s="495" t="str">
        <f>IFERROR(__xludf.DUMMYFUNCTION("""COMPUTED_VALUE"""),"Estado de Pago - EP")</f>
        <v>Estado de Pago - EP</v>
      </c>
      <c r="T53" s="495">
        <f>IFERROR(__xludf.DUMMYFUNCTION("""COMPUTED_VALUE"""),1.0)</f>
        <v>1</v>
      </c>
      <c r="U53" s="495" t="str">
        <f>IFERROR(__xludf.DUMMYFUNCTION("""COMPUTED_VALUE"""),"$6.737.011")</f>
        <v>$6.737.011</v>
      </c>
      <c r="V53" s="495" t="str">
        <f>IFERROR(__xludf.DUMMYFUNCTION("""COMPUTED_VALUE"""),"Anticipo")</f>
        <v>Anticipo</v>
      </c>
      <c r="W53" s="495"/>
      <c r="X53" s="499" t="str">
        <f>IFERROR(__xludf.DUMMYFUNCTION("""COMPUTED_VALUE"""),"https://drive.google.com/open?id=1uDicWn3JU_ZYqIDUWL2J31zNua6IEwKZ")</f>
        <v>https://drive.google.com/open?id=1uDicWn3JU_ZYqIDUWL2J31zNua6IEwKZ</v>
      </c>
      <c r="Y53" s="495" t="str">
        <f>IFERROR(__xludf.DUMMYFUNCTION("""COMPUTED_VALUE"""),"constructora.vitro@gmail.com")</f>
        <v>constructora.vitro@gmail.com</v>
      </c>
      <c r="Z53" s="495"/>
      <c r="AA53" s="495"/>
      <c r="AB53" s="495"/>
      <c r="AC53" s="495"/>
      <c r="AD53" s="495" t="str">
        <f>IFERROR(__xludf.DUMMYFUNCTION("""COMPUTED_VALUE"""),"RC-019")</f>
        <v>RC-019</v>
      </c>
    </row>
    <row r="54">
      <c r="A54" s="495" t="str">
        <f t="shared" si="1"/>
        <v>RC-020</v>
      </c>
      <c r="B54" s="497">
        <f>IFERROR(__xludf.DUMMYFUNCTION("""COMPUTED_VALUE"""),45960.661616365745)</f>
        <v>45960.66162</v>
      </c>
      <c r="C54" s="495" t="str">
        <f>IFERROR(__xludf.DUMMYFUNCTION("""COMPUTED_VALUE"""),"")</f>
        <v/>
      </c>
      <c r="D54" s="495" t="str">
        <f>IFERROR(__xludf.DUMMYFUNCTION("""COMPUTED_VALUE"""),"Cristóbal Correa del Río")</f>
        <v>Cristóbal Correa del Río</v>
      </c>
      <c r="E54" s="495"/>
      <c r="F54" s="496" t="str">
        <f>IFERROR(__xludf.DUMMYFUNCTION("""COMPUTED_VALUE""")," 8337-2025")</f>
        <v> 8337-2025</v>
      </c>
      <c r="G54" s="495"/>
      <c r="H54" s="495"/>
      <c r="I54" s="495"/>
      <c r="J54" s="495" t="str">
        <f>IFERROR(__xludf.DUMMYFUNCTION("""COMPUTED_VALUE"""),"Campus San Nicolás (Curacautín) - CSN")</f>
        <v>Campus San Nicolás (Curacautín) - CSN</v>
      </c>
      <c r="K54" s="495" t="str">
        <f>IFERROR(__xludf.DUMMYFUNCTION("""COMPUTED_VALUE"""),"Sin número")</f>
        <v>Sin número</v>
      </c>
      <c r="L54" s="495" t="str">
        <f>IFERROR(__xludf.DUMMYFUNCTION("""COMPUTED_VALUE"""),"TRECAN SPA")</f>
        <v>TRECAN SPA</v>
      </c>
      <c r="M54" s="495" t="str">
        <f>IFERROR(__xludf.DUMMYFUNCTION("""COMPUTED_VALUE"""),"78077589-0")</f>
        <v>78077589-0</v>
      </c>
      <c r="N54" s="495" t="str">
        <f>IFERROR(__xludf.DUMMYFUNCTION("""COMPUTED_VALUE"""),"RODRIGO ALEJANDRO TRECAN BELTRAN - JEFE DE OBRA")</f>
        <v>RODRIGO ALEJANDRO TRECAN BELTRAN - JEFE DE OBRA</v>
      </c>
      <c r="O54" s="495" t="str">
        <f>IFERROR(__xludf.DUMMYFUNCTION("""COMPUTED_VALUE"""),"Obras")</f>
        <v>Obras</v>
      </c>
      <c r="P54" s="495"/>
      <c r="Q54" s="495"/>
      <c r="R54" s="495" t="str">
        <f>IFERROR(__xludf.DUMMYFUNCTION("""COMPUTED_VALUE"""),"Nuevo Edificio")</f>
        <v>Nuevo Edificio</v>
      </c>
      <c r="S54" s="495" t="str">
        <f>IFERROR(__xludf.DUMMYFUNCTION("""COMPUTED_VALUE"""),"Estado de Pago - EP")</f>
        <v>Estado de Pago - EP</v>
      </c>
      <c r="T54" s="495">
        <f>IFERROR(__xludf.DUMMYFUNCTION("""COMPUTED_VALUE"""),2.0)</f>
        <v>2</v>
      </c>
      <c r="U54" s="495">
        <f>IFERROR(__xludf.DUMMYFUNCTION("""COMPUTED_VALUE"""),1.0E7)</f>
        <v>10000000</v>
      </c>
      <c r="V54" s="495" t="str">
        <f>IFERROR(__xludf.DUMMYFUNCTION("""COMPUTED_VALUE"""),"Carpintería
Canalización eléctrica
Instalación gasfitería interior ppr")</f>
        <v>Carpintería
Canalización eléctrica
Instalación gasfitería interior ppr</v>
      </c>
      <c r="W54" s="495"/>
      <c r="X54" s="499" t="str">
        <f>IFERROR(__xludf.DUMMYFUNCTION("""COMPUTED_VALUE"""),"https://drive.google.com/open?id=1F8LF5hg4095Rj6eRwfARSZFB0R8Eo8Mn, https://drive.google.com/open?id=1g6DXU1sctd35yEcIaupGObTDP8eNIEdc, https://drive.google.com/open?id=1jTPkOkvOnJrv8-jtsyt_SxrZjPs2Hd83, https://drive.google.com/open?id=1lipQ5LIsI6njXIJ2v"&amp;"LA8RXLTOH88Bn4q, https://drive.google.com/open?id=17jBQA44E2C0B3wLt9AcqkeAKD1P1jtiy")</f>
        <v>https://drive.google.com/open?id=1F8LF5hg4095Rj6eRwfARSZFB0R8Eo8Mn, https://drive.google.com/open?id=1g6DXU1sctd35yEcIaupGObTDP8eNIEdc, https://drive.google.com/open?id=1jTPkOkvOnJrv8-jtsyt_SxrZjPs2Hd83, https://drive.google.com/open?id=1lipQ5LIsI6njXIJ2vLA8RXLTOH88Bn4q, https://drive.google.com/open?id=17jBQA44E2C0B3wLt9AcqkeAKD1P1jtiy</v>
      </c>
      <c r="Y54" s="495" t="str">
        <f>IFERROR(__xludf.DUMMYFUNCTION("""COMPUTED_VALUE"""),"tributaria@lyaconsultores.cl")</f>
        <v>tributaria@lyaconsultores.cl</v>
      </c>
      <c r="Z54" s="495"/>
      <c r="AA54" s="495"/>
      <c r="AB54" s="495"/>
      <c r="AC54" s="495"/>
      <c r="AD54" s="495" t="str">
        <f>IFERROR(__xludf.DUMMYFUNCTION("""COMPUTED_VALUE"""),"RC-020")</f>
        <v>RC-020</v>
      </c>
    </row>
    <row r="55">
      <c r="A55" s="495" t="str">
        <f t="shared" si="1"/>
        <v>RC-305_26</v>
      </c>
      <c r="B55" s="497">
        <f>IFERROR(__xludf.DUMMYFUNCTION("""COMPUTED_VALUE"""),46213.74135456019)</f>
        <v>46213.74135</v>
      </c>
      <c r="C55" s="495" t="str">
        <f>IFERROR(__xludf.DUMMYFUNCTION("""COMPUTED_VALUE"""),"")</f>
        <v/>
      </c>
      <c r="D55" s="495" t="str">
        <f>IFERROR(__xludf.DUMMYFUNCTION("""COMPUTED_VALUE"""),"Carol Huenchual Chañilao")</f>
        <v>Carol Huenchual Chañilao</v>
      </c>
      <c r="E55" s="495"/>
      <c r="F55" s="496" t="str">
        <f>IFERROR(__xludf.DUMMYFUNCTION("""COMPUTED_VALUE"""),"5479 - 2026")</f>
        <v>5479 - 2026</v>
      </c>
      <c r="G55" s="495"/>
      <c r="H55" s="495"/>
      <c r="I55" s="495"/>
      <c r="J55" s="495" t="str">
        <f>IFERROR(__xludf.DUMMYFUNCTION("""COMPUTED_VALUE"""),"Campus San Francisco - CSF")</f>
        <v>Campus San Francisco - CSF</v>
      </c>
      <c r="K55" s="495">
        <f>IFERROR(__xludf.DUMMYFUNCTION("""COMPUTED_VALUE"""),12.0)</f>
        <v>12</v>
      </c>
      <c r="L55" s="495" t="str">
        <f>IFERROR(__xludf.DUMMYFUNCTION("""COMPUTED_VALUE"""),"Sergio Flores Garrido ")</f>
        <v>Sergio Flores Garrido </v>
      </c>
      <c r="M55" s="495" t="str">
        <f>IFERROR(__xludf.DUMMYFUNCTION("""COMPUTED_VALUE"""),"12.928.980-5")</f>
        <v>12.928.980-5</v>
      </c>
      <c r="N55" s="495" t="str">
        <f>IFERROR(__xludf.DUMMYFUNCTION("""COMPUTED_VALUE"""),"Sergio Flores Garrido")</f>
        <v>Sergio Flores Garrido</v>
      </c>
      <c r="O55" s="495" t="str">
        <f>IFERROR(__xludf.DUMMYFUNCTION("""COMPUTED_VALUE"""),"Mantenciones")</f>
        <v>Mantenciones</v>
      </c>
      <c r="P55" s="495" t="str">
        <f>IFERROR(__xludf.DUMMYFUNCTION("""COMPUTED_VALUE"""),"Cerramientos Verticales")</f>
        <v>Cerramientos Verticales</v>
      </c>
      <c r="Q55" s="495"/>
      <c r="R55" s="495"/>
      <c r="S55" s="495"/>
      <c r="T55" s="495"/>
      <c r="U55" s="495"/>
      <c r="V55" s="495" t="str">
        <f>IFERROR(__xludf.DUMMYFUNCTION("""COMPUTED_VALUE"""),"Cambio de espejo en ascensor.")</f>
        <v>Cambio de espejo en ascensor.</v>
      </c>
      <c r="W55" s="495" t="str">
        <f>IFERROR(__xludf.DUMMYFUNCTION("""COMPUTED_VALUE"""),"No requiere seguimiento.")</f>
        <v>No requiere seguimiento.</v>
      </c>
      <c r="X55" s="495" t="str">
        <f>IFERROR(__xludf.DUMMYFUNCTION("""COMPUTED_VALUE"""),"https://drive.google.com/open?id=1wHo4zOMLAlbKbWJHOCZgKLjtVaXQ0VmL, https://drive.google.com/open?id=1vRs-62yZLid89GjoesCgyHp70CeuIbYp")</f>
        <v>https://drive.google.com/open?id=1wHo4zOMLAlbKbWJHOCZgKLjtVaXQ0VmL, https://drive.google.com/open?id=1vRs-62yZLid89GjoesCgyHp70CeuIbYp</v>
      </c>
      <c r="Y55" s="495" t="str">
        <f>IFERROR(__xludf.DUMMYFUNCTION("""COMPUTED_VALUE"""),"sergiofloresgarrido19731217@gmail.com")</f>
        <v>sergiofloresgarrido19731217@gmail.com</v>
      </c>
      <c r="Z55" s="498">
        <f>IFERROR(__xludf.DUMMYFUNCTION("""COMPUTED_VALUE"""),107100.0)</f>
        <v>107100</v>
      </c>
      <c r="AA55" s="495"/>
      <c r="AB55" s="495"/>
      <c r="AC55" s="495"/>
      <c r="AD55" s="495" t="str">
        <f>IFERROR(__xludf.DUMMYFUNCTION("""COMPUTED_VALUE"""),"RC-305_26")</f>
        <v>RC-305_26</v>
      </c>
    </row>
    <row r="56">
      <c r="A56" s="495" t="str">
        <f t="shared" si="1"/>
        <v>RC-304_26</v>
      </c>
      <c r="B56" s="497">
        <f>IFERROR(__xludf.DUMMYFUNCTION("""COMPUTED_VALUE"""),46213.566159803246)</f>
        <v>46213.56616</v>
      </c>
      <c r="C56" s="495" t="str">
        <f>IFERROR(__xludf.DUMMYFUNCTION("""COMPUTED_VALUE"""),"")</f>
        <v/>
      </c>
      <c r="D56" s="495" t="str">
        <f>IFERROR(__xludf.DUMMYFUNCTION("""COMPUTED_VALUE"""),"Mauricio Zurita Aldea")</f>
        <v>Mauricio Zurita Aldea</v>
      </c>
      <c r="E56" s="495"/>
      <c r="F56" s="496" t="str">
        <f>IFERROR(__xludf.DUMMYFUNCTION("""COMPUTED_VALUE"""),"11759 - 2025")</f>
        <v>11759 - 2025</v>
      </c>
      <c r="G56" s="495"/>
      <c r="H56" s="495"/>
      <c r="I56" s="495"/>
      <c r="J56" s="495" t="str">
        <f>IFERROR(__xludf.DUMMYFUNCTION("""COMPUTED_VALUE"""),"Campus Educación Continua - CEC")</f>
        <v>Campus Educación Continua - CEC</v>
      </c>
      <c r="K56" s="495" t="str">
        <f>IFERROR(__xludf.DUMMYFUNCTION("""COMPUTED_VALUE"""),"01")</f>
        <v>01</v>
      </c>
      <c r="L56" s="495" t="str">
        <f>IFERROR(__xludf.DUMMYFUNCTION("""COMPUTED_VALUE"""),"Gyg servicios spa")</f>
        <v>Gyg servicios spa</v>
      </c>
      <c r="M56" s="495" t="str">
        <f>IFERROR(__xludf.DUMMYFUNCTION("""COMPUTED_VALUE"""),"77.215.624-3")</f>
        <v>77.215.624-3</v>
      </c>
      <c r="N56" s="495" t="str">
        <f>IFERROR(__xludf.DUMMYFUNCTION("""COMPUTED_VALUE"""),"Gustavo Fuentes - Supervisor Tecnico")</f>
        <v>Gustavo Fuentes - Supervisor Tecnico</v>
      </c>
      <c r="O56" s="495" t="str">
        <f>IFERROR(__xludf.DUMMYFUNCTION("""COMPUTED_VALUE"""),"Mantenciones")</f>
        <v>Mantenciones</v>
      </c>
      <c r="P56" s="495" t="str">
        <f>IFERROR(__xludf.DUMMYFUNCTION("""COMPUTED_VALUE"""),"Instalaciones Eléctricas")</f>
        <v>Instalaciones Eléctricas</v>
      </c>
      <c r="Q56" s="495"/>
      <c r="R56" s="495"/>
      <c r="S56" s="495"/>
      <c r="T56" s="495"/>
      <c r="U56" s="495"/>
      <c r="V56" s="495" t="str">
        <f>IFERROR(__xludf.DUMMYFUNCTION("""COMPUTED_VALUE"""),"10% trabajo pendiente")</f>
        <v>10% trabajo pendiente</v>
      </c>
      <c r="W56" s="495"/>
      <c r="X56" s="499" t="str">
        <f>IFERROR(__xludf.DUMMYFUNCTION("""COMPUTED_VALUE"""),"https://drive.google.com/open?id=1RNvj6VIPe0MUfqbgrtwyBxbxd4QB14d9")</f>
        <v>https://drive.google.com/open?id=1RNvj6VIPe0MUfqbgrtwyBxbxd4QB14d9</v>
      </c>
      <c r="Y56" s="495" t="str">
        <f>IFERROR(__xludf.DUMMYFUNCTION("""COMPUTED_VALUE"""),"contacto@gygtecnologias.com")</f>
        <v>contacto@gygtecnologias.com</v>
      </c>
      <c r="Z56" s="498">
        <f>IFERROR(__xludf.DUMMYFUNCTION("""COMPUTED_VALUE"""),1952215.0)</f>
        <v>1952215</v>
      </c>
      <c r="AA56" s="495"/>
      <c r="AB56" s="495"/>
      <c r="AC56" s="495"/>
      <c r="AD56" s="495" t="str">
        <f>IFERROR(__xludf.DUMMYFUNCTION("""COMPUTED_VALUE"""),"RC-304_26")</f>
        <v>RC-304_26</v>
      </c>
    </row>
    <row r="57">
      <c r="A57" s="495" t="str">
        <f t="shared" si="1"/>
        <v>RC-303_26</v>
      </c>
      <c r="B57" s="497">
        <f>IFERROR(__xludf.DUMMYFUNCTION("""COMPUTED_VALUE"""),46212.722669525465)</f>
        <v>46212.72267</v>
      </c>
      <c r="C57" s="495" t="str">
        <f>IFERROR(__xludf.DUMMYFUNCTION("""COMPUTED_VALUE"""),"")</f>
        <v/>
      </c>
      <c r="D57" s="495" t="str">
        <f>IFERROR(__xludf.DUMMYFUNCTION("""COMPUTED_VALUE"""),"Arturo Meza Vega")</f>
        <v>Arturo Meza Vega</v>
      </c>
      <c r="E57" s="495"/>
      <c r="F57" s="496" t="str">
        <f>IFERROR(__xludf.DUMMYFUNCTION("""COMPUTED_VALUE"""),"5559 - 2026")</f>
        <v>5559 - 2026</v>
      </c>
      <c r="G57" s="495"/>
      <c r="H57" s="495"/>
      <c r="I57" s="495"/>
      <c r="J57" s="495" t="str">
        <f>IFERROR(__xludf.DUMMYFUNCTION("""COMPUTED_VALUE"""),"Campus San Juan Pablo II - CJP")</f>
        <v>Campus San Juan Pablo II - CJP</v>
      </c>
      <c r="K57" s="495" t="str">
        <f>IFERROR(__xludf.DUMMYFUNCTION("""COMPUTED_VALUE"""),"01")</f>
        <v>01</v>
      </c>
      <c r="L57" s="495" t="str">
        <f>IFERROR(__xludf.DUMMYFUNCTION("""COMPUTED_VALUE"""),"Gyg servicios spa")</f>
        <v>Gyg servicios spa</v>
      </c>
      <c r="M57" s="495" t="str">
        <f>IFERROR(__xludf.DUMMYFUNCTION("""COMPUTED_VALUE"""),"77.215.624-3")</f>
        <v>77.215.624-3</v>
      </c>
      <c r="N57" s="495" t="str">
        <f>IFERROR(__xludf.DUMMYFUNCTION("""COMPUTED_VALUE"""),"Gustavo Fuentes - Técnico Supervisor ")</f>
        <v>Gustavo Fuentes - Técnico Supervisor </v>
      </c>
      <c r="O57" s="495" t="str">
        <f>IFERROR(__xludf.DUMMYFUNCTION("""COMPUTED_VALUE"""),"Mantenciones")</f>
        <v>Mantenciones</v>
      </c>
      <c r="P57" s="495" t="str">
        <f>IFERROR(__xludf.DUMMYFUNCTION("""COMPUTED_VALUE"""),"Instalaciones Eléctricas")</f>
        <v>Instalaciones Eléctricas</v>
      </c>
      <c r="Q57" s="495"/>
      <c r="R57" s="495"/>
      <c r="S57" s="495"/>
      <c r="T57" s="495"/>
      <c r="U57" s="495"/>
      <c r="V57" s="495" t="str">
        <f>IFERROR(__xludf.DUMMYFUNCTION("""COMPUTED_VALUE"""),"Traslado de tablero eléctrico edificio Acuicultura ")</f>
        <v>Traslado de tablero eléctrico edificio Acuicultura </v>
      </c>
      <c r="W57" s="495"/>
      <c r="X57" s="495" t="str">
        <f>IFERROR(__xludf.DUMMYFUNCTION("""COMPUTED_VALUE"""),"https://drive.google.com/open?id=1JZS9q6wfCA4BfBT1JPMClNv9J_iYKqig, https://drive.google.com/open?id=1I9Omf8n_ZZzoGtZVL-5iOLxCxIlIXs08")</f>
        <v>https://drive.google.com/open?id=1JZS9q6wfCA4BfBT1JPMClNv9J_iYKqig, https://drive.google.com/open?id=1I9Omf8n_ZZzoGtZVL-5iOLxCxIlIXs08</v>
      </c>
      <c r="Y57" s="495" t="str">
        <f>IFERROR(__xludf.DUMMYFUNCTION("""COMPUTED_VALUE"""),"contacto@gygtecnologias.com")</f>
        <v>contacto@gygtecnologias.com</v>
      </c>
      <c r="Z57" s="498">
        <f>IFERROR(__xludf.DUMMYFUNCTION("""COMPUTED_VALUE"""),249900.0)</f>
        <v>249900</v>
      </c>
      <c r="AA57" s="495"/>
      <c r="AB57" s="495"/>
      <c r="AC57" s="495"/>
      <c r="AD57" s="495" t="str">
        <f>IFERROR(__xludf.DUMMYFUNCTION("""COMPUTED_VALUE"""),"RC-303_26")</f>
        <v>RC-303_26</v>
      </c>
    </row>
    <row r="58">
      <c r="A58" s="495" t="str">
        <f t="shared" si="1"/>
        <v>RC-302_26</v>
      </c>
      <c r="B58" s="497">
        <f>IFERROR(__xludf.DUMMYFUNCTION("""COMPUTED_VALUE"""),46212.701226944446)</f>
        <v>46212.70123</v>
      </c>
      <c r="C58" s="495" t="str">
        <f>IFERROR(__xludf.DUMMYFUNCTION("""COMPUTED_VALUE"""),"")</f>
        <v/>
      </c>
      <c r="D58" s="495" t="str">
        <f>IFERROR(__xludf.DUMMYFUNCTION("""COMPUTED_VALUE"""),"Mauricio Zurita Aldea")</f>
        <v>Mauricio Zurita Aldea</v>
      </c>
      <c r="E58" s="495"/>
      <c r="F58" s="496" t="str">
        <f>IFERROR(__xludf.DUMMYFUNCTION("""COMPUTED_VALUE"""),"3332 - 2026")</f>
        <v>3332 - 2026</v>
      </c>
      <c r="G58" s="495"/>
      <c r="H58" s="495"/>
      <c r="I58" s="495"/>
      <c r="J58" s="495" t="str">
        <f>IFERROR(__xludf.DUMMYFUNCTION("""COMPUTED_VALUE"""),"Campus Dr. Luis Rivas del Canto - CRC")</f>
        <v>Campus Dr. Luis Rivas del Canto - CRC</v>
      </c>
      <c r="K58" s="495" t="str">
        <f>IFERROR(__xludf.DUMMYFUNCTION("""COMPUTED_VALUE"""),"01")</f>
        <v>01</v>
      </c>
      <c r="L58" s="495" t="str">
        <f>IFERROR(__xludf.DUMMYFUNCTION("""COMPUTED_VALUE"""),"Gyg servicios spa")</f>
        <v>Gyg servicios spa</v>
      </c>
      <c r="M58" s="495" t="str">
        <f>IFERROR(__xludf.DUMMYFUNCTION("""COMPUTED_VALUE"""),"77.215.624-3")</f>
        <v>77.215.624-3</v>
      </c>
      <c r="N58" s="495" t="str">
        <f>IFERROR(__xludf.DUMMYFUNCTION("""COMPUTED_VALUE"""),"Gustavo Funtes - Supervisor Técnico")</f>
        <v>Gustavo Funtes - Supervisor Técnico</v>
      </c>
      <c r="O58" s="495" t="str">
        <f>IFERROR(__xludf.DUMMYFUNCTION("""COMPUTED_VALUE"""),"Mantenciones")</f>
        <v>Mantenciones</v>
      </c>
      <c r="P58" s="495" t="str">
        <f>IFERROR(__xludf.DUMMYFUNCTION("""COMPUTED_VALUE"""),"Instalaciones Eléctricas")</f>
        <v>Instalaciones Eléctricas</v>
      </c>
      <c r="Q58" s="495"/>
      <c r="R58" s="495"/>
      <c r="S58" s="495"/>
      <c r="T58" s="495"/>
      <c r="U58" s="495"/>
      <c r="V58" s="495" t="str">
        <f>IFERROR(__xludf.DUMMYFUNCTION("""COMPUTED_VALUE"""),"Instalación eléctrica urbanización y alimentación de contenedores crc")</f>
        <v>Instalación eléctrica urbanización y alimentación de contenedores crc</v>
      </c>
      <c r="W58" s="495"/>
      <c r="X58" s="495" t="str">
        <f>IFERROR(__xludf.DUMMYFUNCTION("""COMPUTED_VALUE"""),"https://drive.google.com/open?id=14-WqVSv5qplsD5Zo44pAmvkx7cTFLw8a, https://drive.google.com/open?id=1s4FaJ_mnos_LKmcbSv3DqcRnNa8y53vy")</f>
        <v>https://drive.google.com/open?id=14-WqVSv5qplsD5Zo44pAmvkx7cTFLw8a, https://drive.google.com/open?id=1s4FaJ_mnos_LKmcbSv3DqcRnNa8y53vy</v>
      </c>
      <c r="Y58" s="495" t="str">
        <f>IFERROR(__xludf.DUMMYFUNCTION("""COMPUTED_VALUE"""),"contacto@gygtecnologias.com")</f>
        <v>contacto@gygtecnologias.com</v>
      </c>
      <c r="Z58" s="498">
        <f>IFERROR(__xludf.DUMMYFUNCTION("""COMPUTED_VALUE"""),1.4669999E7)</f>
        <v>14669999</v>
      </c>
      <c r="AA58" s="495"/>
      <c r="AB58" s="495"/>
      <c r="AC58" s="495"/>
      <c r="AD58" s="495" t="str">
        <f>IFERROR(__xludf.DUMMYFUNCTION("""COMPUTED_VALUE"""),"RC-302_26")</f>
        <v>RC-302_26</v>
      </c>
    </row>
    <row r="59">
      <c r="A59" s="495" t="str">
        <f t="shared" si="1"/>
        <v>RC-301_26</v>
      </c>
      <c r="B59" s="497">
        <f>IFERROR(__xludf.DUMMYFUNCTION("""COMPUTED_VALUE"""),46212.58295733796)</f>
        <v>46212.58296</v>
      </c>
      <c r="C59" s="495" t="str">
        <f>IFERROR(__xludf.DUMMYFUNCTION("""COMPUTED_VALUE"""),"")</f>
        <v/>
      </c>
      <c r="D59" s="495" t="str">
        <f>IFERROR(__xludf.DUMMYFUNCTION("""COMPUTED_VALUE"""),"Arturo Meza Vega")</f>
        <v>Arturo Meza Vega</v>
      </c>
      <c r="E59" s="495"/>
      <c r="F59" s="496" t="str">
        <f>IFERROR(__xludf.DUMMYFUNCTION("""COMPUTED_VALUE"""),"5200-2026")</f>
        <v>5200-2026</v>
      </c>
      <c r="G59" s="495"/>
      <c r="H59" s="495"/>
      <c r="I59" s="495"/>
      <c r="J59" s="495" t="str">
        <f>IFERROR(__xludf.DUMMYFUNCTION("""COMPUTED_VALUE"""),"Campus San Juan Pablo II - CJP")</f>
        <v>Campus San Juan Pablo II - CJP</v>
      </c>
      <c r="K59" s="495" t="str">
        <f>IFERROR(__xludf.DUMMYFUNCTION("""COMPUTED_VALUE"""),"01")</f>
        <v>01</v>
      </c>
      <c r="L59" s="495" t="str">
        <f>IFERROR(__xludf.DUMMYFUNCTION("""COMPUTED_VALUE"""),"INSTALACIONES ELECTRICAS")</f>
        <v>INSTALACIONES ELECTRICAS</v>
      </c>
      <c r="M59" s="495" t="str">
        <f>IFERROR(__xludf.DUMMYFUNCTION("""COMPUTED_VALUE"""),"77.254.059-0")</f>
        <v>77.254.059-0</v>
      </c>
      <c r="N59" s="495" t="str">
        <f>IFERROR(__xludf.DUMMYFUNCTION("""COMPUTED_VALUE"""),"GONZALO CARRASCO, DUEÑO DE LA EMPRESA")</f>
        <v>GONZALO CARRASCO, DUEÑO DE LA EMPRESA</v>
      </c>
      <c r="O59" s="495" t="str">
        <f>IFERROR(__xludf.DUMMYFUNCTION("""COMPUTED_VALUE"""),"Mantenciones")</f>
        <v>Mantenciones</v>
      </c>
      <c r="P59" s="495" t="str">
        <f>IFERROR(__xludf.DUMMYFUNCTION("""COMPUTED_VALUE"""),"Instalaciones Eléctricas")</f>
        <v>Instalaciones Eléctricas</v>
      </c>
      <c r="Q59" s="495"/>
      <c r="R59" s="495"/>
      <c r="S59" s="495"/>
      <c r="T59" s="495"/>
      <c r="U59" s="495"/>
      <c r="V59" s="495" t="str">
        <f>IFERROR(__xludf.DUMMYFUNCTION("""COMPUTED_VALUE"""),"INSTALACION CON INTERRUPTOR SIMPLE CON FOCO DE 18W Y ENCHUFE DOBLE")</f>
        <v>INSTALACION CON INTERRUPTOR SIMPLE CON FOCO DE 18W Y ENCHUFE DOBLE</v>
      </c>
      <c r="W59" s="495"/>
      <c r="X59" s="499" t="str">
        <f>IFERROR(__xludf.DUMMYFUNCTION("""COMPUTED_VALUE"""),"https://drive.google.com/open?id=1j6Eb9QFL6s1sjfTipYC2BSQnhs5TISVr")</f>
        <v>https://drive.google.com/open?id=1j6Eb9QFL6s1sjfTipYC2BSQnhs5TISVr</v>
      </c>
      <c r="Y59" s="495" t="str">
        <f>IFERROR(__xludf.DUMMYFUNCTION("""COMPUTED_VALUE"""),"voltiumaraucania@gmail.com")</f>
        <v>voltiumaraucania@gmail.com</v>
      </c>
      <c r="Z59" s="498">
        <f>IFERROR(__xludf.DUMMYFUNCTION("""COMPUTED_VALUE"""),148750.0)</f>
        <v>148750</v>
      </c>
      <c r="AA59" s="495"/>
      <c r="AB59" s="495"/>
      <c r="AC59" s="495"/>
      <c r="AD59" s="495" t="str">
        <f>IFERROR(__xludf.DUMMYFUNCTION("""COMPUTED_VALUE"""),"RC-301_26")</f>
        <v>RC-301_26</v>
      </c>
    </row>
    <row r="60">
      <c r="A60" s="495" t="str">
        <f t="shared" si="1"/>
        <v>RC-300_26</v>
      </c>
      <c r="B60" s="497">
        <f>IFERROR(__xludf.DUMMYFUNCTION("""COMPUTED_VALUE"""),46212.54287667824)</f>
        <v>46212.54288</v>
      </c>
      <c r="C60" s="495" t="str">
        <f>IFERROR(__xludf.DUMMYFUNCTION("""COMPUTED_VALUE"""),"")</f>
        <v/>
      </c>
      <c r="D60" s="495" t="str">
        <f>IFERROR(__xludf.DUMMYFUNCTION("""COMPUTED_VALUE"""),"Mauricio Matus Belmar")</f>
        <v>Mauricio Matus Belmar</v>
      </c>
      <c r="E60" s="495"/>
      <c r="F60" s="496" t="str">
        <f>IFERROR(__xludf.DUMMYFUNCTION("""COMPUTED_VALUE"""),"5522 -  2026")</f>
        <v>5522 -  2026</v>
      </c>
      <c r="G60" s="495"/>
      <c r="H60" s="495"/>
      <c r="I60" s="495"/>
      <c r="J60" s="495" t="str">
        <f>IFERROR(__xludf.DUMMYFUNCTION("""COMPUTED_VALUE"""),"Campus Pillanlelbun - CPL")</f>
        <v>Campus Pillanlelbun - CPL</v>
      </c>
      <c r="K60" s="495" t="str">
        <f>IFERROR(__xludf.DUMMYFUNCTION("""COMPUTED_VALUE"""),"Exterior")</f>
        <v>Exterior</v>
      </c>
      <c r="L60" s="495" t="str">
        <f>IFERROR(__xludf.DUMMYFUNCTION("""COMPUTED_VALUE"""),"Flavia Oyarzún Soto")</f>
        <v>Flavia Oyarzún Soto</v>
      </c>
      <c r="M60" s="495" t="str">
        <f>IFERROR(__xludf.DUMMYFUNCTION("""COMPUTED_VALUE"""),"5.503.590-3")</f>
        <v>5.503.590-3</v>
      </c>
      <c r="N60" s="495" t="str">
        <f>IFERROR(__xludf.DUMMYFUNCTION("""COMPUTED_VALUE"""),"Roberto Lassalle Prado")</f>
        <v>Roberto Lassalle Prado</v>
      </c>
      <c r="O60" s="495" t="str">
        <f>IFERROR(__xludf.DUMMYFUNCTION("""COMPUTED_VALUE"""),"Mantenciones")</f>
        <v>Mantenciones</v>
      </c>
      <c r="P60" s="495" t="str">
        <f>IFERROR(__xludf.DUMMYFUNCTION("""COMPUTED_VALUE"""),"Requerimientos Emergentes e Imprevistos")</f>
        <v>Requerimientos Emergentes e Imprevistos</v>
      </c>
      <c r="Q60" s="495"/>
      <c r="R60" s="495"/>
      <c r="S60" s="495"/>
      <c r="T60" s="495"/>
      <c r="U60" s="495"/>
      <c r="V60" s="495" t="str">
        <f>IFERROR(__xludf.DUMMYFUNCTION("""COMPUTED_VALUE"""),"Reparación del 2°  piso y portón en Lechería")</f>
        <v>Reparación del 2°  piso y portón en Lechería</v>
      </c>
      <c r="W60" s="495" t="str">
        <f>IFERROR(__xludf.DUMMYFUNCTION("""COMPUTED_VALUE"""),"no hay ")</f>
        <v>no hay </v>
      </c>
      <c r="X60" s="495" t="str">
        <f>IFERROR(__xludf.DUMMYFUNCTION("""COMPUTED_VALUE"""),"https://drive.google.com/open?id=11qj6RfGNA_iqPHiRtBFH60gMpv3l2lDx, https://drive.google.com/open?id=1N66Jjw18vfvseeW2_b_CkjPPTrbV6m_b")</f>
        <v>https://drive.google.com/open?id=11qj6RfGNA_iqPHiRtBFH60gMpv3l2lDx, https://drive.google.com/open?id=1N66Jjw18vfvseeW2_b_CkjPPTrbV6m_b</v>
      </c>
      <c r="Y60" s="495" t="str">
        <f>IFERROR(__xludf.DUMMYFUNCTION("""COMPUTED_VALUE"""),"roberto.lassalle@gmail.com")</f>
        <v>roberto.lassalle@gmail.com</v>
      </c>
      <c r="Z60" s="498">
        <f>IFERROR(__xludf.DUMMYFUNCTION("""COMPUTED_VALUE"""),447572.0)</f>
        <v>447572</v>
      </c>
      <c r="AA60" s="495"/>
      <c r="AB60" s="495"/>
      <c r="AC60" s="495"/>
      <c r="AD60" s="495" t="str">
        <f>IFERROR(__xludf.DUMMYFUNCTION("""COMPUTED_VALUE"""),"RC-300_26")</f>
        <v>RC-300_26</v>
      </c>
    </row>
    <row r="61">
      <c r="A61" s="495" t="str">
        <f t="shared" si="1"/>
        <v>RC-299_26</v>
      </c>
      <c r="B61" s="497">
        <f>IFERROR(__xludf.DUMMYFUNCTION("""COMPUTED_VALUE"""),46212.39148892361)</f>
        <v>46212.39149</v>
      </c>
      <c r="C61" s="495" t="str">
        <f>IFERROR(__xludf.DUMMYFUNCTION("""COMPUTED_VALUE"""),"")</f>
        <v/>
      </c>
      <c r="D61" s="495" t="str">
        <f>IFERROR(__xludf.DUMMYFUNCTION("""COMPUTED_VALUE"""),"Carol Huenchual Chañilao")</f>
        <v>Carol Huenchual Chañilao</v>
      </c>
      <c r="E61" s="495"/>
      <c r="F61" s="496" t="str">
        <f>IFERROR(__xludf.DUMMYFUNCTION("""COMPUTED_VALUE"""),"5641-2026")</f>
        <v>5641-2026</v>
      </c>
      <c r="G61" s="495"/>
      <c r="H61" s="495"/>
      <c r="I61" s="495"/>
      <c r="J61" s="495" t="str">
        <f>IFERROR(__xludf.DUMMYFUNCTION("""COMPUTED_VALUE"""),"Campus San Francisco - CSF")</f>
        <v>Campus San Francisco - CSF</v>
      </c>
      <c r="K61" s="495" t="str">
        <f>IFERROR(__xludf.DUMMYFUNCTION("""COMPUTED_VALUE"""),"02")</f>
        <v>02</v>
      </c>
      <c r="L61" s="495" t="str">
        <f>IFERROR(__xludf.DUMMYFUNCTION("""COMPUTED_VALUE"""),"FCM Ingeniería Spa")</f>
        <v>FCM Ingeniería Spa</v>
      </c>
      <c r="M61" s="495" t="str">
        <f>IFERROR(__xludf.DUMMYFUNCTION("""COMPUTED_VALUE"""),"76.881.945-9")</f>
        <v>76.881.945-9</v>
      </c>
      <c r="N61" s="495" t="str">
        <f>IFERROR(__xludf.DUMMYFUNCTION("""COMPUTED_VALUE"""),"Marcelo Cruces Araneda, Ingeniero Mecánico")</f>
        <v>Marcelo Cruces Araneda, Ingeniero Mecánico</v>
      </c>
      <c r="O61" s="495" t="str">
        <f>IFERROR(__xludf.DUMMYFUNCTION("""COMPUTED_VALUE"""),"Mantenciones")</f>
        <v>Mantenciones</v>
      </c>
      <c r="P61" s="495" t="str">
        <f>IFERROR(__xludf.DUMMYFUNCTION("""COMPUTED_VALUE"""),"Requerimientos Emergentes e Imprevistos")</f>
        <v>Requerimientos Emergentes e Imprevistos</v>
      </c>
      <c r="Q61" s="495"/>
      <c r="R61" s="495"/>
      <c r="S61" s="495"/>
      <c r="T61" s="495"/>
      <c r="U61" s="495"/>
      <c r="V61" s="495" t="str">
        <f>IFERROR(__xludf.DUMMYFUNCTION("""COMPUTED_VALUE"""),"Reparación de fuga de agua en circuito de calefacción central")</f>
        <v>Reparación de fuga de agua en circuito de calefacción central</v>
      </c>
      <c r="W61" s="495" t="str">
        <f>IFERROR(__xludf.DUMMYFUNCTION("""COMPUTED_VALUE"""),"Operar con normalidad.")</f>
        <v>Operar con normalidad.</v>
      </c>
      <c r="X61" s="495" t="str">
        <f>IFERROR(__xludf.DUMMYFUNCTION("""COMPUTED_VALUE"""),"https://drive.google.com/open?id=1bNgMC1VctImOCt9rievbtlF_cTWfnSRn, https://drive.google.com/open?id=1F9ZIkPthnZKXGKfYcOMfr8VwNuP2T9IV")</f>
        <v>https://drive.google.com/open?id=1bNgMC1VctImOCt9rievbtlF_cTWfnSRn, https://drive.google.com/open?id=1F9ZIkPthnZKXGKfYcOMfr8VwNuP2T9IV</v>
      </c>
      <c r="Y61" s="495" t="str">
        <f>IFERROR(__xludf.DUMMYFUNCTION("""COMPUTED_VALUE"""),"marcelocruces@fcmingenieria.cl")</f>
        <v>marcelocruces@fcmingenieria.cl</v>
      </c>
      <c r="Z61" s="498">
        <f>IFERROR(__xludf.DUMMYFUNCTION("""COMPUTED_VALUE"""),452200.0)</f>
        <v>452200</v>
      </c>
      <c r="AA61" s="495"/>
      <c r="AB61" s="495"/>
      <c r="AC61" s="495"/>
      <c r="AD61" s="495" t="str">
        <f>IFERROR(__xludf.DUMMYFUNCTION("""COMPUTED_VALUE"""),"RC-299_26")</f>
        <v>RC-299_26</v>
      </c>
    </row>
    <row r="62">
      <c r="A62" s="495" t="str">
        <f t="shared" si="1"/>
        <v>RC-298_26</v>
      </c>
      <c r="B62" s="497">
        <f>IFERROR(__xludf.DUMMYFUNCTION("""COMPUTED_VALUE"""),46211.92361412037)</f>
        <v>46211.92361</v>
      </c>
      <c r="C62" s="495" t="str">
        <f>IFERROR(__xludf.DUMMYFUNCTION("""COMPUTED_VALUE"""),"")</f>
        <v/>
      </c>
      <c r="D62" s="495" t="str">
        <f>IFERROR(__xludf.DUMMYFUNCTION("""COMPUTED_VALUE"""),"Mauricio Matus Belmar")</f>
        <v>Mauricio Matus Belmar</v>
      </c>
      <c r="E62" s="495"/>
      <c r="F62" s="496" t="str">
        <f>IFERROR(__xludf.DUMMYFUNCTION("""COMPUTED_VALUE"""),"421-2026")</f>
        <v>421-2026</v>
      </c>
      <c r="G62" s="495"/>
      <c r="H62" s="495"/>
      <c r="I62" s="495"/>
      <c r="J62" s="495" t="str">
        <f>IFERROR(__xludf.DUMMYFUNCTION("""COMPUTED_VALUE"""),"Campus San Juan Pablo II - CJP")</f>
        <v>Campus San Juan Pablo II - CJP</v>
      </c>
      <c r="K62" s="495" t="str">
        <f>IFERROR(__xludf.DUMMYFUNCTION("""COMPUTED_VALUE"""),"05")</f>
        <v>05</v>
      </c>
      <c r="L62" s="495" t="str">
        <f>IFERROR(__xludf.DUMMYFUNCTION("""COMPUTED_VALUE"""),"SERVICIOS INTEGRALES CRTICOS SPA")</f>
        <v>SERVICIOS INTEGRALES CRTICOS SPA</v>
      </c>
      <c r="M62" s="495" t="str">
        <f>IFERROR(__xludf.DUMMYFUNCTION("""COMPUTED_VALUE"""),"77.248.719-3")</f>
        <v>77.248.719-3</v>
      </c>
      <c r="N62" s="495" t="str">
        <f>IFERROR(__xludf.DUMMYFUNCTION("""COMPUTED_VALUE"""),"ROBERTO FUENTES RIFFO - SUPERVISOR")</f>
        <v>ROBERTO FUENTES RIFFO - SUPERVISOR</v>
      </c>
      <c r="O62" s="495" t="str">
        <f>IFERROR(__xludf.DUMMYFUNCTION("""COMPUTED_VALUE"""),"Mantenciones")</f>
        <v>Mantenciones</v>
      </c>
      <c r="P62" s="495" t="str">
        <f>IFERROR(__xludf.DUMMYFUNCTION("""COMPUTED_VALUE"""),"Requerimientos Emergentes e Imprevistos")</f>
        <v>Requerimientos Emergentes e Imprevistos</v>
      </c>
      <c r="Q62" s="495"/>
      <c r="R62" s="495"/>
      <c r="S62" s="495"/>
      <c r="T62" s="495"/>
      <c r="U62" s="495"/>
      <c r="V62" s="495" t="str">
        <f>IFERROR(__xludf.DUMMYFUNCTION("""COMPUTED_VALUE"""),"PROYECTO DE EXTRACTOR DE CASINIO Y CAMPANAS LINEAS DE SERVICIO")</f>
        <v>PROYECTO DE EXTRACTOR DE CASINIO Y CAMPANAS LINEAS DE SERVICIO</v>
      </c>
      <c r="W62" s="495" t="str">
        <f>IFERROR(__xludf.DUMMYFUNCTION("""COMPUTED_VALUE"""),"NO REQUIERE SEGUIMIENTO")</f>
        <v>NO REQUIERE SEGUIMIENTO</v>
      </c>
      <c r="X62" s="495" t="str">
        <f>IFERROR(__xludf.DUMMYFUNCTION("""COMPUTED_VALUE"""),"https://drive.google.com/open?id=1yLNJIF-NEpsTFVB1xGbK8fnFKDegSLhD, https://drive.google.com/open?id=1wtRRXAmq93fAxA9QFRCT5VuCp1380EvE, https://drive.google.com/open?id=1zgmI-_DCai8xRWezmLICwcCIkGIwZDBK")</f>
        <v>https://drive.google.com/open?id=1yLNJIF-NEpsTFVB1xGbK8fnFKDegSLhD, https://drive.google.com/open?id=1wtRRXAmq93fAxA9QFRCT5VuCp1380EvE, https://drive.google.com/open?id=1zgmI-_DCai8xRWezmLICwcCIkGIwZDBK</v>
      </c>
      <c r="Y62" s="495" t="str">
        <f>IFERROR(__xludf.DUMMYFUNCTION("""COMPUTED_VALUE"""),"fuentes.roberto1@gmail.com")</f>
        <v>fuentes.roberto1@gmail.com</v>
      </c>
      <c r="Z62" s="498">
        <f>IFERROR(__xludf.DUMMYFUNCTION("""COMPUTED_VALUE"""),333200.0)</f>
        <v>333200</v>
      </c>
      <c r="AA62" s="495"/>
      <c r="AB62" s="495"/>
      <c r="AC62" s="495"/>
      <c r="AD62" s="495" t="str">
        <f>IFERROR(__xludf.DUMMYFUNCTION("""COMPUTED_VALUE"""),"RC-298_26")</f>
        <v>RC-298_26</v>
      </c>
    </row>
    <row r="63">
      <c r="A63" s="495" t="str">
        <f t="shared" si="1"/>
        <v>RC-296_26</v>
      </c>
      <c r="B63" s="497">
        <f>IFERROR(__xludf.DUMMYFUNCTION("""COMPUTED_VALUE"""),46209.38604883102)</f>
        <v>46209.38605</v>
      </c>
      <c r="C63" s="495" t="str">
        <f>IFERROR(__xludf.DUMMYFUNCTION("""COMPUTED_VALUE"""),"")</f>
        <v/>
      </c>
      <c r="D63" s="495" t="str">
        <f>IFERROR(__xludf.DUMMYFUNCTION("""COMPUTED_VALUE"""),"Mauricio Matus Belmar")</f>
        <v>Mauricio Matus Belmar</v>
      </c>
      <c r="E63" s="495"/>
      <c r="F63" s="496" t="str">
        <f>IFERROR(__xludf.DUMMYFUNCTION("""COMPUTED_VALUE"""),"5371 - 2026")</f>
        <v>5371 - 2026</v>
      </c>
      <c r="G63" s="495"/>
      <c r="H63" s="495"/>
      <c r="I63" s="495"/>
      <c r="J63" s="495" t="str">
        <f>IFERROR(__xludf.DUMMYFUNCTION("""COMPUTED_VALUE"""),"Campus San Juan Pablo II - CJP")</f>
        <v>Campus San Juan Pablo II - CJP</v>
      </c>
      <c r="K63" s="495" t="str">
        <f>IFERROR(__xludf.DUMMYFUNCTION("""COMPUTED_VALUE"""),"04")</f>
        <v>04</v>
      </c>
      <c r="L63" s="495" t="str">
        <f>IFERROR(__xludf.DUMMYFUNCTION("""COMPUTED_VALUE"""),"Flavia Oyarzun Soto")</f>
        <v>Flavia Oyarzun Soto</v>
      </c>
      <c r="M63" s="495" t="str">
        <f>IFERROR(__xludf.DUMMYFUNCTION("""COMPUTED_VALUE"""),"5.503.590-3")</f>
        <v>5.503.590-3</v>
      </c>
      <c r="N63" s="495" t="str">
        <f>IFERROR(__xludf.DUMMYFUNCTION("""COMPUTED_VALUE"""),"Roberto Lassalle Prado")</f>
        <v>Roberto Lassalle Prado</v>
      </c>
      <c r="O63" s="495" t="str">
        <f>IFERROR(__xludf.DUMMYFUNCTION("""COMPUTED_VALUE"""),"Mantenciones")</f>
        <v>Mantenciones</v>
      </c>
      <c r="P63" s="495" t="str">
        <f>IFERROR(__xludf.DUMMYFUNCTION("""COMPUTED_VALUE"""),"Requerimientos Emergentes e Imprevistos")</f>
        <v>Requerimientos Emergentes e Imprevistos</v>
      </c>
      <c r="Q63" s="495"/>
      <c r="R63" s="495"/>
      <c r="S63" s="495"/>
      <c r="T63" s="495"/>
      <c r="U63" s="495"/>
      <c r="V63" s="495" t="str">
        <f>IFERROR(__xludf.DUMMYFUNCTION("""COMPUTED_VALUE"""),"Abrir puerta peatonal y reparación de portón ")</f>
        <v>Abrir puerta peatonal y reparación de portón </v>
      </c>
      <c r="W63" s="495" t="str">
        <f>IFERROR(__xludf.DUMMYFUNCTION("""COMPUTED_VALUE"""),"no hay")</f>
        <v>no hay</v>
      </c>
      <c r="X63" s="495" t="str">
        <f>IFERROR(__xludf.DUMMYFUNCTION("""COMPUTED_VALUE"""),"https://drive.google.com/open?id=1MNiPuQATEjIMn6UA4LYdoihCK0J34tEB, https://drive.google.com/open?id=1Y2OcVrUvZokJSJl3LW1DoJxmeWziPKCj, https://drive.google.com/open?id=1wwsqHXlU1691dJKSuWSMf8K8rRhbZAfK, https://drive.google.com/open?id=19NRWxupCGvBz6oqT7"&amp;"xUzYPp0k-I8RltR")</f>
        <v>https://drive.google.com/open?id=1MNiPuQATEjIMn6UA4LYdoihCK0J34tEB, https://drive.google.com/open?id=1Y2OcVrUvZokJSJl3LW1DoJxmeWziPKCj, https://drive.google.com/open?id=1wwsqHXlU1691dJKSuWSMf8K8rRhbZAfK, https://drive.google.com/open?id=19NRWxupCGvBz6oqT7xUzYPp0k-I8RltR</v>
      </c>
      <c r="Y63" s="495" t="str">
        <f>IFERROR(__xludf.DUMMYFUNCTION("""COMPUTED_VALUE"""),"roberto.lassalle@gmail.com")</f>
        <v>roberto.lassalle@gmail.com</v>
      </c>
      <c r="Z63" s="498">
        <f>IFERROR(__xludf.DUMMYFUNCTION("""COMPUTED_VALUE"""),698482.0)</f>
        <v>698482</v>
      </c>
      <c r="AA63" s="495"/>
      <c r="AB63" s="495"/>
      <c r="AC63" s="495"/>
      <c r="AD63" s="495" t="str">
        <f>IFERROR(__xludf.DUMMYFUNCTION("""COMPUTED_VALUE"""),"RC-296_26")</f>
        <v>RC-296_26</v>
      </c>
    </row>
    <row r="64">
      <c r="A64" s="495" t="str">
        <f t="shared" si="1"/>
        <v>RC-293_26</v>
      </c>
      <c r="B64" s="497">
        <f>IFERROR(__xludf.DUMMYFUNCTION("""COMPUTED_VALUE"""),46205.9250622338)</f>
        <v>46205.92506</v>
      </c>
      <c r="C64" s="495" t="str">
        <f>IFERROR(__xludf.DUMMYFUNCTION("""COMPUTED_VALUE"""),"")</f>
        <v/>
      </c>
      <c r="D64" s="495" t="str">
        <f>IFERROR(__xludf.DUMMYFUNCTION("""COMPUTED_VALUE"""),"Mauricio Matus Belmar")</f>
        <v>Mauricio Matus Belmar</v>
      </c>
      <c r="E64" s="495"/>
      <c r="F64" s="496" t="str">
        <f>IFERROR(__xludf.DUMMYFUNCTION("""COMPUTED_VALUE"""),"1562-2025")</f>
        <v>1562-2025</v>
      </c>
      <c r="G64" s="495"/>
      <c r="H64" s="495"/>
      <c r="I64" s="495"/>
      <c r="J64" s="495" t="str">
        <f>IFERROR(__xludf.DUMMYFUNCTION("""COMPUTED_VALUE"""),"Campus Dr. Luis Rivas del Canto - CRC")</f>
        <v>Campus Dr. Luis Rivas del Canto - CRC</v>
      </c>
      <c r="K64" s="495" t="str">
        <f>IFERROR(__xludf.DUMMYFUNCTION("""COMPUTED_VALUE"""),"05")</f>
        <v>05</v>
      </c>
      <c r="L64" s="495" t="str">
        <f>IFERROR(__xludf.DUMMYFUNCTION("""COMPUTED_VALUE"""),"SERVICIOS INTEGRALES CRITICOS SPA")</f>
        <v>SERVICIOS INTEGRALES CRITICOS SPA</v>
      </c>
      <c r="M64" s="495" t="str">
        <f>IFERROR(__xludf.DUMMYFUNCTION("""COMPUTED_VALUE"""),"77.248.719-3")</f>
        <v>77.248.719-3</v>
      </c>
      <c r="N64" s="495" t="str">
        <f>IFERROR(__xludf.DUMMYFUNCTION("""COMPUTED_VALUE"""),"ROBERTO FUENTES-SUPERVISOR")</f>
        <v>ROBERTO FUENTES-SUPERVISOR</v>
      </c>
      <c r="O64" s="495" t="str">
        <f>IFERROR(__xludf.DUMMYFUNCTION("""COMPUTED_VALUE"""),"Mantenciones")</f>
        <v>Mantenciones</v>
      </c>
      <c r="P64" s="495" t="str">
        <f>IFERROR(__xludf.DUMMYFUNCTION("""COMPUTED_VALUE"""),"Requerimientos Emergentes e Imprevistos")</f>
        <v>Requerimientos Emergentes e Imprevistos</v>
      </c>
      <c r="Q64" s="495"/>
      <c r="R64" s="495"/>
      <c r="S64" s="495"/>
      <c r="T64" s="495"/>
      <c r="U64" s="495"/>
      <c r="V64" s="495" t="str">
        <f>IFERROR(__xludf.DUMMYFUNCTION("""COMPUTED_VALUE"""),"REALIZACION DE PRUEBAS DE SEGURIDAD DECRETO 10  SEREMI SALUD")</f>
        <v>REALIZACION DE PRUEBAS DE SEGURIDAD DECRETO 10  SEREMI SALUD</v>
      </c>
      <c r="W64" s="495" t="str">
        <f>IFERROR(__xludf.DUMMYFUNCTION("""COMPUTED_VALUE"""),"REALIZAR CUANDO VENCE CERTIFICACION")</f>
        <v>REALIZAR CUANDO VENCE CERTIFICACION</v>
      </c>
      <c r="X64" s="495" t="str">
        <f>IFERROR(__xludf.DUMMYFUNCTION("""COMPUTED_VALUE"""),"https://drive.google.com/open?id=1reEn3n-nFaTRxrRaMHf8UXnG4psORBon, https://drive.google.com/open?id=1oZA9WSn-DKGJCdV97ECtmKhslykZFJGL, https://drive.google.com/open?id=1dAqyVD9r_HHkOACt2UQ0Br2sJOIOx-Mi, https://drive.google.com/open?id=1sRaV9mlfwZgQJJdnK"&amp;"iLUt3cljCIqdbSx, https://drive.google.com/open?id=1zZiKMfwJOk4sRRbu5iSvtyoK1GgkHlKb")</f>
        <v>https://drive.google.com/open?id=1reEn3n-nFaTRxrRaMHf8UXnG4psORBon, https://drive.google.com/open?id=1oZA9WSn-DKGJCdV97ECtmKhslykZFJGL, https://drive.google.com/open?id=1dAqyVD9r_HHkOACt2UQ0Br2sJOIOx-Mi, https://drive.google.com/open?id=1sRaV9mlfwZgQJJdnKiLUt3cljCIqdbSx, https://drive.google.com/open?id=1zZiKMfwJOk4sRRbu5iSvtyoK1GgkHlKb</v>
      </c>
      <c r="Y64" s="495" t="str">
        <f>IFERROR(__xludf.DUMMYFUNCTION("""COMPUTED_VALUE"""),"fuentes.roberto1@gmail.com")</f>
        <v>fuentes.roberto1@gmail.com</v>
      </c>
      <c r="Z64" s="498">
        <f>IFERROR(__xludf.DUMMYFUNCTION("""COMPUTED_VALUE"""),332486.0)</f>
        <v>332486</v>
      </c>
      <c r="AA64" s="495"/>
      <c r="AB64" s="495"/>
      <c r="AC64" s="495"/>
      <c r="AD64" s="495" t="str">
        <f>IFERROR(__xludf.DUMMYFUNCTION("""COMPUTED_VALUE"""),"RC-293_26")</f>
        <v>RC-293_26</v>
      </c>
    </row>
    <row r="65">
      <c r="A65" s="495" t="str">
        <f t="shared" si="1"/>
        <v>RC-292_26</v>
      </c>
      <c r="B65" s="497">
        <f>IFERROR(__xludf.DUMMYFUNCTION("""COMPUTED_VALUE"""),46205.9162855787)</f>
        <v>46205.91629</v>
      </c>
      <c r="C65" s="495" t="str">
        <f>IFERROR(__xludf.DUMMYFUNCTION("""COMPUTED_VALUE"""),"")</f>
        <v/>
      </c>
      <c r="D65" s="495" t="str">
        <f>IFERROR(__xludf.DUMMYFUNCTION("""COMPUTED_VALUE"""),"Carol Huenchual Chañilao")</f>
        <v>Carol Huenchual Chañilao</v>
      </c>
      <c r="E65" s="495"/>
      <c r="F65" s="496" t="str">
        <f>IFERROR(__xludf.DUMMYFUNCTION("""COMPUTED_VALUE"""),"1608-2026")</f>
        <v>1608-2026</v>
      </c>
      <c r="G65" s="495"/>
      <c r="H65" s="495"/>
      <c r="I65" s="495"/>
      <c r="J65" s="495" t="str">
        <f>IFERROR(__xludf.DUMMYFUNCTION("""COMPUTED_VALUE"""),"Campus Pillanlelbun - CPL")</f>
        <v>Campus Pillanlelbun - CPL</v>
      </c>
      <c r="K65" s="495" t="str">
        <f>IFERROR(__xludf.DUMMYFUNCTION("""COMPUTED_VALUE"""),"05")</f>
        <v>05</v>
      </c>
      <c r="L65" s="495" t="str">
        <f>IFERROR(__xludf.DUMMYFUNCTION("""COMPUTED_VALUE"""),"SERVICIOS INTEGRALES CRITICOS SPA")</f>
        <v>SERVICIOS INTEGRALES CRITICOS SPA</v>
      </c>
      <c r="M65" s="495" t="str">
        <f>IFERROR(__xludf.DUMMYFUNCTION("""COMPUTED_VALUE"""),"77.248.719-3")</f>
        <v>77.248.719-3</v>
      </c>
      <c r="N65" s="495" t="str">
        <f>IFERROR(__xludf.DUMMYFUNCTION("""COMPUTED_VALUE"""),"ROBERTO FUENTES-SUPERVISOR")</f>
        <v>ROBERTO FUENTES-SUPERVISOR</v>
      </c>
      <c r="O65" s="495" t="str">
        <f>IFERROR(__xludf.DUMMYFUNCTION("""COMPUTED_VALUE"""),"Mantenciones")</f>
        <v>Mantenciones</v>
      </c>
      <c r="P65" s="495" t="str">
        <f>IFERROR(__xludf.DUMMYFUNCTION("""COMPUTED_VALUE"""),"Requerimientos Emergentes e Imprevistos")</f>
        <v>Requerimientos Emergentes e Imprevistos</v>
      </c>
      <c r="Q65" s="495"/>
      <c r="R65" s="495"/>
      <c r="S65" s="495"/>
      <c r="T65" s="495"/>
      <c r="U65" s="495"/>
      <c r="V65" s="495" t="str">
        <f>IFERROR(__xludf.DUMMYFUNCTION("""COMPUTED_VALUE"""),"MANTENCION GENERAL AIRES ACONDICIONADOS")</f>
        <v>MANTENCION GENERAL AIRES ACONDICIONADOS</v>
      </c>
      <c r="W65" s="495" t="str">
        <f>IFERROR(__xludf.DUMMYFUNCTION("""COMPUTED_VALUE"""),"REALIZAR UNA VEZ AL AÑO")</f>
        <v>REALIZAR UNA VEZ AL AÑO</v>
      </c>
      <c r="X65" s="495" t="str">
        <f>IFERROR(__xludf.DUMMYFUNCTION("""COMPUTED_VALUE"""),"https://drive.google.com/open?id=1d7V1a4jklfcsU1H86LL4an1LsgLeMGu4, https://drive.google.com/open?id=1qqKkgtWPq5BPRjeItaFz55ALVt8URr00, https://drive.google.com/open?id=1rgInehVagLMHGv-zEzu-vTsH30omHgxd, https://drive.google.com/open?id=1w3rKFaTItKsRXRQ9c"&amp;"K4nak3dh0DmFlTq, https://drive.google.com/open?id=1vI-lyMn9jQK2XjTN_Ms0zVrclHaHU3_P, https://drive.google.com/open?id=1zA3tN0_9gPSRtAArPUmSWCTZl_AHm4L_, https://drive.google.com/open?id=15FGQFczBAgqLHs3_nV-81pdrKtHw4GR3")</f>
        <v>https://drive.google.com/open?id=1d7V1a4jklfcsU1H86LL4an1LsgLeMGu4, https://drive.google.com/open?id=1qqKkgtWPq5BPRjeItaFz55ALVt8URr00, https://drive.google.com/open?id=1rgInehVagLMHGv-zEzu-vTsH30omHgxd, https://drive.google.com/open?id=1w3rKFaTItKsRXRQ9cK4nak3dh0DmFlTq, https://drive.google.com/open?id=1vI-lyMn9jQK2XjTN_Ms0zVrclHaHU3_P, https://drive.google.com/open?id=1zA3tN0_9gPSRtAArPUmSWCTZl_AHm4L_, https://drive.google.com/open?id=15FGQFczBAgqLHs3_nV-81pdrKtHw4GR3</v>
      </c>
      <c r="Y65" s="495" t="str">
        <f>IFERROR(__xludf.DUMMYFUNCTION("""COMPUTED_VALUE"""),"fuentes.roberto1@gmail.com")</f>
        <v>fuentes.roberto1@gmail.com</v>
      </c>
      <c r="Z65" s="498">
        <f>IFERROR(__xludf.DUMMYFUNCTION("""COMPUTED_VALUE"""),250000.0)</f>
        <v>250000</v>
      </c>
      <c r="AA65" s="495"/>
      <c r="AB65" s="495"/>
      <c r="AC65" s="495"/>
      <c r="AD65" s="495" t="str">
        <f>IFERROR(__xludf.DUMMYFUNCTION("""COMPUTED_VALUE"""),"RC-292_26")</f>
        <v>RC-292_26</v>
      </c>
    </row>
    <row r="66">
      <c r="A66" s="495" t="str">
        <f t="shared" si="1"/>
        <v>RC-032</v>
      </c>
      <c r="B66" s="497">
        <f>IFERROR(__xludf.DUMMYFUNCTION("""COMPUTED_VALUE"""),45967.60286950231)</f>
        <v>45967.60287</v>
      </c>
      <c r="C66" s="495" t="str">
        <f>IFERROR(__xludf.DUMMYFUNCTION("""COMPUTED_VALUE"""),"")</f>
        <v/>
      </c>
      <c r="D66" s="495" t="str">
        <f>IFERROR(__xludf.DUMMYFUNCTION("""COMPUTED_VALUE"""),"David Silva Roco")</f>
        <v>David Silva Roco</v>
      </c>
      <c r="E66" s="495"/>
      <c r="F66" s="496" t="str">
        <f>IFERROR(__xludf.DUMMYFUNCTION("""COMPUTED_VALUE"""),"3946-2025")</f>
        <v>3946-2025</v>
      </c>
      <c r="G66" s="495"/>
      <c r="H66" s="495"/>
      <c r="I66" s="495"/>
      <c r="J66" s="495" t="str">
        <f>IFERROR(__xludf.DUMMYFUNCTION("""COMPUTED_VALUE"""),"Campus San Nicolás (Curacautín) - CSN")</f>
        <v>Campus San Nicolás (Curacautín) - CSN</v>
      </c>
      <c r="K66" s="495" t="str">
        <f>IFERROR(__xludf.DUMMYFUNCTION("""COMPUTED_VALUE"""),"Exterior")</f>
        <v>Exterior</v>
      </c>
      <c r="L66" s="495" t="str">
        <f>IFERROR(__xludf.DUMMYFUNCTION("""COMPUTED_VALUE"""),"CONSTRUCTORA RUKATAMI LTDA.")</f>
        <v>CONSTRUCTORA RUKATAMI LTDA.</v>
      </c>
      <c r="M66" s="495" t="str">
        <f>IFERROR(__xludf.DUMMYFUNCTION("""COMPUTED_VALUE"""),"76.514.788-3")</f>
        <v>76.514.788-3</v>
      </c>
      <c r="N66" s="495" t="str">
        <f>IFERROR(__xludf.DUMMYFUNCTION("""COMPUTED_VALUE"""),"ELVIS VALENZUELA ALTAMIRANO")</f>
        <v>ELVIS VALENZUELA ALTAMIRANO</v>
      </c>
      <c r="O66" s="495" t="str">
        <f>IFERROR(__xludf.DUMMYFUNCTION("""COMPUTED_VALUE"""),"Obras")</f>
        <v>Obras</v>
      </c>
      <c r="P66" s="495"/>
      <c r="Q66" s="495"/>
      <c r="R66" s="495" t="str">
        <f>IFERROR(__xludf.DUMMYFUNCTION("""COMPUTED_VALUE"""),"Exteriores")</f>
        <v>Exteriores</v>
      </c>
      <c r="S66" s="495" t="str">
        <f>IFERROR(__xludf.DUMMYFUNCTION("""COMPUTED_VALUE"""),"Estado de Pago - EP")</f>
        <v>Estado de Pago - EP</v>
      </c>
      <c r="T66" s="495">
        <f>IFERROR(__xludf.DUMMYFUNCTION("""COMPUTED_VALUE"""),3.0)</f>
        <v>3</v>
      </c>
      <c r="U66" s="498">
        <f>IFERROR(__xludf.DUMMYFUNCTION("""COMPUTED_VALUE"""),7.5253626E7)</f>
        <v>75253626</v>
      </c>
      <c r="V66" s="495" t="str">
        <f>IFERROR(__xludf.DUMMYFUNCTION("""COMPUTED_VALUE"""),"AVANCE DE CONSTRUCCION 6 CABAÑAS CENTRO RECREACIONAL")</f>
        <v>AVANCE DE CONSTRUCCION 6 CABAÑAS CENTRO RECREACIONAL</v>
      </c>
      <c r="W66" s="495"/>
      <c r="X66" s="495" t="str">
        <f>IFERROR(__xludf.DUMMYFUNCTION("""COMPUTED_VALUE"""),"https://drive.google.com/open?id=1YpNHrnfmYJO3vGVUw3izh8Q_R0hl3Cfi, https://drive.google.com/open?id=1gMO2hV_9XLE-o8SSz0z4ElD0mPmvASe_, https://drive.google.com/open?id=1HqsxosDjYAZS7xCQHCJDPmbn1wjB--FM, https://drive.google.com/open?id=1cworOUNABAMC7UWZ6"&amp;"uUSgBvUH2VTeijD, https://drive.google.com/open?id=1_VrXRGDoS9q7IhjPFw8G0ahPGPDR85CQ")</f>
        <v>https://drive.google.com/open?id=1YpNHrnfmYJO3vGVUw3izh8Q_R0hl3Cfi, https://drive.google.com/open?id=1gMO2hV_9XLE-o8SSz0z4ElD0mPmvASe_, https://drive.google.com/open?id=1HqsxosDjYAZS7xCQHCJDPmbn1wjB--FM, https://drive.google.com/open?id=1cworOUNABAMC7UWZ6uUSgBvUH2VTeijD, https://drive.google.com/open?id=1_VrXRGDoS9q7IhjPFw8G0ahPGPDR85CQ</v>
      </c>
      <c r="Y66" s="495" t="str">
        <f>IFERROR(__xludf.DUMMYFUNCTION("""COMPUTED_VALUE"""),"krodriguez.arq@gmail.com")</f>
        <v>krodriguez.arq@gmail.com</v>
      </c>
      <c r="Z66" s="495"/>
      <c r="AA66" s="495"/>
      <c r="AB66" s="495"/>
      <c r="AC66" s="495"/>
      <c r="AD66" s="495" t="str">
        <f>IFERROR(__xludf.DUMMYFUNCTION("""COMPUTED_VALUE"""),"RC-032")</f>
        <v>RC-032</v>
      </c>
    </row>
    <row r="67">
      <c r="A67" s="495" t="str">
        <f t="shared" si="1"/>
        <v>RC-291_26</v>
      </c>
      <c r="B67" s="497">
        <f>IFERROR(__xludf.DUMMYFUNCTION("""COMPUTED_VALUE"""),46205.90887320602)</f>
        <v>46205.90887</v>
      </c>
      <c r="C67" s="495" t="str">
        <f>IFERROR(__xludf.DUMMYFUNCTION("""COMPUTED_VALUE"""),"")</f>
        <v/>
      </c>
      <c r="D67" s="495" t="str">
        <f>IFERROR(__xludf.DUMMYFUNCTION("""COMPUTED_VALUE"""),"Mauricio Matus Belmar")</f>
        <v>Mauricio Matus Belmar</v>
      </c>
      <c r="E67" s="495"/>
      <c r="F67" s="496" t="str">
        <f>IFERROR(__xludf.DUMMYFUNCTION("""COMPUTED_VALUE"""),"421-2026")</f>
        <v>421-2026</v>
      </c>
      <c r="G67" s="495"/>
      <c r="H67" s="495"/>
      <c r="I67" s="495"/>
      <c r="J67" s="495" t="str">
        <f>IFERROR(__xludf.DUMMYFUNCTION("""COMPUTED_VALUE"""),"Campus San Juan Pablo II - CJP")</f>
        <v>Campus San Juan Pablo II - CJP</v>
      </c>
      <c r="K67" s="495" t="str">
        <f>IFERROR(__xludf.DUMMYFUNCTION("""COMPUTED_VALUE"""),"05")</f>
        <v>05</v>
      </c>
      <c r="L67" s="495" t="str">
        <f>IFERROR(__xludf.DUMMYFUNCTION("""COMPUTED_VALUE"""),"ROBERTO FUENTES")</f>
        <v>ROBERTO FUENTES</v>
      </c>
      <c r="M67" s="495" t="str">
        <f>IFERROR(__xludf.DUMMYFUNCTION("""COMPUTED_VALUE"""),"77.248.719-3")</f>
        <v>77.248.719-3</v>
      </c>
      <c r="N67" s="495" t="str">
        <f>IFERROR(__xludf.DUMMYFUNCTION("""COMPUTED_VALUE"""),"ROBERTO FUENTES-SUPERVISOR")</f>
        <v>ROBERTO FUENTES-SUPERVISOR</v>
      </c>
      <c r="O67" s="495" t="str">
        <f>IFERROR(__xludf.DUMMYFUNCTION("""COMPUTED_VALUE"""),"Mantenciones")</f>
        <v>Mantenciones</v>
      </c>
      <c r="P67" s="495" t="str">
        <f>IFERROR(__xludf.DUMMYFUNCTION("""COMPUTED_VALUE"""),"Requerimientos Emergentes e Imprevistos")</f>
        <v>Requerimientos Emergentes e Imprevistos</v>
      </c>
      <c r="Q67" s="495"/>
      <c r="R67" s="495"/>
      <c r="S67" s="495"/>
      <c r="T67" s="495"/>
      <c r="U67" s="495"/>
      <c r="V67" s="495" t="str">
        <f>IFERROR(__xludf.DUMMYFUNCTION("""COMPUTED_VALUE"""),"SE ENTREGA CALCULO DE EXTRACCION CASINO CON SUS LAMINAS")</f>
        <v>SE ENTREGA CALCULO DE EXTRACCION CASINO CON SUS LAMINAS</v>
      </c>
      <c r="W67" s="495" t="str">
        <f>IFERROR(__xludf.DUMMYFUNCTION("""COMPUTED_VALUE"""),"EJECUTAR SEGUN CALCULOS")</f>
        <v>EJECUTAR SEGUN CALCULOS</v>
      </c>
      <c r="X67" s="495" t="str">
        <f>IFERROR(__xludf.DUMMYFUNCTION("""COMPUTED_VALUE"""),"https://drive.google.com/open?id=106rW5qBCabAj0Jh8jAYdOHe8ulUmD8L1, https://drive.google.com/open?id=1S1vQ63iqYLldnHipN1F4jrLuJQSQHsmx, https://drive.google.com/open?id=1iQs3yZjxn36uSHLU9-UpyE2xT2pe5BBF, https://drive.google.com/open?id=1z3UGFMWpK4aYNLG9N"&amp;"EL8cAoO4MXhkbXm")</f>
        <v>https://drive.google.com/open?id=106rW5qBCabAj0Jh8jAYdOHe8ulUmD8L1, https://drive.google.com/open?id=1S1vQ63iqYLldnHipN1F4jrLuJQSQHsmx, https://drive.google.com/open?id=1iQs3yZjxn36uSHLU9-UpyE2xT2pe5BBF, https://drive.google.com/open?id=1z3UGFMWpK4aYNLG9NEL8cAoO4MXhkbXm</v>
      </c>
      <c r="Y67" s="495" t="str">
        <f>IFERROR(__xludf.DUMMYFUNCTION("""COMPUTED_VALUE"""),"fuentes.roberto1@gmail.com")</f>
        <v>fuentes.roberto1@gmail.com</v>
      </c>
      <c r="Z67" s="498">
        <f>IFERROR(__xludf.DUMMYFUNCTION("""COMPUTED_VALUE"""),333200.0)</f>
        <v>333200</v>
      </c>
      <c r="AA67" s="495"/>
      <c r="AB67" s="495"/>
      <c r="AC67" s="495"/>
      <c r="AD67" s="495" t="str">
        <f>IFERROR(__xludf.DUMMYFUNCTION("""COMPUTED_VALUE"""),"RC-291_26")</f>
        <v>RC-291_26</v>
      </c>
    </row>
    <row r="68">
      <c r="A68" s="495" t="str">
        <f t="shared" si="1"/>
        <v>RC-290_26</v>
      </c>
      <c r="B68" s="497">
        <f>IFERROR(__xludf.DUMMYFUNCTION("""COMPUTED_VALUE"""),46205.895261111116)</f>
        <v>46205.89526</v>
      </c>
      <c r="C68" s="495" t="str">
        <f>IFERROR(__xludf.DUMMYFUNCTION("""COMPUTED_VALUE"""),"")</f>
        <v/>
      </c>
      <c r="D68" s="495" t="str">
        <f>IFERROR(__xludf.DUMMYFUNCTION("""COMPUTED_VALUE"""),"Mauricio Matus Belmar")</f>
        <v>Mauricio Matus Belmar</v>
      </c>
      <c r="E68" s="495"/>
      <c r="F68" s="496" t="str">
        <f>IFERROR(__xludf.DUMMYFUNCTION("""COMPUTED_VALUE"""),"414-2026")</f>
        <v>414-2026</v>
      </c>
      <c r="G68" s="495"/>
      <c r="H68" s="495"/>
      <c r="I68" s="495"/>
      <c r="J68" s="495" t="str">
        <f>IFERROR(__xludf.DUMMYFUNCTION("""COMPUTED_VALUE"""),"Campus San Juan Pablo II - CJP")</f>
        <v>Campus San Juan Pablo II - CJP</v>
      </c>
      <c r="K68" s="495">
        <f>IFERROR(__xludf.DUMMYFUNCTION("""COMPUTED_VALUE"""),10.0)</f>
        <v>10</v>
      </c>
      <c r="L68" s="495" t="str">
        <f>IFERROR(__xludf.DUMMYFUNCTION("""COMPUTED_VALUE"""),"SERVICIOS INTEGRALES CRITICOS SPA")</f>
        <v>SERVICIOS INTEGRALES CRITICOS SPA</v>
      </c>
      <c r="M68" s="495" t="str">
        <f>IFERROR(__xludf.DUMMYFUNCTION("""COMPUTED_VALUE"""),"77.248.719-3")</f>
        <v>77.248.719-3</v>
      </c>
      <c r="N68" s="495" t="str">
        <f>IFERROR(__xludf.DUMMYFUNCTION("""COMPUTED_VALUE"""),"ROBERTO FUENTES - SUPERVISOR")</f>
        <v>ROBERTO FUENTES - SUPERVISOR</v>
      </c>
      <c r="O68" s="495" t="str">
        <f>IFERROR(__xludf.DUMMYFUNCTION("""COMPUTED_VALUE"""),"Mantenciones")</f>
        <v>Mantenciones</v>
      </c>
      <c r="P68" s="495" t="str">
        <f>IFERROR(__xludf.DUMMYFUNCTION("""COMPUTED_VALUE"""),"Requerimientos Emergentes e Imprevistos")</f>
        <v>Requerimientos Emergentes e Imprevistos</v>
      </c>
      <c r="Q68" s="495"/>
      <c r="R68" s="495"/>
      <c r="S68" s="495"/>
      <c r="T68" s="495"/>
      <c r="U68" s="495"/>
      <c r="V68" s="495" t="str">
        <f>IFERROR(__xludf.DUMMYFUNCTION("""COMPUTED_VALUE"""),"SE CERTIFICAN 9 CALDERAS SEREMI SALUD")</f>
        <v>SE CERTIFICAN 9 CALDERAS SEREMI SALUD</v>
      </c>
      <c r="W68" s="495" t="str">
        <f>IFERROR(__xludf.DUMMYFUNCTION("""COMPUTED_VALUE"""),"MANTENER LIMPIAS SALAS DE CALDERAS")</f>
        <v>MANTENER LIMPIAS SALAS DE CALDERAS</v>
      </c>
      <c r="X68" s="495" t="str">
        <f>IFERROR(__xludf.DUMMYFUNCTION("""COMPUTED_VALUE"""),"https://drive.google.com/open?id=1bQGhwgcu5S0AbjN3e5aEiHpgZFcWvpFp, https://drive.google.com/open?id=1loNxjjCaG9maQjC4f4vewYhM3qzgfrcn, https://drive.google.com/open?id=1jAW_ltvTu7frFjOWWSRjAqw0pX9dEi1c, https://drive.google.com/open?id=1UgAOB9R1NVXV8NWyo"&amp;"ONgbRpe_kw2mu0s, https://drive.google.com/open?id=1oBMvEbyncZ8S08Dgo0q1HDufF-vAz-SA")</f>
        <v>https://drive.google.com/open?id=1bQGhwgcu5S0AbjN3e5aEiHpgZFcWvpFp, https://drive.google.com/open?id=1loNxjjCaG9maQjC4f4vewYhM3qzgfrcn, https://drive.google.com/open?id=1jAW_ltvTu7frFjOWWSRjAqw0pX9dEi1c, https://drive.google.com/open?id=1UgAOB9R1NVXV8NWyoONgbRpe_kw2mu0s, https://drive.google.com/open?id=1oBMvEbyncZ8S08Dgo0q1HDufF-vAz-SA</v>
      </c>
      <c r="Y68" s="495" t="str">
        <f>IFERROR(__xludf.DUMMYFUNCTION("""COMPUTED_VALUE"""),"fuentes.roberto1@gmail.com")</f>
        <v>fuentes.roberto1@gmail.com</v>
      </c>
      <c r="Z68" s="498">
        <f>IFERROR(__xludf.DUMMYFUNCTION("""COMPUTED_VALUE"""),1350000.0)</f>
        <v>1350000</v>
      </c>
      <c r="AA68" s="495"/>
      <c r="AB68" s="495"/>
      <c r="AC68" s="495"/>
      <c r="AD68" s="495" t="str">
        <f>IFERROR(__xludf.DUMMYFUNCTION("""COMPUTED_VALUE"""),"RC-290_26")</f>
        <v>RC-290_26</v>
      </c>
    </row>
    <row r="69">
      <c r="A69" s="495" t="str">
        <f t="shared" si="1"/>
        <v>RC-289_26</v>
      </c>
      <c r="B69" s="497">
        <f>IFERROR(__xludf.DUMMYFUNCTION("""COMPUTED_VALUE"""),46205.784610567134)</f>
        <v>46205.78461</v>
      </c>
      <c r="C69" s="495" t="str">
        <f>IFERROR(__xludf.DUMMYFUNCTION("""COMPUTED_VALUE"""),"")</f>
        <v/>
      </c>
      <c r="D69" s="495" t="str">
        <f>IFERROR(__xludf.DUMMYFUNCTION("""COMPUTED_VALUE"""),"Carol Huenchual Chañilao")</f>
        <v>Carol Huenchual Chañilao</v>
      </c>
      <c r="E69" s="495"/>
      <c r="F69" s="496" t="str">
        <f>IFERROR(__xludf.DUMMYFUNCTION("""COMPUTED_VALUE"""),"5381-2026")</f>
        <v>5381-2026</v>
      </c>
      <c r="G69" s="495"/>
      <c r="H69" s="495"/>
      <c r="I69" s="495"/>
      <c r="J69" s="495" t="str">
        <f>IFERROR(__xludf.DUMMYFUNCTION("""COMPUTED_VALUE"""),"Campus Monseñor Alejandro Menchaca Lira - CML")</f>
        <v>Campus Monseñor Alejandro Menchaca Lira - CML</v>
      </c>
      <c r="K69" s="495" t="str">
        <f>IFERROR(__xludf.DUMMYFUNCTION("""COMPUTED_VALUE"""),"01")</f>
        <v>01</v>
      </c>
      <c r="L69" s="495" t="str">
        <f>IFERROR(__xludf.DUMMYFUNCTION("""COMPUTED_VALUE"""),"Marcelo Javier Jacobi Siegmund")</f>
        <v>Marcelo Javier Jacobi Siegmund</v>
      </c>
      <c r="M69" s="495" t="str">
        <f>IFERROR(__xludf.DUMMYFUNCTION("""COMPUTED_VALUE"""),"9.087.185-4")</f>
        <v>9.087.185-4</v>
      </c>
      <c r="N69" s="495" t="str">
        <f>IFERROR(__xludf.DUMMYFUNCTION("""COMPUTED_VALUE"""),"Cesar Muñoz Manriquez")</f>
        <v>Cesar Muñoz Manriquez</v>
      </c>
      <c r="O69" s="495" t="str">
        <f>IFERROR(__xludf.DUMMYFUNCTION("""COMPUTED_VALUE"""),"Mantenciones")</f>
        <v>Mantenciones</v>
      </c>
      <c r="P69" s="495" t="str">
        <f>IFERROR(__xludf.DUMMYFUNCTION("""COMPUTED_VALUE"""),"Requerimientos Emergentes e Imprevistos")</f>
        <v>Requerimientos Emergentes e Imprevistos</v>
      </c>
      <c r="Q69" s="495"/>
      <c r="R69" s="495"/>
      <c r="S69" s="495"/>
      <c r="T69" s="495"/>
      <c r="U69" s="495"/>
      <c r="V69" s="495" t="str">
        <f>IFERROR(__xludf.DUMMYFUNCTION("""COMPUTED_VALUE"""),"Mntenciones preventivas, control y limpieza a 3 equipos de aire acondicionados")</f>
        <v>Mntenciones preventivas, control y limpieza a 3 equipos de aire acondicionados</v>
      </c>
      <c r="W69" s="495" t="str">
        <f>IFERROR(__xludf.DUMMYFUNCTION("""COMPUTED_VALUE"""),"Observación de su funcionamiento")</f>
        <v>Observación de su funcionamiento</v>
      </c>
      <c r="X69" s="495" t="str">
        <f>IFERROR(__xludf.DUMMYFUNCTION("""COMPUTED_VALUE"""),"https://drive.google.com/open?id=1HrVWP_Sz-tGOoADD-AjVQRrWQorLkJ1O, https://drive.google.com/open?id=1jp1QLO55ZYfLLUgWF8Qz7TK0SuZzojgq, https://drive.google.com/open?id=1AqW6JAgGtuMG68G9JlHXKUSqm21UoHPO")</f>
        <v>https://drive.google.com/open?id=1HrVWP_Sz-tGOoADD-AjVQRrWQorLkJ1O, https://drive.google.com/open?id=1jp1QLO55ZYfLLUgWF8Qz7TK0SuZzojgq, https://drive.google.com/open?id=1AqW6JAgGtuMG68G9JlHXKUSqm21UoHPO</v>
      </c>
      <c r="Y69" s="495" t="str">
        <f>IFERROR(__xludf.DUMMYFUNCTION("""COMPUTED_VALUE"""),"mjacobisiegmund@gmail.com")</f>
        <v>mjacobisiegmund@gmail.com</v>
      </c>
      <c r="Z69" s="498">
        <f>IFERROR(__xludf.DUMMYFUNCTION("""COMPUTED_VALUE"""),96033.0)</f>
        <v>96033</v>
      </c>
      <c r="AA69" s="495"/>
      <c r="AB69" s="495"/>
      <c r="AC69" s="495"/>
      <c r="AD69" s="495" t="str">
        <f>IFERROR(__xludf.DUMMYFUNCTION("""COMPUTED_VALUE"""),"RC-289_26")</f>
        <v>RC-289_26</v>
      </c>
    </row>
    <row r="70">
      <c r="A70" s="495" t="str">
        <f t="shared" si="1"/>
        <v>RC-288_26</v>
      </c>
      <c r="B70" s="497">
        <f>IFERROR(__xludf.DUMMYFUNCTION("""COMPUTED_VALUE"""),46205.6874068287)</f>
        <v>46205.68741</v>
      </c>
      <c r="C70" s="495" t="str">
        <f>IFERROR(__xludf.DUMMYFUNCTION("""COMPUTED_VALUE"""),"")</f>
        <v/>
      </c>
      <c r="D70" s="495" t="str">
        <f>IFERROR(__xludf.DUMMYFUNCTION("""COMPUTED_VALUE"""),"Felipe Anselme Grandón")</f>
        <v>Felipe Anselme Grandón</v>
      </c>
      <c r="E70" s="495"/>
      <c r="F70" s="496" t="str">
        <f>IFERROR(__xludf.DUMMYFUNCTION("""COMPUTED_VALUE"""),"5253 - 2026")</f>
        <v>5253 - 2026</v>
      </c>
      <c r="G70" s="495"/>
      <c r="H70" s="495"/>
      <c r="I70" s="495"/>
      <c r="J70" s="495" t="str">
        <f>IFERROR(__xludf.DUMMYFUNCTION("""COMPUTED_VALUE"""),"Campus Dr. Luis Rivas del Canto - CRC")</f>
        <v>Campus Dr. Luis Rivas del Canto - CRC</v>
      </c>
      <c r="K70" s="495">
        <f>IFERROR(__xludf.DUMMYFUNCTION("""COMPUTED_VALUE"""),18.0)</f>
        <v>18</v>
      </c>
      <c r="L70" s="495" t="str">
        <f>IFERROR(__xludf.DUMMYFUNCTION("""COMPUTED_VALUE"""),"Constructora IGECE Ltada.")</f>
        <v>Constructora IGECE Ltada.</v>
      </c>
      <c r="M70" s="495" t="str">
        <f>IFERROR(__xludf.DUMMYFUNCTION("""COMPUTED_VALUE"""),"76.878.824-3")</f>
        <v>76.878.824-3</v>
      </c>
      <c r="N70" s="495" t="str">
        <f>IFERROR(__xludf.DUMMYFUNCTION("""COMPUTED_VALUE"""),"Carlos Troncoso - Gerente General ")</f>
        <v>Carlos Troncoso - Gerente General </v>
      </c>
      <c r="O70" s="495" t="str">
        <f>IFERROR(__xludf.DUMMYFUNCTION("""COMPUTED_VALUE"""),"Mantenciones")</f>
        <v>Mantenciones</v>
      </c>
      <c r="P70" s="495" t="str">
        <f>IFERROR(__xludf.DUMMYFUNCTION("""COMPUTED_VALUE"""),"Instalaciones Eléctricas")</f>
        <v>Instalaciones Eléctricas</v>
      </c>
      <c r="Q70" s="495"/>
      <c r="R70" s="495"/>
      <c r="S70" s="495"/>
      <c r="T70" s="495"/>
      <c r="U70" s="495"/>
      <c r="V70" s="495" t="str">
        <f>IFERROR(__xludf.DUMMYFUNCTION("""COMPUTED_VALUE"""),"Laboratorio CRC 180: Picado losa rematada, instalación y conexión
tuberías emt, se cambia tubería emt por Conduit, tapado y afinado losa,
pintura losa 2 manos.")</f>
        <v>Laboratorio CRC 180: Picado losa rematada, instalación y conexión
tuberías emt, se cambia tubería emt por Conduit, tapado y afinado losa,
pintura losa 2 manos.</v>
      </c>
      <c r="W70" s="495"/>
      <c r="X70" s="495" t="str">
        <f>IFERROR(__xludf.DUMMYFUNCTION("""COMPUTED_VALUE"""),"https://drive.google.com/open?id=1gf147ezANuKQ_LLfrPF12p6kTx2OPcXA, https://drive.google.com/open?id=1VEwbmjRktbNMAvulGxxdr6hPEzY4hrxn")</f>
        <v>https://drive.google.com/open?id=1gf147ezANuKQ_LLfrPF12p6kTx2OPcXA, https://drive.google.com/open?id=1VEwbmjRktbNMAvulGxxdr6hPEzY4hrxn</v>
      </c>
      <c r="Y70" s="495" t="str">
        <f>IFERROR(__xludf.DUMMYFUNCTION("""COMPUTED_VALUE"""),"fabian.i.burgos.s@gmail.com")</f>
        <v>fabian.i.burgos.s@gmail.com</v>
      </c>
      <c r="Z70" s="498">
        <f>IFERROR(__xludf.DUMMYFUNCTION("""COMPUTED_VALUE"""),291550.0)</f>
        <v>291550</v>
      </c>
      <c r="AA70" s="495"/>
      <c r="AB70" s="495"/>
      <c r="AC70" s="495"/>
      <c r="AD70" s="495" t="str">
        <f>IFERROR(__xludf.DUMMYFUNCTION("""COMPUTED_VALUE"""),"RC-288_26")</f>
        <v>RC-288_26</v>
      </c>
    </row>
    <row r="71">
      <c r="A71" s="495" t="str">
        <f t="shared" si="1"/>
        <v>RC-287_26</v>
      </c>
      <c r="B71" s="497">
        <f>IFERROR(__xludf.DUMMYFUNCTION("""COMPUTED_VALUE"""),46205.67511964121)</f>
        <v>46205.67512</v>
      </c>
      <c r="C71" s="495" t="str">
        <f>IFERROR(__xludf.DUMMYFUNCTION("""COMPUTED_VALUE"""),"")</f>
        <v/>
      </c>
      <c r="D71" s="495" t="str">
        <f>IFERROR(__xludf.DUMMYFUNCTION("""COMPUTED_VALUE"""),"Carol Huenchual Chañilao")</f>
        <v>Carol Huenchual Chañilao</v>
      </c>
      <c r="E71" s="495"/>
      <c r="F71" s="496" t="str">
        <f>IFERROR(__xludf.DUMMYFUNCTION("""COMPUTED_VALUE"""),"5243 - 2026")</f>
        <v>5243 - 2026</v>
      </c>
      <c r="G71" s="495"/>
      <c r="H71" s="495"/>
      <c r="I71" s="495"/>
      <c r="J71" s="495" t="str">
        <f>IFERROR(__xludf.DUMMYFUNCTION("""COMPUTED_VALUE"""),"Campus San Francisco - CSF")</f>
        <v>Campus San Francisco - CSF</v>
      </c>
      <c r="K71" s="495" t="str">
        <f>IFERROR(__xludf.DUMMYFUNCTION("""COMPUTED_VALUE"""),"01")</f>
        <v>01</v>
      </c>
      <c r="L71" s="495" t="str">
        <f>IFERROR(__xludf.DUMMYFUNCTION("""COMPUTED_VALUE"""),"Constructora IGECE Ltda.")</f>
        <v>Constructora IGECE Ltda.</v>
      </c>
      <c r="M71" s="495" t="str">
        <f>IFERROR(__xludf.DUMMYFUNCTION("""COMPUTED_VALUE"""),"76.878.824-3")</f>
        <v>76.878.824-3</v>
      </c>
      <c r="N71" s="495" t="str">
        <f>IFERROR(__xludf.DUMMYFUNCTION("""COMPUTED_VALUE"""),"Carlos Troncoso - Gerente General ")</f>
        <v>Carlos Troncoso - Gerente General </v>
      </c>
      <c r="O71" s="495" t="str">
        <f>IFERROR(__xludf.DUMMYFUNCTION("""COMPUTED_VALUE"""),"Mantenciones")</f>
        <v>Mantenciones</v>
      </c>
      <c r="P71" s="495" t="str">
        <f>IFERROR(__xludf.DUMMYFUNCTION("""COMPUTED_VALUE"""),"Cubiertas")</f>
        <v>Cubiertas</v>
      </c>
      <c r="Q71" s="495"/>
      <c r="R71" s="495"/>
      <c r="S71" s="495"/>
      <c r="T71" s="495"/>
      <c r="U71" s="495"/>
      <c r="V71" s="495" t="str">
        <f>IFERROR(__xludf.DUMMYFUNCTION("""COMPUTED_VALUE"""),"Trabajos Filtración CSF01 Hall Acceso (Caja Alarma Incendios):
Revisión y detección filtración, repaso sellos, cambio tornillos,
instalación cinta aluminio reforzada, retiro sellos cortados.")</f>
        <v>Trabajos Filtración CSF01 Hall Acceso (Caja Alarma Incendios):
Revisión y detección filtración, repaso sellos, cambio tornillos,
instalación cinta aluminio reforzada, retiro sellos cortados.</v>
      </c>
      <c r="W71" s="495"/>
      <c r="X71" s="495" t="str">
        <f>IFERROR(__xludf.DUMMYFUNCTION("""COMPUTED_VALUE"""),"https://drive.google.com/open?id=10IDfAdh8WzDOE2Snbv0RsLsNXqPcd4xX, https://drive.google.com/open?id=1_wJkbUDW5_YJhDVTkU_nsVlDjAliWSIC, https://drive.google.com/open?id=1J3XrCRU41DT-o7Dhf_OCBVlUaMQMzi1n")</f>
        <v>https://drive.google.com/open?id=10IDfAdh8WzDOE2Snbv0RsLsNXqPcd4xX, https://drive.google.com/open?id=1_wJkbUDW5_YJhDVTkU_nsVlDjAliWSIC, https://drive.google.com/open?id=1J3XrCRU41DT-o7Dhf_OCBVlUaMQMzi1n</v>
      </c>
      <c r="Y71" s="495" t="str">
        <f>IFERROR(__xludf.DUMMYFUNCTION("""COMPUTED_VALUE"""),"fabian.i.burgos.s@gmail.com")</f>
        <v>fabian.i.burgos.s@gmail.com</v>
      </c>
      <c r="Z71" s="498">
        <f>IFERROR(__xludf.DUMMYFUNCTION("""COMPUTED_VALUE"""),327012.0)</f>
        <v>327012</v>
      </c>
      <c r="AA71" s="495"/>
      <c r="AB71" s="495"/>
      <c r="AC71" s="495"/>
      <c r="AD71" s="495" t="str">
        <f>IFERROR(__xludf.DUMMYFUNCTION("""COMPUTED_VALUE"""),"RC-287_26")</f>
        <v>RC-287_26</v>
      </c>
    </row>
    <row r="72">
      <c r="A72" s="495" t="str">
        <f t="shared" si="1"/>
        <v>RC-284_26</v>
      </c>
      <c r="B72" s="497">
        <f>IFERROR(__xludf.DUMMYFUNCTION("""COMPUTED_VALUE"""),46204.496396875)</f>
        <v>46204.4964</v>
      </c>
      <c r="C72" s="495" t="str">
        <f>IFERROR(__xludf.DUMMYFUNCTION("""COMPUTED_VALUE"""),"")</f>
        <v/>
      </c>
      <c r="D72" s="495" t="str">
        <f>IFERROR(__xludf.DUMMYFUNCTION("""COMPUTED_VALUE"""),"Mauricio Zurita Aldea")</f>
        <v>Mauricio Zurita Aldea</v>
      </c>
      <c r="E72" s="495"/>
      <c r="F72" s="496" t="str">
        <f>IFERROR(__xludf.DUMMYFUNCTION("""COMPUTED_VALUE"""),"11759 - 2025")</f>
        <v>11759 - 2025</v>
      </c>
      <c r="G72" s="495"/>
      <c r="H72" s="495"/>
      <c r="I72" s="495"/>
      <c r="J72" s="495" t="str">
        <f>IFERROR(__xludf.DUMMYFUNCTION("""COMPUTED_VALUE"""),"Campus Educación Continua - CEC")</f>
        <v>Campus Educación Continua - CEC</v>
      </c>
      <c r="K72" s="495" t="str">
        <f>IFERROR(__xludf.DUMMYFUNCTION("""COMPUTED_VALUE"""),"01")</f>
        <v>01</v>
      </c>
      <c r="L72" s="495" t="str">
        <f>IFERROR(__xludf.DUMMYFUNCTION("""COMPUTED_VALUE"""),"Gyg servicios spa")</f>
        <v>Gyg servicios spa</v>
      </c>
      <c r="M72" s="495" t="str">
        <f>IFERROR(__xludf.DUMMYFUNCTION("""COMPUTED_VALUE"""),"77.215.624-3")</f>
        <v>77.215.624-3</v>
      </c>
      <c r="N72" s="495" t="str">
        <f>IFERROR(__xludf.DUMMYFUNCTION("""COMPUTED_VALUE"""),"Gustavo Fuentes - Supervisor Tecnico")</f>
        <v>Gustavo Fuentes - Supervisor Tecnico</v>
      </c>
      <c r="O72" s="495" t="str">
        <f>IFERROR(__xludf.DUMMYFUNCTION("""COMPUTED_VALUE"""),"Mantenciones")</f>
        <v>Mantenciones</v>
      </c>
      <c r="P72" s="495" t="str">
        <f>IFERROR(__xludf.DUMMYFUNCTION("""COMPUTED_VALUE"""),"Instalaciones Eléctricas")</f>
        <v>Instalaciones Eléctricas</v>
      </c>
      <c r="Q72" s="495"/>
      <c r="R72" s="495"/>
      <c r="S72" s="495"/>
      <c r="T72" s="495"/>
      <c r="U72" s="495"/>
      <c r="V72" s="495" t="str">
        <f>IFERROR(__xludf.DUMMYFUNCTION("""COMPUTED_VALUE"""),"Instalación de artículos para video wall y central de monitoreo")</f>
        <v>Instalación de artículos para video wall y central de monitoreo</v>
      </c>
      <c r="W72" s="495" t="str">
        <f>IFERROR(__xludf.DUMMYFUNCTION("""COMPUTED_VALUE"""),"Se contempla el 90% del avance del trabajo.")</f>
        <v>Se contempla el 90% del avance del trabajo.</v>
      </c>
      <c r="X72" s="499" t="str">
        <f>IFERROR(__xludf.DUMMYFUNCTION("""COMPUTED_VALUE"""),"https://drive.google.com/open?id=1EZox5flf0yAYWrS8YQfA_5jOaVV5SP_E")</f>
        <v>https://drive.google.com/open?id=1EZox5flf0yAYWrS8YQfA_5jOaVV5SP_E</v>
      </c>
      <c r="Y72" s="495" t="str">
        <f>IFERROR(__xludf.DUMMYFUNCTION("""COMPUTED_VALUE"""),"contacto@gygtecnologias.com")</f>
        <v>contacto@gygtecnologias.com</v>
      </c>
      <c r="Z72" s="498">
        <f>IFERROR(__xludf.DUMMYFUNCTION("""COMPUTED_VALUE"""),1.7569735E7)</f>
        <v>17569735</v>
      </c>
      <c r="AA72" s="495"/>
      <c r="AB72" s="495"/>
      <c r="AC72" s="495"/>
      <c r="AD72" s="495" t="str">
        <f>IFERROR(__xludf.DUMMYFUNCTION("""COMPUTED_VALUE"""),"RC-284_26")</f>
        <v>RC-284_26</v>
      </c>
    </row>
    <row r="73">
      <c r="A73" s="495" t="str">
        <f t="shared" si="1"/>
        <v>RC-039</v>
      </c>
      <c r="B73" s="497">
        <f>IFERROR(__xludf.DUMMYFUNCTION("""COMPUTED_VALUE"""),45971.718809756945)</f>
        <v>45971.71881</v>
      </c>
      <c r="C73" s="495" t="str">
        <f>IFERROR(__xludf.DUMMYFUNCTION("""COMPUTED_VALUE"""),"")</f>
        <v/>
      </c>
      <c r="D73" s="495" t="str">
        <f>IFERROR(__xludf.DUMMYFUNCTION("""COMPUTED_VALUE"""),"Leonor Ríos Morales")</f>
        <v>Leonor Ríos Morales</v>
      </c>
      <c r="E73" s="495"/>
      <c r="F73" s="496" t="str">
        <f>IFERROR(__xludf.DUMMYFUNCTION("""COMPUTED_VALUE"""),"10964 - 2025")</f>
        <v>10964 - 2025</v>
      </c>
      <c r="G73" s="495"/>
      <c r="H73" s="495"/>
      <c r="I73" s="495"/>
      <c r="J73" s="495" t="str">
        <f>IFERROR(__xludf.DUMMYFUNCTION("""COMPUTED_VALUE"""),"Campus San Francisco - CSF")</f>
        <v>Campus San Francisco - CSF</v>
      </c>
      <c r="K73" s="495" t="str">
        <f>IFERROR(__xludf.DUMMYFUNCTION("""COMPUTED_VALUE"""),"02")</f>
        <v>02</v>
      </c>
      <c r="L73" s="495" t="str">
        <f>IFERROR(__xludf.DUMMYFUNCTION("""COMPUTED_VALUE"""),"MELMAN SPA")</f>
        <v>MELMAN SPA</v>
      </c>
      <c r="M73" s="495" t="str">
        <f>IFERROR(__xludf.DUMMYFUNCTION("""COMPUTED_VALUE"""),"96.882.140-7")</f>
        <v>96.882.140-7</v>
      </c>
      <c r="N73" s="495" t="str">
        <f>IFERROR(__xludf.DUMMYFUNCTION("""COMPUTED_VALUE"""),"Yasna Venegas Directora de Proyectos")</f>
        <v>Yasna Venegas Directora de Proyectos</v>
      </c>
      <c r="O73" s="495" t="str">
        <f>IFERROR(__xludf.DUMMYFUNCTION("""COMPUTED_VALUE"""),"Obras")</f>
        <v>Obras</v>
      </c>
      <c r="P73" s="495"/>
      <c r="Q73" s="495"/>
      <c r="R73" s="495" t="str">
        <f>IFERROR(__xludf.DUMMYFUNCTION("""COMPUTED_VALUE"""),"Remodelación")</f>
        <v>Remodelación</v>
      </c>
      <c r="S73" s="495" t="str">
        <f>IFERROR(__xludf.DUMMYFUNCTION("""COMPUTED_VALUE"""),"Estado de Pago - EP")</f>
        <v>Estado de Pago - EP</v>
      </c>
      <c r="T73" s="495">
        <f>IFERROR(__xludf.DUMMYFUNCTION("""COMPUTED_VALUE"""),1.0)</f>
        <v>1</v>
      </c>
      <c r="U73" s="498">
        <f>IFERROR(__xludf.DUMMYFUNCTION("""COMPUTED_VALUE"""),2.0257433E7)</f>
        <v>20257433</v>
      </c>
      <c r="V73" s="495" t="str">
        <f>IFERROR(__xludf.DUMMYFUNCTION("""COMPUTED_VALUE"""),"Fabricación de mobiliario e instalación ")</f>
        <v>Fabricación de mobiliario e instalación </v>
      </c>
      <c r="W73" s="495"/>
      <c r="X73" s="499" t="str">
        <f>IFERROR(__xludf.DUMMYFUNCTION("""COMPUTED_VALUE"""),"https://drive.google.com/open?id=1ynNaa-F39shxIdNba9lGoPfzEcBKJPZx")</f>
        <v>https://drive.google.com/open?id=1ynNaa-F39shxIdNba9lGoPfzEcBKJPZx</v>
      </c>
      <c r="Y73" s="495" t="str">
        <f>IFERROR(__xludf.DUMMYFUNCTION("""COMPUTED_VALUE"""),"YVENEGAS@MELMAN.CL")</f>
        <v>YVENEGAS@MELMAN.CL</v>
      </c>
      <c r="Z73" s="495"/>
      <c r="AA73" s="495"/>
      <c r="AB73" s="495"/>
      <c r="AC73" s="495"/>
      <c r="AD73" s="495" t="str">
        <f>IFERROR(__xludf.DUMMYFUNCTION("""COMPUTED_VALUE"""),"RC-039")</f>
        <v>RC-039</v>
      </c>
    </row>
    <row r="74">
      <c r="A74" s="495" t="str">
        <f t="shared" si="1"/>
        <v>RC-040</v>
      </c>
      <c r="B74" s="497">
        <f>IFERROR(__xludf.DUMMYFUNCTION("""COMPUTED_VALUE"""),45972.67224223379)</f>
        <v>45972.67224</v>
      </c>
      <c r="C74" s="495" t="str">
        <f>IFERROR(__xludf.DUMMYFUNCTION("""COMPUTED_VALUE"""),"")</f>
        <v/>
      </c>
      <c r="D74" s="495" t="str">
        <f>IFERROR(__xludf.DUMMYFUNCTION("""COMPUTED_VALUE"""),"Leonor Ríos Morales")</f>
        <v>Leonor Ríos Morales</v>
      </c>
      <c r="E74" s="495"/>
      <c r="F74" s="496">
        <f>IFERROR(__xludf.DUMMYFUNCTION("""COMPUTED_VALUE"""),8552.0)</f>
        <v>8552</v>
      </c>
      <c r="G74" s="495"/>
      <c r="H74" s="495"/>
      <c r="I74" s="495"/>
      <c r="J74" s="495" t="str">
        <f>IFERROR(__xludf.DUMMYFUNCTION("""COMPUTED_VALUE"""),"Campus Prieto Norte - CHS")</f>
        <v>Campus Prieto Norte - CHS</v>
      </c>
      <c r="K74" s="495" t="str">
        <f>IFERROR(__xludf.DUMMYFUNCTION("""COMPUTED_VALUE"""),"01")</f>
        <v>01</v>
      </c>
      <c r="L74" s="495" t="str">
        <f>IFERROR(__xludf.DUMMYFUNCTION("""COMPUTED_VALUE"""),"dsiete spa ")</f>
        <v>dsiete spa </v>
      </c>
      <c r="M74" s="495" t="str">
        <f>IFERROR(__xludf.DUMMYFUNCTION("""COMPUTED_VALUE"""),"77.964.311-5")</f>
        <v>77.964.311-5</v>
      </c>
      <c r="N74" s="495" t="str">
        <f>IFERROR(__xludf.DUMMYFUNCTION("""COMPUTED_VALUE"""),"Daniella Andrea Vidal Troncoso")</f>
        <v>Daniella Andrea Vidal Troncoso</v>
      </c>
      <c r="O74" s="495" t="str">
        <f>IFERROR(__xludf.DUMMYFUNCTION("""COMPUTED_VALUE"""),"Obras")</f>
        <v>Obras</v>
      </c>
      <c r="P74" s="495"/>
      <c r="Q74" s="495"/>
      <c r="R74" s="495" t="str">
        <f>IFERROR(__xludf.DUMMYFUNCTION("""COMPUTED_VALUE"""),"Exteriores")</f>
        <v>Exteriores</v>
      </c>
      <c r="S74" s="495" t="str">
        <f>IFERROR(__xludf.DUMMYFUNCTION("""COMPUTED_VALUE"""),"Recepción de Obra - RC")</f>
        <v>Recepción de Obra - RC</v>
      </c>
      <c r="T74" s="495"/>
      <c r="U74" s="495"/>
      <c r="V74" s="495" t="str">
        <f>IFERROR(__xludf.DUMMYFUNCTION("""COMPUTED_VALUE"""),"Se realizo letras volumetricas para edificio CHS01")</f>
        <v>Se realizo letras volumetricas para edificio CHS01</v>
      </c>
      <c r="W74" s="495" t="str">
        <f>IFERROR(__xludf.DUMMYFUNCTION("""COMPUTED_VALUE"""),"otros")</f>
        <v>otros</v>
      </c>
      <c r="X74" s="499" t="str">
        <f>IFERROR(__xludf.DUMMYFUNCTION("""COMPUTED_VALUE"""),"https://drive.google.com/open?id=1l2MDLdeUenuVMAabGHDNbhlfUyme5On7")</f>
        <v>https://drive.google.com/open?id=1l2MDLdeUenuVMAabGHDNbhlfUyme5On7</v>
      </c>
      <c r="Y74" s="495" t="str">
        <f>IFERROR(__xludf.DUMMYFUNCTION("""COMPUTED_VALUE"""),"dsiete.design@gmail.com")</f>
        <v>dsiete.design@gmail.com</v>
      </c>
      <c r="Z74" s="495"/>
      <c r="AA74" s="495"/>
      <c r="AB74" s="495"/>
      <c r="AC74" s="495"/>
      <c r="AD74" s="495" t="str">
        <f>IFERROR(__xludf.DUMMYFUNCTION("""COMPUTED_VALUE"""),"RC-040")</f>
        <v>RC-040</v>
      </c>
    </row>
    <row r="75">
      <c r="A75" s="495" t="str">
        <f t="shared" si="1"/>
        <v>RC-283_26</v>
      </c>
      <c r="B75" s="497">
        <f>IFERROR(__xludf.DUMMYFUNCTION("""COMPUTED_VALUE"""),46204.431180844906)</f>
        <v>46204.43118</v>
      </c>
      <c r="C75" s="495" t="str">
        <f>IFERROR(__xludf.DUMMYFUNCTION("""COMPUTED_VALUE"""),"")</f>
        <v/>
      </c>
      <c r="D75" s="495" t="str">
        <f>IFERROR(__xludf.DUMMYFUNCTION("""COMPUTED_VALUE"""),"Arturo Meza Vega")</f>
        <v>Arturo Meza Vega</v>
      </c>
      <c r="E75" s="495"/>
      <c r="F75" s="496" t="str">
        <f>IFERROR(__xludf.DUMMYFUNCTION("""COMPUTED_VALUE"""),"5267-2026")</f>
        <v>5267-2026</v>
      </c>
      <c r="G75" s="495"/>
      <c r="H75" s="495"/>
      <c r="I75" s="495"/>
      <c r="J75" s="495" t="str">
        <f>IFERROR(__xludf.DUMMYFUNCTION("""COMPUTED_VALUE"""),"Campus Dr. Luis Rivas del Canto - CRC")</f>
        <v>Campus Dr. Luis Rivas del Canto - CRC</v>
      </c>
      <c r="K75" s="495" t="str">
        <f>IFERROR(__xludf.DUMMYFUNCTION("""COMPUTED_VALUE"""),"08")</f>
        <v>08</v>
      </c>
      <c r="L75" s="495" t="str">
        <f>IFERROR(__xludf.DUMMYFUNCTION("""COMPUTED_VALUE"""),"INGENIERIA Y CONSTRUCCIONES ELEKTRICA SPA")</f>
        <v>INGENIERIA Y CONSTRUCCIONES ELEKTRICA SPA</v>
      </c>
      <c r="M75" s="495" t="str">
        <f>IFERROR(__xludf.DUMMYFUNCTION("""COMPUTED_VALUE"""),"76.884.395-3")</f>
        <v>76.884.395-3</v>
      </c>
      <c r="N75" s="495" t="str">
        <f>IFERROR(__xludf.DUMMYFUNCTION("""COMPUTED_VALUE"""),"Marco Paine Salgado - Gerente")</f>
        <v>Marco Paine Salgado - Gerente</v>
      </c>
      <c r="O75" s="495" t="str">
        <f>IFERROR(__xludf.DUMMYFUNCTION("""COMPUTED_VALUE"""),"Mantenciones")</f>
        <v>Mantenciones</v>
      </c>
      <c r="P75" s="495" t="str">
        <f>IFERROR(__xludf.DUMMYFUNCTION("""COMPUTED_VALUE"""),"Instalaciones Eléctricas")</f>
        <v>Instalaciones Eléctricas</v>
      </c>
      <c r="Q75" s="495"/>
      <c r="R75" s="495"/>
      <c r="S75" s="495"/>
      <c r="T75" s="495"/>
      <c r="U75" s="495"/>
      <c r="V75" s="495" t="str">
        <f>IFERROR(__xludf.DUMMYFUNCTION("""COMPUTED_VALUE"""),"PUNTOS DE RED TRASLADO PERSONAL, INSTALACIÓN CORRIENTES DEBILES PREVENCIÓN DE RIESGOS - CASA VRAE.")</f>
        <v>PUNTOS DE RED TRASLADO PERSONAL, INSTALACIÓN CORRIENTES DEBILES PREVENCIÓN DE RIESGOS - CASA VRAE.</v>
      </c>
      <c r="W75" s="495"/>
      <c r="X75" s="495" t="str">
        <f>IFERROR(__xludf.DUMMYFUNCTION("""COMPUTED_VALUE"""),"https://drive.google.com/open?id=1f7k2kEKCVQvLnmPVO9KHLv9z6u4qZVrU, https://drive.google.com/open?id=1Iy4mRTFSKJMG1ccrw-YX0UFozUIDzyHb, https://drive.google.com/open?id=1UoeIHAGiitS0Jt4AyPWgzYr99WYQMEPE, https://drive.google.com/open?id=1F7rVCk5pYZhw0IwPh"&amp;"8g94NR7xQW5pdi6, https://drive.google.com/open?id=1gI7kcqT3SgejFoUA7u9mY5Qg37gmxEVT")</f>
        <v>https://drive.google.com/open?id=1f7k2kEKCVQvLnmPVO9KHLv9z6u4qZVrU, https://drive.google.com/open?id=1Iy4mRTFSKJMG1ccrw-YX0UFozUIDzyHb, https://drive.google.com/open?id=1UoeIHAGiitS0Jt4AyPWgzYr99WYQMEPE, https://drive.google.com/open?id=1F7rVCk5pYZhw0IwPh8g94NR7xQW5pdi6, https://drive.google.com/open?id=1gI7kcqT3SgejFoUA7u9mY5Qg37gmxEVT</v>
      </c>
      <c r="Y75" s="495" t="str">
        <f>IFERROR(__xludf.DUMMYFUNCTION("""COMPUTED_VALUE"""),"marcopaine@gmail.com")</f>
        <v>marcopaine@gmail.com</v>
      </c>
      <c r="Z75" s="498">
        <f>IFERROR(__xludf.DUMMYFUNCTION("""COMPUTED_VALUE"""),799898.0)</f>
        <v>799898</v>
      </c>
      <c r="AA75" s="495"/>
      <c r="AB75" s="495"/>
      <c r="AC75" s="495"/>
      <c r="AD75" s="495" t="str">
        <f>IFERROR(__xludf.DUMMYFUNCTION("""COMPUTED_VALUE"""),"RC-283_26")</f>
        <v>RC-283_26</v>
      </c>
    </row>
    <row r="76">
      <c r="A76" s="495" t="str">
        <f t="shared" si="1"/>
        <v>RC-280_26</v>
      </c>
      <c r="B76" s="497">
        <f>IFERROR(__xludf.DUMMYFUNCTION("""COMPUTED_VALUE"""),46200.585964212965)</f>
        <v>46200.58596</v>
      </c>
      <c r="C76" s="495" t="str">
        <f>IFERROR(__xludf.DUMMYFUNCTION("""COMPUTED_VALUE"""),"")</f>
        <v/>
      </c>
      <c r="D76" s="495" t="str">
        <f>IFERROR(__xludf.DUMMYFUNCTION("""COMPUTED_VALUE"""),"Carol Huenchual Chañilao")</f>
        <v>Carol Huenchual Chañilao</v>
      </c>
      <c r="E76" s="495"/>
      <c r="F76" s="496" t="str">
        <f>IFERROR(__xludf.DUMMYFUNCTION("""COMPUTED_VALUE"""),"4220-2026")</f>
        <v>4220-2026</v>
      </c>
      <c r="G76" s="495"/>
      <c r="H76" s="495"/>
      <c r="I76" s="495"/>
      <c r="J76" s="495" t="str">
        <f>IFERROR(__xludf.DUMMYFUNCTION("""COMPUTED_VALUE"""),"Campus San Francisco - CSF")</f>
        <v>Campus San Francisco - CSF</v>
      </c>
      <c r="K76" s="495">
        <f>IFERROR(__xludf.DUMMYFUNCTION("""COMPUTED_VALUE"""),13.0)</f>
        <v>13</v>
      </c>
      <c r="L76" s="495" t="str">
        <f>IFERROR(__xludf.DUMMYFUNCTION("""COMPUTED_VALUE"""),"Sergio Flores Garrido ")</f>
        <v>Sergio Flores Garrido </v>
      </c>
      <c r="M76" s="495" t="str">
        <f>IFERROR(__xludf.DUMMYFUNCTION("""COMPUTED_VALUE"""),"12.928.980-5")</f>
        <v>12.928.980-5</v>
      </c>
      <c r="N76" s="495" t="str">
        <f>IFERROR(__xludf.DUMMYFUNCTION("""COMPUTED_VALUE"""),"Sergio Flores Garrido ")</f>
        <v>Sergio Flores Garrido </v>
      </c>
      <c r="O76" s="495" t="str">
        <f>IFERROR(__xludf.DUMMYFUNCTION("""COMPUTED_VALUE"""),"Mantenciones")</f>
        <v>Mantenciones</v>
      </c>
      <c r="P76" s="495" t="str">
        <f>IFERROR(__xludf.DUMMYFUNCTION("""COMPUTED_VALUE"""),"Cerramientos Verticales")</f>
        <v>Cerramientos Verticales</v>
      </c>
      <c r="Q76" s="495"/>
      <c r="R76" s="495"/>
      <c r="S76" s="495"/>
      <c r="T76" s="495"/>
      <c r="U76" s="495"/>
      <c r="V76" s="495" t="str">
        <f>IFERROR(__xludf.DUMMYFUNCTION("""COMPUTED_VALUE"""),"Cambio de espejo en ascensor.")</f>
        <v>Cambio de espejo en ascensor.</v>
      </c>
      <c r="W76" s="495" t="str">
        <f>IFERROR(__xludf.DUMMYFUNCTION("""COMPUTED_VALUE"""),"Está OC incluye trabajos ya realizados en otros edificios y campus,en CSF12_303  :CSF16_100 : CJP03_304 : CJP07_404  : ,se incluyen fotos.")</f>
        <v>Está OC incluye trabajos ya realizados en otros edificios y campus,en CSF12_303  :CSF16_100 : CJP03_304 : CJP07_404  : ,se incluyen fotos.</v>
      </c>
      <c r="X76" s="495" t="str">
        <f>IFERROR(__xludf.DUMMYFUNCTION("""COMPUTED_VALUE"""),"https://drive.google.com/open?id=1NB58n4zVN4PUHtg-G6gr1IkWBb7qyT-v, https://drive.google.com/open?id=1oxCL0s-n_AMOK4J-F42u40TfHsEWPez0, https://drive.google.com/open?id=1bD53DD4-kQLbmx34Uw0muMesoik2Oh-y, https://drive.google.com/open?id=1-NIdXIgNedM32BCSQ"&amp;"lnA10Pe7wSP3IlO, https://drive.google.com/open?id=18mm_i6SvSCm6AZJsXl_R2-7UZf86_mto")</f>
        <v>https://drive.google.com/open?id=1NB58n4zVN4PUHtg-G6gr1IkWBb7qyT-v, https://drive.google.com/open?id=1oxCL0s-n_AMOK4J-F42u40TfHsEWPez0, https://drive.google.com/open?id=1bD53DD4-kQLbmx34Uw0muMesoik2Oh-y, https://drive.google.com/open?id=1-NIdXIgNedM32BCSQlnA10Pe7wSP3IlO, https://drive.google.com/open?id=18mm_i6SvSCm6AZJsXl_R2-7UZf86_mto</v>
      </c>
      <c r="Y76" s="495" t="str">
        <f>IFERROR(__xludf.DUMMYFUNCTION("""COMPUTED_VALUE"""),"sergiofloresgarrido19731217@gmail.com")</f>
        <v>sergiofloresgarrido19731217@gmail.com</v>
      </c>
      <c r="Z76" s="498">
        <f>IFERROR(__xludf.DUMMYFUNCTION("""COMPUTED_VALUE"""),441463.0)</f>
        <v>441463</v>
      </c>
      <c r="AA76" s="495"/>
      <c r="AB76" s="495"/>
      <c r="AC76" s="495"/>
      <c r="AD76" s="495" t="str">
        <f>IFERROR(__xludf.DUMMYFUNCTION("""COMPUTED_VALUE"""),"RC-280_26")</f>
        <v>RC-280_26</v>
      </c>
    </row>
    <row r="77">
      <c r="A77" s="495" t="str">
        <f t="shared" si="1"/>
        <v>RC-279_26</v>
      </c>
      <c r="B77" s="497">
        <f>IFERROR(__xludf.DUMMYFUNCTION("""COMPUTED_VALUE"""),46199.58096928241)</f>
        <v>46199.58097</v>
      </c>
      <c r="C77" s="495" t="str">
        <f>IFERROR(__xludf.DUMMYFUNCTION("""COMPUTED_VALUE"""),"")</f>
        <v/>
      </c>
      <c r="D77" s="495" t="str">
        <f>IFERROR(__xludf.DUMMYFUNCTION("""COMPUTED_VALUE"""),"Felipe Anselme Grandón")</f>
        <v>Felipe Anselme Grandón</v>
      </c>
      <c r="E77" s="495"/>
      <c r="F77" s="496" t="str">
        <f>IFERROR(__xludf.DUMMYFUNCTION("""COMPUTED_VALUE"""),"4808 - 2026")</f>
        <v>4808 - 2026</v>
      </c>
      <c r="G77" s="495"/>
      <c r="H77" s="495"/>
      <c r="I77" s="495"/>
      <c r="J77" s="495" t="str">
        <f>IFERROR(__xludf.DUMMYFUNCTION("""COMPUTED_VALUE"""),"Campus San Francisco - CSF")</f>
        <v>Campus San Francisco - CSF</v>
      </c>
      <c r="K77" s="495" t="str">
        <f>IFERROR(__xludf.DUMMYFUNCTION("""COMPUTED_VALUE"""),"Exterior")</f>
        <v>Exterior</v>
      </c>
      <c r="L77" s="495" t="str">
        <f>IFERROR(__xludf.DUMMYFUNCTION("""COMPUTED_VALUE"""),"Sistemas Contra Incendios Super Limitada")</f>
        <v>Sistemas Contra Incendios Super Limitada</v>
      </c>
      <c r="M77" s="495" t="str">
        <f>IFERROR(__xludf.DUMMYFUNCTION("""COMPUTED_VALUE"""),"77.224.100-3")</f>
        <v>77.224.100-3</v>
      </c>
      <c r="N77" s="495" t="str">
        <f>IFERROR(__xludf.DUMMYFUNCTION("""COMPUTED_VALUE"""),"Camilo Espinosa, Gerente de Administración")</f>
        <v>Camilo Espinosa, Gerente de Administración</v>
      </c>
      <c r="O77" s="495" t="str">
        <f>IFERROR(__xludf.DUMMYFUNCTION("""COMPUTED_VALUE"""),"Mantenciones")</f>
        <v>Mantenciones</v>
      </c>
      <c r="P77" s="495" t="str">
        <f>IFERROR(__xludf.DUMMYFUNCTION("""COMPUTED_VALUE"""),"Alarmas de Incendio")</f>
        <v>Alarmas de Incendio</v>
      </c>
      <c r="Q77" s="495"/>
      <c r="R77" s="495"/>
      <c r="S77" s="495"/>
      <c r="T77" s="495"/>
      <c r="U77" s="495"/>
      <c r="V77" s="495" t="str">
        <f>IFERROR(__xludf.DUMMYFUNCTION("""COMPUTED_VALUE"""),"Mantención de Extintores")</f>
        <v>Mantención de Extintores</v>
      </c>
      <c r="W77" s="495"/>
      <c r="X77" s="499" t="str">
        <f>IFERROR(__xludf.DUMMYFUNCTION("""COMPUTED_VALUE"""),"https://drive.google.com/open?id=1rYLIIBse7jcHonsRGOT2aMnH6rlRQzq8")</f>
        <v>https://drive.google.com/open?id=1rYLIIBse7jcHonsRGOT2aMnH6rlRQzq8</v>
      </c>
      <c r="Y77" s="495" t="str">
        <f>IFERROR(__xludf.DUMMYFUNCTION("""COMPUTED_VALUE"""),"info@extintoressuper.cl")</f>
        <v>info@extintoressuper.cl</v>
      </c>
      <c r="Z77" s="498">
        <f>IFERROR(__xludf.DUMMYFUNCTION("""COMPUTED_VALUE"""),1681095.0)</f>
        <v>1681095</v>
      </c>
      <c r="AA77" s="495"/>
      <c r="AB77" s="495"/>
      <c r="AC77" s="495"/>
      <c r="AD77" s="495" t="str">
        <f>IFERROR(__xludf.DUMMYFUNCTION("""COMPUTED_VALUE"""),"RC-279_26")</f>
        <v>RC-279_26</v>
      </c>
    </row>
    <row r="78">
      <c r="A78" s="495" t="str">
        <f t="shared" si="1"/>
        <v>RC-044</v>
      </c>
      <c r="B78" s="497">
        <f>IFERROR(__xludf.DUMMYFUNCTION("""COMPUTED_VALUE"""),45973.73345542824)</f>
        <v>45973.73346</v>
      </c>
      <c r="C78" s="495" t="str">
        <f>IFERROR(__xludf.DUMMYFUNCTION("""COMPUTED_VALUE"""),"")</f>
        <v/>
      </c>
      <c r="D78" s="495" t="str">
        <f>IFERROR(__xludf.DUMMYFUNCTION("""COMPUTED_VALUE"""),"Juan Ignacio Solís de Ovando")</f>
        <v>Juan Ignacio Solís de Ovando</v>
      </c>
      <c r="E78" s="495"/>
      <c r="F78" s="496" t="str">
        <f>IFERROR(__xludf.DUMMYFUNCTION("""COMPUTED_VALUE"""),"11032-2025")</f>
        <v>11032-2025</v>
      </c>
      <c r="G78" s="495"/>
      <c r="H78" s="495"/>
      <c r="I78" s="495"/>
      <c r="J78" s="495" t="str">
        <f>IFERROR(__xludf.DUMMYFUNCTION("""COMPUTED_VALUE"""),"Campus San Juan Pablo II - CJP")</f>
        <v>Campus San Juan Pablo II - CJP</v>
      </c>
      <c r="K78" s="495">
        <f>IFERROR(__xludf.DUMMYFUNCTION("""COMPUTED_VALUE"""),14.0)</f>
        <v>14</v>
      </c>
      <c r="L78" s="495" t="str">
        <f>IFERROR(__xludf.DUMMYFUNCTION("""COMPUTED_VALUE"""),"luis saez allendes ingenieria y construccion eirl")</f>
        <v>luis saez allendes ingenieria y construccion eirl</v>
      </c>
      <c r="M78" s="495" t="str">
        <f>IFERROR(__xludf.DUMMYFUNCTION("""COMPUTED_VALUE"""),"76.219.281-0")</f>
        <v>76.219.281-0</v>
      </c>
      <c r="N78" s="495" t="str">
        <f>IFERROR(__xludf.DUMMYFUNCTION("""COMPUTED_VALUE"""),"luis saez allendes - representante legal")</f>
        <v>luis saez allendes - representante legal</v>
      </c>
      <c r="O78" s="495" t="str">
        <f>IFERROR(__xludf.DUMMYFUNCTION("""COMPUTED_VALUE"""),"Obras")</f>
        <v>Obras</v>
      </c>
      <c r="P78" s="495"/>
      <c r="Q78" s="495"/>
      <c r="R78" s="495" t="str">
        <f>IFERROR(__xludf.DUMMYFUNCTION("""COMPUTED_VALUE"""),"Nuevo Edificio")</f>
        <v>Nuevo Edificio</v>
      </c>
      <c r="S78" s="495" t="str">
        <f>IFERROR(__xludf.DUMMYFUNCTION("""COMPUTED_VALUE"""),"Estado de Pago - EP")</f>
        <v>Estado de Pago - EP</v>
      </c>
      <c r="T78" s="495">
        <f>IFERROR(__xludf.DUMMYFUNCTION("""COMPUTED_VALUE"""),1.0)</f>
        <v>1</v>
      </c>
      <c r="U78" s="495">
        <f>IFERROR(__xludf.DUMMYFUNCTION("""COMPUTED_VALUE"""),5652564.0)</f>
        <v>5652564</v>
      </c>
      <c r="V78" s="495" t="str">
        <f>IFERROR(__xludf.DUMMYFUNCTION("""COMPUTED_VALUE"""),"ETAPA 2 TRABAJOS NUEVA RUKA CAMPUS JUAN PABLO II")</f>
        <v>ETAPA 2 TRABAJOS NUEVA RUKA CAMPUS JUAN PABLO II</v>
      </c>
      <c r="W78" s="495"/>
      <c r="X78" s="495" t="str">
        <f>IFERROR(__xludf.DUMMYFUNCTION("""COMPUTED_VALUE"""),"https://drive.google.com/open?id=1qDn-5-r3xLmOYgir5H3AYA1ZtCT1vbfT, https://drive.google.com/open?id=17Tz6sKI28Rpa-OzgfqyrLXkdIkg-surs, https://drive.google.com/open?id=14mmZpk7yWd1sWJ1TKWXxHCHTYSa4bJDY, https://drive.google.com/open?id=1ffLPk_2BQKhY_Qjjk"&amp;"Mn09Q4QswVGpbRq, https://drive.google.com/open?id=1OIZbMJ85DAct_s4wH3y8sSNTHLeBVrtj")</f>
        <v>https://drive.google.com/open?id=1qDn-5-r3xLmOYgir5H3AYA1ZtCT1vbfT, https://drive.google.com/open?id=17Tz6sKI28Rpa-OzgfqyrLXkdIkg-surs, https://drive.google.com/open?id=14mmZpk7yWd1sWJ1TKWXxHCHTYSa4bJDY, https://drive.google.com/open?id=1ffLPk_2BQKhY_QjjkMn09Q4QswVGpbRq, https://drive.google.com/open?id=1OIZbMJ85DAct_s4wH3y8sSNTHLeBVrtj</v>
      </c>
      <c r="Y78" s="495" t="str">
        <f>IFERROR(__xludf.DUMMYFUNCTION("""COMPUTED_VALUE"""),"luissaez@lsaingenieria.cl")</f>
        <v>luissaez@lsaingenieria.cl</v>
      </c>
      <c r="Z78" s="495"/>
      <c r="AA78" s="495"/>
      <c r="AB78" s="495"/>
      <c r="AC78" s="495"/>
      <c r="AD78" s="495" t="str">
        <f>IFERROR(__xludf.DUMMYFUNCTION("""COMPUTED_VALUE"""),"RC-044")</f>
        <v>RC-044</v>
      </c>
    </row>
    <row r="79">
      <c r="A79" s="495" t="str">
        <f t="shared" si="1"/>
        <v>RC-278_26</v>
      </c>
      <c r="B79" s="497">
        <f>IFERROR(__xludf.DUMMYFUNCTION("""COMPUTED_VALUE"""),46199.37425096065)</f>
        <v>46199.37425</v>
      </c>
      <c r="C79" s="495" t="str">
        <f>IFERROR(__xludf.DUMMYFUNCTION("""COMPUTED_VALUE"""),"")</f>
        <v/>
      </c>
      <c r="D79" s="495" t="str">
        <f>IFERROR(__xludf.DUMMYFUNCTION("""COMPUTED_VALUE"""),"Carol Huenchual Chañilao")</f>
        <v>Carol Huenchual Chañilao</v>
      </c>
      <c r="E79" s="495"/>
      <c r="F79" s="496" t="str">
        <f>IFERROR(__xludf.DUMMYFUNCTION("""COMPUTED_VALUE"""),"5117-2026")</f>
        <v>5117-2026</v>
      </c>
      <c r="G79" s="495"/>
      <c r="H79" s="495"/>
      <c r="I79" s="495"/>
      <c r="J79" s="495" t="str">
        <f>IFERROR(__xludf.DUMMYFUNCTION("""COMPUTED_VALUE"""),"Campus San Juan Pablo II - CJP")</f>
        <v>Campus San Juan Pablo II - CJP</v>
      </c>
      <c r="K79" s="495" t="str">
        <f>IFERROR(__xludf.DUMMYFUNCTION("""COMPUTED_VALUE"""),"07")</f>
        <v>07</v>
      </c>
      <c r="L79" s="495" t="str">
        <f>IFERROR(__xludf.DUMMYFUNCTION("""COMPUTED_VALUE"""),"SOC. GONZALEZ GAJARDO Y CIA LTDA")</f>
        <v>SOC. GONZALEZ GAJARDO Y CIA LTDA</v>
      </c>
      <c r="M79" s="495" t="str">
        <f>IFERROR(__xludf.DUMMYFUNCTION("""COMPUTED_VALUE"""),"76.265.749-K")</f>
        <v>76.265.749-K</v>
      </c>
      <c r="N79" s="495" t="str">
        <f>IFERROR(__xludf.DUMMYFUNCTION("""COMPUTED_VALUE"""),"MARCELO GONZALEZ")</f>
        <v>MARCELO GONZALEZ</v>
      </c>
      <c r="O79" s="495" t="str">
        <f>IFERROR(__xludf.DUMMYFUNCTION("""COMPUTED_VALUE"""),"Mantenciones")</f>
        <v>Mantenciones</v>
      </c>
      <c r="P79" s="495" t="str">
        <f>IFERROR(__xludf.DUMMYFUNCTION("""COMPUTED_VALUE"""),"Instalaciones de Agua Potable")</f>
        <v>Instalaciones de Agua Potable</v>
      </c>
      <c r="Q79" s="495"/>
      <c r="R79" s="495"/>
      <c r="S79" s="495"/>
      <c r="T79" s="495"/>
      <c r="U79" s="495"/>
      <c r="V79" s="495" t="str">
        <f>IFERROR(__xludf.DUMMYFUNCTION("""COMPUTED_VALUE"""),"PROVISIÓN E INSTALACIÓN DE BOMBA SUMERGIBLE EN SALA DE BOMBAS DEL EDIFICIO BIBLIOTECA CJP07.")</f>
        <v>PROVISIÓN E INSTALACIÓN DE BOMBA SUMERGIBLE EN SALA DE BOMBAS DEL EDIFICIO BIBLIOTECA CJP07.</v>
      </c>
      <c r="W79" s="495" t="str">
        <f>IFERROR(__xludf.DUMMYFUNCTION("""COMPUTED_VALUE"""),"NO")</f>
        <v>NO</v>
      </c>
      <c r="X79" s="499" t="str">
        <f>IFERROR(__xludf.DUMMYFUNCTION("""COMPUTED_VALUE"""),"https://drive.google.com/open?id=1bvmnBLyioCggDAdoObeaoaMsMIvdzTlH")</f>
        <v>https://drive.google.com/open?id=1bvmnBLyioCggDAdoObeaoaMsMIvdzTlH</v>
      </c>
      <c r="Y79" s="495" t="str">
        <f>IFERROR(__xludf.DUMMYFUNCTION("""COMPUTED_VALUE"""),"operaciones@tecfull.cl")</f>
        <v>operaciones@tecfull.cl</v>
      </c>
      <c r="Z79" s="498">
        <f>IFERROR(__xludf.DUMMYFUNCTION("""COMPUTED_VALUE"""),416500.0)</f>
        <v>416500</v>
      </c>
      <c r="AA79" s="495"/>
      <c r="AB79" s="495"/>
      <c r="AC79" s="495"/>
      <c r="AD79" s="495" t="str">
        <f>IFERROR(__xludf.DUMMYFUNCTION("""COMPUTED_VALUE"""),"RC-278_26")</f>
        <v>RC-278_26</v>
      </c>
    </row>
    <row r="80">
      <c r="A80" s="495" t="str">
        <f t="shared" si="1"/>
        <v>RC-276_26</v>
      </c>
      <c r="B80" s="497">
        <f>IFERROR(__xludf.DUMMYFUNCTION("""COMPUTED_VALUE"""),46198.50010453704)</f>
        <v>46198.5001</v>
      </c>
      <c r="C80" s="495" t="str">
        <f>IFERROR(__xludf.DUMMYFUNCTION("""COMPUTED_VALUE"""),"")</f>
        <v/>
      </c>
      <c r="D80" s="495" t="str">
        <f>IFERROR(__xludf.DUMMYFUNCTION("""COMPUTED_VALUE"""),"Carol Huenchual Chañilao")</f>
        <v>Carol Huenchual Chañilao</v>
      </c>
      <c r="E80" s="495"/>
      <c r="F80" s="496" t="str">
        <f>IFERROR(__xludf.DUMMYFUNCTION("""COMPUTED_VALUE"""),"5069 -2026")</f>
        <v>5069 -2026</v>
      </c>
      <c r="G80" s="495"/>
      <c r="H80" s="495"/>
      <c r="I80" s="495"/>
      <c r="J80" s="495" t="str">
        <f>IFERROR(__xludf.DUMMYFUNCTION("""COMPUTED_VALUE"""),"Campus San Juan Pablo II - CJP")</f>
        <v>Campus San Juan Pablo II - CJP</v>
      </c>
      <c r="K80" s="495" t="str">
        <f>IFERROR(__xludf.DUMMYFUNCTION("""COMPUTED_VALUE"""),"01")</f>
        <v>01</v>
      </c>
      <c r="L80" s="495" t="str">
        <f>IFERROR(__xludf.DUMMYFUNCTION("""COMPUTED_VALUE"""),"SOC. GONZALEZ GAJARDO Y CIA LTDA")</f>
        <v>SOC. GONZALEZ GAJARDO Y CIA LTDA</v>
      </c>
      <c r="M80" s="495" t="str">
        <f>IFERROR(__xludf.DUMMYFUNCTION("""COMPUTED_VALUE"""),"76.265.749-K")</f>
        <v>76.265.749-K</v>
      </c>
      <c r="N80" s="495" t="str">
        <f>IFERROR(__xludf.DUMMYFUNCTION("""COMPUTED_VALUE"""),"MARCELO GONZALEZ")</f>
        <v>MARCELO GONZALEZ</v>
      </c>
      <c r="O80" s="495" t="str">
        <f>IFERROR(__xludf.DUMMYFUNCTION("""COMPUTED_VALUE"""),"Mantenciones")</f>
        <v>Mantenciones</v>
      </c>
      <c r="P80" s="495" t="str">
        <f>IFERROR(__xludf.DUMMYFUNCTION("""COMPUTED_VALUE"""),"Instalaciones de Agua Potable")</f>
        <v>Instalaciones de Agua Potable</v>
      </c>
      <c r="Q80" s="495"/>
      <c r="R80" s="495"/>
      <c r="S80" s="495"/>
      <c r="T80" s="495"/>
      <c r="U80" s="495"/>
      <c r="V80" s="495" t="str">
        <f>IFERROR(__xludf.DUMMYFUNCTION("""COMPUTED_VALUE"""),"PROVISION E INSTALACION DE CONTROL DE NIVEL DE LLENADO PARA ESTANQUE DE AGUA POTABLE CJP01")</f>
        <v>PROVISION E INSTALACION DE CONTROL DE NIVEL DE LLENADO PARA ESTANQUE DE AGUA POTABLE CJP01</v>
      </c>
      <c r="W80" s="495" t="str">
        <f>IFERROR(__xludf.DUMMYFUNCTION("""COMPUTED_VALUE"""),"NO")</f>
        <v>NO</v>
      </c>
      <c r="X80" s="499" t="str">
        <f>IFERROR(__xludf.DUMMYFUNCTION("""COMPUTED_VALUE"""),"https://drive.google.com/open?id=1T4fsvUNWIGNO1gs7DlIFEQae3OXoCkrC")</f>
        <v>https://drive.google.com/open?id=1T4fsvUNWIGNO1gs7DlIFEQae3OXoCkrC</v>
      </c>
      <c r="Y80" s="495" t="str">
        <f>IFERROR(__xludf.DUMMYFUNCTION("""COMPUTED_VALUE"""),"operaciones@tecfull.cl")</f>
        <v>operaciones@tecfull.cl</v>
      </c>
      <c r="Z80" s="498">
        <f>IFERROR(__xludf.DUMMYFUNCTION("""COMPUTED_VALUE"""),178500.0)</f>
        <v>178500</v>
      </c>
      <c r="AA80" s="495"/>
      <c r="AB80" s="495"/>
      <c r="AC80" s="495"/>
      <c r="AD80" s="495" t="str">
        <f>IFERROR(__xludf.DUMMYFUNCTION("""COMPUTED_VALUE"""),"RC-276_26")</f>
        <v>RC-276_26</v>
      </c>
    </row>
    <row r="81">
      <c r="A81" s="495" t="str">
        <f t="shared" si="1"/>
        <v>RC-274_26</v>
      </c>
      <c r="B81" s="497">
        <f>IFERROR(__xludf.DUMMYFUNCTION("""COMPUTED_VALUE"""),46197.63872150463)</f>
        <v>46197.63872</v>
      </c>
      <c r="C81" s="495" t="str">
        <f>IFERROR(__xludf.DUMMYFUNCTION("""COMPUTED_VALUE"""),"")</f>
        <v/>
      </c>
      <c r="D81" s="495" t="str">
        <f>IFERROR(__xludf.DUMMYFUNCTION("""COMPUTED_VALUE"""),"Mauricio Zurita Aldea")</f>
        <v>Mauricio Zurita Aldea</v>
      </c>
      <c r="E81" s="495"/>
      <c r="F81" s="496" t="str">
        <f>IFERROR(__xludf.DUMMYFUNCTION("""COMPUTED_VALUE"""),"12876 - 2025")</f>
        <v>12876 - 2025</v>
      </c>
      <c r="G81" s="495"/>
      <c r="H81" s="495"/>
      <c r="I81" s="495"/>
      <c r="J81" s="495" t="str">
        <f>IFERROR(__xludf.DUMMYFUNCTION("""COMPUTED_VALUE"""),"Campus San Juan Pablo II - CJP")</f>
        <v>Campus San Juan Pablo II - CJP</v>
      </c>
      <c r="K81" s="495" t="str">
        <f>IFERROR(__xludf.DUMMYFUNCTION("""COMPUTED_VALUE"""),"01")</f>
        <v>01</v>
      </c>
      <c r="L81" s="495" t="str">
        <f>IFERROR(__xludf.DUMMYFUNCTION("""COMPUTED_VALUE"""),"Gyg servicios spa")</f>
        <v>Gyg servicios spa</v>
      </c>
      <c r="M81" s="495" t="str">
        <f>IFERROR(__xludf.DUMMYFUNCTION("""COMPUTED_VALUE"""),"77.215.624-3")</f>
        <v>77.215.624-3</v>
      </c>
      <c r="N81" s="495" t="str">
        <f>IFERROR(__xludf.DUMMYFUNCTION("""COMPUTED_VALUE"""),"Gustavo Fuentes - Supervisor Técnico")</f>
        <v>Gustavo Fuentes - Supervisor Técnico</v>
      </c>
      <c r="O81" s="495" t="str">
        <f>IFERROR(__xludf.DUMMYFUNCTION("""COMPUTED_VALUE"""),"Mantenciones")</f>
        <v>Mantenciones</v>
      </c>
      <c r="P81" s="495" t="str">
        <f>IFERROR(__xludf.DUMMYFUNCTION("""COMPUTED_VALUE"""),"Instalaciones Eléctricas")</f>
        <v>Instalaciones Eléctricas</v>
      </c>
      <c r="Q81" s="495"/>
      <c r="R81" s="495"/>
      <c r="S81" s="495"/>
      <c r="T81" s="495"/>
      <c r="U81" s="495"/>
      <c r="V81" s="495" t="str">
        <f>IFERROR(__xludf.DUMMYFUNCTION("""COMPUTED_VALUE"""),"Instalacion de sistema con redes wifi")</f>
        <v>Instalacion de sistema con redes wifi</v>
      </c>
      <c r="W81" s="495"/>
      <c r="X81" s="499" t="str">
        <f>IFERROR(__xludf.DUMMYFUNCTION("""COMPUTED_VALUE"""),"https://drive.google.com/open?id=1pKIPLLaT9OxCkgIP02Hgh9XtWn6D5o1J")</f>
        <v>https://drive.google.com/open?id=1pKIPLLaT9OxCkgIP02Hgh9XtWn6D5o1J</v>
      </c>
      <c r="Y81" s="495" t="str">
        <f>IFERROR(__xludf.DUMMYFUNCTION("""COMPUTED_VALUE"""),"contacto@gygtecnologias.com")</f>
        <v>contacto@gygtecnologias.com</v>
      </c>
      <c r="Z81" s="498">
        <f>IFERROR(__xludf.DUMMYFUNCTION("""COMPUTED_VALUE"""),4579120.0)</f>
        <v>4579120</v>
      </c>
      <c r="AA81" s="495"/>
      <c r="AB81" s="495"/>
      <c r="AC81" s="495"/>
      <c r="AD81" s="495" t="str">
        <f>IFERROR(__xludf.DUMMYFUNCTION("""COMPUTED_VALUE"""),"RC-274_26")</f>
        <v>RC-274_26</v>
      </c>
    </row>
    <row r="82">
      <c r="A82" s="495" t="str">
        <f t="shared" si="1"/>
        <v>RC-273_26</v>
      </c>
      <c r="B82" s="497">
        <f>IFERROR(__xludf.DUMMYFUNCTION("""COMPUTED_VALUE"""),46197.49469935185)</f>
        <v>46197.4947</v>
      </c>
      <c r="C82" s="495" t="str">
        <f>IFERROR(__xludf.DUMMYFUNCTION("""COMPUTED_VALUE"""),"")</f>
        <v/>
      </c>
      <c r="D82" s="495" t="str">
        <f>IFERROR(__xludf.DUMMYFUNCTION("""COMPUTED_VALUE"""),"Carol Huenchual Chañilao")</f>
        <v>Carol Huenchual Chañilao</v>
      </c>
      <c r="E82" s="495"/>
      <c r="F82" s="496" t="str">
        <f>IFERROR(__xludf.DUMMYFUNCTION("""COMPUTED_VALUE"""),"4999 - 2026")</f>
        <v>4999 - 2026</v>
      </c>
      <c r="G82" s="495"/>
      <c r="H82" s="495"/>
      <c r="I82" s="495"/>
      <c r="J82" s="495" t="str">
        <f>IFERROR(__xludf.DUMMYFUNCTION("""COMPUTED_VALUE"""),"Campus San Francisco - CSF")</f>
        <v>Campus San Francisco - CSF</v>
      </c>
      <c r="K82" s="495">
        <f>IFERROR(__xludf.DUMMYFUNCTION("""COMPUTED_VALUE"""),11.0)</f>
        <v>11</v>
      </c>
      <c r="L82" s="495" t="str">
        <f>IFERROR(__xludf.DUMMYFUNCTION("""COMPUTED_VALUE"""),"Constructora IGECE Ltda.")</f>
        <v>Constructora IGECE Ltda.</v>
      </c>
      <c r="M82" s="495" t="str">
        <f>IFERROR(__xludf.DUMMYFUNCTION("""COMPUTED_VALUE"""),"76.878.824-3")</f>
        <v>76.878.824-3</v>
      </c>
      <c r="N82" s="495" t="str">
        <f>IFERROR(__xludf.DUMMYFUNCTION("""COMPUTED_VALUE"""),"Carlos Troncoso - Gerente General ")</f>
        <v>Carlos Troncoso - Gerente General </v>
      </c>
      <c r="O82" s="495" t="str">
        <f>IFERROR(__xludf.DUMMYFUNCTION("""COMPUTED_VALUE"""),"Mantenciones")</f>
        <v>Mantenciones</v>
      </c>
      <c r="P82" s="495" t="str">
        <f>IFERROR(__xludf.DUMMYFUNCTION("""COMPUTED_VALUE"""),"Terminaciones Interiores")</f>
        <v>Terminaciones Interiores</v>
      </c>
      <c r="Q82" s="495"/>
      <c r="R82" s="495"/>
      <c r="S82" s="495"/>
      <c r="T82" s="495"/>
      <c r="U82" s="495"/>
      <c r="V82" s="495" t="str">
        <f>IFERROR(__xludf.DUMMYFUNCTION("""COMPUTED_VALUE"""),"Instalación Roseta Campanas Casino CSF: Fabricación roseta
Hojalatería nueva, instalación mediante tarugos tipo paloma.")</f>
        <v>Instalación Roseta Campanas Casino CSF: Fabricación roseta
Hojalatería nueva, instalación mediante tarugos tipo paloma.</v>
      </c>
      <c r="W82" s="495"/>
      <c r="X82" s="495" t="str">
        <f>IFERROR(__xludf.DUMMYFUNCTION("""COMPUTED_VALUE"""),"https://drive.google.com/open?id=1KwajCTiDfsncy5zYeodrLc8HpHNjq9Fr, https://drive.google.com/open?id=14zACrzL7FDYvTCc9GnxrTnYRtf5uLcaX")</f>
        <v>https://drive.google.com/open?id=1KwajCTiDfsncy5zYeodrLc8HpHNjq9Fr, https://drive.google.com/open?id=14zACrzL7FDYvTCc9GnxrTnYRtf5uLcaX</v>
      </c>
      <c r="Y82" s="495" t="str">
        <f>IFERROR(__xludf.DUMMYFUNCTION("""COMPUTED_VALUE"""),"fabian.i.burgos.s@gmail.com")</f>
        <v>fabian.i.burgos.s@gmail.com</v>
      </c>
      <c r="Z82" s="498">
        <f>IFERROR(__xludf.DUMMYFUNCTION("""COMPUTED_VALUE"""),69167.0)</f>
        <v>69167</v>
      </c>
      <c r="AA82" s="495"/>
      <c r="AB82" s="495"/>
      <c r="AC82" s="495"/>
      <c r="AD82" s="495" t="str">
        <f>IFERROR(__xludf.DUMMYFUNCTION("""COMPUTED_VALUE"""),"RC-273_26")</f>
        <v>RC-273_26</v>
      </c>
    </row>
    <row r="83">
      <c r="A83" s="495" t="str">
        <f t="shared" si="1"/>
        <v>RC-272_26</v>
      </c>
      <c r="B83" s="497">
        <f>IFERROR(__xludf.DUMMYFUNCTION("""COMPUTED_VALUE"""),46197.49052747685)</f>
        <v>46197.49053</v>
      </c>
      <c r="C83" s="495" t="str">
        <f>IFERROR(__xludf.DUMMYFUNCTION("""COMPUTED_VALUE"""),"")</f>
        <v/>
      </c>
      <c r="D83" s="495" t="str">
        <f>IFERROR(__xludf.DUMMYFUNCTION("""COMPUTED_VALUE"""),"Carol Huenchual Chañilao")</f>
        <v>Carol Huenchual Chañilao</v>
      </c>
      <c r="E83" s="495"/>
      <c r="F83" s="496" t="str">
        <f>IFERROR(__xludf.DUMMYFUNCTION("""COMPUTED_VALUE"""),"4996 - 2026")</f>
        <v>4996 - 2026</v>
      </c>
      <c r="G83" s="495"/>
      <c r="H83" s="495"/>
      <c r="I83" s="495"/>
      <c r="J83" s="495" t="str">
        <f>IFERROR(__xludf.DUMMYFUNCTION("""COMPUTED_VALUE"""),"Campus San Francisco - CSF")</f>
        <v>Campus San Francisco - CSF</v>
      </c>
      <c r="K83" s="495">
        <f>IFERROR(__xludf.DUMMYFUNCTION("""COMPUTED_VALUE"""),11.0)</f>
        <v>11</v>
      </c>
      <c r="L83" s="495" t="str">
        <f>IFERROR(__xludf.DUMMYFUNCTION("""COMPUTED_VALUE"""),"Constructora IGECE Ltda.")</f>
        <v>Constructora IGECE Ltda.</v>
      </c>
      <c r="M83" s="495" t="str">
        <f>IFERROR(__xludf.DUMMYFUNCTION("""COMPUTED_VALUE"""),"76.878.824-3")</f>
        <v>76.878.824-3</v>
      </c>
      <c r="N83" s="495" t="str">
        <f>IFERROR(__xludf.DUMMYFUNCTION("""COMPUTED_VALUE"""),"Carlos Troncoso - Gerente General ")</f>
        <v>Carlos Troncoso - Gerente General </v>
      </c>
      <c r="O83" s="495" t="str">
        <f>IFERROR(__xludf.DUMMYFUNCTION("""COMPUTED_VALUE"""),"Mantenciones")</f>
        <v>Mantenciones</v>
      </c>
      <c r="P83" s="495" t="str">
        <f>IFERROR(__xludf.DUMMYFUNCTION("""COMPUTED_VALUE"""),"Cubiertas")</f>
        <v>Cubiertas</v>
      </c>
      <c r="Q83" s="495"/>
      <c r="R83" s="495"/>
      <c r="S83" s="495"/>
      <c r="T83" s="495"/>
      <c r="U83" s="495"/>
      <c r="V83" s="495" t="str">
        <f>IFERROR(__xludf.DUMMYFUNCTION("""COMPUTED_VALUE"""),"Filtración Baño Personal Casino CSF: Identificación filtración
cubierta, picado palmetas baño, cambio terminales de cobre,
instalación cerámica y fraguado.")</f>
        <v>Filtración Baño Personal Casino CSF: Identificación filtración
cubierta, picado palmetas baño, cambio terminales de cobre,
instalación cerámica y fraguado.</v>
      </c>
      <c r="W83" s="495"/>
      <c r="X83" s="495" t="str">
        <f>IFERROR(__xludf.DUMMYFUNCTION("""COMPUTED_VALUE"""),"https://drive.google.com/open?id=1zHGCn83X6MgOMEkkF96XH4klxcKTVu3y, https://drive.google.com/open?id=1hbeVXUNidtH3lORiQWKysF2qvpXfmQpp, https://drive.google.com/open?id=1qBvv4Z9hSPBz8rlJlE-J_7sU1Wnxze8F, https://drive.google.com/open?id=1Rsx-IksuW-jcq_g01"&amp;"F5UqwDinF51CW7t, https://drive.google.com/open?id=1XU0EjzVr01H-A5bvghUmvPDzXwa_w5RE, https://drive.google.com/open?id=12n4IgAiKJDgshiub1VpniKDpI4dM1zQK")</f>
        <v>https://drive.google.com/open?id=1zHGCn83X6MgOMEkkF96XH4klxcKTVu3y, https://drive.google.com/open?id=1hbeVXUNidtH3lORiQWKysF2qvpXfmQpp, https://drive.google.com/open?id=1qBvv4Z9hSPBz8rlJlE-J_7sU1Wnxze8F, https://drive.google.com/open?id=1Rsx-IksuW-jcq_g01F5UqwDinF51CW7t, https://drive.google.com/open?id=1XU0EjzVr01H-A5bvghUmvPDzXwa_w5RE, https://drive.google.com/open?id=12n4IgAiKJDgshiub1VpniKDpI4dM1zQK</v>
      </c>
      <c r="Y83" s="495" t="str">
        <f>IFERROR(__xludf.DUMMYFUNCTION("""COMPUTED_VALUE"""),"fabian.i.burgos.s@gmail.com")</f>
        <v>fabian.i.burgos.s@gmail.com</v>
      </c>
      <c r="Z83" s="498">
        <f>IFERROR(__xludf.DUMMYFUNCTION("""COMPUTED_VALUE"""),569608.0)</f>
        <v>569608</v>
      </c>
      <c r="AA83" s="495"/>
      <c r="AB83" s="495"/>
      <c r="AC83" s="495"/>
      <c r="AD83" s="495" t="str">
        <f>IFERROR(__xludf.DUMMYFUNCTION("""COMPUTED_VALUE"""),"RC-272_26")</f>
        <v>RC-272_26</v>
      </c>
    </row>
    <row r="84">
      <c r="A84" s="495" t="str">
        <f t="shared" si="1"/>
        <v>RC-271_26</v>
      </c>
      <c r="B84" s="497">
        <f>IFERROR(__xludf.DUMMYFUNCTION("""COMPUTED_VALUE"""),46197.48531415509)</f>
        <v>46197.48531</v>
      </c>
      <c r="C84" s="495" t="str">
        <f>IFERROR(__xludf.DUMMYFUNCTION("""COMPUTED_VALUE"""),"")</f>
        <v/>
      </c>
      <c r="D84" s="495" t="str">
        <f>IFERROR(__xludf.DUMMYFUNCTION("""COMPUTED_VALUE"""),"Carol Huenchual Chañilao")</f>
        <v>Carol Huenchual Chañilao</v>
      </c>
      <c r="E84" s="495"/>
      <c r="F84" s="496" t="str">
        <f>IFERROR(__xludf.DUMMYFUNCTION("""COMPUTED_VALUE"""),"4998 - 2026")</f>
        <v>4998 - 2026</v>
      </c>
      <c r="G84" s="495"/>
      <c r="H84" s="495"/>
      <c r="I84" s="495"/>
      <c r="J84" s="495" t="str">
        <f>IFERROR(__xludf.DUMMYFUNCTION("""COMPUTED_VALUE"""),"Campus San Francisco - CSF")</f>
        <v>Campus San Francisco - CSF</v>
      </c>
      <c r="K84" s="495">
        <f>IFERROR(__xludf.DUMMYFUNCTION("""COMPUTED_VALUE"""),16.0)</f>
        <v>16</v>
      </c>
      <c r="L84" s="495" t="str">
        <f>IFERROR(__xludf.DUMMYFUNCTION("""COMPUTED_VALUE"""),"Constructora IGECE Ltda.")</f>
        <v>Constructora IGECE Ltda.</v>
      </c>
      <c r="M84" s="495" t="str">
        <f>IFERROR(__xludf.DUMMYFUNCTION("""COMPUTED_VALUE"""),"76.878.824-3")</f>
        <v>76.878.824-3</v>
      </c>
      <c r="N84" s="495" t="str">
        <f>IFERROR(__xludf.DUMMYFUNCTION("""COMPUTED_VALUE"""),"Carlos Troncoso - Gerente General ")</f>
        <v>Carlos Troncoso - Gerente General </v>
      </c>
      <c r="O84" s="495" t="str">
        <f>IFERROR(__xludf.DUMMYFUNCTION("""COMPUTED_VALUE"""),"Mantenciones")</f>
        <v>Mantenciones</v>
      </c>
      <c r="P84" s="495" t="str">
        <f>IFERROR(__xludf.DUMMYFUNCTION("""COMPUTED_VALUE"""),"Cubiertas")</f>
        <v>Cubiertas</v>
      </c>
      <c r="Q84" s="495"/>
      <c r="R84" s="495"/>
      <c r="S84" s="495"/>
      <c r="T84" s="495"/>
      <c r="U84" s="495"/>
      <c r="V84" s="495" t="str">
        <f>IFERROR(__xludf.DUMMYFUNCTION("""COMPUTED_VALUE"""),"Filtración CSF16 piso 5 sala 561: Revisión filtración, cambio
tornillos hexagonal, retiro y reinstalación planchas cubierta, repaso
sellos general zona afectada.")</f>
        <v>Filtración CSF16 piso 5 sala 561: Revisión filtración, cambio
tornillos hexagonal, retiro y reinstalación planchas cubierta, repaso
sellos general zona afectada.</v>
      </c>
      <c r="W84" s="495"/>
      <c r="X84" s="495" t="str">
        <f>IFERROR(__xludf.DUMMYFUNCTION("""COMPUTED_VALUE"""),"https://drive.google.com/open?id=1ljeWm3R7g0aVuDTT4eR_JFFHCUKZgeCg, https://drive.google.com/open?id=1OKgIinoS7UqNUqQOE7oa0gbkkzcek0fq, https://drive.google.com/open?id=1tfCFD2gagveydz7HsOVgv5V9F3UPMFN6, https://drive.google.com/open?id=1PMq3zw1EMMTnPqZMb"&amp;"PkXdWxy-NxlvPBu, https://drive.google.com/open?id=1LNKsjOkywU1644VjwV708XTmlUT6MAWZ, https://drive.google.com/open?id=1NnH-3t42gY0bOTnV-3soE8Nf6ciK0QKV, https://drive.google.com/open?id=1TQDfKvTOU1setJ5ODH0hBFJuAdbbahAX")</f>
        <v>https://drive.google.com/open?id=1ljeWm3R7g0aVuDTT4eR_JFFHCUKZgeCg, https://drive.google.com/open?id=1OKgIinoS7UqNUqQOE7oa0gbkkzcek0fq, https://drive.google.com/open?id=1tfCFD2gagveydz7HsOVgv5V9F3UPMFN6, https://drive.google.com/open?id=1PMq3zw1EMMTnPqZMbPkXdWxy-NxlvPBu, https://drive.google.com/open?id=1LNKsjOkywU1644VjwV708XTmlUT6MAWZ, https://drive.google.com/open?id=1NnH-3t42gY0bOTnV-3soE8Nf6ciK0QKV, https://drive.google.com/open?id=1TQDfKvTOU1setJ5ODH0hBFJuAdbbahAX</v>
      </c>
      <c r="Y84" s="495" t="str">
        <f>IFERROR(__xludf.DUMMYFUNCTION("""COMPUTED_VALUE"""),"fabian.i.burgos.s@gmail.com")</f>
        <v>fabian.i.burgos.s@gmail.com</v>
      </c>
      <c r="Z84" s="498">
        <f>IFERROR(__xludf.DUMMYFUNCTION("""COMPUTED_VALUE"""),577822.0)</f>
        <v>577822</v>
      </c>
      <c r="AA84" s="495"/>
      <c r="AB84" s="495"/>
      <c r="AC84" s="495"/>
      <c r="AD84" s="495" t="str">
        <f>IFERROR(__xludf.DUMMYFUNCTION("""COMPUTED_VALUE"""),"RC-271_26")</f>
        <v>RC-271_26</v>
      </c>
    </row>
    <row r="85">
      <c r="A85" s="495" t="str">
        <f t="shared" si="1"/>
        <v>RC-270_26</v>
      </c>
      <c r="B85" s="497">
        <f>IFERROR(__xludf.DUMMYFUNCTION("""COMPUTED_VALUE"""),46196.95792027778)</f>
        <v>46196.95792</v>
      </c>
      <c r="C85" s="495" t="str">
        <f>IFERROR(__xludf.DUMMYFUNCTION("""COMPUTED_VALUE"""),"")</f>
        <v/>
      </c>
      <c r="D85" s="495" t="str">
        <f>IFERROR(__xludf.DUMMYFUNCTION("""COMPUTED_VALUE"""),"Arturo Meza Vega")</f>
        <v>Arturo Meza Vega</v>
      </c>
      <c r="E85" s="495"/>
      <c r="F85" s="496" t="str">
        <f>IFERROR(__xludf.DUMMYFUNCTION("""COMPUTED_VALUE"""),"4569-2026")</f>
        <v>4569-2026</v>
      </c>
      <c r="G85" s="495"/>
      <c r="H85" s="495"/>
      <c r="I85" s="495"/>
      <c r="J85" s="495" t="str">
        <f>IFERROR(__xludf.DUMMYFUNCTION("""COMPUTED_VALUE"""),"Campus San Juan Pablo II - CJP")</f>
        <v>Campus San Juan Pablo II - CJP</v>
      </c>
      <c r="K85" s="495" t="str">
        <f>IFERROR(__xludf.DUMMYFUNCTION("""COMPUTED_VALUE"""),"03")</f>
        <v>03</v>
      </c>
      <c r="L85" s="495" t="str">
        <f>IFERROR(__xludf.DUMMYFUNCTION("""COMPUTED_VALUE"""),"INGENIERIA Y CONSTRUCCIONES ELEKTRICA SPA")</f>
        <v>INGENIERIA Y CONSTRUCCIONES ELEKTRICA SPA</v>
      </c>
      <c r="M85" s="495" t="str">
        <f>IFERROR(__xludf.DUMMYFUNCTION("""COMPUTED_VALUE"""),"76.884.395-3")</f>
        <v>76.884.395-3</v>
      </c>
      <c r="N85" s="495" t="str">
        <f>IFERROR(__xludf.DUMMYFUNCTION("""COMPUTED_VALUE"""),"Marco Paine Salgado - Gerente")</f>
        <v>Marco Paine Salgado - Gerente</v>
      </c>
      <c r="O85" s="495" t="str">
        <f>IFERROR(__xludf.DUMMYFUNCTION("""COMPUTED_VALUE"""),"Mantenciones")</f>
        <v>Mantenciones</v>
      </c>
      <c r="P85" s="495" t="str">
        <f>IFERROR(__xludf.DUMMYFUNCTION("""COMPUTED_VALUE"""),"Instalaciones Eléctricas")</f>
        <v>Instalaciones Eléctricas</v>
      </c>
      <c r="Q85" s="495"/>
      <c r="R85" s="495"/>
      <c r="S85" s="495"/>
      <c r="T85" s="495"/>
      <c r="U85" s="495"/>
      <c r="V85" s="495" t="str">
        <f>IFERROR(__xludf.DUMMYFUNCTION("""COMPUTED_VALUE"""),"HABILITACIÓN ELÉCTRICA Y RED PARA 2 PUESTOS DE TRABAJO OFICINAS CP03_137-134")</f>
        <v>HABILITACIÓN ELÉCTRICA Y RED PARA 2 PUESTOS DE TRABAJO OFICINAS CP03_137-134</v>
      </c>
      <c r="W85" s="495"/>
      <c r="X85" s="495" t="str">
        <f>IFERROR(__xludf.DUMMYFUNCTION("""COMPUTED_VALUE"""),"https://drive.google.com/open?id=1flkyrK3369CDI3gBACrSz49UBocjiU1K, https://drive.google.com/open?id=1qBwAE_Ag3xFLjle3BywjCZLEbvhPj-rG, https://drive.google.com/open?id=168oldW9Pu5gU3uLPxqPP57UgKcfmjPg-, https://drive.google.com/open?id=12B4Wz6brDuhOSJD7t"&amp;"OCuNZMFHJ9GGrag")</f>
        <v>https://drive.google.com/open?id=1flkyrK3369CDI3gBACrSz49UBocjiU1K, https://drive.google.com/open?id=1qBwAE_Ag3xFLjle3BywjCZLEbvhPj-rG, https://drive.google.com/open?id=168oldW9Pu5gU3uLPxqPP57UgKcfmjPg-, https://drive.google.com/open?id=12B4Wz6brDuhOSJD7tOCuNZMFHJ9GGrag</v>
      </c>
      <c r="Y85" s="495" t="str">
        <f>IFERROR(__xludf.DUMMYFUNCTION("""COMPUTED_VALUE"""),"marcopaine@gmail.com")</f>
        <v>marcopaine@gmail.com</v>
      </c>
      <c r="Z85" s="498">
        <f>IFERROR(__xludf.DUMMYFUNCTION("""COMPUTED_VALUE"""),796575.0)</f>
        <v>796575</v>
      </c>
      <c r="AA85" s="495"/>
      <c r="AB85" s="495"/>
      <c r="AC85" s="495"/>
      <c r="AD85" s="495" t="str">
        <f>IFERROR(__xludf.DUMMYFUNCTION("""COMPUTED_VALUE"""),"RC-270_26")</f>
        <v>RC-270_26</v>
      </c>
    </row>
    <row r="86">
      <c r="A86" s="495" t="str">
        <f t="shared" si="1"/>
        <v>RC-269_26</v>
      </c>
      <c r="B86" s="497">
        <f>IFERROR(__xludf.DUMMYFUNCTION("""COMPUTED_VALUE"""),46196.95317409722)</f>
        <v>46196.95317</v>
      </c>
      <c r="C86" s="495" t="str">
        <f>IFERROR(__xludf.DUMMYFUNCTION("""COMPUTED_VALUE"""),"")</f>
        <v/>
      </c>
      <c r="D86" s="495" t="str">
        <f>IFERROR(__xludf.DUMMYFUNCTION("""COMPUTED_VALUE"""),"Mauricio Zurita Aldea")</f>
        <v>Mauricio Zurita Aldea</v>
      </c>
      <c r="E86" s="495"/>
      <c r="F86" s="496" t="str">
        <f>IFERROR(__xludf.DUMMYFUNCTION("""COMPUTED_VALUE"""),"3829-2026")</f>
        <v>3829-2026</v>
      </c>
      <c r="G86" s="495"/>
      <c r="H86" s="495"/>
      <c r="I86" s="495"/>
      <c r="J86" s="495" t="str">
        <f>IFERROR(__xludf.DUMMYFUNCTION("""COMPUTED_VALUE"""),"Campus Dr. Luis Rivas del Canto - CRC")</f>
        <v>Campus Dr. Luis Rivas del Canto - CRC</v>
      </c>
      <c r="K86" s="495">
        <f>IFERROR(__xludf.DUMMYFUNCTION("""COMPUTED_VALUE"""),18.0)</f>
        <v>18</v>
      </c>
      <c r="L86" s="495" t="str">
        <f>IFERROR(__xludf.DUMMYFUNCTION("""COMPUTED_VALUE"""),"INGENIERIA Y CONSTRUCCIONES ELEKTRICA SPA")</f>
        <v>INGENIERIA Y CONSTRUCCIONES ELEKTRICA SPA</v>
      </c>
      <c r="M86" s="495" t="str">
        <f>IFERROR(__xludf.DUMMYFUNCTION("""COMPUTED_VALUE"""),"76.884.395-3")</f>
        <v>76.884.395-3</v>
      </c>
      <c r="N86" s="495" t="str">
        <f>IFERROR(__xludf.DUMMYFUNCTION("""COMPUTED_VALUE"""),"Marco Paine Salgado - Gerente")</f>
        <v>Marco Paine Salgado - Gerente</v>
      </c>
      <c r="O86" s="495" t="str">
        <f>IFERROR(__xludf.DUMMYFUNCTION("""COMPUTED_VALUE"""),"Mantenciones")</f>
        <v>Mantenciones</v>
      </c>
      <c r="P86" s="495" t="str">
        <f>IFERROR(__xludf.DUMMYFUNCTION("""COMPUTED_VALUE"""),"Instalaciones Eléctricas")</f>
        <v>Instalaciones Eléctricas</v>
      </c>
      <c r="Q86" s="495"/>
      <c r="R86" s="495"/>
      <c r="S86" s="495"/>
      <c r="T86" s="495"/>
      <c r="U86" s="495"/>
      <c r="V86" s="495" t="str">
        <f>IFERROR(__xludf.DUMMYFUNCTION("""COMPUTED_VALUE"""),"NORMALIZACIÓN Y CERTIFICACIÓN ELECTRICA TALLER CRC18_186")</f>
        <v>NORMALIZACIÓN Y CERTIFICACIÓN ELECTRICA TALLER CRC18_186</v>
      </c>
      <c r="W86" s="495"/>
      <c r="X86" s="495" t="str">
        <f>IFERROR(__xludf.DUMMYFUNCTION("""COMPUTED_VALUE"""),"https://drive.google.com/open?id=1o6BUs9-pUBW_m9aIVulmKPqB_1D3xgeS, https://drive.google.com/open?id=1V6crLNomO0pGgslFDuOj5aUWWxpoGZQs, https://drive.google.com/open?id=1vTHHoN4GPrG8ZisnAoTxtNhHcoycoD1P, https://drive.google.com/open?id=1nDreLOjfICwz1eNvV"&amp;"vcGAtnewp6rOaH5, https://drive.google.com/open?id=1V_57M5Jwi0qcKHmkTYNPY8zxRh9XWoqS")</f>
        <v>https://drive.google.com/open?id=1o6BUs9-pUBW_m9aIVulmKPqB_1D3xgeS, https://drive.google.com/open?id=1V6crLNomO0pGgslFDuOj5aUWWxpoGZQs, https://drive.google.com/open?id=1vTHHoN4GPrG8ZisnAoTxtNhHcoycoD1P, https://drive.google.com/open?id=1nDreLOjfICwz1eNvVvcGAtnewp6rOaH5, https://drive.google.com/open?id=1V_57M5Jwi0qcKHmkTYNPY8zxRh9XWoqS</v>
      </c>
      <c r="Y86" s="495" t="str">
        <f>IFERROR(__xludf.DUMMYFUNCTION("""COMPUTED_VALUE"""),"marcopaine@gmail.com")</f>
        <v>marcopaine@gmail.com</v>
      </c>
      <c r="Z86" s="498">
        <f>IFERROR(__xludf.DUMMYFUNCTION("""COMPUTED_VALUE"""),7994422.0)</f>
        <v>7994422</v>
      </c>
      <c r="AA86" s="495"/>
      <c r="AB86" s="495"/>
      <c r="AC86" s="495"/>
      <c r="AD86" s="495" t="str">
        <f>IFERROR(__xludf.DUMMYFUNCTION("""COMPUTED_VALUE"""),"RC-269_26")</f>
        <v>RC-269_26</v>
      </c>
    </row>
    <row r="87">
      <c r="A87" s="495" t="str">
        <f t="shared" si="1"/>
        <v>RC-053</v>
      </c>
      <c r="B87" s="497">
        <f>IFERROR(__xludf.DUMMYFUNCTION("""COMPUTED_VALUE"""),45978.70509320602)</f>
        <v>45978.70509</v>
      </c>
      <c r="C87" s="495" t="str">
        <f>IFERROR(__xludf.DUMMYFUNCTION("""COMPUTED_VALUE"""),"")</f>
        <v/>
      </c>
      <c r="D87" s="495" t="str">
        <f>IFERROR(__xludf.DUMMYFUNCTION("""COMPUTED_VALUE"""),"David Silva Roco")</f>
        <v>David Silva Roco</v>
      </c>
      <c r="E87" s="495"/>
      <c r="F87" s="496">
        <f>IFERROR(__xludf.DUMMYFUNCTION("""COMPUTED_VALUE"""),5433.0)</f>
        <v>5433</v>
      </c>
      <c r="G87" s="495"/>
      <c r="H87" s="495"/>
      <c r="I87" s="495"/>
      <c r="J87" s="495" t="str">
        <f>IFERROR(__xludf.DUMMYFUNCTION("""COMPUTED_VALUE"""),"Campus Prieto Norte - CHS")</f>
        <v>Campus Prieto Norte - CHS</v>
      </c>
      <c r="K87" s="495" t="str">
        <f>IFERROR(__xludf.DUMMYFUNCTION("""COMPUTED_VALUE"""),"01")</f>
        <v>01</v>
      </c>
      <c r="L87" s="495" t="str">
        <f>IFERROR(__xludf.DUMMYFUNCTION("""COMPUTED_VALUE"""),"Constructora Romo y Cadi Limitada ")</f>
        <v>Constructora Romo y Cadi Limitada </v>
      </c>
      <c r="M87" s="495" t="str">
        <f>IFERROR(__xludf.DUMMYFUNCTION("""COMPUTED_VALUE"""),"76.107.187-4")</f>
        <v>76.107.187-4</v>
      </c>
      <c r="N87" s="495" t="str">
        <f>IFERROR(__xludf.DUMMYFUNCTION("""COMPUTED_VALUE"""),"FRANCISCO ROMO")</f>
        <v>FRANCISCO ROMO</v>
      </c>
      <c r="O87" s="495" t="str">
        <f>IFERROR(__xludf.DUMMYFUNCTION("""COMPUTED_VALUE"""),"Obras")</f>
        <v>Obras</v>
      </c>
      <c r="P87" s="495"/>
      <c r="Q87" s="495"/>
      <c r="R87" s="495" t="str">
        <f>IFERROR(__xludf.DUMMYFUNCTION("""COMPUTED_VALUE"""),"Nuevo Edificio")</f>
        <v>Nuevo Edificio</v>
      </c>
      <c r="S87" s="495" t="str">
        <f>IFERROR(__xludf.DUMMYFUNCTION("""COMPUTED_VALUE"""),"Recepción de Obra - RC")</f>
        <v>Recepción de Obra - RC</v>
      </c>
      <c r="T87" s="495"/>
      <c r="U87" s="495"/>
      <c r="V87" s="495" t="str">
        <f>IFERROR(__xludf.DUMMYFUNCTION("""COMPUTED_VALUE"""),"Construcción edificio institucional para la carrera de medicina, de 8 pisos con estacionamiento subterráneo, por la modalidad de administración. Construcción obra gruesa, terminaciones con sus respectivas especialidades; ascensores, clima, electricidad, c"&amp;"orrientes débiles, alcantarillado y agua potable. ")</f>
        <v>Construcción edificio institucional para la carrera de medicina, de 8 pisos con estacionamiento subterráneo, por la modalidad de administración. Construcción obra gruesa, terminaciones con sus respectivas especialidades; ascensores, clima, electricidad, corrientes débiles, alcantarillado y agua potable. </v>
      </c>
      <c r="W87" s="495" t="str">
        <f>IFERROR(__xludf.DUMMYFUNCTION("""COMPUTED_VALUE"""),"Se recomienda: 
Contratar y monitorear los servicios de mantención preventiva para:
1.- Mantención Ascensores
2.- Mantención clima y evitar el uso de temperaturas muy altas, hasta conseguir la humedad de equilibrio de los materiales utilizados en las term"&amp;"inaciones interiores.
3.- Mantención de sistema de impulsión de agua potable.")</f>
        <v>Se recomienda: 
Contratar y monitorear los servicios de mantención preventiva para:
1.- Mantención Ascensores
2.- Mantención clima y evitar el uso de temperaturas muy altas, hasta conseguir la humedad de equilibrio de los materiales utilizados en las terminaciones interiores.
3.- Mantención de sistema de impulsión de agua potable.</v>
      </c>
      <c r="X87" s="495" t="str">
        <f>IFERROR(__xludf.DUMMYFUNCTION("""COMPUTED_VALUE"""),"https://drive.google.com/open?id=167oEmcj0HuXjP_m3WGC04-VEXXzmfxo2, https://drive.google.com/open?id=11bbXNvV_MtLHTqa1yoW3L-am84qpVThO, https://drive.google.com/open?id=1ysxXMx3MC1E8wxCs1Tyi9gN_eud8VXQs, https://drive.google.com/open?id=1bEUVx265iQkNMzEqJ"&amp;"9ozo_Uqyfwd6BCE, https://drive.google.com/open?id=1DVkPLaLIPxwqprZ5t53vxyEccjv2OiiF")</f>
        <v>https://drive.google.com/open?id=167oEmcj0HuXjP_m3WGC04-VEXXzmfxo2, https://drive.google.com/open?id=11bbXNvV_MtLHTqa1yoW3L-am84qpVThO, https://drive.google.com/open?id=1ysxXMx3MC1E8wxCs1Tyi9gN_eud8VXQs, https://drive.google.com/open?id=1bEUVx265iQkNMzEqJ9ozo_Uqyfwd6BCE, https://drive.google.com/open?id=1DVkPLaLIPxwqprZ5t53vxyEccjv2OiiF</v>
      </c>
      <c r="Y87" s="495" t="str">
        <f>IFERROR(__xludf.DUMMYFUNCTION("""COMPUTED_VALUE"""),"secretaria.fromo@gmail.com")</f>
        <v>secretaria.fromo@gmail.com</v>
      </c>
      <c r="Z87" s="495"/>
      <c r="AA87" s="495"/>
      <c r="AB87" s="495"/>
      <c r="AC87" s="495"/>
      <c r="AD87" s="495" t="str">
        <f>IFERROR(__xludf.DUMMYFUNCTION("""COMPUTED_VALUE"""),"RC-053")</f>
        <v>RC-053</v>
      </c>
    </row>
    <row r="88">
      <c r="A88" s="495" t="str">
        <f t="shared" si="1"/>
        <v>RC-054</v>
      </c>
      <c r="B88" s="497">
        <f>IFERROR(__xludf.DUMMYFUNCTION("""COMPUTED_VALUE"""),45979.37335471065)</f>
        <v>45979.37335</v>
      </c>
      <c r="C88" s="495" t="str">
        <f>IFERROR(__xludf.DUMMYFUNCTION("""COMPUTED_VALUE"""),"")</f>
        <v/>
      </c>
      <c r="D88" s="495" t="str">
        <f>IFERROR(__xludf.DUMMYFUNCTION("""COMPUTED_VALUE"""),"Cristóbal Correa del Río")</f>
        <v>Cristóbal Correa del Río</v>
      </c>
      <c r="E88" s="495"/>
      <c r="F88" s="496" t="str">
        <f>IFERROR(__xludf.DUMMYFUNCTION("""COMPUTED_VALUE"""),"11473-2025")</f>
        <v>11473-2025</v>
      </c>
      <c r="G88" s="495"/>
      <c r="H88" s="495"/>
      <c r="I88" s="495"/>
      <c r="J88" s="495" t="str">
        <f>IFERROR(__xludf.DUMMYFUNCTION("""COMPUTED_VALUE"""),"Campus San Nicolás (Curacautín) - CSN")</f>
        <v>Campus San Nicolás (Curacautín) - CSN</v>
      </c>
      <c r="K88" s="495" t="str">
        <f>IFERROR(__xludf.DUMMYFUNCTION("""COMPUTED_VALUE"""),"Exterior")</f>
        <v>Exterior</v>
      </c>
      <c r="L88" s="495" t="str">
        <f>IFERROR(__xludf.DUMMYFUNCTION("""COMPUTED_VALUE"""),"Luis Saez Allendes ingenieria y construccion eirl")</f>
        <v>Luis Saez Allendes ingenieria y construccion eirl</v>
      </c>
      <c r="M88" s="495">
        <f>IFERROR(__xludf.DUMMYFUNCTION("""COMPUTED_VALUE"""),7.6219281E8)</f>
        <v>762192810</v>
      </c>
      <c r="N88" s="495" t="str">
        <f>IFERROR(__xludf.DUMMYFUNCTION("""COMPUTED_VALUE"""),"Representante legal")</f>
        <v>Representante legal</v>
      </c>
      <c r="O88" s="495" t="str">
        <f>IFERROR(__xludf.DUMMYFUNCTION("""COMPUTED_VALUE"""),"Obras")</f>
        <v>Obras</v>
      </c>
      <c r="P88" s="495"/>
      <c r="Q88" s="495"/>
      <c r="R88" s="495" t="str">
        <f>IFERROR(__xludf.DUMMYFUNCTION("""COMPUTED_VALUE"""),"Exteriores")</f>
        <v>Exteriores</v>
      </c>
      <c r="S88" s="495" t="str">
        <f>IFERROR(__xludf.DUMMYFUNCTION("""COMPUTED_VALUE"""),"Recepción de Obra - RC")</f>
        <v>Recepción de Obra - RC</v>
      </c>
      <c r="T88" s="495"/>
      <c r="U88" s="495"/>
      <c r="V88" s="495" t="str">
        <f>IFERROR(__xludf.DUMMYFUNCTION("""COMPUTED_VALUE"""),"CONTRUCCION OBRAS EXTERIORES - SECTOR ASADORES, CASETAS SALA DE BOMBAS, SECTOR PISCINA, BODEGAS, REPARACION CERCOS,.")</f>
        <v>CONTRUCCION OBRAS EXTERIORES - SECTOR ASADORES, CASETAS SALA DE BOMBAS, SECTOR PISCINA, BODEGAS, REPARACION CERCOS,.</v>
      </c>
      <c r="W88" s="495"/>
      <c r="X88" s="495" t="str">
        <f>IFERROR(__xludf.DUMMYFUNCTION("""COMPUTED_VALUE"""),"https://drive.google.com/open?id=1ScbdH8CdzUkGHIvs5OdMl7j2F_qaT8W8, https://drive.google.com/open?id=1pzUFYaK4n-TZwsfyxj2cfVsqAINEb0nD, https://drive.google.com/open?id=1kjWkxn3WVypWHnbXa5gNh0AIkQqY3mQO, https://drive.google.com/open?id=13xw_dR4xET7NloB0Q"&amp;"YnBRSD-eKrnKdyh, https://drive.google.com/open?id=1U09DtXL7ilQ0AxsvU-vXtQpsgbjAoEnG")</f>
        <v>https://drive.google.com/open?id=1ScbdH8CdzUkGHIvs5OdMl7j2F_qaT8W8, https://drive.google.com/open?id=1pzUFYaK4n-TZwsfyxj2cfVsqAINEb0nD, https://drive.google.com/open?id=1kjWkxn3WVypWHnbXa5gNh0AIkQqY3mQO, https://drive.google.com/open?id=13xw_dR4xET7NloB0QYnBRSD-eKrnKdyh, https://drive.google.com/open?id=1U09DtXL7ilQ0AxsvU-vXtQpsgbjAoEnG</v>
      </c>
      <c r="Y88" s="495" t="str">
        <f>IFERROR(__xludf.DUMMYFUNCTION("""COMPUTED_VALUE"""),"luissaeza@gmail.com")</f>
        <v>luissaeza@gmail.com</v>
      </c>
      <c r="Z88" s="495"/>
      <c r="AA88" s="495"/>
      <c r="AB88" s="495"/>
      <c r="AC88" s="495"/>
      <c r="AD88" s="495" t="str">
        <f>IFERROR(__xludf.DUMMYFUNCTION("""COMPUTED_VALUE"""),"RC-054")</f>
        <v>RC-054</v>
      </c>
    </row>
    <row r="89">
      <c r="A89" s="495" t="str">
        <f t="shared" si="1"/>
        <v>RC-268_26</v>
      </c>
      <c r="B89" s="497">
        <f>IFERROR(__xludf.DUMMYFUNCTION("""COMPUTED_VALUE"""),46196.6359842824)</f>
        <v>46196.63598</v>
      </c>
      <c r="C89" s="495" t="str">
        <f>IFERROR(__xludf.DUMMYFUNCTION("""COMPUTED_VALUE"""),"")</f>
        <v/>
      </c>
      <c r="D89" s="495" t="str">
        <f>IFERROR(__xludf.DUMMYFUNCTION("""COMPUTED_VALUE"""),"Cristóbal Correa del Río")</f>
        <v>Cristóbal Correa del Río</v>
      </c>
      <c r="E89" s="495"/>
      <c r="F89" s="496" t="str">
        <f>IFERROR(__xludf.DUMMYFUNCTION("""COMPUTED_VALUE"""),"4779 - 2026")</f>
        <v>4779 - 2026</v>
      </c>
      <c r="G89" s="495"/>
      <c r="H89" s="495"/>
      <c r="I89" s="495"/>
      <c r="J89" s="495" t="str">
        <f>IFERROR(__xludf.DUMMYFUNCTION("""COMPUTED_VALUE"""),"Campus Prieto Norte - CHS")</f>
        <v>Campus Prieto Norte - CHS</v>
      </c>
      <c r="K89" s="495" t="str">
        <f>IFERROR(__xludf.DUMMYFUNCTION("""COMPUTED_VALUE"""),"01")</f>
        <v>01</v>
      </c>
      <c r="L89" s="495" t="str">
        <f>IFERROR(__xludf.DUMMYFUNCTION("""COMPUTED_VALUE"""),"Flavia Oyarzun Soto")</f>
        <v>Flavia Oyarzun Soto</v>
      </c>
      <c r="M89" s="495" t="str">
        <f>IFERROR(__xludf.DUMMYFUNCTION("""COMPUTED_VALUE"""),"5.503.590-3")</f>
        <v>5.503.590-3</v>
      </c>
      <c r="N89" s="495" t="str">
        <f>IFERROR(__xludf.DUMMYFUNCTION("""COMPUTED_VALUE"""),"Roberto Lassalle Prado")</f>
        <v>Roberto Lassalle Prado</v>
      </c>
      <c r="O89" s="495" t="str">
        <f>IFERROR(__xludf.DUMMYFUNCTION("""COMPUTED_VALUE"""),"Mantenciones")</f>
        <v>Mantenciones</v>
      </c>
      <c r="P89" s="495" t="str">
        <f>IFERROR(__xludf.DUMMYFUNCTION("""COMPUTED_VALUE"""),"Cerramientos Verticales")</f>
        <v>Cerramientos Verticales</v>
      </c>
      <c r="Q89" s="495"/>
      <c r="R89" s="495"/>
      <c r="S89" s="495"/>
      <c r="T89" s="495"/>
      <c r="U89" s="495"/>
      <c r="V89" s="495" t="str">
        <f>IFERROR(__xludf.DUMMYFUNCTION("""COMPUTED_VALUE"""),"Traslado de máquina y artículos menores desde el Laboratorio El Bosque a Hospital de Simulación  ")</f>
        <v>Traslado de máquina y artículos menores desde el Laboratorio El Bosque a Hospital de Simulación  </v>
      </c>
      <c r="W89" s="495" t="str">
        <f>IFERROR(__xludf.DUMMYFUNCTION("""COMPUTED_VALUE"""),"no hay")</f>
        <v>no hay</v>
      </c>
      <c r="X89" s="495" t="str">
        <f>IFERROR(__xludf.DUMMYFUNCTION("""COMPUTED_VALUE"""),"https://drive.google.com/open?id=1c0_nwvYybTAXmO4aKx8KJx_87hJVJQLJ, https://drive.google.com/open?id=1R7FS8dwwRAsDfSStezBTTaNBh9cgl_UA, https://drive.google.com/open?id=1bpm9LwGQ3Ur_zA9dEDDoEehaxQI-I4rk, https://drive.google.com/open?id=1-csbpPs3CIsAjdpfF"&amp;"iwCIFh8mvUuzZpP")</f>
        <v>https://drive.google.com/open?id=1c0_nwvYybTAXmO4aKx8KJx_87hJVJQLJ, https://drive.google.com/open?id=1R7FS8dwwRAsDfSStezBTTaNBh9cgl_UA, https://drive.google.com/open?id=1bpm9LwGQ3Ur_zA9dEDDoEehaxQI-I4rk, https://drive.google.com/open?id=1-csbpPs3CIsAjdpfFiwCIFh8mvUuzZpP</v>
      </c>
      <c r="Y89" s="495" t="str">
        <f>IFERROR(__xludf.DUMMYFUNCTION("""COMPUTED_VALUE"""),"roberto.lassalle@gmail.com")</f>
        <v>roberto.lassalle@gmail.com</v>
      </c>
      <c r="Z89" s="498">
        <f>IFERROR(__xludf.DUMMYFUNCTION("""COMPUTED_VALUE"""),493850.0)</f>
        <v>493850</v>
      </c>
      <c r="AA89" s="495"/>
      <c r="AB89" s="495"/>
      <c r="AC89" s="495"/>
      <c r="AD89" s="495" t="str">
        <f>IFERROR(__xludf.DUMMYFUNCTION("""COMPUTED_VALUE"""),"RC-268_26")</f>
        <v>RC-268_26</v>
      </c>
    </row>
    <row r="90">
      <c r="A90" s="495" t="str">
        <f t="shared" si="1"/>
        <v>RC-266_26</v>
      </c>
      <c r="B90" s="497">
        <f>IFERROR(__xludf.DUMMYFUNCTION("""COMPUTED_VALUE"""),46196.390200740745)</f>
        <v>46196.3902</v>
      </c>
      <c r="C90" s="495" t="str">
        <f>IFERROR(__xludf.DUMMYFUNCTION("""COMPUTED_VALUE"""),"")</f>
        <v/>
      </c>
      <c r="D90" s="495" t="str">
        <f>IFERROR(__xludf.DUMMYFUNCTION("""COMPUTED_VALUE"""),"Mauricio Matus Belmar")</f>
        <v>Mauricio Matus Belmar</v>
      </c>
      <c r="E90" s="495"/>
      <c r="F90" s="496" t="str">
        <f>IFERROR(__xludf.DUMMYFUNCTION("""COMPUTED_VALUE"""),"4479-2026")</f>
        <v>4479-2026</v>
      </c>
      <c r="G90" s="495"/>
      <c r="H90" s="495"/>
      <c r="I90" s="495"/>
      <c r="J90" s="495" t="str">
        <f>IFERROR(__xludf.DUMMYFUNCTION("""COMPUTED_VALUE"""),"Campus San Juan Pablo II - CJP")</f>
        <v>Campus San Juan Pablo II - CJP</v>
      </c>
      <c r="K90" s="495" t="str">
        <f>IFERROR(__xludf.DUMMYFUNCTION("""COMPUTED_VALUE"""),"06")</f>
        <v>06</v>
      </c>
      <c r="L90" s="495" t="str">
        <f>IFERROR(__xludf.DUMMYFUNCTION("""COMPUTED_VALUE"""),"Sergio Flores Garrido ")</f>
        <v>Sergio Flores Garrido </v>
      </c>
      <c r="M90" s="495" t="str">
        <f>IFERROR(__xludf.DUMMYFUNCTION("""COMPUTED_VALUE"""),"12.928.980-5")</f>
        <v>12.928.980-5</v>
      </c>
      <c r="N90" s="495" t="str">
        <f>IFERROR(__xludf.DUMMYFUNCTION("""COMPUTED_VALUE"""),"Sergio Flores Garrido.")</f>
        <v>Sergio Flores Garrido.</v>
      </c>
      <c r="O90" s="495" t="str">
        <f>IFERROR(__xludf.DUMMYFUNCTION("""COMPUTED_VALUE"""),"Mantenciones")</f>
        <v>Mantenciones</v>
      </c>
      <c r="P90" s="495" t="str">
        <f>IFERROR(__xludf.DUMMYFUNCTION("""COMPUTED_VALUE"""),"Cerramientos Verticales")</f>
        <v>Cerramientos Verticales</v>
      </c>
      <c r="Q90" s="495"/>
      <c r="R90" s="495"/>
      <c r="S90" s="495"/>
      <c r="T90" s="495"/>
      <c r="U90" s="495"/>
      <c r="V90" s="495" t="str">
        <f>IFERROR(__xludf.DUMMYFUNCTION("""COMPUTED_VALUE"""),"Cambio de termopanel quebrado.")</f>
        <v>Cambio de termopanel quebrado.</v>
      </c>
      <c r="W90" s="495" t="str">
        <f>IFERROR(__xludf.DUMMYFUNCTION("""COMPUTED_VALUE"""),"No requiere seguimiento.")</f>
        <v>No requiere seguimiento.</v>
      </c>
      <c r="X90" s="495" t="str">
        <f>IFERROR(__xludf.DUMMYFUNCTION("""COMPUTED_VALUE"""),"https://drive.google.com/open?id=1qC0GBCHDgHu9C_bIcJ_367ez0BckaIX5, https://drive.google.com/open?id=1HkCYsWwm2A6Mf6qI1f79XQZFBKV2gxwk")</f>
        <v>https://drive.google.com/open?id=1qC0GBCHDgHu9C_bIcJ_367ez0BckaIX5, https://drive.google.com/open?id=1HkCYsWwm2A6Mf6qI1f79XQZFBKV2gxwk</v>
      </c>
      <c r="Y90" s="495" t="str">
        <f>IFERROR(__xludf.DUMMYFUNCTION("""COMPUTED_VALUE"""),"sergiofloresgarrido19731217@gmail.com")</f>
        <v>sergiofloresgarrido19731217@gmail.com</v>
      </c>
      <c r="Z90" s="498">
        <f>IFERROR(__xludf.DUMMYFUNCTION("""COMPUTED_VALUE"""),71699.0)</f>
        <v>71699</v>
      </c>
      <c r="AA90" s="495"/>
      <c r="AB90" s="495"/>
      <c r="AC90" s="495"/>
      <c r="AD90" s="495" t="str">
        <f>IFERROR(__xludf.DUMMYFUNCTION("""COMPUTED_VALUE"""),"RC-266_26")</f>
        <v>RC-266_26</v>
      </c>
    </row>
    <row r="91">
      <c r="A91" s="495" t="str">
        <f t="shared" si="1"/>
        <v>RC-262_26</v>
      </c>
      <c r="B91" s="497">
        <f>IFERROR(__xludf.DUMMYFUNCTION("""COMPUTED_VALUE"""),46195.49773563657)</f>
        <v>46195.49774</v>
      </c>
      <c r="C91" s="495" t="str">
        <f>IFERROR(__xludf.DUMMYFUNCTION("""COMPUTED_VALUE"""),"")</f>
        <v/>
      </c>
      <c r="D91" s="495" t="str">
        <f>IFERROR(__xludf.DUMMYFUNCTION("""COMPUTED_VALUE"""),"Leonor Ríos Morales")</f>
        <v>Leonor Ríos Morales</v>
      </c>
      <c r="E91" s="495"/>
      <c r="F91" s="496">
        <f>IFERROR(__xludf.DUMMYFUNCTION("""COMPUTED_VALUE"""),4475.0)</f>
        <v>4475</v>
      </c>
      <c r="G91" s="495"/>
      <c r="H91" s="495"/>
      <c r="I91" s="495"/>
      <c r="J91" s="495" t="str">
        <f>IFERROR(__xludf.DUMMYFUNCTION("""COMPUTED_VALUE"""),"Campus San Juan Pablo II - CJP")</f>
        <v>Campus San Juan Pablo II - CJP</v>
      </c>
      <c r="K91" s="495" t="str">
        <f>IFERROR(__xludf.DUMMYFUNCTION("""COMPUTED_VALUE"""),"03")</f>
        <v>03</v>
      </c>
      <c r="L91" s="495" t="str">
        <f>IFERROR(__xludf.DUMMYFUNCTION("""COMPUTED_VALUE"""),"comercializadora DANIELA ARRIAGADA")</f>
        <v>comercializadora DANIELA ARRIAGADA</v>
      </c>
      <c r="M91" s="495" t="str">
        <f>IFERROR(__xludf.DUMMYFUNCTION("""COMPUTED_VALUE"""),"76.707.485-9")</f>
        <v>76.707.485-9</v>
      </c>
      <c r="N91" s="495" t="str">
        <f>IFERROR(__xludf.DUMMYFUNCTION("""COMPUTED_VALUE"""),"LENOR RIOS")</f>
        <v>LENOR RIOS</v>
      </c>
      <c r="O91" s="495" t="str">
        <f>IFERROR(__xludf.DUMMYFUNCTION("""COMPUTED_VALUE"""),"Mantenciones")</f>
        <v>Mantenciones</v>
      </c>
      <c r="P91" s="495" t="str">
        <f>IFERROR(__xludf.DUMMYFUNCTION("""COMPUTED_VALUE"""),"Terminaciones Interiores")</f>
        <v>Terminaciones Interiores</v>
      </c>
      <c r="Q91" s="495"/>
      <c r="R91" s="495"/>
      <c r="S91" s="495"/>
      <c r="T91" s="495"/>
      <c r="U91" s="495"/>
      <c r="V91" s="495" t="str">
        <f>IFERROR(__xludf.DUMMYFUNCTION("""COMPUTED_VALUE"""),"INSTALACION EMPAVONADO")</f>
        <v>INSTALACION EMPAVONADO</v>
      </c>
      <c r="W91" s="495"/>
      <c r="X91" s="499" t="str">
        <f>IFERROR(__xludf.DUMMYFUNCTION("""COMPUTED_VALUE"""),"https://drive.google.com/open?id=17MTxr3-7O4TZZNS7-JUSHTRuI-y6UItf")</f>
        <v>https://drive.google.com/open?id=17MTxr3-7O4TZZNS7-JUSHTRuI-y6UItf</v>
      </c>
      <c r="Y91" s="495" t="str">
        <f>IFERROR(__xludf.DUMMYFUNCTION("""COMPUTED_VALUE"""),"danielaarriagadacaba@hotmail.com")</f>
        <v>danielaarriagadacaba@hotmail.com</v>
      </c>
      <c r="Z91" s="498">
        <f>IFERROR(__xludf.DUMMYFUNCTION("""COMPUTED_VALUE"""),48900.0)</f>
        <v>48900</v>
      </c>
      <c r="AA91" s="495"/>
      <c r="AB91" s="495"/>
      <c r="AC91" s="495"/>
      <c r="AD91" s="495" t="str">
        <f>IFERROR(__xludf.DUMMYFUNCTION("""COMPUTED_VALUE"""),"RC-262_26")</f>
        <v>RC-262_26</v>
      </c>
    </row>
    <row r="92">
      <c r="A92" s="495" t="str">
        <f t="shared" si="1"/>
        <v>RC-058</v>
      </c>
      <c r="B92" s="497">
        <f>IFERROR(__xludf.DUMMYFUNCTION("""COMPUTED_VALUE"""),45979.53273060185)</f>
        <v>45979.53273</v>
      </c>
      <c r="C92" s="495" t="str">
        <f>IFERROR(__xludf.DUMMYFUNCTION("""COMPUTED_VALUE"""),"")</f>
        <v/>
      </c>
      <c r="D92" s="495" t="str">
        <f>IFERROR(__xludf.DUMMYFUNCTION("""COMPUTED_VALUE"""),"Cristóbal Correa del Río")</f>
        <v>Cristóbal Correa del Río</v>
      </c>
      <c r="E92" s="495"/>
      <c r="F92" s="496">
        <f>IFERROR(__xludf.DUMMYFUNCTION("""COMPUTED_VALUE"""),5433.0)</f>
        <v>5433</v>
      </c>
      <c r="G92" s="495"/>
      <c r="H92" s="495"/>
      <c r="I92" s="495"/>
      <c r="J92" s="495" t="str">
        <f>IFERROR(__xludf.DUMMYFUNCTION("""COMPUTED_VALUE"""),"Campus Prieto Norte - CHS")</f>
        <v>Campus Prieto Norte - CHS</v>
      </c>
      <c r="K92" s="495" t="str">
        <f>IFERROR(__xludf.DUMMYFUNCTION("""COMPUTED_VALUE"""),"01")</f>
        <v>01</v>
      </c>
      <c r="L92" s="495" t="str">
        <f>IFERROR(__xludf.DUMMYFUNCTION("""COMPUTED_VALUE"""),"Constructora Romo y Cadi Limitada ")</f>
        <v>Constructora Romo y Cadi Limitada </v>
      </c>
      <c r="M92" s="495" t="str">
        <f>IFERROR(__xludf.DUMMYFUNCTION("""COMPUTED_VALUE"""),"76.107.187-4")</f>
        <v>76.107.187-4</v>
      </c>
      <c r="N92" s="495" t="str">
        <f>IFERROR(__xludf.DUMMYFUNCTION("""COMPUTED_VALUE"""),"FRANCISCO ROMO (SOCIO-GERENTE)")</f>
        <v>FRANCISCO ROMO (SOCIO-GERENTE)</v>
      </c>
      <c r="O92" s="495" t="str">
        <f>IFERROR(__xludf.DUMMYFUNCTION("""COMPUTED_VALUE"""),"Obras")</f>
        <v>Obras</v>
      </c>
      <c r="P92" s="495"/>
      <c r="Q92" s="495"/>
      <c r="R92" s="495" t="str">
        <f>IFERROR(__xludf.DUMMYFUNCTION("""COMPUTED_VALUE"""),"Nuevo Edificio")</f>
        <v>Nuevo Edificio</v>
      </c>
      <c r="S92" s="495" t="str">
        <f>IFERROR(__xludf.DUMMYFUNCTION("""COMPUTED_VALUE"""),"Estado de Pago - EP")</f>
        <v>Estado de Pago - EP</v>
      </c>
      <c r="T92" s="495">
        <f>IFERROR(__xludf.DUMMYFUNCTION("""COMPUTED_VALUE"""),15.0)</f>
        <v>15</v>
      </c>
      <c r="U92" s="498">
        <f>IFERROR(__xludf.DUMMYFUNCTION("""COMPUTED_VALUE"""),2.10507107E8)</f>
        <v>210507107</v>
      </c>
      <c r="V92" s="495" t="str">
        <f>IFERROR(__xludf.DUMMYFUNCTION("""COMPUTED_VALUE"""),"Construcción edificio institucional para la carrera de medicina, de 8 pisos con estacionamiento subterráneo, por la modalidad de administración. Construcción obra gruesa, terminaciones con sus respectivas especialidades; ascensores, clima, electricidad, c"&amp;"orrientes débiles, alcantarillado y agua potable. ")</f>
        <v>Construcción edificio institucional para la carrera de medicina, de 8 pisos con estacionamiento subterráneo, por la modalidad de administración. Construcción obra gruesa, terminaciones con sus respectivas especialidades; ascensores, clima, electricidad, corrientes débiles, alcantarillado y agua potable. </v>
      </c>
      <c r="W92" s="495" t="str">
        <f>IFERROR(__xludf.DUMMYFUNCTION("""COMPUTED_VALUE"""),"Contratar y monitorear los servicios de mantención preventiva para:
1.- Mantención ascensores.
2.- Mantención clima y evitar el uso de temperaturas muy altas, hasta conseguir  la humedad de equilibrio de los materiales utilizados en las terminaciones inte"&amp;"riores.
3.- Mantención al sistema de impulsión de agua potable. ")</f>
        <v>Contratar y monitorear los servicios de mantención preventiva para:
1.- Mantención ascensores.
2.- Mantención clima y evitar el uso de temperaturas muy altas, hasta conseguir  la humedad de equilibrio de los materiales utilizados en las terminaciones interiores.
3.- Mantención al sistema de impulsión de agua potable. </v>
      </c>
      <c r="X92" s="495" t="str">
        <f>IFERROR(__xludf.DUMMYFUNCTION("""COMPUTED_VALUE"""),"https://drive.google.com/open?id=19Azbot7dmqkKoAYf5Rp5YN3gi6CkLz1q, https://drive.google.com/open?id=1sZvQzLKZ76ieWdfOgj5UQ8IEyFJhKCCT, https://drive.google.com/open?id=1OzoAw87sUYUP1bFO3vdY3XHC_FQCriiK, https://drive.google.com/open?id=1T1K9QR3uvi3rnBAga"&amp;"DznkNN_6cY6PleS, https://drive.google.com/open?id=1QUS7ZRLdxYNJL2FKalNN3kxVpUEuqUow")</f>
        <v>https://drive.google.com/open?id=19Azbot7dmqkKoAYf5Rp5YN3gi6CkLz1q, https://drive.google.com/open?id=1sZvQzLKZ76ieWdfOgj5UQ8IEyFJhKCCT, https://drive.google.com/open?id=1OzoAw87sUYUP1bFO3vdY3XHC_FQCriiK, https://drive.google.com/open?id=1T1K9QR3uvi3rnBAgaDznkNN_6cY6PleS, https://drive.google.com/open?id=1QUS7ZRLdxYNJL2FKalNN3kxVpUEuqUow</v>
      </c>
      <c r="Y92" s="495" t="str">
        <f>IFERROR(__xludf.DUMMYFUNCTION("""COMPUTED_VALUE"""),"secretaria.fromo@gmail.com")</f>
        <v>secretaria.fromo@gmail.com</v>
      </c>
      <c r="Z92" s="495"/>
      <c r="AA92" s="495"/>
      <c r="AB92" s="495"/>
      <c r="AC92" s="495"/>
      <c r="AD92" s="495" t="str">
        <f>IFERROR(__xludf.DUMMYFUNCTION("""COMPUTED_VALUE"""),"RC-058")</f>
        <v>RC-058</v>
      </c>
    </row>
    <row r="93">
      <c r="A93" s="495" t="str">
        <f t="shared" si="1"/>
        <v>RC-261_26</v>
      </c>
      <c r="B93" s="497">
        <f>IFERROR(__xludf.DUMMYFUNCTION("""COMPUTED_VALUE"""),46195.49372104167)</f>
        <v>46195.49372</v>
      </c>
      <c r="C93" s="495" t="str">
        <f>IFERROR(__xludf.DUMMYFUNCTION("""COMPUTED_VALUE"""),"")</f>
        <v/>
      </c>
      <c r="D93" s="495" t="str">
        <f>IFERROR(__xludf.DUMMYFUNCTION("""COMPUTED_VALUE"""),"Cristóbal Correa del Río")</f>
        <v>Cristóbal Correa del Río</v>
      </c>
      <c r="E93" s="495"/>
      <c r="F93" s="496">
        <f>IFERROR(__xludf.DUMMYFUNCTION("""COMPUTED_VALUE"""),3911.0)</f>
        <v>3911</v>
      </c>
      <c r="G93" s="495"/>
      <c r="H93" s="495"/>
      <c r="I93" s="495"/>
      <c r="J93" s="495" t="str">
        <f>IFERROR(__xludf.DUMMYFUNCTION("""COMPUTED_VALUE"""),"Campus Monseñor Alejandro Menchaca Lira - CML")</f>
        <v>Campus Monseñor Alejandro Menchaca Lira - CML</v>
      </c>
      <c r="K93" s="495" t="str">
        <f>IFERROR(__xludf.DUMMYFUNCTION("""COMPUTED_VALUE"""),"04")</f>
        <v>04</v>
      </c>
      <c r="L93" s="495" t="str">
        <f>IFERROR(__xludf.DUMMYFUNCTION("""COMPUTED_VALUE"""),"comercializadora")</f>
        <v>comercializadora</v>
      </c>
      <c r="M93" s="495" t="str">
        <f>IFERROR(__xludf.DUMMYFUNCTION("""COMPUTED_VALUE"""),"76.707.485-9")</f>
        <v>76.707.485-9</v>
      </c>
      <c r="N93" s="495" t="str">
        <f>IFERROR(__xludf.DUMMYFUNCTION("""COMPUTED_VALUE"""),"Cristobal Correa")</f>
        <v>Cristobal Correa</v>
      </c>
      <c r="O93" s="495" t="str">
        <f>IFERROR(__xludf.DUMMYFUNCTION("""COMPUTED_VALUE"""),"Mantenciones")</f>
        <v>Mantenciones</v>
      </c>
      <c r="P93" s="495" t="str">
        <f>IFERROR(__xludf.DUMMYFUNCTION("""COMPUTED_VALUE"""),"Terminaciones Interiores")</f>
        <v>Terminaciones Interiores</v>
      </c>
      <c r="Q93" s="495"/>
      <c r="R93" s="495"/>
      <c r="S93" s="495"/>
      <c r="T93" s="495"/>
      <c r="U93" s="495"/>
      <c r="V93" s="495" t="str">
        <f>IFERROR(__xludf.DUMMYFUNCTION("""COMPUTED_VALUE"""),"instalacion señaleticas")</f>
        <v>instalacion señaleticas</v>
      </c>
      <c r="W93" s="495"/>
      <c r="X93" s="499" t="str">
        <f>IFERROR(__xludf.DUMMYFUNCTION("""COMPUTED_VALUE"""),"https://drive.google.com/open?id=1n1fkXHhShoWXmLwTxksQ6-ZMHxqxrnxt")</f>
        <v>https://drive.google.com/open?id=1n1fkXHhShoWXmLwTxksQ6-ZMHxqxrnxt</v>
      </c>
      <c r="Y93" s="495" t="str">
        <f>IFERROR(__xludf.DUMMYFUNCTION("""COMPUTED_VALUE"""),"danielaarriagadacaba@hotmail.com")</f>
        <v>danielaarriagadacaba@hotmail.com</v>
      </c>
      <c r="Z93" s="498">
        <f>IFERROR(__xludf.DUMMYFUNCTION("""COMPUTED_VALUE"""),126200.0)</f>
        <v>126200</v>
      </c>
      <c r="AA93" s="495"/>
      <c r="AB93" s="495"/>
      <c r="AC93" s="495"/>
      <c r="AD93" s="495" t="str">
        <f>IFERROR(__xludf.DUMMYFUNCTION("""COMPUTED_VALUE"""),"RC-261_26")</f>
        <v>RC-261_26</v>
      </c>
    </row>
    <row r="94">
      <c r="A94" s="495" t="str">
        <f t="shared" si="1"/>
        <v>RC-060</v>
      </c>
      <c r="B94" s="497">
        <f>IFERROR(__xludf.DUMMYFUNCTION("""COMPUTED_VALUE"""),45980.52324123842)</f>
        <v>45980.52324</v>
      </c>
      <c r="C94" s="495" t="str">
        <f>IFERROR(__xludf.DUMMYFUNCTION("""COMPUTED_VALUE"""),"")</f>
        <v/>
      </c>
      <c r="D94" s="495" t="str">
        <f>IFERROR(__xludf.DUMMYFUNCTION("""COMPUTED_VALUE"""),"Juan Ignacio Solís de Ovando")</f>
        <v>Juan Ignacio Solís de Ovando</v>
      </c>
      <c r="E94" s="495"/>
      <c r="F94" s="496" t="str">
        <f>IFERROR(__xludf.DUMMYFUNCTION("""COMPUTED_VALUE"""),"11202 - 2025")</f>
        <v>11202 - 2025</v>
      </c>
      <c r="G94" s="495"/>
      <c r="H94" s="495"/>
      <c r="I94" s="495"/>
      <c r="J94" s="495" t="str">
        <f>IFERROR(__xludf.DUMMYFUNCTION("""COMPUTED_VALUE"""),"Campus Dr. Luis Rivas del Canto - CRC")</f>
        <v>Campus Dr. Luis Rivas del Canto - CRC</v>
      </c>
      <c r="K94" s="495" t="str">
        <f>IFERROR(__xludf.DUMMYFUNCTION("""COMPUTED_VALUE"""),"Sin número")</f>
        <v>Sin número</v>
      </c>
      <c r="L94" s="495" t="str">
        <f>IFERROR(__xludf.DUMMYFUNCTION("""COMPUTED_VALUE"""),"Constructora Alplas Spa")</f>
        <v>Constructora Alplas Spa</v>
      </c>
      <c r="M94" s="495" t="str">
        <f>IFERROR(__xludf.DUMMYFUNCTION("""COMPUTED_VALUE"""),"77.190.049-6")</f>
        <v>77.190.049-6</v>
      </c>
      <c r="N94" s="495" t="str">
        <f>IFERROR(__xludf.DUMMYFUNCTION("""COMPUTED_VALUE"""),"Camila Obando - Ing. Civil")</f>
        <v>Camila Obando - Ing. Civil</v>
      </c>
      <c r="O94" s="495" t="str">
        <f>IFERROR(__xludf.DUMMYFUNCTION("""COMPUTED_VALUE"""),"Obras")</f>
        <v>Obras</v>
      </c>
      <c r="P94" s="495"/>
      <c r="Q94" s="495"/>
      <c r="R94" s="495" t="str">
        <f>IFERROR(__xludf.DUMMYFUNCTION("""COMPUTED_VALUE"""),"Remodelación")</f>
        <v>Remodelación</v>
      </c>
      <c r="S94" s="495" t="str">
        <f>IFERROR(__xludf.DUMMYFUNCTION("""COMPUTED_VALUE"""),"Estado de Pago - EP")</f>
        <v>Estado de Pago - EP</v>
      </c>
      <c r="T94" s="495">
        <f>IFERROR(__xludf.DUMMYFUNCTION("""COMPUTED_VALUE"""),1.0)</f>
        <v>1</v>
      </c>
      <c r="U94" s="495">
        <f>IFERROR(__xludf.DUMMYFUNCTION("""COMPUTED_VALUE"""),5123228.0)</f>
        <v>5123228</v>
      </c>
      <c r="V94" s="495" t="str">
        <f>IFERROR(__xludf.DUMMYFUNCTION("""COMPUTED_VALUE"""),"Recambio de artefactos baños campus Luis Rivas")</f>
        <v>Recambio de artefactos baños campus Luis Rivas</v>
      </c>
      <c r="W94" s="495"/>
      <c r="X94" s="499" t="str">
        <f>IFERROR(__xludf.DUMMYFUNCTION("""COMPUTED_VALUE"""),"https://drive.google.com/open?id=1lvQwSUxQrdtaL6HGn6oCn69QqyX-0Zq9")</f>
        <v>https://drive.google.com/open?id=1lvQwSUxQrdtaL6HGn6oCn69QqyX-0Zq9</v>
      </c>
      <c r="Y94" s="495" t="str">
        <f>IFERROR(__xludf.DUMMYFUNCTION("""COMPUTED_VALUE"""),"ventas@alplas.cl")</f>
        <v>ventas@alplas.cl</v>
      </c>
      <c r="Z94" s="495"/>
      <c r="AA94" s="495"/>
      <c r="AB94" s="495"/>
      <c r="AC94" s="495"/>
      <c r="AD94" s="495" t="str">
        <f>IFERROR(__xludf.DUMMYFUNCTION("""COMPUTED_VALUE"""),"RC-060")</f>
        <v>RC-060</v>
      </c>
    </row>
    <row r="95">
      <c r="A95" s="495" t="str">
        <f t="shared" si="1"/>
        <v>RC-260_26</v>
      </c>
      <c r="B95" s="497">
        <f>IFERROR(__xludf.DUMMYFUNCTION("""COMPUTED_VALUE"""),46192.71760265046)</f>
        <v>46192.7176</v>
      </c>
      <c r="C95" s="495" t="str">
        <f>IFERROR(__xludf.DUMMYFUNCTION("""COMPUTED_VALUE"""),"")</f>
        <v/>
      </c>
      <c r="D95" s="495" t="str">
        <f>IFERROR(__xludf.DUMMYFUNCTION("""COMPUTED_VALUE"""),"Carol Huenchual Chañilao")</f>
        <v>Carol Huenchual Chañilao</v>
      </c>
      <c r="E95" s="495"/>
      <c r="F95" s="496" t="str">
        <f>IFERROR(__xludf.DUMMYFUNCTION("""COMPUTED_VALUE"""),"4825 -2026")</f>
        <v>4825 -2026</v>
      </c>
      <c r="G95" s="495"/>
      <c r="H95" s="495"/>
      <c r="I95" s="495"/>
      <c r="J95" s="495" t="str">
        <f>IFERROR(__xludf.DUMMYFUNCTION("""COMPUTED_VALUE"""),"Campus San Francisco - CSF")</f>
        <v>Campus San Francisco - CSF</v>
      </c>
      <c r="K95" s="495">
        <f>IFERROR(__xludf.DUMMYFUNCTION("""COMPUTED_VALUE"""),10.0)</f>
        <v>10</v>
      </c>
      <c r="L95" s="495" t="str">
        <f>IFERROR(__xludf.DUMMYFUNCTION("""COMPUTED_VALUE"""),"Constructora IGECE Ltda.")</f>
        <v>Constructora IGECE Ltda.</v>
      </c>
      <c r="M95" s="495" t="str">
        <f>IFERROR(__xludf.DUMMYFUNCTION("""COMPUTED_VALUE"""),"76.878.824-3")</f>
        <v>76.878.824-3</v>
      </c>
      <c r="N95" s="495" t="str">
        <f>IFERROR(__xludf.DUMMYFUNCTION("""COMPUTED_VALUE"""),"Carlos Troncoso - Gerente General ")</f>
        <v>Carlos Troncoso - Gerente General </v>
      </c>
      <c r="O95" s="495" t="str">
        <f>IFERROR(__xludf.DUMMYFUNCTION("""COMPUTED_VALUE"""),"Mantenciones")</f>
        <v>Mantenciones</v>
      </c>
      <c r="P95" s="495" t="str">
        <f>IFERROR(__xludf.DUMMYFUNCTION("""COMPUTED_VALUE"""),"Cubiertas")</f>
        <v>Cubiertas</v>
      </c>
      <c r="Q95" s="495"/>
      <c r="R95" s="495"/>
      <c r="S95" s="495"/>
      <c r="T95" s="495"/>
      <c r="U95" s="495"/>
      <c r="V95" s="495" t="str">
        <f>IFERROR(__xludf.DUMMYFUNCTION("""COMPUTED_VALUE"""),"Filtración Edificio 10 piso 2 CSF: 
-Identificación filtración, revisión
cubierta, Repaso Sellos, cambio hojalatería.")</f>
        <v>Filtración Edificio 10 piso 2 CSF: 
-Identificación filtración, revisión
cubierta, Repaso Sellos, cambio hojalatería.</v>
      </c>
      <c r="W95" s="495"/>
      <c r="X95" s="495" t="str">
        <f>IFERROR(__xludf.DUMMYFUNCTION("""COMPUTED_VALUE"""),"https://drive.google.com/open?id=1xyjPp3hYF58sKfWN7lCtZnNpuNy4ER3B, https://drive.google.com/open?id=1a6esDgL8ND35dLtm0T05x0xlUGKrW0kp, https://drive.google.com/open?id=1Qpdh2EK8fIC2SSD2VMB5pCRshOQcHMPh, https://drive.google.com/open?id=1vGfXa_-xdLwcuCkxL"&amp;"7VvEhAy6Be_R_BK")</f>
        <v>https://drive.google.com/open?id=1xyjPp3hYF58sKfWN7lCtZnNpuNy4ER3B, https://drive.google.com/open?id=1a6esDgL8ND35dLtm0T05x0xlUGKrW0kp, https://drive.google.com/open?id=1Qpdh2EK8fIC2SSD2VMB5pCRshOQcHMPh, https://drive.google.com/open?id=1vGfXa_-xdLwcuCkxL7VvEhAy6Be_R_BK</v>
      </c>
      <c r="Y95" s="495" t="str">
        <f>IFERROR(__xludf.DUMMYFUNCTION("""COMPUTED_VALUE"""),"fabian.i.burgos.s@gmail.com")</f>
        <v>fabian.i.burgos.s@gmail.com</v>
      </c>
      <c r="Z95" s="498">
        <f>IFERROR(__xludf.DUMMYFUNCTION("""COMPUTED_VALUE"""),375439.0)</f>
        <v>375439</v>
      </c>
      <c r="AA95" s="495"/>
      <c r="AB95" s="495"/>
      <c r="AC95" s="495"/>
      <c r="AD95" s="495" t="str">
        <f>IFERROR(__xludf.DUMMYFUNCTION("""COMPUTED_VALUE"""),"RC-260_26")</f>
        <v>RC-260_26</v>
      </c>
    </row>
    <row r="96">
      <c r="A96" s="495" t="str">
        <f t="shared" si="1"/>
        <v>RC-259_26</v>
      </c>
      <c r="B96" s="497">
        <f>IFERROR(__xludf.DUMMYFUNCTION("""COMPUTED_VALUE"""),46192.71486625)</f>
        <v>46192.71487</v>
      </c>
      <c r="C96" s="495" t="str">
        <f>IFERROR(__xludf.DUMMYFUNCTION("""COMPUTED_VALUE"""),"")</f>
        <v/>
      </c>
      <c r="D96" s="495" t="str">
        <f>IFERROR(__xludf.DUMMYFUNCTION("""COMPUTED_VALUE"""),"Carol Huenchual Chañilao")</f>
        <v>Carol Huenchual Chañilao</v>
      </c>
      <c r="E96" s="495"/>
      <c r="F96" s="496" t="str">
        <f>IFERROR(__xludf.DUMMYFUNCTION("""COMPUTED_VALUE"""),"4822 - 2026")</f>
        <v>4822 - 2026</v>
      </c>
      <c r="G96" s="495"/>
      <c r="H96" s="495"/>
      <c r="I96" s="495"/>
      <c r="J96" s="495" t="str">
        <f>IFERROR(__xludf.DUMMYFUNCTION("""COMPUTED_VALUE"""),"Campus Monseñor Sergio Contreras Navia - CSC")</f>
        <v>Campus Monseñor Sergio Contreras Navia - CSC</v>
      </c>
      <c r="K96" s="495" t="str">
        <f>IFERROR(__xludf.DUMMYFUNCTION("""COMPUTED_VALUE"""),"01")</f>
        <v>01</v>
      </c>
      <c r="L96" s="495" t="str">
        <f>IFERROR(__xludf.DUMMYFUNCTION("""COMPUTED_VALUE"""),"Constructora IGECE Ltda.")</f>
        <v>Constructora IGECE Ltda.</v>
      </c>
      <c r="M96" s="495" t="str">
        <f>IFERROR(__xludf.DUMMYFUNCTION("""COMPUTED_VALUE"""),"76.878.824-3")</f>
        <v>76.878.824-3</v>
      </c>
      <c r="N96" s="495" t="str">
        <f>IFERROR(__xludf.DUMMYFUNCTION("""COMPUTED_VALUE"""),"Carlos Troncoso - Gerente General ")</f>
        <v>Carlos Troncoso - Gerente General </v>
      </c>
      <c r="O96" s="495" t="str">
        <f>IFERROR(__xludf.DUMMYFUNCTION("""COMPUTED_VALUE"""),"Mantenciones")</f>
        <v>Mantenciones</v>
      </c>
      <c r="P96" s="495" t="str">
        <f>IFERROR(__xludf.DUMMYFUNCTION("""COMPUTED_VALUE"""),"Cubiertas")</f>
        <v>Cubiertas</v>
      </c>
      <c r="Q96" s="495"/>
      <c r="R96" s="495"/>
      <c r="S96" s="495"/>
      <c r="T96" s="495"/>
      <c r="U96" s="495"/>
      <c r="V96" s="495" t="str">
        <f>IFERROR(__xludf.DUMMYFUNCTION("""COMPUTED_VALUE"""),"Trabajos Filtración Casa Central: 
-Revisión y detección filtración,
sellos, instalación tubería PVC 110 como bajada de aguas lluvia
adicional, pintura bajada aguas lluvia.")</f>
        <v>Trabajos Filtración Casa Central: 
-Revisión y detección filtración,
sellos, instalación tubería PVC 110 como bajada de aguas lluvia
adicional, pintura bajada aguas lluvia.</v>
      </c>
      <c r="W96" s="495"/>
      <c r="X96" s="495" t="str">
        <f>IFERROR(__xludf.DUMMYFUNCTION("""COMPUTED_VALUE"""),"https://drive.google.com/open?id=1OjEw6u6DHU4hzEV0WcKP3Z54vtO0LzwN, https://drive.google.com/open?id=19Uip5z3fGBPjTuejIskHhhBk8N7EqG3A, https://drive.google.com/open?id=1PkcbBgZTGtzzhmwbdJ9Kks9VwSbW7MwK, https://drive.google.com/open?id=1efOtmHTPHmTNX0xuC"&amp;"hio9h9OAlkwqWnV, https://drive.google.com/open?id=14QSd_CEbqOwx4OEv8TtJdfkY1MFtedGr, https://drive.google.com/open?id=1T3aW5kgAOV1yDxn0qlFRN98rVCOrzCOF")</f>
        <v>https://drive.google.com/open?id=1OjEw6u6DHU4hzEV0WcKP3Z54vtO0LzwN, https://drive.google.com/open?id=19Uip5z3fGBPjTuejIskHhhBk8N7EqG3A, https://drive.google.com/open?id=1PkcbBgZTGtzzhmwbdJ9Kks9VwSbW7MwK, https://drive.google.com/open?id=1efOtmHTPHmTNX0xuChio9h9OAlkwqWnV, https://drive.google.com/open?id=14QSd_CEbqOwx4OEv8TtJdfkY1MFtedGr, https://drive.google.com/open?id=1T3aW5kgAOV1yDxn0qlFRN98rVCOrzCOF</v>
      </c>
      <c r="Y96" s="495" t="str">
        <f>IFERROR(__xludf.DUMMYFUNCTION("""COMPUTED_VALUE"""),"fabian.i.burgos.s@gmail.com")</f>
        <v>fabian.i.burgos.s@gmail.com</v>
      </c>
      <c r="Z96" s="498">
        <f>IFERROR(__xludf.DUMMYFUNCTION("""COMPUTED_VALUE"""),404820.0)</f>
        <v>404820</v>
      </c>
      <c r="AA96" s="495"/>
      <c r="AB96" s="495"/>
      <c r="AC96" s="495"/>
      <c r="AD96" s="495" t="str">
        <f>IFERROR(__xludf.DUMMYFUNCTION("""COMPUTED_VALUE"""),"RC-259_26")</f>
        <v>RC-259_26</v>
      </c>
    </row>
    <row r="97">
      <c r="A97" s="495" t="str">
        <f t="shared" si="1"/>
        <v>RC-258_26</v>
      </c>
      <c r="B97" s="497">
        <f>IFERROR(__xludf.DUMMYFUNCTION("""COMPUTED_VALUE"""),46192.711822129626)</f>
        <v>46192.71182</v>
      </c>
      <c r="C97" s="495" t="str">
        <f>IFERROR(__xludf.DUMMYFUNCTION("""COMPUTED_VALUE"""),"")</f>
        <v/>
      </c>
      <c r="D97" s="495" t="str">
        <f>IFERROR(__xludf.DUMMYFUNCTION("""COMPUTED_VALUE"""),"Carol Huenchual Chañilao")</f>
        <v>Carol Huenchual Chañilao</v>
      </c>
      <c r="E97" s="495"/>
      <c r="F97" s="496" t="str">
        <f>IFERROR(__xludf.DUMMYFUNCTION("""COMPUTED_VALUE"""),"4818 - 2026")</f>
        <v>4818 - 2026</v>
      </c>
      <c r="G97" s="495"/>
      <c r="H97" s="495"/>
      <c r="I97" s="495"/>
      <c r="J97" s="495" t="str">
        <f>IFERROR(__xludf.DUMMYFUNCTION("""COMPUTED_VALUE"""),"Campus San Francisco - CSF")</f>
        <v>Campus San Francisco - CSF</v>
      </c>
      <c r="K97" s="495">
        <f>IFERROR(__xludf.DUMMYFUNCTION("""COMPUTED_VALUE"""),16.0)</f>
        <v>16</v>
      </c>
      <c r="L97" s="495" t="str">
        <f>IFERROR(__xludf.DUMMYFUNCTION("""COMPUTED_VALUE"""),"Constructora IGECE Ltda.")</f>
        <v>Constructora IGECE Ltda.</v>
      </c>
      <c r="M97" s="495" t="str">
        <f>IFERROR(__xludf.DUMMYFUNCTION("""COMPUTED_VALUE"""),"76.878.824-3")</f>
        <v>76.878.824-3</v>
      </c>
      <c r="N97" s="495" t="str">
        <f>IFERROR(__xludf.DUMMYFUNCTION("""COMPUTED_VALUE"""),"Carlos Troncoso - Gerente General ")</f>
        <v>Carlos Troncoso - Gerente General </v>
      </c>
      <c r="O97" s="495" t="str">
        <f>IFERROR(__xludf.DUMMYFUNCTION("""COMPUTED_VALUE"""),"Mantenciones")</f>
        <v>Mantenciones</v>
      </c>
      <c r="P97" s="495" t="str">
        <f>IFERROR(__xludf.DUMMYFUNCTION("""COMPUTED_VALUE"""),"Cubiertas")</f>
        <v>Cubiertas</v>
      </c>
      <c r="Q97" s="495"/>
      <c r="R97" s="495"/>
      <c r="S97" s="495"/>
      <c r="T97" s="495"/>
      <c r="U97" s="495"/>
      <c r="V97" s="495" t="str">
        <f>IFERROR(__xludf.DUMMYFUNCTION("""COMPUTED_VALUE"""),"Trabajos Filtración CSF16 sala de reuniones carreras técnicas
piso 4: 
-Revisión y detección filtración, instalación 400 tornillos
hexagonales, repaso y retiro sellos cortados en cubierta.")</f>
        <v>Trabajos Filtración CSF16 sala de reuniones carreras técnicas
piso 4: 
-Revisión y detección filtración, instalación 400 tornillos
hexagonales, repaso y retiro sellos cortados en cubierta.</v>
      </c>
      <c r="W97" s="495"/>
      <c r="X97" s="495" t="str">
        <f>IFERROR(__xludf.DUMMYFUNCTION("""COMPUTED_VALUE"""),"https://drive.google.com/open?id=1tSJtkuklpUw_pBLaTBZaoWJovZBglGxw, https://drive.google.com/open?id=19cqGxQwd51YRZK19ESJcELFn5zhMhloU, https://drive.google.com/open?id=1_SW1ttODmyexKL896D9YsTDYbuRxU_RC, https://drive.google.com/open?id=1QWMLbIIuzfm0CIO_B"&amp;"K0Sc6P-ozM4FZy8, https://drive.google.com/open?id=1qWjm8bnbcBe7ovo85ynvsNBpIMoJ6zFa, https://drive.google.com/open?id=1kAwxJTVj0TwMVN0YgGaZN5rj3nOs1oLE, https://drive.google.com/open?id=1YJfZ3TXCW6ll-kJ1W3DqfvY-5Vz-ypza, https://drive.google.com/open?id=1"&amp;"1-p3sNGdBY5IOLTOAC5VqYXQD-Z-D8b4, https://drive.google.com/open?id=1AfMPuhiw8Ccd3T1zc4c5HuC1CLaIr5IS")</f>
        <v>https://drive.google.com/open?id=1tSJtkuklpUw_pBLaTBZaoWJovZBglGxw, https://drive.google.com/open?id=19cqGxQwd51YRZK19ESJcELFn5zhMhloU, https://drive.google.com/open?id=1_SW1ttODmyexKL896D9YsTDYbuRxU_RC, https://drive.google.com/open?id=1QWMLbIIuzfm0CIO_BK0Sc6P-ozM4FZy8, https://drive.google.com/open?id=1qWjm8bnbcBe7ovo85ynvsNBpIMoJ6zFa, https://drive.google.com/open?id=1kAwxJTVj0TwMVN0YgGaZN5rj3nOs1oLE, https://drive.google.com/open?id=1YJfZ3TXCW6ll-kJ1W3DqfvY-5Vz-ypza, https://drive.google.com/open?id=11-p3sNGdBY5IOLTOAC5VqYXQD-Z-D8b4, https://drive.google.com/open?id=1AfMPuhiw8Ccd3T1zc4c5HuC1CLaIr5IS</v>
      </c>
      <c r="Y97" s="495" t="str">
        <f>IFERROR(__xludf.DUMMYFUNCTION("""COMPUTED_VALUE"""),"fabian.i.burgos.s@gmail.com")</f>
        <v>fabian.i.burgos.s@gmail.com</v>
      </c>
      <c r="Z97" s="498">
        <f>IFERROR(__xludf.DUMMYFUNCTION("""COMPUTED_VALUE"""),488947.0)</f>
        <v>488947</v>
      </c>
      <c r="AA97" s="495"/>
      <c r="AB97" s="495"/>
      <c r="AC97" s="495"/>
      <c r="AD97" s="495" t="str">
        <f>IFERROR(__xludf.DUMMYFUNCTION("""COMPUTED_VALUE"""),"RC-258_26")</f>
        <v>RC-258_26</v>
      </c>
    </row>
    <row r="98">
      <c r="A98" s="495" t="str">
        <f t="shared" si="1"/>
        <v>RC-257_26</v>
      </c>
      <c r="B98" s="497">
        <f>IFERROR(__xludf.DUMMYFUNCTION("""COMPUTED_VALUE"""),46192.70833181713)</f>
        <v>46192.70833</v>
      </c>
      <c r="C98" s="495" t="str">
        <f>IFERROR(__xludf.DUMMYFUNCTION("""COMPUTED_VALUE"""),"")</f>
        <v/>
      </c>
      <c r="D98" s="495" t="str">
        <f>IFERROR(__xludf.DUMMYFUNCTION("""COMPUTED_VALUE"""),"Carol Huenchual Chañilao")</f>
        <v>Carol Huenchual Chañilao</v>
      </c>
      <c r="E98" s="495"/>
      <c r="F98" s="496" t="str">
        <f>IFERROR(__xludf.DUMMYFUNCTION("""COMPUTED_VALUE"""),"4815 - 2026")</f>
        <v>4815 - 2026</v>
      </c>
      <c r="G98" s="495"/>
      <c r="H98" s="495"/>
      <c r="I98" s="495"/>
      <c r="J98" s="495" t="str">
        <f>IFERROR(__xludf.DUMMYFUNCTION("""COMPUTED_VALUE"""),"Campus San Francisco - CSF")</f>
        <v>Campus San Francisco - CSF</v>
      </c>
      <c r="K98" s="495">
        <f>IFERROR(__xludf.DUMMYFUNCTION("""COMPUTED_VALUE"""),11.0)</f>
        <v>11</v>
      </c>
      <c r="L98" s="495" t="str">
        <f>IFERROR(__xludf.DUMMYFUNCTION("""COMPUTED_VALUE"""),"Constructora IGECE Ltda.")</f>
        <v>Constructora IGECE Ltda.</v>
      </c>
      <c r="M98" s="495" t="str">
        <f>IFERROR(__xludf.DUMMYFUNCTION("""COMPUTED_VALUE"""),"76.878.824-3")</f>
        <v>76.878.824-3</v>
      </c>
      <c r="N98" s="495" t="str">
        <f>IFERROR(__xludf.DUMMYFUNCTION("""COMPUTED_VALUE"""),"Carlos Troncoso - Gerente General ")</f>
        <v>Carlos Troncoso - Gerente General </v>
      </c>
      <c r="O98" s="495" t="str">
        <f>IFERROR(__xludf.DUMMYFUNCTION("""COMPUTED_VALUE"""),"Mantenciones")</f>
        <v>Mantenciones</v>
      </c>
      <c r="P98" s="495" t="str">
        <f>IFERROR(__xludf.DUMMYFUNCTION("""COMPUTED_VALUE"""),"Cubiertas")</f>
        <v>Cubiertas</v>
      </c>
      <c r="Q98" s="495"/>
      <c r="R98" s="495"/>
      <c r="S98" s="495"/>
      <c r="T98" s="495"/>
      <c r="U98" s="495"/>
      <c r="V98" s="495" t="str">
        <f>IFERROR(__xludf.DUMMYFUNCTION("""COMPUTED_VALUE"""),"Trabajos Filtración CSF11 piso 5 lado ascensor (cielo Raso):
-Reparación coronación, retiro planchas e instalación, secado
cubierta sector a reparar, repaso sellos cortados, retiro sellos
cortados.")</f>
        <v>Trabajos Filtración CSF11 piso 5 lado ascensor (cielo Raso):
-Reparación coronación, retiro planchas e instalación, secado
cubierta sector a reparar, repaso sellos cortados, retiro sellos
cortados.</v>
      </c>
      <c r="W98" s="495"/>
      <c r="X98" s="495" t="str">
        <f>IFERROR(__xludf.DUMMYFUNCTION("""COMPUTED_VALUE"""),"https://drive.google.com/open?id=1-qNtFB5jYtOIo0BTKk5djcExc2xsxy4t, https://drive.google.com/open?id=1TmM7BB0lg32ikFZGoaU_NnAQZCtgjYyh, https://drive.google.com/open?id=15A-QX-dyuWYk9p2OnKiupehRUZpkNqo7, https://drive.google.com/open?id=100fGWTcjW-erevq3O"&amp;"yShyEcMf3-B8zkp, https://drive.google.com/open?id=1sunHuWKWUF8dwJb9HwWTsS_UF74_aLnU, https://drive.google.com/open?id=15NV-Kl4X8Fi5MK9-BH9ts1utLEmgadOe, https://drive.google.com/open?id=1zS76YqmmrUI_gwRX0aU6A5NOa4aso1Cb, https://drive.google.com/open?id=1"&amp;"nS3mbJPxNMnB5nNTnzDj-obpUVW-ZJax, https://drive.google.com/open?id=1O2-F3EQhAg537E79mduordn5jbFalTE_")</f>
        <v>https://drive.google.com/open?id=1-qNtFB5jYtOIo0BTKk5djcExc2xsxy4t, https://drive.google.com/open?id=1TmM7BB0lg32ikFZGoaU_NnAQZCtgjYyh, https://drive.google.com/open?id=15A-QX-dyuWYk9p2OnKiupehRUZpkNqo7, https://drive.google.com/open?id=100fGWTcjW-erevq3OyShyEcMf3-B8zkp, https://drive.google.com/open?id=1sunHuWKWUF8dwJb9HwWTsS_UF74_aLnU, https://drive.google.com/open?id=15NV-Kl4X8Fi5MK9-BH9ts1utLEmgadOe, https://drive.google.com/open?id=1zS76YqmmrUI_gwRX0aU6A5NOa4aso1Cb, https://drive.google.com/open?id=1nS3mbJPxNMnB5nNTnzDj-obpUVW-ZJax, https://drive.google.com/open?id=1O2-F3EQhAg537E79mduordn5jbFalTE_</v>
      </c>
      <c r="Y98" s="495" t="str">
        <f>IFERROR(__xludf.DUMMYFUNCTION("""COMPUTED_VALUE"""),"fabian.i.burgos.s@gmail.com")</f>
        <v>fabian.i.burgos.s@gmail.com</v>
      </c>
      <c r="Z98" s="498">
        <f>IFERROR(__xludf.DUMMYFUNCTION("""COMPUTED_VALUE"""),540569.0)</f>
        <v>540569</v>
      </c>
      <c r="AA98" s="495"/>
      <c r="AB98" s="495"/>
      <c r="AC98" s="495"/>
      <c r="AD98" s="495" t="str">
        <f>IFERROR(__xludf.DUMMYFUNCTION("""COMPUTED_VALUE"""),"RC-257_26")</f>
        <v>RC-257_26</v>
      </c>
    </row>
    <row r="99">
      <c r="A99" s="495" t="str">
        <f t="shared" si="1"/>
        <v>RC-256_26</v>
      </c>
      <c r="B99" s="497">
        <f>IFERROR(__xludf.DUMMYFUNCTION("""COMPUTED_VALUE"""),46192.70535427083)</f>
        <v>46192.70535</v>
      </c>
      <c r="C99" s="495" t="str">
        <f>IFERROR(__xludf.DUMMYFUNCTION("""COMPUTED_VALUE"""),"")</f>
        <v/>
      </c>
      <c r="D99" s="495" t="str">
        <f>IFERROR(__xludf.DUMMYFUNCTION("""COMPUTED_VALUE"""),"David Silva Roco")</f>
        <v>David Silva Roco</v>
      </c>
      <c r="E99" s="495"/>
      <c r="F99" s="496" t="str">
        <f>IFERROR(__xludf.DUMMYFUNCTION("""COMPUTED_VALUE"""),"4813 -2026")</f>
        <v>4813 -2026</v>
      </c>
      <c r="G99" s="495"/>
      <c r="H99" s="495"/>
      <c r="I99" s="495"/>
      <c r="J99" s="495" t="str">
        <f>IFERROR(__xludf.DUMMYFUNCTION("""COMPUTED_VALUE"""),"Campus Dr. Luis Rivas del Canto - CRC")</f>
        <v>Campus Dr. Luis Rivas del Canto - CRC</v>
      </c>
      <c r="K99" s="495" t="str">
        <f>IFERROR(__xludf.DUMMYFUNCTION("""COMPUTED_VALUE"""),"05")</f>
        <v>05</v>
      </c>
      <c r="L99" s="495" t="str">
        <f>IFERROR(__xludf.DUMMYFUNCTION("""COMPUTED_VALUE"""),"Constructora IGEC Ltda.")</f>
        <v>Constructora IGEC Ltda.</v>
      </c>
      <c r="M99" s="495" t="str">
        <f>IFERROR(__xludf.DUMMYFUNCTION("""COMPUTED_VALUE"""),"76.878.824-3")</f>
        <v>76.878.824-3</v>
      </c>
      <c r="N99" s="495" t="str">
        <f>IFERROR(__xludf.DUMMYFUNCTION("""COMPUTED_VALUE"""),"Carlos Troncoso - Gerente General ")</f>
        <v>Carlos Troncoso - Gerente General </v>
      </c>
      <c r="O99" s="495" t="str">
        <f>IFERROR(__xludf.DUMMYFUNCTION("""COMPUTED_VALUE"""),"Mantenciones")</f>
        <v>Mantenciones</v>
      </c>
      <c r="P99" s="495" t="str">
        <f>IFERROR(__xludf.DUMMYFUNCTION("""COMPUTED_VALUE"""),"Cubiertas")</f>
        <v>Cubiertas</v>
      </c>
      <c r="Q99" s="495"/>
      <c r="R99" s="495"/>
      <c r="S99" s="495"/>
      <c r="T99" s="495"/>
      <c r="U99" s="495"/>
      <c r="V99" s="495" t="str">
        <f>IFERROR(__xludf.DUMMYFUNCTION("""COMPUTED_VALUE"""),"Filtración 2 lucarnas clínica de animales Menores:
-Cambio e instalación 5 planchas de policarbonato, repaso sellos y cambio
algunos tornillos.")</f>
        <v>Filtración 2 lucarnas clínica de animales Menores:
-Cambio e instalación 5 planchas de policarbonato, repaso sellos y cambio
algunos tornillos.</v>
      </c>
      <c r="W99" s="495"/>
      <c r="X99" s="495" t="str">
        <f>IFERROR(__xludf.DUMMYFUNCTION("""COMPUTED_VALUE"""),"https://drive.google.com/open?id=1cERgtZacDEhPg0Fhyde84v6xRjhLk6IM, https://drive.google.com/open?id=1QGIszn1fVZoO7zwHmrIq0GtmEF_J_Nop")</f>
        <v>https://drive.google.com/open?id=1cERgtZacDEhPg0Fhyde84v6xRjhLk6IM, https://drive.google.com/open?id=1QGIszn1fVZoO7zwHmrIq0GtmEF_J_Nop</v>
      </c>
      <c r="Y99" s="495" t="str">
        <f>IFERROR(__xludf.DUMMYFUNCTION("""COMPUTED_VALUE"""),"fabian.i.burgos.s@gmail.com")</f>
        <v>fabian.i.burgos.s@gmail.com</v>
      </c>
      <c r="Z99" s="498">
        <f>IFERROR(__xludf.DUMMYFUNCTION("""COMPUTED_VALUE"""),399840.0)</f>
        <v>399840</v>
      </c>
      <c r="AA99" s="495"/>
      <c r="AB99" s="495"/>
      <c r="AC99" s="495"/>
      <c r="AD99" s="495" t="str">
        <f>IFERROR(__xludf.DUMMYFUNCTION("""COMPUTED_VALUE"""),"RC-256_26")</f>
        <v>RC-256_26</v>
      </c>
    </row>
    <row r="100">
      <c r="A100" s="495" t="str">
        <f t="shared" si="1"/>
        <v>RC-255_26</v>
      </c>
      <c r="B100" s="497">
        <f>IFERROR(__xludf.DUMMYFUNCTION("""COMPUTED_VALUE"""),46192.69539719907)</f>
        <v>46192.6954</v>
      </c>
      <c r="C100" s="495" t="str">
        <f>IFERROR(__xludf.DUMMYFUNCTION("""COMPUTED_VALUE"""),"")</f>
        <v/>
      </c>
      <c r="D100" s="495" t="str">
        <f>IFERROR(__xludf.DUMMYFUNCTION("""COMPUTED_VALUE"""),"Mauricio Matus Belmar")</f>
        <v>Mauricio Matus Belmar</v>
      </c>
      <c r="E100" s="495"/>
      <c r="F100" s="496" t="str">
        <f>IFERROR(__xludf.DUMMYFUNCTION("""COMPUTED_VALUE"""),"4532-2025")</f>
        <v>4532-2025</v>
      </c>
      <c r="G100" s="495"/>
      <c r="H100" s="495"/>
      <c r="I100" s="495"/>
      <c r="J100" s="495" t="str">
        <f>IFERROR(__xludf.DUMMYFUNCTION("""COMPUTED_VALUE"""),"Campus Dr. Luis Rivas del Canto - CRC")</f>
        <v>Campus Dr. Luis Rivas del Canto - CRC</v>
      </c>
      <c r="K100" s="495" t="str">
        <f>IFERROR(__xludf.DUMMYFUNCTION("""COMPUTED_VALUE"""),"08")</f>
        <v>08</v>
      </c>
      <c r="L100" s="495" t="str">
        <f>IFERROR(__xludf.DUMMYFUNCTION("""COMPUTED_VALUE"""),"Constructora Alplas spa ")</f>
        <v>Constructora Alplas spa </v>
      </c>
      <c r="M100" s="495" t="str">
        <f>IFERROR(__xludf.DUMMYFUNCTION("""COMPUTED_VALUE"""),"77.190.049-6")</f>
        <v>77.190.049-6</v>
      </c>
      <c r="N100" s="495" t="str">
        <f>IFERROR(__xludf.DUMMYFUNCTION("""COMPUTED_VALUE"""),"Maxs jara gerente comercial ")</f>
        <v>Maxs jara gerente comercial </v>
      </c>
      <c r="O100" s="495" t="str">
        <f>IFERROR(__xludf.DUMMYFUNCTION("""COMPUTED_VALUE"""),"Mantenciones")</f>
        <v>Mantenciones</v>
      </c>
      <c r="P100" s="495" t="str">
        <f>IFERROR(__xludf.DUMMYFUNCTION("""COMPUTED_VALUE"""),"Cubiertas")</f>
        <v>Cubiertas</v>
      </c>
      <c r="Q100" s="495"/>
      <c r="R100" s="495"/>
      <c r="S100" s="495"/>
      <c r="T100" s="495"/>
      <c r="U100" s="495"/>
      <c r="V100" s="495" t="str">
        <f>IFERROR(__xludf.DUMMYFUNCTION("""COMPUTED_VALUE"""),"Cubierta CJP8 filtraciones reparación . ")</f>
        <v>Cubierta CJP8 filtraciones reparación . </v>
      </c>
      <c r="W100" s="495"/>
      <c r="X100" s="495" t="str">
        <f>IFERROR(__xludf.DUMMYFUNCTION("""COMPUTED_VALUE"""),"https://drive.google.com/open?id=1neHt40Z7fcf5jWq1meoEfXzEZ5_DkVex, https://drive.google.com/open?id=1T9lBWkasOYbCy1QbOYDHJiQlvMA5mq9Y, https://drive.google.com/open?id=1Mc_ORQTMdagev0ZvLNRhMBwr87IxHeYQ, https://drive.google.com/open?id=1t3chwLnKEZkdiGRj-"&amp;"t6iaV56wSOL8AVd, https://drive.google.com/open?id=10RA7iITGOHeO6-bAJOTY790s1577AMBK")</f>
        <v>https://drive.google.com/open?id=1neHt40Z7fcf5jWq1meoEfXzEZ5_DkVex, https://drive.google.com/open?id=1T9lBWkasOYbCy1QbOYDHJiQlvMA5mq9Y, https://drive.google.com/open?id=1Mc_ORQTMdagev0ZvLNRhMBwr87IxHeYQ, https://drive.google.com/open?id=1t3chwLnKEZkdiGRj-t6iaV56wSOL8AVd, https://drive.google.com/open?id=10RA7iITGOHeO6-bAJOTY790s1577AMBK</v>
      </c>
      <c r="Y100" s="495" t="str">
        <f>IFERROR(__xludf.DUMMYFUNCTION("""COMPUTED_VALUE"""),"maxsj@alplas.cl")</f>
        <v>maxsj@alplas.cl</v>
      </c>
      <c r="Z100" s="498">
        <f>IFERROR(__xludf.DUMMYFUNCTION("""COMPUTED_VALUE"""),2715449.0)</f>
        <v>2715449</v>
      </c>
      <c r="AA100" s="495"/>
      <c r="AB100" s="495"/>
      <c r="AC100" s="495"/>
      <c r="AD100" s="495" t="str">
        <f>IFERROR(__xludf.DUMMYFUNCTION("""COMPUTED_VALUE"""),"RC-255_26")</f>
        <v>RC-255_26</v>
      </c>
    </row>
    <row r="101">
      <c r="A101" s="495" t="str">
        <f t="shared" si="1"/>
        <v>RC-067</v>
      </c>
      <c r="B101" s="497">
        <f>IFERROR(__xludf.DUMMYFUNCTION("""COMPUTED_VALUE"""),45986.67060574074)</f>
        <v>45986.67061</v>
      </c>
      <c r="C101" s="495" t="str">
        <f>IFERROR(__xludf.DUMMYFUNCTION("""COMPUTED_VALUE"""),"")</f>
        <v/>
      </c>
      <c r="D101" s="495" t="str">
        <f>IFERROR(__xludf.DUMMYFUNCTION("""COMPUTED_VALUE"""),"Juan Ignacio Solís de Ovando")</f>
        <v>Juan Ignacio Solís de Ovando</v>
      </c>
      <c r="E101" s="495"/>
      <c r="F101" s="496" t="str">
        <f>IFERROR(__xludf.DUMMYFUNCTION("""COMPUTED_VALUE"""),"11643 - 2025 ")</f>
        <v>11643 - 2025 </v>
      </c>
      <c r="G101" s="495"/>
      <c r="H101" s="495"/>
      <c r="I101" s="495"/>
      <c r="J101" s="495" t="str">
        <f>IFERROR(__xludf.DUMMYFUNCTION("""COMPUTED_VALUE"""),"Campus San Francisco - CSF")</f>
        <v>Campus San Francisco - CSF</v>
      </c>
      <c r="K101" s="495" t="str">
        <f>IFERROR(__xludf.DUMMYFUNCTION("""COMPUTED_VALUE"""),"Exterior")</f>
        <v>Exterior</v>
      </c>
      <c r="L101" s="495" t="str">
        <f>IFERROR(__xludf.DUMMYFUNCTION("""COMPUTED_VALUE"""),"Constructora IngTrapp Spa")</f>
        <v>Constructora IngTrapp Spa</v>
      </c>
      <c r="M101" s="495" t="str">
        <f>IFERROR(__xludf.DUMMYFUNCTION("""COMPUTED_VALUE"""),"78202133-8")</f>
        <v>78202133-8</v>
      </c>
      <c r="N101" s="495" t="str">
        <f>IFERROR(__xludf.DUMMYFUNCTION("""COMPUTED_VALUE"""),"Patrick Gutiérrez - Encargado de Obra")</f>
        <v>Patrick Gutiérrez - Encargado de Obra</v>
      </c>
      <c r="O101" s="495" t="str">
        <f>IFERROR(__xludf.DUMMYFUNCTION("""COMPUTED_VALUE"""),"Obras")</f>
        <v>Obras</v>
      </c>
      <c r="P101" s="495"/>
      <c r="Q101" s="495"/>
      <c r="R101" s="495" t="str">
        <f>IFERROR(__xludf.DUMMYFUNCTION("""COMPUTED_VALUE"""),"Remodelación")</f>
        <v>Remodelación</v>
      </c>
      <c r="S101" s="495" t="str">
        <f>IFERROR(__xludf.DUMMYFUNCTION("""COMPUTED_VALUE"""),"Estado de Pago - EP")</f>
        <v>Estado de Pago - EP</v>
      </c>
      <c r="T101" s="495" t="str">
        <f>IFERROR(__xludf.DUMMYFUNCTION("""COMPUTED_VALUE"""),"0 (Anticipo)")</f>
        <v>0 (Anticipo)</v>
      </c>
      <c r="U101" s="495">
        <f>IFERROR(__xludf.DUMMYFUNCTION("""COMPUTED_VALUE"""),1391282.0)</f>
        <v>1391282</v>
      </c>
      <c r="V101" s="495" t="str">
        <f>IFERROR(__xludf.DUMMYFUNCTION("""COMPUTED_VALUE"""),"Reposición de baldosa Greca acceso Campus San Francisco ")</f>
        <v>Reposición de baldosa Greca acceso Campus San Francisco </v>
      </c>
      <c r="W101" s="495"/>
      <c r="X101" s="499" t="str">
        <f>IFERROR(__xludf.DUMMYFUNCTION("""COMPUTED_VALUE"""),"https://drive.google.com/open?id=1HpM4nyEjJRPCIKzlnnLD5Y_QhuoCqs6F")</f>
        <v>https://drive.google.com/open?id=1HpM4nyEjJRPCIKzlnnLD5Y_QhuoCqs6F</v>
      </c>
      <c r="Y101" s="495" t="str">
        <f>IFERROR(__xludf.DUMMYFUNCTION("""COMPUTED_VALUE"""),"constructoraingtrappspa@gmail.com")</f>
        <v>constructoraingtrappspa@gmail.com</v>
      </c>
      <c r="Z101" s="495"/>
      <c r="AA101" s="495"/>
      <c r="AB101" s="495"/>
      <c r="AC101" s="495"/>
      <c r="AD101" s="495" t="str">
        <f>IFERROR(__xludf.DUMMYFUNCTION("""COMPUTED_VALUE"""),"RC-067")</f>
        <v>RC-067</v>
      </c>
    </row>
    <row r="102">
      <c r="A102" s="495" t="str">
        <f t="shared" si="1"/>
        <v>RC-254_26</v>
      </c>
      <c r="B102" s="497">
        <f>IFERROR(__xludf.DUMMYFUNCTION("""COMPUTED_VALUE"""),46192.51874924768)</f>
        <v>46192.51875</v>
      </c>
      <c r="C102" s="495" t="str">
        <f>IFERROR(__xludf.DUMMYFUNCTION("""COMPUTED_VALUE"""),"")</f>
        <v/>
      </c>
      <c r="D102" s="495" t="str">
        <f>IFERROR(__xludf.DUMMYFUNCTION("""COMPUTED_VALUE"""),"Arturo Meza Vega")</f>
        <v>Arturo Meza Vega</v>
      </c>
      <c r="E102" s="495"/>
      <c r="F102" s="496" t="str">
        <f>IFERROR(__xludf.DUMMYFUNCTION("""COMPUTED_VALUE"""),"4806 2026")</f>
        <v>4806 2026</v>
      </c>
      <c r="G102" s="495"/>
      <c r="H102" s="495"/>
      <c r="I102" s="495"/>
      <c r="J102" s="495" t="str">
        <f>IFERROR(__xludf.DUMMYFUNCTION("""COMPUTED_VALUE"""),"Campus Prieto Norte - CHS")</f>
        <v>Campus Prieto Norte - CHS</v>
      </c>
      <c r="K102" s="495" t="str">
        <f>IFERROR(__xludf.DUMMYFUNCTION("""COMPUTED_VALUE"""),"Sin número")</f>
        <v>Sin número</v>
      </c>
      <c r="L102" s="495" t="str">
        <f>IFERROR(__xludf.DUMMYFUNCTION("""COMPUTED_VALUE"""),"Ingertemuco Ingeniería Spa ")</f>
        <v>Ingertemuco Ingeniería Spa </v>
      </c>
      <c r="M102" s="495" t="str">
        <f>IFERROR(__xludf.DUMMYFUNCTION("""COMPUTED_VALUE"""),"77.369.471-0")</f>
        <v>77.369.471-0</v>
      </c>
      <c r="N102" s="495" t="str">
        <f>IFERROR(__xludf.DUMMYFUNCTION("""COMPUTED_VALUE"""),"Christian Ortega")</f>
        <v>Christian Ortega</v>
      </c>
      <c r="O102" s="495" t="str">
        <f>IFERROR(__xludf.DUMMYFUNCTION("""COMPUTED_VALUE"""),"Mantenciones")</f>
        <v>Mantenciones</v>
      </c>
      <c r="P102" s="495" t="str">
        <f>IFERROR(__xludf.DUMMYFUNCTION("""COMPUTED_VALUE"""),"Instalaciones Eléctricas")</f>
        <v>Instalaciones Eléctricas</v>
      </c>
      <c r="Q102" s="495"/>
      <c r="R102" s="495"/>
      <c r="S102" s="495"/>
      <c r="T102" s="495"/>
      <c r="U102" s="495"/>
      <c r="V102" s="495" t="str">
        <f>IFERROR(__xludf.DUMMYFUNCTION("""COMPUTED_VALUE"""),"Reacondicionamiento eléctrico para laboratorio clínico, incluye instalación de enchufes, puntos de red, focos de iluminación, tablero eléctrico, PDU en rack, entre otros. ")</f>
        <v>Reacondicionamiento eléctrico para laboratorio clínico, incluye instalación de enchufes, puntos de red, focos de iluminación, tablero eléctrico, PDU en rack, entre otros. </v>
      </c>
      <c r="W102" s="495"/>
      <c r="X102" s="495" t="str">
        <f>IFERROR(__xludf.DUMMYFUNCTION("""COMPUTED_VALUE"""),"https://drive.google.com/open?id=1ni2ekygPDXOtTRjyfXuW7BCxgeO8zuGI, https://drive.google.com/open?id=1yZxmuh-k6Jewrd3Z6lvsDbOx_hub9eAJ, https://drive.google.com/open?id=1-phbELyWTg2YVdn-VFpQMLr4JRhbrOjv, https://drive.google.com/open?id=1Z4u6tNzJXzK8c7pXu"&amp;"g2kEUgD6FVPfQ7r, https://drive.google.com/open?id=1UhGJKn1AGQrD0tA3zHKVqZxpQD7vzuQO")</f>
        <v>https://drive.google.com/open?id=1ni2ekygPDXOtTRjyfXuW7BCxgeO8zuGI, https://drive.google.com/open?id=1yZxmuh-k6Jewrd3Z6lvsDbOx_hub9eAJ, https://drive.google.com/open?id=1-phbELyWTg2YVdn-VFpQMLr4JRhbrOjv, https://drive.google.com/open?id=1Z4u6tNzJXzK8c7pXug2kEUgD6FVPfQ7r, https://drive.google.com/open?id=1UhGJKn1AGQrD0tA3zHKVqZxpQD7vzuQO</v>
      </c>
      <c r="Y102" s="495" t="str">
        <f>IFERROR(__xludf.DUMMYFUNCTION("""COMPUTED_VALUE"""),"comercialingertemuco@gmail.com")</f>
        <v>comercialingertemuco@gmail.com</v>
      </c>
      <c r="Z102" s="498">
        <f>IFERROR(__xludf.DUMMYFUNCTION("""COMPUTED_VALUE"""),3888798.0)</f>
        <v>3888798</v>
      </c>
      <c r="AA102" s="495"/>
      <c r="AB102" s="495"/>
      <c r="AC102" s="495"/>
      <c r="AD102" s="495" t="str">
        <f>IFERROR(__xludf.DUMMYFUNCTION("""COMPUTED_VALUE"""),"RC-254_26")</f>
        <v>RC-254_26</v>
      </c>
    </row>
    <row r="103">
      <c r="A103" s="495" t="str">
        <f t="shared" si="1"/>
        <v>RC-253_26</v>
      </c>
      <c r="B103" s="497">
        <f>IFERROR(__xludf.DUMMYFUNCTION("""COMPUTED_VALUE"""),46190.90016042824)</f>
        <v>46190.90016</v>
      </c>
      <c r="C103" s="495" t="str">
        <f>IFERROR(__xludf.DUMMYFUNCTION("""COMPUTED_VALUE"""),"")</f>
        <v/>
      </c>
      <c r="D103" s="495" t="str">
        <f>IFERROR(__xludf.DUMMYFUNCTION("""COMPUTED_VALUE"""),"Mauricio Matus Belmar")</f>
        <v>Mauricio Matus Belmar</v>
      </c>
      <c r="E103" s="495"/>
      <c r="F103" s="496" t="str">
        <f>IFERROR(__xludf.DUMMYFUNCTION("""COMPUTED_VALUE"""),"4731 - 2026")</f>
        <v>4731 - 2026</v>
      </c>
      <c r="G103" s="495"/>
      <c r="H103" s="495"/>
      <c r="I103" s="495"/>
      <c r="J103" s="495" t="str">
        <f>IFERROR(__xludf.DUMMYFUNCTION("""COMPUTED_VALUE"""),"Campus Monseñor Sergio Contreras Navia - CSC")</f>
        <v>Campus Monseñor Sergio Contreras Navia - CSC</v>
      </c>
      <c r="K103" s="495" t="str">
        <f>IFERROR(__xludf.DUMMYFUNCTION("""COMPUTED_VALUE"""),"Exterior")</f>
        <v>Exterior</v>
      </c>
      <c r="L103" s="495" t="str">
        <f>IFERROR(__xludf.DUMMYFUNCTION("""COMPUTED_VALUE"""),"Flavia Oyarzun Soto")</f>
        <v>Flavia Oyarzun Soto</v>
      </c>
      <c r="M103" s="495" t="str">
        <f>IFERROR(__xludf.DUMMYFUNCTION("""COMPUTED_VALUE"""),"5.503.590-3")</f>
        <v>5.503.590-3</v>
      </c>
      <c r="N103" s="495" t="str">
        <f>IFERROR(__xludf.DUMMYFUNCTION("""COMPUTED_VALUE"""),"Roberto Lassalle Prado")</f>
        <v>Roberto Lassalle Prado</v>
      </c>
      <c r="O103" s="495" t="str">
        <f>IFERROR(__xludf.DUMMYFUNCTION("""COMPUTED_VALUE"""),"Mantenciones")</f>
        <v>Mantenciones</v>
      </c>
      <c r="P103" s="495" t="str">
        <f>IFERROR(__xludf.DUMMYFUNCTION("""COMPUTED_VALUE"""),"Requerimientos Emergentes e Imprevistos")</f>
        <v>Requerimientos Emergentes e Imprevistos</v>
      </c>
      <c r="Q103" s="495"/>
      <c r="R103" s="495"/>
      <c r="S103" s="495"/>
      <c r="T103" s="495"/>
      <c r="U103" s="495"/>
      <c r="V103" s="495" t="str">
        <f>IFERROR(__xludf.DUMMYFUNCTION("""COMPUTED_VALUE"""),"Provisión e instalación de lavadero")</f>
        <v>Provisión e instalación de lavadero</v>
      </c>
      <c r="W103" s="495" t="str">
        <f>IFERROR(__xludf.DUMMYFUNCTION("""COMPUTED_VALUE"""),"no hay")</f>
        <v>no hay</v>
      </c>
      <c r="X103" s="495" t="str">
        <f>IFERROR(__xludf.DUMMYFUNCTION("""COMPUTED_VALUE"""),"https://drive.google.com/open?id=1xXjIVnS2uGJ2NxDS7-l2RZ3ItumchxCq, https://drive.google.com/open?id=1g8CIABfPw1A-ciq4USn3nifA1RjApBTd")</f>
        <v>https://drive.google.com/open?id=1xXjIVnS2uGJ2NxDS7-l2RZ3ItumchxCq, https://drive.google.com/open?id=1g8CIABfPw1A-ciq4USn3nifA1RjApBTd</v>
      </c>
      <c r="Y103" s="495" t="str">
        <f>IFERROR(__xludf.DUMMYFUNCTION("""COMPUTED_VALUE"""),"roberto.lassalle@gmail.com")</f>
        <v>roberto.lassalle@gmail.com</v>
      </c>
      <c r="Z103" s="498">
        <f>IFERROR(__xludf.DUMMYFUNCTION("""COMPUTED_VALUE"""),95819.0)</f>
        <v>95819</v>
      </c>
      <c r="AA103" s="495"/>
      <c r="AB103" s="495"/>
      <c r="AC103" s="495"/>
      <c r="AD103" s="495" t="str">
        <f>IFERROR(__xludf.DUMMYFUNCTION("""COMPUTED_VALUE"""),"RC-253_26")</f>
        <v>RC-253_26</v>
      </c>
    </row>
    <row r="104">
      <c r="A104" s="495" t="str">
        <f t="shared" si="1"/>
        <v>RC-252_26</v>
      </c>
      <c r="B104" s="497">
        <f>IFERROR(__xludf.DUMMYFUNCTION("""COMPUTED_VALUE"""),46190.88433043982)</f>
        <v>46190.88433</v>
      </c>
      <c r="C104" s="495" t="str">
        <f>IFERROR(__xludf.DUMMYFUNCTION("""COMPUTED_VALUE"""),"")</f>
        <v/>
      </c>
      <c r="D104" s="495" t="str">
        <f>IFERROR(__xludf.DUMMYFUNCTION("""COMPUTED_VALUE"""),"Mauricio Matus Belmar")</f>
        <v>Mauricio Matus Belmar</v>
      </c>
      <c r="E104" s="495"/>
      <c r="F104" s="496" t="str">
        <f>IFERROR(__xludf.DUMMYFUNCTION("""COMPUTED_VALUE"""),"4728- 2026")</f>
        <v>4728- 2026</v>
      </c>
      <c r="G104" s="495"/>
      <c r="H104" s="495"/>
      <c r="I104" s="495"/>
      <c r="J104" s="495" t="str">
        <f>IFERROR(__xludf.DUMMYFUNCTION("""COMPUTED_VALUE"""),"Campus San Juan Pablo II - CJP")</f>
        <v>Campus San Juan Pablo II - CJP</v>
      </c>
      <c r="K104" s="495" t="str">
        <f>IFERROR(__xludf.DUMMYFUNCTION("""COMPUTED_VALUE"""),"Exterior")</f>
        <v>Exterior</v>
      </c>
      <c r="L104" s="495" t="str">
        <f>IFERROR(__xludf.DUMMYFUNCTION("""COMPUTED_VALUE"""),"Flavia Oyarzun Soto")</f>
        <v>Flavia Oyarzun Soto</v>
      </c>
      <c r="M104" s="495" t="str">
        <f>IFERROR(__xludf.DUMMYFUNCTION("""COMPUTED_VALUE"""),"5.503.590-3")</f>
        <v>5.503.590-3</v>
      </c>
      <c r="N104" s="495" t="str">
        <f>IFERROR(__xludf.DUMMYFUNCTION("""COMPUTED_VALUE"""),"Roberto Lassalle Prado")</f>
        <v>Roberto Lassalle Prado</v>
      </c>
      <c r="O104" s="495" t="str">
        <f>IFERROR(__xludf.DUMMYFUNCTION("""COMPUTED_VALUE"""),"Mantenciones")</f>
        <v>Mantenciones</v>
      </c>
      <c r="P104" s="495" t="str">
        <f>IFERROR(__xludf.DUMMYFUNCTION("""COMPUTED_VALUE"""),"Ventilacion")</f>
        <v>Ventilacion</v>
      </c>
      <c r="Q104" s="495"/>
      <c r="R104" s="495"/>
      <c r="S104" s="495"/>
      <c r="T104" s="495"/>
      <c r="U104" s="495"/>
      <c r="V104" s="495" t="str">
        <f>IFERROR(__xludf.DUMMYFUNCTION("""COMPUTED_VALUE"""),"Instalación de Celosías")</f>
        <v>Instalación de Celosías</v>
      </c>
      <c r="W104" s="495" t="str">
        <f>IFERROR(__xludf.DUMMYFUNCTION("""COMPUTED_VALUE"""),"no hay")</f>
        <v>no hay</v>
      </c>
      <c r="X104" s="495" t="str">
        <f>IFERROR(__xludf.DUMMYFUNCTION("""COMPUTED_VALUE"""),"https://drive.google.com/open?id=1IcuuAS14Qlb9zJmv88z8mUWEMX2_lysp, https://drive.google.com/open?id=1PtDjChOzKQOUEfGdgyF-Q-QEBPm3I38_")</f>
        <v>https://drive.google.com/open?id=1IcuuAS14Qlb9zJmv88z8mUWEMX2_lysp, https://drive.google.com/open?id=1PtDjChOzKQOUEfGdgyF-Q-QEBPm3I38_</v>
      </c>
      <c r="Y104" s="495" t="str">
        <f>IFERROR(__xludf.DUMMYFUNCTION("""COMPUTED_VALUE"""),"roberto.lassalle@gmail.com")</f>
        <v>roberto.lassalle@gmail.com</v>
      </c>
      <c r="Z104" s="498">
        <f>IFERROR(__xludf.DUMMYFUNCTION("""COMPUTED_VALUE"""),148453.0)</f>
        <v>148453</v>
      </c>
      <c r="AA104" s="495"/>
      <c r="AB104" s="495"/>
      <c r="AC104" s="495"/>
      <c r="AD104" s="495" t="str">
        <f>IFERROR(__xludf.DUMMYFUNCTION("""COMPUTED_VALUE"""),"RC-252_26")</f>
        <v>RC-252_26</v>
      </c>
    </row>
    <row r="105">
      <c r="A105" s="495" t="str">
        <f t="shared" si="1"/>
        <v>RC-251_26</v>
      </c>
      <c r="B105" s="497">
        <f>IFERROR(__xludf.DUMMYFUNCTION("""COMPUTED_VALUE"""),46190.8733321412)</f>
        <v>46190.87333</v>
      </c>
      <c r="C105" s="495" t="str">
        <f>IFERROR(__xludf.DUMMYFUNCTION("""COMPUTED_VALUE"""),"")</f>
        <v/>
      </c>
      <c r="D105" s="495" t="str">
        <f>IFERROR(__xludf.DUMMYFUNCTION("""COMPUTED_VALUE"""),"Mauricio Matus Belmar")</f>
        <v>Mauricio Matus Belmar</v>
      </c>
      <c r="E105" s="495"/>
      <c r="F105" s="496" t="str">
        <f>IFERROR(__xludf.DUMMYFUNCTION("""COMPUTED_VALUE"""),"4723 - 2026")</f>
        <v>4723 - 2026</v>
      </c>
      <c r="G105" s="495"/>
      <c r="H105" s="495"/>
      <c r="I105" s="495"/>
      <c r="J105" s="495" t="str">
        <f>IFERROR(__xludf.DUMMYFUNCTION("""COMPUTED_VALUE"""),"Campus Dr. Luis Rivas del Canto - CRC")</f>
        <v>Campus Dr. Luis Rivas del Canto - CRC</v>
      </c>
      <c r="K105" s="495" t="str">
        <f>IFERROR(__xludf.DUMMYFUNCTION("""COMPUTED_VALUE"""),"01")</f>
        <v>01</v>
      </c>
      <c r="L105" s="495" t="str">
        <f>IFERROR(__xludf.DUMMYFUNCTION("""COMPUTED_VALUE"""),"Flavia Oyarzun Soto")</f>
        <v>Flavia Oyarzun Soto</v>
      </c>
      <c r="M105" s="495" t="str">
        <f>IFERROR(__xludf.DUMMYFUNCTION("""COMPUTED_VALUE"""),"5.503.590-3")</f>
        <v>5.503.590-3</v>
      </c>
      <c r="N105" s="495" t="str">
        <f>IFERROR(__xludf.DUMMYFUNCTION("""COMPUTED_VALUE"""),"Roberto Lassalle Prado")</f>
        <v>Roberto Lassalle Prado</v>
      </c>
      <c r="O105" s="495" t="str">
        <f>IFERROR(__xludf.DUMMYFUNCTION("""COMPUTED_VALUE"""),"Mantenciones")</f>
        <v>Mantenciones</v>
      </c>
      <c r="P105" s="495" t="str">
        <f>IFERROR(__xludf.DUMMYFUNCTION("""COMPUTED_VALUE"""),"Cubiertas")</f>
        <v>Cubiertas</v>
      </c>
      <c r="Q105" s="495"/>
      <c r="R105" s="495"/>
      <c r="S105" s="495"/>
      <c r="T105" s="495"/>
      <c r="U105" s="495"/>
      <c r="V105" s="495" t="str">
        <f>IFERROR(__xludf.DUMMYFUNCTION("""COMPUTED_VALUE"""),"Cambio de tornillos autoperforantes y parches de orificios")</f>
        <v>Cambio de tornillos autoperforantes y parches de orificios</v>
      </c>
      <c r="W105" s="495" t="str">
        <f>IFERROR(__xludf.DUMMYFUNCTION("""COMPUTED_VALUE"""),"no hay")</f>
        <v>no hay</v>
      </c>
      <c r="X105" s="499" t="str">
        <f>IFERROR(__xludf.DUMMYFUNCTION("""COMPUTED_VALUE"""),"https://drive.google.com/open?id=14uy1pWh1BxBUGRfIsfPF0n0D_yuwW_ZL")</f>
        <v>https://drive.google.com/open?id=14uy1pWh1BxBUGRfIsfPF0n0D_yuwW_ZL</v>
      </c>
      <c r="Y105" s="495" t="str">
        <f>IFERROR(__xludf.DUMMYFUNCTION("""COMPUTED_VALUE"""),"roberto.lassalle@gmail.com")</f>
        <v>roberto.lassalle@gmail.com</v>
      </c>
      <c r="Z105" s="498">
        <f>IFERROR(__xludf.DUMMYFUNCTION("""COMPUTED_VALUE"""),458150.0)</f>
        <v>458150</v>
      </c>
      <c r="AA105" s="495"/>
      <c r="AB105" s="495"/>
      <c r="AC105" s="495"/>
      <c r="AD105" s="495" t="str">
        <f>IFERROR(__xludf.DUMMYFUNCTION("""COMPUTED_VALUE"""),"RC-251_26")</f>
        <v>RC-251_26</v>
      </c>
    </row>
    <row r="106">
      <c r="A106" s="495" t="str">
        <f t="shared" si="1"/>
        <v>RC-248_26</v>
      </c>
      <c r="B106" s="497">
        <f>IFERROR(__xludf.DUMMYFUNCTION("""COMPUTED_VALUE"""),46189.763522152774)</f>
        <v>46189.76352</v>
      </c>
      <c r="C106" s="495" t="str">
        <f>IFERROR(__xludf.DUMMYFUNCTION("""COMPUTED_VALUE"""),"")</f>
        <v/>
      </c>
      <c r="D106" s="495" t="str">
        <f>IFERROR(__xludf.DUMMYFUNCTION("""COMPUTED_VALUE"""),"Mauricio Matus Belmar")</f>
        <v>Mauricio Matus Belmar</v>
      </c>
      <c r="E106" s="495"/>
      <c r="F106" s="496" t="str">
        <f>IFERROR(__xludf.DUMMYFUNCTION("""COMPUTED_VALUE"""),"4636 - 2026")</f>
        <v>4636 - 2026</v>
      </c>
      <c r="G106" s="495"/>
      <c r="H106" s="495"/>
      <c r="I106" s="495"/>
      <c r="J106" s="495" t="str">
        <f>IFERROR(__xludf.DUMMYFUNCTION("""COMPUTED_VALUE"""),"Campus San Juan Pablo II - CJP")</f>
        <v>Campus San Juan Pablo II - CJP</v>
      </c>
      <c r="K106" s="495" t="str">
        <f>IFERROR(__xludf.DUMMYFUNCTION("""COMPUTED_VALUE"""),"Exterior")</f>
        <v>Exterior</v>
      </c>
      <c r="L106" s="495" t="str">
        <f>IFERROR(__xludf.DUMMYFUNCTION("""COMPUTED_VALUE"""),"Flavia Oyarzún Soto")</f>
        <v>Flavia Oyarzún Soto</v>
      </c>
      <c r="M106" s="495" t="str">
        <f>IFERROR(__xludf.DUMMYFUNCTION("""COMPUTED_VALUE"""),"5.503.590-3")</f>
        <v>5.503.590-3</v>
      </c>
      <c r="N106" s="495" t="str">
        <f>IFERROR(__xludf.DUMMYFUNCTION("""COMPUTED_VALUE"""),"Roberto Lassalle Prado")</f>
        <v>Roberto Lassalle Prado</v>
      </c>
      <c r="O106" s="495" t="str">
        <f>IFERROR(__xludf.DUMMYFUNCTION("""COMPUTED_VALUE"""),"Mantenciones")</f>
        <v>Mantenciones</v>
      </c>
      <c r="P106" s="495" t="str">
        <f>IFERROR(__xludf.DUMMYFUNCTION("""COMPUTED_VALUE"""),"Alcantarillado")</f>
        <v>Alcantarillado</v>
      </c>
      <c r="Q106" s="495"/>
      <c r="R106" s="495"/>
      <c r="S106" s="495"/>
      <c r="T106" s="495"/>
      <c r="U106" s="495"/>
      <c r="V106" s="495" t="str">
        <f>IFERROR(__xludf.DUMMYFUNCTION("""COMPUTED_VALUE"""),"Reposición de cámara de alcantarillado con tapa")</f>
        <v>Reposición de cámara de alcantarillado con tapa</v>
      </c>
      <c r="W106" s="495" t="str">
        <f>IFERROR(__xludf.DUMMYFUNCTION("""COMPUTED_VALUE"""),"no hay")</f>
        <v>no hay</v>
      </c>
      <c r="X106" s="495" t="str">
        <f>IFERROR(__xludf.DUMMYFUNCTION("""COMPUTED_VALUE"""),"https://drive.google.com/open?id=11w_7bha3ycYj4wjDAq3X0gqntQlCsjYO, https://drive.google.com/open?id=1Z3308g_OcYOqNzyPYG_fdpL6PT__8Aeg")</f>
        <v>https://drive.google.com/open?id=11w_7bha3ycYj4wjDAq3X0gqntQlCsjYO, https://drive.google.com/open?id=1Z3308g_OcYOqNzyPYG_fdpL6PT__8Aeg</v>
      </c>
      <c r="Y106" s="495" t="str">
        <f>IFERROR(__xludf.DUMMYFUNCTION("""COMPUTED_VALUE"""),"roberto.lassalle@gmail.com")</f>
        <v>roberto.lassalle@gmail.com</v>
      </c>
      <c r="Z106" s="498">
        <f>IFERROR(__xludf.DUMMYFUNCTION("""COMPUTED_VALUE"""),315350.0)</f>
        <v>315350</v>
      </c>
      <c r="AA106" s="495"/>
      <c r="AB106" s="495"/>
      <c r="AC106" s="495"/>
      <c r="AD106" s="495" t="str">
        <f>IFERROR(__xludf.DUMMYFUNCTION("""COMPUTED_VALUE"""),"RC-248_26")</f>
        <v>RC-248_26</v>
      </c>
    </row>
    <row r="107">
      <c r="A107" s="495" t="str">
        <f t="shared" si="1"/>
        <v>RC-247_26</v>
      </c>
      <c r="B107" s="497">
        <f>IFERROR(__xludf.DUMMYFUNCTION("""COMPUTED_VALUE"""),46189.67592703704)</f>
        <v>46189.67593</v>
      </c>
      <c r="C107" s="495" t="str">
        <f>IFERROR(__xludf.DUMMYFUNCTION("""COMPUTED_VALUE"""),"")</f>
        <v/>
      </c>
      <c r="D107" s="495" t="str">
        <f>IFERROR(__xludf.DUMMYFUNCTION("""COMPUTED_VALUE"""),"Carol Huenchual Chañilao")</f>
        <v>Carol Huenchual Chañilao</v>
      </c>
      <c r="E107" s="495"/>
      <c r="F107" s="496" t="str">
        <f>IFERROR(__xludf.DUMMYFUNCTION("""COMPUTED_VALUE"""),"4635-2026")</f>
        <v>4635-2026</v>
      </c>
      <c r="G107" s="495"/>
      <c r="H107" s="495"/>
      <c r="I107" s="495"/>
      <c r="J107" s="495" t="str">
        <f>IFERROR(__xludf.DUMMYFUNCTION("""COMPUTED_VALUE"""),"Campus San Francisco - CSF")</f>
        <v>Campus San Francisco - CSF</v>
      </c>
      <c r="K107" s="495">
        <f>IFERROR(__xludf.DUMMYFUNCTION("""COMPUTED_VALUE"""),16.0)</f>
        <v>16</v>
      </c>
      <c r="L107" s="495" t="str">
        <f>IFERROR(__xludf.DUMMYFUNCTION("""COMPUTED_VALUE"""),"FCM Ingenieria Spa")</f>
        <v>FCM Ingenieria Spa</v>
      </c>
      <c r="M107" s="495" t="str">
        <f>IFERROR(__xludf.DUMMYFUNCTION("""COMPUTED_VALUE"""),"76.881.945-9")</f>
        <v>76.881.945-9</v>
      </c>
      <c r="N107" s="495" t="str">
        <f>IFERROR(__xludf.DUMMYFUNCTION("""COMPUTED_VALUE"""),"Marcelo Cruces Araneda, Ingeniero Mecánico.")</f>
        <v>Marcelo Cruces Araneda, Ingeniero Mecánico.</v>
      </c>
      <c r="O107" s="495" t="str">
        <f>IFERROR(__xludf.DUMMYFUNCTION("""COMPUTED_VALUE"""),"Mantenciones")</f>
        <v>Mantenciones</v>
      </c>
      <c r="P107" s="495" t="str">
        <f>IFERROR(__xludf.DUMMYFUNCTION("""COMPUTED_VALUE"""),"Requerimientos Emergentes e Imprevistos")</f>
        <v>Requerimientos Emergentes e Imprevistos</v>
      </c>
      <c r="Q107" s="495"/>
      <c r="R107" s="495"/>
      <c r="S107" s="495"/>
      <c r="T107" s="495"/>
      <c r="U107" s="495"/>
      <c r="V107" s="495" t="str">
        <f>IFERROR(__xludf.DUMMYFUNCTION("""COMPUTED_VALUE"""),"Reposición de circuito de calefacción central en piso -1 Edificio CSF16")</f>
        <v>Reposición de circuito de calefacción central en piso -1 Edificio CSF16</v>
      </c>
      <c r="W107" s="495"/>
      <c r="X107" s="495" t="str">
        <f>IFERROR(__xludf.DUMMYFUNCTION("""COMPUTED_VALUE"""),"https://drive.google.com/open?id=1UBsZ00yX5SFv9xQzP9h4CXES5Pdq9Cgk, https://drive.google.com/open?id=11CGTfFGorDzZqHhiX_7YhtwMtJMkmbxe, https://drive.google.com/open?id=1e4Rakwi8zLqXadxwPop2PQo07DFUyJhf, https://drive.google.com/open?id=11SDQ7BbeVd3bmywmC"&amp;"gfUQF9KNSCcQwRf")</f>
        <v>https://drive.google.com/open?id=1UBsZ00yX5SFv9xQzP9h4CXES5Pdq9Cgk, https://drive.google.com/open?id=11CGTfFGorDzZqHhiX_7YhtwMtJMkmbxe, https://drive.google.com/open?id=1e4Rakwi8zLqXadxwPop2PQo07DFUyJhf, https://drive.google.com/open?id=11SDQ7BbeVd3bmywmCgfUQF9KNSCcQwRf</v>
      </c>
      <c r="Y107" s="495" t="str">
        <f>IFERROR(__xludf.DUMMYFUNCTION("""COMPUTED_VALUE"""),"marcelocruces@fcmingenieria.cl")</f>
        <v>marcelocruces@fcmingenieria.cl</v>
      </c>
      <c r="Z107" s="498">
        <f>IFERROR(__xludf.DUMMYFUNCTION("""COMPUTED_VALUE"""),1963500.0)</f>
        <v>1963500</v>
      </c>
      <c r="AA107" s="495"/>
      <c r="AB107" s="495"/>
      <c r="AC107" s="495"/>
      <c r="AD107" s="495" t="str">
        <f>IFERROR(__xludf.DUMMYFUNCTION("""COMPUTED_VALUE"""),"RC-247_26")</f>
        <v>RC-247_26</v>
      </c>
    </row>
    <row r="108">
      <c r="A108" s="495" t="str">
        <f t="shared" si="1"/>
        <v>RC-074</v>
      </c>
      <c r="B108" s="497">
        <f>IFERROR(__xludf.DUMMYFUNCTION("""COMPUTED_VALUE"""),45987.52892435185)</f>
        <v>45987.52892</v>
      </c>
      <c r="C108" s="495" t="str">
        <f>IFERROR(__xludf.DUMMYFUNCTION("""COMPUTED_VALUE"""),"")</f>
        <v/>
      </c>
      <c r="D108" s="495" t="str">
        <f>IFERROR(__xludf.DUMMYFUNCTION("""COMPUTED_VALUE"""),"Juan Ignacio Solís de Ovando")</f>
        <v>Juan Ignacio Solís de Ovando</v>
      </c>
      <c r="E108" s="495"/>
      <c r="F108" s="496" t="str">
        <f>IFERROR(__xludf.DUMMYFUNCTION("""COMPUTED_VALUE"""),"11875 - 2025")</f>
        <v>11875 - 2025</v>
      </c>
      <c r="G108" s="495"/>
      <c r="H108" s="495"/>
      <c r="I108" s="495"/>
      <c r="J108" s="495" t="str">
        <f>IFERROR(__xludf.DUMMYFUNCTION("""COMPUTED_VALUE"""),"Campus San Francisco - CSF")</f>
        <v>Campus San Francisco - CSF</v>
      </c>
      <c r="K108" s="495" t="str">
        <f>IFERROR(__xludf.DUMMYFUNCTION("""COMPUTED_VALUE"""),"Sin número")</f>
        <v>Sin número</v>
      </c>
      <c r="L108" s="495" t="str">
        <f>IFERROR(__xludf.DUMMYFUNCTION("""COMPUTED_VALUE"""),"Constructora Ingtrapp Spa")</f>
        <v>Constructora Ingtrapp Spa</v>
      </c>
      <c r="M108" s="495" t="str">
        <f>IFERROR(__xludf.DUMMYFUNCTION("""COMPUTED_VALUE"""),"78.202.133-8")</f>
        <v>78.202.133-8</v>
      </c>
      <c r="N108" s="495" t="str">
        <f>IFERROR(__xludf.DUMMYFUNCTION("""COMPUTED_VALUE"""),"PATRICK GUTIÉRREZ - ENCARGADO DE OBRA")</f>
        <v>PATRICK GUTIÉRREZ - ENCARGADO DE OBRA</v>
      </c>
      <c r="O108" s="495" t="str">
        <f>IFERROR(__xludf.DUMMYFUNCTION("""COMPUTED_VALUE"""),"Obras")</f>
        <v>Obras</v>
      </c>
      <c r="P108" s="495"/>
      <c r="Q108" s="495"/>
      <c r="R108" s="495" t="str">
        <f>IFERROR(__xludf.DUMMYFUNCTION("""COMPUTED_VALUE"""),"Remodelación")</f>
        <v>Remodelación</v>
      </c>
      <c r="S108" s="495" t="str">
        <f>IFERROR(__xludf.DUMMYFUNCTION("""COMPUTED_VALUE"""),"Estado de Pago - EP")</f>
        <v>Estado de Pago - EP</v>
      </c>
      <c r="T108" s="495" t="str">
        <f>IFERROR(__xludf.DUMMYFUNCTION("""COMPUTED_VALUE"""),"0 (Anticipo)")</f>
        <v>0 (Anticipo)</v>
      </c>
      <c r="U108" s="498">
        <f>IFERROR(__xludf.DUMMYFUNCTION("""COMPUTED_VALUE"""),7310138.0)</f>
        <v>7310138</v>
      </c>
      <c r="V108" s="495" t="str">
        <f>IFERROR(__xludf.DUMMYFUNCTION("""COMPUTED_VALUE"""),"REMODELACIÓN HALL ATENCIÓN DE PÚBLICO EDIFICIO CAEP, CAMPUS SAN FRANCISCO ")</f>
        <v>REMODELACIÓN HALL ATENCIÓN DE PÚBLICO EDIFICIO CAEP, CAMPUS SAN FRANCISCO </v>
      </c>
      <c r="W108" s="495"/>
      <c r="X108" s="499" t="str">
        <f>IFERROR(__xludf.DUMMYFUNCTION("""COMPUTED_VALUE"""),"https://drive.google.com/open?id=1ij0pECFAjdj3KBlFVReEkB7h1VUpUmSR")</f>
        <v>https://drive.google.com/open?id=1ij0pECFAjdj3KBlFVReEkB7h1VUpUmSR</v>
      </c>
      <c r="Y108" s="495" t="str">
        <f>IFERROR(__xludf.DUMMYFUNCTION("""COMPUTED_VALUE"""),"constructoraingtrappspa@gmail.com")</f>
        <v>constructoraingtrappspa@gmail.com</v>
      </c>
      <c r="Z108" s="495"/>
      <c r="AA108" s="495"/>
      <c r="AB108" s="495"/>
      <c r="AC108" s="495"/>
      <c r="AD108" s="495" t="str">
        <f>IFERROR(__xludf.DUMMYFUNCTION("""COMPUTED_VALUE"""),"RC-074")</f>
        <v>RC-074</v>
      </c>
    </row>
    <row r="109">
      <c r="A109" s="495" t="str">
        <f t="shared" si="1"/>
        <v>RC-246_26</v>
      </c>
      <c r="B109" s="497">
        <f>IFERROR(__xludf.DUMMYFUNCTION("""COMPUTED_VALUE"""),46189.59819452546)</f>
        <v>46189.59819</v>
      </c>
      <c r="C109" s="495" t="str">
        <f>IFERROR(__xludf.DUMMYFUNCTION("""COMPUTED_VALUE"""),"")</f>
        <v/>
      </c>
      <c r="D109" s="495" t="str">
        <f>IFERROR(__xludf.DUMMYFUNCTION("""COMPUTED_VALUE"""),"Mauricio Matus Belmar")</f>
        <v>Mauricio Matus Belmar</v>
      </c>
      <c r="E109" s="495"/>
      <c r="F109" s="496" t="str">
        <f>IFERROR(__xludf.DUMMYFUNCTION("""COMPUTED_VALUE"""),"4633 - 2026")</f>
        <v>4633 - 2026</v>
      </c>
      <c r="G109" s="495"/>
      <c r="H109" s="495"/>
      <c r="I109" s="495"/>
      <c r="J109" s="495" t="str">
        <f>IFERROR(__xludf.DUMMYFUNCTION("""COMPUTED_VALUE"""),"Campus Dr. Luis Rivas del Canto - CRC")</f>
        <v>Campus Dr. Luis Rivas del Canto - CRC</v>
      </c>
      <c r="K109" s="495" t="str">
        <f>IFERROR(__xludf.DUMMYFUNCTION("""COMPUTED_VALUE"""),"07")</f>
        <v>07</v>
      </c>
      <c r="L109" s="495" t="str">
        <f>IFERROR(__xludf.DUMMYFUNCTION("""COMPUTED_VALUE"""),"Constructora IGECE Ltda.")</f>
        <v>Constructora IGECE Ltda.</v>
      </c>
      <c r="M109" s="495" t="str">
        <f>IFERROR(__xludf.DUMMYFUNCTION("""COMPUTED_VALUE"""),"76.878.824-3")</f>
        <v>76.878.824-3</v>
      </c>
      <c r="N109" s="495" t="str">
        <f>IFERROR(__xludf.DUMMYFUNCTION("""COMPUTED_VALUE"""),"Carlos Troncoso - Gerente General ")</f>
        <v>Carlos Troncoso - Gerente General </v>
      </c>
      <c r="O109" s="495" t="str">
        <f>IFERROR(__xludf.DUMMYFUNCTION("""COMPUTED_VALUE"""),"Mantenciones")</f>
        <v>Mantenciones</v>
      </c>
      <c r="P109" s="495" t="str">
        <f>IFERROR(__xludf.DUMMYFUNCTION("""COMPUTED_VALUE"""),"Cubiertas")</f>
        <v>Cubiertas</v>
      </c>
      <c r="Q109" s="495"/>
      <c r="R109" s="495"/>
      <c r="S109" s="495"/>
      <c r="T109" s="495"/>
      <c r="U109" s="495"/>
      <c r="V109" s="495" t="str">
        <f>IFERROR(__xludf.DUMMYFUNCTION("""COMPUTED_VALUE"""),"-Cambio Planchas Policarbonato: Retiro planchas policarbonato, instalación
membrana hidrofuga, instalación plancha zinc 0,4 mm espesor, fijación tornillo
techo, instalación hojalatería en todo el perímetro de lucarna, sellos poliuretano.")</f>
        <v>-Cambio Planchas Policarbonato: Retiro planchas policarbonato, instalación
membrana hidrofuga, instalación plancha zinc 0,4 mm espesor, fijación tornillo
techo, instalación hojalatería en todo el perímetro de lucarna, sellos poliuretano.</v>
      </c>
      <c r="W109" s="495"/>
      <c r="X109" s="495" t="str">
        <f>IFERROR(__xludf.DUMMYFUNCTION("""COMPUTED_VALUE"""),"https://drive.google.com/open?id=1QF9gcBbEvNQPM6cKDHUaef1whBrP--AL, https://drive.google.com/open?id=1fORJiRHbK3oGdQAz5T69zegbVC0iJoIA, https://drive.google.com/open?id=1rjvQLtzJlnk-6AxtK3MkNRrmWNSsY0KC, https://drive.google.com/open?id=1mkElr7eVrLUgXfdcB"&amp;"-3sf3AvRnLEPhrk")</f>
        <v>https://drive.google.com/open?id=1QF9gcBbEvNQPM6cKDHUaef1whBrP--AL, https://drive.google.com/open?id=1fORJiRHbK3oGdQAz5T69zegbVC0iJoIA, https://drive.google.com/open?id=1rjvQLtzJlnk-6AxtK3MkNRrmWNSsY0KC, https://drive.google.com/open?id=1mkElr7eVrLUgXfdcB-3sf3AvRnLEPhrk</v>
      </c>
      <c r="Y109" s="495" t="str">
        <f>IFERROR(__xludf.DUMMYFUNCTION("""COMPUTED_VALUE"""),"fabian.i.burgos.s@gmail.com")</f>
        <v>fabian.i.burgos.s@gmail.com</v>
      </c>
      <c r="Z109" s="498">
        <f>IFERROR(__xludf.DUMMYFUNCTION("""COMPUTED_VALUE"""),473620.0)</f>
        <v>473620</v>
      </c>
      <c r="AA109" s="495"/>
      <c r="AB109" s="495"/>
      <c r="AC109" s="495"/>
      <c r="AD109" s="495" t="str">
        <f>IFERROR(__xludf.DUMMYFUNCTION("""COMPUTED_VALUE"""),"RC-246_26")</f>
        <v>RC-246_26</v>
      </c>
    </row>
    <row r="110">
      <c r="A110" s="495" t="str">
        <f t="shared" si="1"/>
        <v>RC-245_26</v>
      </c>
      <c r="B110" s="497">
        <f>IFERROR(__xludf.DUMMYFUNCTION("""COMPUTED_VALUE"""),46188.70186282408)</f>
        <v>46188.70186</v>
      </c>
      <c r="C110" s="495" t="str">
        <f>IFERROR(__xludf.DUMMYFUNCTION("""COMPUTED_VALUE"""),"")</f>
        <v/>
      </c>
      <c r="D110" s="495" t="str">
        <f>IFERROR(__xludf.DUMMYFUNCTION("""COMPUTED_VALUE"""),"Oscar Painén Briones")</f>
        <v>Oscar Painén Briones</v>
      </c>
      <c r="E110" s="495"/>
      <c r="F110" s="496" t="str">
        <f>IFERROR(__xludf.DUMMYFUNCTION("""COMPUTED_VALUE"""),"3910 - 2026")</f>
        <v>3910 - 2026</v>
      </c>
      <c r="G110" s="495"/>
      <c r="H110" s="495"/>
      <c r="I110" s="495"/>
      <c r="J110" s="495" t="str">
        <f>IFERROR(__xludf.DUMMYFUNCTION("""COMPUTED_VALUE"""),"Campus San Juan Pablo II - CJP")</f>
        <v>Campus San Juan Pablo II - CJP</v>
      </c>
      <c r="K110" s="495" t="str">
        <f>IFERROR(__xludf.DUMMYFUNCTION("""COMPUTED_VALUE"""),"01")</f>
        <v>01</v>
      </c>
      <c r="L110" s="495" t="str">
        <f>IFERROR(__xludf.DUMMYFUNCTION("""COMPUTED_VALUE"""),"Gyg servisios spa")</f>
        <v>Gyg servisios spa</v>
      </c>
      <c r="M110" s="495" t="str">
        <f>IFERROR(__xludf.DUMMYFUNCTION("""COMPUTED_VALUE"""),"77.215.624-3")</f>
        <v>77.215.624-3</v>
      </c>
      <c r="N110" s="495" t="str">
        <f>IFERROR(__xludf.DUMMYFUNCTION("""COMPUTED_VALUE"""),"Gustavo Fuentes - Supervisor técnico")</f>
        <v>Gustavo Fuentes - Supervisor técnico</v>
      </c>
      <c r="O110" s="495" t="str">
        <f>IFERROR(__xludf.DUMMYFUNCTION("""COMPUTED_VALUE"""),"Mantenciones")</f>
        <v>Mantenciones</v>
      </c>
      <c r="P110" s="495" t="str">
        <f>IFERROR(__xludf.DUMMYFUNCTION("""COMPUTED_VALUE"""),"Instalaciones Eléctricas")</f>
        <v>Instalaciones Eléctricas</v>
      </c>
      <c r="Q110" s="495"/>
      <c r="R110" s="495"/>
      <c r="S110" s="495"/>
      <c r="T110" s="495"/>
      <c r="U110" s="495"/>
      <c r="V110" s="495" t="str">
        <f>IFERROR(__xludf.DUMMYFUNCTION("""COMPUTED_VALUE"""),"Desconexión para retenedores magnéticos")</f>
        <v>Desconexión para retenedores magnéticos</v>
      </c>
      <c r="W110" s="495"/>
      <c r="X110" s="499" t="str">
        <f>IFERROR(__xludf.DUMMYFUNCTION("""COMPUTED_VALUE"""),"https://drive.google.com/open?id=1uMj57h3gyxogF3-BvlNY9XosplIvwhBM")</f>
        <v>https://drive.google.com/open?id=1uMj57h3gyxogF3-BvlNY9XosplIvwhBM</v>
      </c>
      <c r="Y110" s="495" t="str">
        <f>IFERROR(__xludf.DUMMYFUNCTION("""COMPUTED_VALUE"""),"contacto@gygtecnologias.com")</f>
        <v>contacto@gygtecnologias.com</v>
      </c>
      <c r="Z110" s="498">
        <f>IFERROR(__xludf.DUMMYFUNCTION("""COMPUTED_VALUE"""),130900.0)</f>
        <v>130900</v>
      </c>
      <c r="AA110" s="495"/>
      <c r="AB110" s="495"/>
      <c r="AC110" s="495"/>
      <c r="AD110" s="495" t="str">
        <f>IFERROR(__xludf.DUMMYFUNCTION("""COMPUTED_VALUE"""),"RC-245_26")</f>
        <v>RC-245_26</v>
      </c>
    </row>
    <row r="111">
      <c r="A111" s="495" t="str">
        <f t="shared" si="1"/>
        <v>RC-243_26</v>
      </c>
      <c r="B111" s="497">
        <f>IFERROR(__xludf.DUMMYFUNCTION("""COMPUTED_VALUE"""),46185.65170923611)</f>
        <v>46185.65171</v>
      </c>
      <c r="C111" s="495" t="str">
        <f>IFERROR(__xludf.DUMMYFUNCTION("""COMPUTED_VALUE"""),"")</f>
        <v/>
      </c>
      <c r="D111" s="495" t="str">
        <f>IFERROR(__xludf.DUMMYFUNCTION("""COMPUTED_VALUE"""),"Mauricio Matus Belmar")</f>
        <v>Mauricio Matus Belmar</v>
      </c>
      <c r="E111" s="495"/>
      <c r="F111" s="496" t="str">
        <f>IFERROR(__xludf.DUMMYFUNCTION("""COMPUTED_VALUE"""),"4151-2026")</f>
        <v>4151-2026</v>
      </c>
      <c r="G111" s="495"/>
      <c r="H111" s="495"/>
      <c r="I111" s="495"/>
      <c r="J111" s="495" t="str">
        <f>IFERROR(__xludf.DUMMYFUNCTION("""COMPUTED_VALUE"""),"Campus Dr. Luis Rivas del Canto - CRC")</f>
        <v>Campus Dr. Luis Rivas del Canto - CRC</v>
      </c>
      <c r="K111" s="495">
        <f>IFERROR(__xludf.DUMMYFUNCTION("""COMPUTED_VALUE"""),17.0)</f>
        <v>17</v>
      </c>
      <c r="L111" s="495" t="str">
        <f>IFERROR(__xludf.DUMMYFUNCTION("""COMPUTED_VALUE"""),"Inversiones y Constructora JBG SpA ")</f>
        <v>Inversiones y Constructora JBG SpA </v>
      </c>
      <c r="M111" s="495" t="str">
        <f>IFERROR(__xludf.DUMMYFUNCTION("""COMPUTED_VALUE"""),"77.119.724-8")</f>
        <v>77.119.724-8</v>
      </c>
      <c r="N111" s="495" t="str">
        <f>IFERROR(__xludf.DUMMYFUNCTION("""COMPUTED_VALUE"""),"Jorge Barra G./ gerente operaciones ")</f>
        <v>Jorge Barra G./ gerente operaciones </v>
      </c>
      <c r="O111" s="495" t="str">
        <f>IFERROR(__xludf.DUMMYFUNCTION("""COMPUTED_VALUE"""),"Mantenciones")</f>
        <v>Mantenciones</v>
      </c>
      <c r="P111" s="495" t="str">
        <f>IFERROR(__xludf.DUMMYFUNCTION("""COMPUTED_VALUE"""),"Requerimientos Emergentes e Imprevistos")</f>
        <v>Requerimientos Emergentes e Imprevistos</v>
      </c>
      <c r="Q111" s="495"/>
      <c r="R111" s="495"/>
      <c r="S111" s="495"/>
      <c r="T111" s="495"/>
      <c r="U111" s="495"/>
      <c r="V111" s="495" t="str">
        <f>IFERROR(__xludf.DUMMYFUNCTION("""COMPUTED_VALUE"""),"Sellados filtracion goteras ")</f>
        <v>Sellados filtracion goteras </v>
      </c>
      <c r="W111" s="495" t="str">
        <f>IFERROR(__xludf.DUMMYFUNCTION("""COMPUTED_VALUE"""),"Se debería realizar cambios de tragaluz porque están quemadas por clima y fatiga de material ya cumplieron vida util")</f>
        <v>Se debería realizar cambios de tragaluz porque están quemadas por clima y fatiga de material ya cumplieron vida util</v>
      </c>
      <c r="X111" s="495" t="str">
        <f>IFERROR(__xludf.DUMMYFUNCTION("""COMPUTED_VALUE"""),"https://drive.google.com/open?id=1DyyoWSyRR1rtA86JFNthKpv-_lVOCBvZ, https://drive.google.com/open?id=1wM0K4aaouNROHvkt2M8dIVxdNtiO-NZ7")</f>
        <v>https://drive.google.com/open?id=1DyyoWSyRR1rtA86JFNthKpv-_lVOCBvZ, https://drive.google.com/open?id=1wM0K4aaouNROHvkt2M8dIVxdNtiO-NZ7</v>
      </c>
      <c r="Y111" s="495" t="str">
        <f>IFERROR(__xludf.DUMMYFUNCTION("""COMPUTED_VALUE"""),"constructorajbg@gmail.com")</f>
        <v>constructorajbg@gmail.com</v>
      </c>
      <c r="Z111" s="498">
        <f>IFERROR(__xludf.DUMMYFUNCTION("""COMPUTED_VALUE"""),446250.0)</f>
        <v>446250</v>
      </c>
      <c r="AA111" s="495"/>
      <c r="AB111" s="495"/>
      <c r="AC111" s="495"/>
      <c r="AD111" s="495" t="str">
        <f>IFERROR(__xludf.DUMMYFUNCTION("""COMPUTED_VALUE"""),"RC-243_26")</f>
        <v>RC-243_26</v>
      </c>
    </row>
    <row r="112">
      <c r="A112" s="495" t="str">
        <f t="shared" si="1"/>
        <v>RC-241_26</v>
      </c>
      <c r="B112" s="497">
        <f>IFERROR(__xludf.DUMMYFUNCTION("""COMPUTED_VALUE"""),46185.46376265046)</f>
        <v>46185.46376</v>
      </c>
      <c r="C112" s="495" t="str">
        <f>IFERROR(__xludf.DUMMYFUNCTION("""COMPUTED_VALUE"""),"")</f>
        <v/>
      </c>
      <c r="D112" s="495" t="str">
        <f>IFERROR(__xludf.DUMMYFUNCTION("""COMPUTED_VALUE"""),"Juan Ignacio Solís de Ovando")</f>
        <v>Juan Ignacio Solís de Ovando</v>
      </c>
      <c r="E112" s="495"/>
      <c r="F112" s="496" t="str">
        <f>IFERROR(__xludf.DUMMYFUNCTION("""COMPUTED_VALUE"""),"4533-2026")</f>
        <v>4533-2026</v>
      </c>
      <c r="G112" s="495"/>
      <c r="H112" s="495"/>
      <c r="I112" s="495"/>
      <c r="J112" s="495" t="str">
        <f>IFERROR(__xludf.DUMMYFUNCTION("""COMPUTED_VALUE"""),"Campus Dr. Luis Rivas del Canto - CRC")</f>
        <v>Campus Dr. Luis Rivas del Canto - CRC</v>
      </c>
      <c r="K112" s="495" t="str">
        <f>IFERROR(__xludf.DUMMYFUNCTION("""COMPUTED_VALUE"""),"Exterior")</f>
        <v>Exterior</v>
      </c>
      <c r="L112" s="495" t="str">
        <f>IFERROR(__xludf.DUMMYFUNCTION("""COMPUTED_VALUE"""),"LSA INGENIERIA Y CONSTRUCCION EIRL")</f>
        <v>LSA INGENIERIA Y CONSTRUCCION EIRL</v>
      </c>
      <c r="M112" s="495" t="str">
        <f>IFERROR(__xludf.DUMMYFUNCTION("""COMPUTED_VALUE"""),"76.219.281-0")</f>
        <v>76.219.281-0</v>
      </c>
      <c r="N112" s="495" t="str">
        <f>IFERROR(__xludf.DUMMYFUNCTION("""COMPUTED_VALUE"""),"CLAUDIA SANZANA SAEZ")</f>
        <v>CLAUDIA SANZANA SAEZ</v>
      </c>
      <c r="O112" s="495" t="str">
        <f>IFERROR(__xludf.DUMMYFUNCTION("""COMPUTED_VALUE"""),"Mantenciones")</f>
        <v>Mantenciones</v>
      </c>
      <c r="P112" s="495" t="str">
        <f>IFERROR(__xludf.DUMMYFUNCTION("""COMPUTED_VALUE"""),"Instalaciones de Agua Potable")</f>
        <v>Instalaciones de Agua Potable</v>
      </c>
      <c r="Q112" s="495"/>
      <c r="R112" s="495"/>
      <c r="S112" s="495"/>
      <c r="T112" s="495"/>
      <c r="U112" s="495"/>
      <c r="V112" s="495" t="str">
        <f>IFERROR(__xludf.DUMMYFUNCTION("""COMPUTED_VALUE"""),"CAMBIO DE BOMBA Y REEMPLAZO DE ASPERSORES")</f>
        <v>CAMBIO DE BOMBA Y REEMPLAZO DE ASPERSORES</v>
      </c>
      <c r="W112" s="495"/>
      <c r="X112" s="495" t="str">
        <f>IFERROR(__xludf.DUMMYFUNCTION("""COMPUTED_VALUE"""),"https://drive.google.com/open?id=1z05jkNZlEw_h-0git4aEnyHuYphdrEMi, https://drive.google.com/open?id=1C2IAGFduWTvOhD3e6CYLzacCJ7qSxc_q, https://drive.google.com/open?id=1Q_qGseOiFb-8Z7BTAlmqqMnM-I3GMOjm, https://drive.google.com/open?id=13BLySF0jRoo_wY4bi"&amp;"cjJdB_e0pyQ8p_1, https://drive.google.com/open?id=1VcNKlf28ecLo5yKO7BWdu7zYcKcKgeoU")</f>
        <v>https://drive.google.com/open?id=1z05jkNZlEw_h-0git4aEnyHuYphdrEMi, https://drive.google.com/open?id=1C2IAGFduWTvOhD3e6CYLzacCJ7qSxc_q, https://drive.google.com/open?id=1Q_qGseOiFb-8Z7BTAlmqqMnM-I3GMOjm, https://drive.google.com/open?id=13BLySF0jRoo_wY4bicjJdB_e0pyQ8p_1, https://drive.google.com/open?id=1VcNKlf28ecLo5yKO7BWdu7zYcKcKgeoU</v>
      </c>
      <c r="Y112" s="495" t="str">
        <f>IFERROR(__xludf.DUMMYFUNCTION("""COMPUTED_VALUE"""),"claudiasanzana@lsaingenieria.cl")</f>
        <v>claudiasanzana@lsaingenieria.cl</v>
      </c>
      <c r="Z112" s="498">
        <f>IFERROR(__xludf.DUMMYFUNCTION("""COMPUTED_VALUE"""),718141.0)</f>
        <v>718141</v>
      </c>
      <c r="AA112" s="495"/>
      <c r="AB112" s="495"/>
      <c r="AC112" s="495"/>
      <c r="AD112" s="495" t="str">
        <f>IFERROR(__xludf.DUMMYFUNCTION("""COMPUTED_VALUE"""),"RC-241_26")</f>
        <v>RC-241_26</v>
      </c>
    </row>
    <row r="113">
      <c r="A113" s="495" t="str">
        <f t="shared" si="1"/>
        <v>RC-239_26</v>
      </c>
      <c r="B113" s="497">
        <f>IFERROR(__xludf.DUMMYFUNCTION("""COMPUTED_VALUE"""),46184.727650810186)</f>
        <v>46184.72765</v>
      </c>
      <c r="C113" s="495" t="str">
        <f>IFERROR(__xludf.DUMMYFUNCTION("""COMPUTED_VALUE"""),"")</f>
        <v/>
      </c>
      <c r="D113" s="495" t="str">
        <f>IFERROR(__xludf.DUMMYFUNCTION("""COMPUTED_VALUE"""),"Arturo Meza Vega")</f>
        <v>Arturo Meza Vega</v>
      </c>
      <c r="E113" s="495"/>
      <c r="F113" s="496" t="str">
        <f>IFERROR(__xludf.DUMMYFUNCTION("""COMPUTED_VALUE"""),"4190 - 2026")</f>
        <v>4190 - 2026</v>
      </c>
      <c r="G113" s="495"/>
      <c r="H113" s="495"/>
      <c r="I113" s="495"/>
      <c r="J113" s="495" t="str">
        <f>IFERROR(__xludf.DUMMYFUNCTION("""COMPUTED_VALUE"""),"Campus Dr. Luis Rivas del Canto - CRC")</f>
        <v>Campus Dr. Luis Rivas del Canto - CRC</v>
      </c>
      <c r="K113" s="495" t="str">
        <f>IFERROR(__xludf.DUMMYFUNCTION("""COMPUTED_VALUE"""),"01")</f>
        <v>01</v>
      </c>
      <c r="L113" s="495" t="str">
        <f>IFERROR(__xludf.DUMMYFUNCTION("""COMPUTED_VALUE"""),"Gyg servicios spa")</f>
        <v>Gyg servicios spa</v>
      </c>
      <c r="M113" s="495" t="str">
        <f>IFERROR(__xludf.DUMMYFUNCTION("""COMPUTED_VALUE"""),"77.215.624-3")</f>
        <v>77.215.624-3</v>
      </c>
      <c r="N113" s="495" t="str">
        <f>IFERROR(__xludf.DUMMYFUNCTION("""COMPUTED_VALUE"""),"Gustavo Fuentes")</f>
        <v>Gustavo Fuentes</v>
      </c>
      <c r="O113" s="495" t="str">
        <f>IFERROR(__xludf.DUMMYFUNCTION("""COMPUTED_VALUE"""),"Mantenciones")</f>
        <v>Mantenciones</v>
      </c>
      <c r="P113" s="495" t="str">
        <f>IFERROR(__xludf.DUMMYFUNCTION("""COMPUTED_VALUE"""),"Instalaciones Eléctricas")</f>
        <v>Instalaciones Eléctricas</v>
      </c>
      <c r="Q113" s="495"/>
      <c r="R113" s="495"/>
      <c r="S113" s="495"/>
      <c r="T113" s="495"/>
      <c r="U113" s="495"/>
      <c r="V113" s="495" t="str">
        <f>IFERROR(__xludf.DUMMYFUNCTION("""COMPUTED_VALUE"""),"Reubicación Ups ")</f>
        <v>Reubicación Ups </v>
      </c>
      <c r="W113" s="495"/>
      <c r="X113" s="495" t="str">
        <f>IFERROR(__xludf.DUMMYFUNCTION("""COMPUTED_VALUE"""),"https://drive.google.com/open?id=14Yd_-wTpjaYj068_tdD5Rby56nEvm579, https://drive.google.com/open?id=1HM1UYiObYL1AE7LsDKIi2jS1n79HESme, https://drive.google.com/open?id=1FSTVpbMgyFE8WBozYj80MpUxPxyO3mGh, https://drive.google.com/open?id=1lXPOynaOo8VYSlLS0"&amp;"dVXr27VkN25_Qd-")</f>
        <v>https://drive.google.com/open?id=14Yd_-wTpjaYj068_tdD5Rby56nEvm579, https://drive.google.com/open?id=1HM1UYiObYL1AE7LsDKIi2jS1n79HESme, https://drive.google.com/open?id=1FSTVpbMgyFE8WBozYj80MpUxPxyO3mGh, https://drive.google.com/open?id=1lXPOynaOo8VYSlLS0dVXr27VkN25_Qd-</v>
      </c>
      <c r="Y113" s="495" t="str">
        <f>IFERROR(__xludf.DUMMYFUNCTION("""COMPUTED_VALUE"""),"contacto@gygtecnologias.com")</f>
        <v>contacto@gygtecnologias.com</v>
      </c>
      <c r="Z113" s="498">
        <f>IFERROR(__xludf.DUMMYFUNCTION("""COMPUTED_VALUE"""),797300.0)</f>
        <v>797300</v>
      </c>
      <c r="AA113" s="495"/>
      <c r="AB113" s="495"/>
      <c r="AC113" s="495"/>
      <c r="AD113" s="495" t="str">
        <f>IFERROR(__xludf.DUMMYFUNCTION("""COMPUTED_VALUE"""),"RC-239_26")</f>
        <v>RC-239_26</v>
      </c>
    </row>
    <row r="114">
      <c r="A114" s="495" t="str">
        <f t="shared" si="1"/>
        <v>RC-080</v>
      </c>
      <c r="B114" s="497">
        <f>IFERROR(__xludf.DUMMYFUNCTION("""COMPUTED_VALUE"""),45988.66411518518)</f>
        <v>45988.66412</v>
      </c>
      <c r="C114" s="495" t="str">
        <f>IFERROR(__xludf.DUMMYFUNCTION("""COMPUTED_VALUE"""),"")</f>
        <v/>
      </c>
      <c r="D114" s="495" t="str">
        <f>IFERROR(__xludf.DUMMYFUNCTION("""COMPUTED_VALUE"""),"Juan Ignacio Solís de Ovando")</f>
        <v>Juan Ignacio Solís de Ovando</v>
      </c>
      <c r="E114" s="495"/>
      <c r="F114" s="496" t="str">
        <f>IFERROR(__xludf.DUMMYFUNCTION("""COMPUTED_VALUE"""),"8022 - 2025")</f>
        <v>8022 - 2025</v>
      </c>
      <c r="G114" s="495"/>
      <c r="H114" s="495"/>
      <c r="I114" s="495"/>
      <c r="J114" s="495" t="str">
        <f>IFERROR(__xludf.DUMMYFUNCTION("""COMPUTED_VALUE"""),"Campus Dr. Luis Rivas del Canto - CRC")</f>
        <v>Campus Dr. Luis Rivas del Canto - CRC</v>
      </c>
      <c r="K114" s="495" t="str">
        <f>IFERROR(__xludf.DUMMYFUNCTION("""COMPUTED_VALUE"""),"Sin número")</f>
        <v>Sin número</v>
      </c>
      <c r="L114" s="495" t="str">
        <f>IFERROR(__xludf.DUMMYFUNCTION("""COMPUTED_VALUE"""),"LSA INGENIERIA Y CONSTRUCCION EIRL")</f>
        <v>LSA INGENIERIA Y CONSTRUCCION EIRL</v>
      </c>
      <c r="M114" s="495" t="str">
        <f>IFERROR(__xludf.DUMMYFUNCTION("""COMPUTED_VALUE"""),"76.219.281-0")</f>
        <v>76.219.281-0</v>
      </c>
      <c r="N114" s="495" t="str">
        <f>IFERROR(__xludf.DUMMYFUNCTION("""COMPUTED_VALUE"""),"CLAUDIA SANZANA, ADMINISTRADOR DE OBRA")</f>
        <v>CLAUDIA SANZANA, ADMINISTRADOR DE OBRA</v>
      </c>
      <c r="O114" s="495" t="str">
        <f>IFERROR(__xludf.DUMMYFUNCTION("""COMPUTED_VALUE"""),"Obras")</f>
        <v>Obras</v>
      </c>
      <c r="P114" s="495"/>
      <c r="Q114" s="495"/>
      <c r="R114" s="495" t="str">
        <f>IFERROR(__xludf.DUMMYFUNCTION("""COMPUTED_VALUE"""),"Nuevo Edificio")</f>
        <v>Nuevo Edificio</v>
      </c>
      <c r="S114" s="495" t="str">
        <f>IFERROR(__xludf.DUMMYFUNCTION("""COMPUTED_VALUE"""),"Estado de Pago - EP")</f>
        <v>Estado de Pago - EP</v>
      </c>
      <c r="T114" s="495">
        <f>IFERROR(__xludf.DUMMYFUNCTION("""COMPUTED_VALUE"""),16.0)</f>
        <v>16</v>
      </c>
      <c r="U114" s="498">
        <f>IFERROR(__xludf.DUMMYFUNCTION("""COMPUTED_VALUE"""),1.84685827E8)</f>
        <v>184685827</v>
      </c>
      <c r="V114" s="495" t="str">
        <f>IFERROR(__xludf.DUMMYFUNCTION("""COMPUTED_VALUE"""),"AVANCE CONSTRUCCION EDIFICIO TEC")</f>
        <v>AVANCE CONSTRUCCION EDIFICIO TEC</v>
      </c>
      <c r="W114" s="495"/>
      <c r="X114" s="495" t="str">
        <f>IFERROR(__xludf.DUMMYFUNCTION("""COMPUTED_VALUE"""),"https://drive.google.com/open?id=1E6DVPtrXHGJPxKXqibrOSHkTAU8-X5QV, https://drive.google.com/open?id=14dEYoQSFUuVsWJlNYw0w5qim8bt4B4jZ, https://drive.google.com/open?id=1hWLKcZw6AUwoq8rLX54zgUiA_br0mCCL, https://drive.google.com/open?id=1zU5FkJ2kZDqCYoO2H"&amp;"KvXjImYdXWfxu0n, https://drive.google.com/open?id=1MFBDSovvx0B5lqLtQoW8ooTdvMqYF12q")</f>
        <v>https://drive.google.com/open?id=1E6DVPtrXHGJPxKXqibrOSHkTAU8-X5QV, https://drive.google.com/open?id=14dEYoQSFUuVsWJlNYw0w5qim8bt4B4jZ, https://drive.google.com/open?id=1hWLKcZw6AUwoq8rLX54zgUiA_br0mCCL, https://drive.google.com/open?id=1zU5FkJ2kZDqCYoO2HKvXjImYdXWfxu0n, https://drive.google.com/open?id=1MFBDSovvx0B5lqLtQoW8ooTdvMqYF12q</v>
      </c>
      <c r="Y114" s="495" t="str">
        <f>IFERROR(__xludf.DUMMYFUNCTION("""COMPUTED_VALUE"""),"claudiasanzana@lsaingenieria.cl")</f>
        <v>claudiasanzana@lsaingenieria.cl</v>
      </c>
      <c r="Z114" s="495"/>
      <c r="AA114" s="495"/>
      <c r="AB114" s="495"/>
      <c r="AC114" s="495"/>
      <c r="AD114" s="495" t="str">
        <f>IFERROR(__xludf.DUMMYFUNCTION("""COMPUTED_VALUE"""),"RC-080")</f>
        <v>RC-080</v>
      </c>
    </row>
    <row r="115">
      <c r="A115" s="495" t="str">
        <f t="shared" si="1"/>
        <v>RC-081</v>
      </c>
      <c r="B115" s="497">
        <f>IFERROR(__xludf.DUMMYFUNCTION("""COMPUTED_VALUE"""),45988.66609944444)</f>
        <v>45988.6661</v>
      </c>
      <c r="C115" s="495" t="str">
        <f>IFERROR(__xludf.DUMMYFUNCTION("""COMPUTED_VALUE"""),"")</f>
        <v/>
      </c>
      <c r="D115" s="495" t="str">
        <f>IFERROR(__xludf.DUMMYFUNCTION("""COMPUTED_VALUE"""),"Juan Ignacio Solís de Ovando")</f>
        <v>Juan Ignacio Solís de Ovando</v>
      </c>
      <c r="E115" s="495"/>
      <c r="F115" s="496" t="str">
        <f>IFERROR(__xludf.DUMMYFUNCTION("""COMPUTED_VALUE"""),"9031 -2025")</f>
        <v>9031 -2025</v>
      </c>
      <c r="G115" s="495"/>
      <c r="H115" s="495"/>
      <c r="I115" s="495"/>
      <c r="J115" s="495" t="str">
        <f>IFERROR(__xludf.DUMMYFUNCTION("""COMPUTED_VALUE"""),"Campus Dr. Luis Rivas del Canto - CRC")</f>
        <v>Campus Dr. Luis Rivas del Canto - CRC</v>
      </c>
      <c r="K115" s="495" t="str">
        <f>IFERROR(__xludf.DUMMYFUNCTION("""COMPUTED_VALUE"""),"Sin número")</f>
        <v>Sin número</v>
      </c>
      <c r="L115" s="495" t="str">
        <f>IFERROR(__xludf.DUMMYFUNCTION("""COMPUTED_VALUE"""),"LSA INGENIERIA Y CONSTRUCCION EIRL")</f>
        <v>LSA INGENIERIA Y CONSTRUCCION EIRL</v>
      </c>
      <c r="M115" s="495" t="str">
        <f>IFERROR(__xludf.DUMMYFUNCTION("""COMPUTED_VALUE"""),"76.219.281-0")</f>
        <v>76.219.281-0</v>
      </c>
      <c r="N115" s="495" t="str">
        <f>IFERROR(__xludf.DUMMYFUNCTION("""COMPUTED_VALUE"""),"CLAUDIA SANZANA, ADMINISTRADOR DE OBRA")</f>
        <v>CLAUDIA SANZANA, ADMINISTRADOR DE OBRA</v>
      </c>
      <c r="O115" s="495" t="str">
        <f>IFERROR(__xludf.DUMMYFUNCTION("""COMPUTED_VALUE"""),"Obras")</f>
        <v>Obras</v>
      </c>
      <c r="P115" s="495"/>
      <c r="Q115" s="495"/>
      <c r="R115" s="495" t="str">
        <f>IFERROR(__xludf.DUMMYFUNCTION("""COMPUTED_VALUE"""),"Nuevo Edificio")</f>
        <v>Nuevo Edificio</v>
      </c>
      <c r="S115" s="495" t="str">
        <f>IFERROR(__xludf.DUMMYFUNCTION("""COMPUTED_VALUE"""),"Estado de Pago - EP")</f>
        <v>Estado de Pago - EP</v>
      </c>
      <c r="T115" s="495">
        <f>IFERROR(__xludf.DUMMYFUNCTION("""COMPUTED_VALUE"""),3.0)</f>
        <v>3</v>
      </c>
      <c r="U115" s="498">
        <f>IFERROR(__xludf.DUMMYFUNCTION("""COMPUTED_VALUE"""),8.985809E7)</f>
        <v>89858090</v>
      </c>
      <c r="V115" s="495" t="str">
        <f>IFERROR(__xludf.DUMMYFUNCTION("""COMPUTED_VALUE"""),"AVANCE EN TRABAJOS DETALLADOS EN ADICIONAL N°1")</f>
        <v>AVANCE EN TRABAJOS DETALLADOS EN ADICIONAL N°1</v>
      </c>
      <c r="W115" s="495"/>
      <c r="X115" s="495" t="str">
        <f>IFERROR(__xludf.DUMMYFUNCTION("""COMPUTED_VALUE"""),"https://drive.google.com/open?id=1J6rlV9qOqpVASUEnAgMfDRTr7PA4sMFt, https://drive.google.com/open?id=1r6ZM2MnkH2xDu00q63G_WpxvRlgpad0L, https://drive.google.com/open?id=1xqU_O7TjiWXPf4gi3W-_w4M_gDmz7kIo, https://drive.google.com/open?id=1Tez7mW5U5fuJsEYkq"&amp;"GZM0tq48quY_LIg, https://drive.google.com/open?id=1KvggWF3uw47P89ukcR0t8R8ds2HoeUTn")</f>
        <v>https://drive.google.com/open?id=1J6rlV9qOqpVASUEnAgMfDRTr7PA4sMFt, https://drive.google.com/open?id=1r6ZM2MnkH2xDu00q63G_WpxvRlgpad0L, https://drive.google.com/open?id=1xqU_O7TjiWXPf4gi3W-_w4M_gDmz7kIo, https://drive.google.com/open?id=1Tez7mW5U5fuJsEYkqGZM0tq48quY_LIg, https://drive.google.com/open?id=1KvggWF3uw47P89ukcR0t8R8ds2HoeUTn</v>
      </c>
      <c r="Y115" s="495" t="str">
        <f>IFERROR(__xludf.DUMMYFUNCTION("""COMPUTED_VALUE"""),"claudiasanzana@lsaingenieria.cl")</f>
        <v>claudiasanzana@lsaingenieria.cl</v>
      </c>
      <c r="Z115" s="495"/>
      <c r="AA115" s="495"/>
      <c r="AB115" s="495"/>
      <c r="AC115" s="495"/>
      <c r="AD115" s="495" t="str">
        <f>IFERROR(__xludf.DUMMYFUNCTION("""COMPUTED_VALUE"""),"RC-081")</f>
        <v>RC-081</v>
      </c>
    </row>
    <row r="116">
      <c r="A116" s="495" t="str">
        <f t="shared" si="1"/>
        <v>RC-238_26</v>
      </c>
      <c r="B116" s="497">
        <f>IFERROR(__xludf.DUMMYFUNCTION("""COMPUTED_VALUE"""),46182.649805625)</f>
        <v>46182.64981</v>
      </c>
      <c r="C116" s="495" t="str">
        <f>IFERROR(__xludf.DUMMYFUNCTION("""COMPUTED_VALUE"""),"")</f>
        <v/>
      </c>
      <c r="D116" s="495" t="str">
        <f>IFERROR(__xludf.DUMMYFUNCTION("""COMPUTED_VALUE"""),"Leonor Ríos Morales")</f>
        <v>Leonor Ríos Morales</v>
      </c>
      <c r="E116" s="495"/>
      <c r="F116" s="496" t="str">
        <f>IFERROR(__xludf.DUMMYFUNCTION("""COMPUTED_VALUE"""),"4097 - 2026")</f>
        <v>4097 - 2026</v>
      </c>
      <c r="G116" s="495"/>
      <c r="H116" s="495"/>
      <c r="I116" s="495"/>
      <c r="J116" s="495" t="str">
        <f>IFERROR(__xludf.DUMMYFUNCTION("""COMPUTED_VALUE"""),"Campus San Juan Pablo II - CJP")</f>
        <v>Campus San Juan Pablo II - CJP</v>
      </c>
      <c r="K116" s="495" t="str">
        <f>IFERROR(__xludf.DUMMYFUNCTION("""COMPUTED_VALUE"""),"Sin número")</f>
        <v>Sin número</v>
      </c>
      <c r="L116" s="495" t="str">
        <f>IFERROR(__xludf.DUMMYFUNCTION("""COMPUTED_VALUE"""),"Flavia Oyarzun Soto")</f>
        <v>Flavia Oyarzun Soto</v>
      </c>
      <c r="M116" s="495" t="str">
        <f>IFERROR(__xludf.DUMMYFUNCTION("""COMPUTED_VALUE"""),"5.503.590-3")</f>
        <v>5.503.590-3</v>
      </c>
      <c r="N116" s="495" t="str">
        <f>IFERROR(__xludf.DUMMYFUNCTION("""COMPUTED_VALUE"""),"Roberto Lassalle Prado")</f>
        <v>Roberto Lassalle Prado</v>
      </c>
      <c r="O116" s="495" t="str">
        <f>IFERROR(__xludf.DUMMYFUNCTION("""COMPUTED_VALUE"""),"Mantenciones")</f>
        <v>Mantenciones</v>
      </c>
      <c r="P116" s="495" t="str">
        <f>IFERROR(__xludf.DUMMYFUNCTION("""COMPUTED_VALUE"""),"Requerimientos Emergentes e Imprevistos")</f>
        <v>Requerimientos Emergentes e Imprevistos</v>
      </c>
      <c r="Q116" s="495"/>
      <c r="R116" s="495"/>
      <c r="S116" s="495"/>
      <c r="T116" s="495"/>
      <c r="U116" s="495"/>
      <c r="V116" s="495" t="str">
        <f>IFERROR(__xludf.DUMMYFUNCTION("""COMPUTED_VALUE"""),"Pintura en cielos, Provisión e instalación de extractores y un mueble metálico")</f>
        <v>Pintura en cielos, Provisión e instalación de extractores y un mueble metálico</v>
      </c>
      <c r="W116" s="495" t="str">
        <f>IFERROR(__xludf.DUMMYFUNCTION("""COMPUTED_VALUE"""),"no hay")</f>
        <v>no hay</v>
      </c>
      <c r="X116" s="495" t="str">
        <f>IFERROR(__xludf.DUMMYFUNCTION("""COMPUTED_VALUE"""),"https://drive.google.com/open?id=1kA3bZsONIlKnTtQt_uvlz5Gu6ZZsQSRW, https://drive.google.com/open?id=1YkjvaMLKwhVt72fou0LMKQVkx_Nb2T2f, https://drive.google.com/open?id=13ePjqyyFIIsfUHm-HFy1VhFiD95yuHOc, https://drive.google.com/open?id=1Zro7UErIkL8Xl2EDg"&amp;"3yoRx0uMUBU9tAY, https://drive.google.com/open?id=1jfJKpW1EDnxb4P_weUI__tIP5S2PNq3B")</f>
        <v>https://drive.google.com/open?id=1kA3bZsONIlKnTtQt_uvlz5Gu6ZZsQSRW, https://drive.google.com/open?id=1YkjvaMLKwhVt72fou0LMKQVkx_Nb2T2f, https://drive.google.com/open?id=13ePjqyyFIIsfUHm-HFy1VhFiD95yuHOc, https://drive.google.com/open?id=1Zro7UErIkL8Xl2EDg3yoRx0uMUBU9tAY, https://drive.google.com/open?id=1jfJKpW1EDnxb4P_weUI__tIP5S2PNq3B</v>
      </c>
      <c r="Y116" s="495" t="str">
        <f>IFERROR(__xludf.DUMMYFUNCTION("""COMPUTED_VALUE"""),"roberto.lassalle@gmail.com")</f>
        <v>roberto.lassalle@gmail.com</v>
      </c>
      <c r="Z116" s="498">
        <f>IFERROR(__xludf.DUMMYFUNCTION("""COMPUTED_VALUE"""),1333871.0)</f>
        <v>1333871</v>
      </c>
      <c r="AA116" s="495"/>
      <c r="AB116" s="495"/>
      <c r="AC116" s="495"/>
      <c r="AD116" s="495" t="str">
        <f>IFERROR(__xludf.DUMMYFUNCTION("""COMPUTED_VALUE"""),"RC-238_26")</f>
        <v>RC-238_26</v>
      </c>
    </row>
    <row r="117">
      <c r="A117" s="495" t="str">
        <f t="shared" si="1"/>
        <v>RC-236_26</v>
      </c>
      <c r="B117" s="497">
        <f>IFERROR(__xludf.DUMMYFUNCTION("""COMPUTED_VALUE"""),46182.545626875)</f>
        <v>46182.54563</v>
      </c>
      <c r="C117" s="495" t="str">
        <f>IFERROR(__xludf.DUMMYFUNCTION("""COMPUTED_VALUE"""),"")</f>
        <v/>
      </c>
      <c r="D117" s="495" t="str">
        <f>IFERROR(__xludf.DUMMYFUNCTION("""COMPUTED_VALUE"""),"Mauricio Matus Belmar")</f>
        <v>Mauricio Matus Belmar</v>
      </c>
      <c r="E117" s="495"/>
      <c r="F117" s="496" t="str">
        <f>IFERROR(__xludf.DUMMYFUNCTION("""COMPUTED_VALUE"""),"3082 NRO SOL 3234 FECHA 28-04-2026")</f>
        <v>3082 NRO SOL 3234 FECHA 28-04-2026</v>
      </c>
      <c r="G117" s="495"/>
      <c r="H117" s="495"/>
      <c r="I117" s="495"/>
      <c r="J117" s="495" t="str">
        <f>IFERROR(__xludf.DUMMYFUNCTION("""COMPUTED_VALUE"""),"Campus San Francisco - CSF")</f>
        <v>Campus San Francisco - CSF</v>
      </c>
      <c r="K117" s="495" t="str">
        <f>IFERROR(__xludf.DUMMYFUNCTION("""COMPUTED_VALUE"""),"02")</f>
        <v>02</v>
      </c>
      <c r="L117" s="495" t="str">
        <f>IFERROR(__xludf.DUMMYFUNCTION("""COMPUTED_VALUE"""),"COMERCIAL DECORENE LIMITADA ")</f>
        <v>COMERCIAL DECORENE LIMITADA </v>
      </c>
      <c r="M117" s="495" t="str">
        <f>IFERROR(__xludf.DUMMYFUNCTION("""COMPUTED_VALUE"""),"76.123.668-7")</f>
        <v>76.123.668-7</v>
      </c>
      <c r="N117" s="495" t="str">
        <f>IFERROR(__xludf.DUMMYFUNCTION("""COMPUTED_VALUE"""),"ANTONIO MARTINEZ PARRA")</f>
        <v>ANTONIO MARTINEZ PARRA</v>
      </c>
      <c r="O117" s="495" t="str">
        <f>IFERROR(__xludf.DUMMYFUNCTION("""COMPUTED_VALUE"""),"Mantenciones")</f>
        <v>Mantenciones</v>
      </c>
      <c r="P117" s="495" t="str">
        <f>IFERROR(__xludf.DUMMYFUNCTION("""COMPUTED_VALUE"""),"Cerramientos Verticales")</f>
        <v>Cerramientos Verticales</v>
      </c>
      <c r="Q117" s="495"/>
      <c r="R117" s="495"/>
      <c r="S117" s="495"/>
      <c r="T117" s="495"/>
      <c r="U117" s="495"/>
      <c r="V117" s="495" t="str">
        <f>IFERROR(__xludf.DUMMYFUNCTION("""COMPUTED_VALUE"""),"REPARACION Y CAMBIO DE MOTOR Y CONTROL REMOTO CORTINAS DE SEGURIDAD ")</f>
        <v>REPARACION Y CAMBIO DE MOTOR Y CONTROL REMOTO CORTINAS DE SEGURIDAD </v>
      </c>
      <c r="W117" s="495" t="str">
        <f>IFERROR(__xludf.DUMMYFUNCTION("""COMPUTED_VALUE"""),"LA EMPRESA ESTIMA QUE A LAS CORTINAS SE LES HAGA MANTENCION UNA VES AL AÑO ")</f>
        <v>LA EMPRESA ESTIMA QUE A LAS CORTINAS SE LES HAGA MANTENCION UNA VES AL AÑO </v>
      </c>
      <c r="X117" s="495" t="str">
        <f>IFERROR(__xludf.DUMMYFUNCTION("""COMPUTED_VALUE"""),"https://drive.google.com/open?id=1R8RUbJ1WUrIWw5xFvip8eRESzMZqQd-q, https://drive.google.com/open?id=1LorY7FhSWKPLh-mbumtjyYuOnrmt-klF, https://drive.google.com/open?id=1zfHxqGmBZTzVq8ybo1cbdwVDECm4uhK7, https://drive.google.com/open?id=18Twi8yJx3gcoNqSXp"&amp;"Cb1dsyoFBi0DxkE")</f>
        <v>https://drive.google.com/open?id=1R8RUbJ1WUrIWw5xFvip8eRESzMZqQd-q, https://drive.google.com/open?id=1LorY7FhSWKPLh-mbumtjyYuOnrmt-klF, https://drive.google.com/open?id=1zfHxqGmBZTzVq8ybo1cbdwVDECm4uhK7, https://drive.google.com/open?id=18Twi8yJx3gcoNqSXpCb1dsyoFBi0DxkE</v>
      </c>
      <c r="Y117" s="495" t="str">
        <f>IFERROR(__xludf.DUMMYFUNCTION("""COMPUTED_VALUE"""),"temuco@decorene.cl")</f>
        <v>temuco@decorene.cl</v>
      </c>
      <c r="Z117" s="498">
        <f>IFERROR(__xludf.DUMMYFUNCTION("""COMPUTED_VALUE"""),1000000.0)</f>
        <v>1000000</v>
      </c>
      <c r="AA117" s="495"/>
      <c r="AB117" s="495"/>
      <c r="AC117" s="495"/>
      <c r="AD117" s="495" t="str">
        <f>IFERROR(__xludf.DUMMYFUNCTION("""COMPUTED_VALUE"""),"RC-236_26")</f>
        <v>RC-236_26</v>
      </c>
    </row>
    <row r="118">
      <c r="A118" s="495" t="str">
        <f t="shared" si="1"/>
        <v>RC-235_26</v>
      </c>
      <c r="B118" s="497">
        <f>IFERROR(__xludf.DUMMYFUNCTION("""COMPUTED_VALUE"""),46181.7289094213)</f>
        <v>46181.72891</v>
      </c>
      <c r="C118" s="495" t="str">
        <f>IFERROR(__xludf.DUMMYFUNCTION("""COMPUTED_VALUE"""),"")</f>
        <v/>
      </c>
      <c r="D118" s="495" t="str">
        <f>IFERROR(__xludf.DUMMYFUNCTION("""COMPUTED_VALUE"""),"Mauricio Matus Belmar")</f>
        <v>Mauricio Matus Belmar</v>
      </c>
      <c r="E118" s="495"/>
      <c r="F118" s="496" t="str">
        <f>IFERROR(__xludf.DUMMYFUNCTION("""COMPUTED_VALUE"""),"3654-2026")</f>
        <v>3654-2026</v>
      </c>
      <c r="G118" s="495"/>
      <c r="H118" s="495"/>
      <c r="I118" s="495"/>
      <c r="J118" s="495" t="str">
        <f>IFERROR(__xludf.DUMMYFUNCTION("""COMPUTED_VALUE"""),"Campus San Juan Pablo II - CJP")</f>
        <v>Campus San Juan Pablo II - CJP</v>
      </c>
      <c r="K118" s="495">
        <f>IFERROR(__xludf.DUMMYFUNCTION("""COMPUTED_VALUE"""),12.0)</f>
        <v>12</v>
      </c>
      <c r="L118" s="495" t="str">
        <f>IFERROR(__xludf.DUMMYFUNCTION("""COMPUTED_VALUE"""),"GATICAR SPA")</f>
        <v>GATICAR SPA</v>
      </c>
      <c r="M118" s="495" t="str">
        <f>IFERROR(__xludf.DUMMYFUNCTION("""COMPUTED_VALUE"""),"77.578.487-3")</f>
        <v>77.578.487-3</v>
      </c>
      <c r="N118" s="495" t="str">
        <f>IFERROR(__xludf.DUMMYFUNCTION("""COMPUTED_VALUE"""),"HECTOR GATICA")</f>
        <v>HECTOR GATICA</v>
      </c>
      <c r="O118" s="495" t="str">
        <f>IFERROR(__xludf.DUMMYFUNCTION("""COMPUTED_VALUE"""),"Mantenciones")</f>
        <v>Mantenciones</v>
      </c>
      <c r="P118" s="495" t="str">
        <f>IFERROR(__xludf.DUMMYFUNCTION("""COMPUTED_VALUE"""),"Instalaciones de Agua Potable")</f>
        <v>Instalaciones de Agua Potable</v>
      </c>
      <c r="Q118" s="495"/>
      <c r="R118" s="495"/>
      <c r="S118" s="495"/>
      <c r="T118" s="495"/>
      <c r="U118" s="495"/>
      <c r="V118" s="495" t="str">
        <f>IFERROR(__xludf.DUMMYFUNCTION("""COMPUTED_VALUE"""),"REPARACION DE CAMARAS Y CERQUILLO POR FILTACION DE AGUA")</f>
        <v>REPARACION DE CAMARAS Y CERQUILLO POR FILTACION DE AGUA</v>
      </c>
      <c r="W118" s="495"/>
      <c r="X118" s="495" t="str">
        <f>IFERROR(__xludf.DUMMYFUNCTION("""COMPUTED_VALUE"""),"https://drive.google.com/open?id=15oWlcxYgLHqClawt8izIUxklnGSd7cbi, https://drive.google.com/open?id=1zXLxd89hnj40rzvbM61WxUQvuIiL7U36, https://drive.google.com/open?id=1Osw4SqUYUiMbnEPp-sce3okL_qgKLPxE")</f>
        <v>https://drive.google.com/open?id=15oWlcxYgLHqClawt8izIUxklnGSd7cbi, https://drive.google.com/open?id=1zXLxd89hnj40rzvbM61WxUQvuIiL7U36, https://drive.google.com/open?id=1Osw4SqUYUiMbnEPp-sce3okL_qgKLPxE</v>
      </c>
      <c r="Y118" s="495" t="str">
        <f>IFERROR(__xludf.DUMMYFUNCTION("""COMPUTED_VALUE"""),"serviciogaticar@gmail.com")</f>
        <v>serviciogaticar@gmail.com</v>
      </c>
      <c r="Z118" s="498">
        <f>IFERROR(__xludf.DUMMYFUNCTION("""COMPUTED_VALUE"""),380800.0)</f>
        <v>380800</v>
      </c>
      <c r="AA118" s="495"/>
      <c r="AB118" s="495"/>
      <c r="AC118" s="495"/>
      <c r="AD118" s="495" t="str">
        <f>IFERROR(__xludf.DUMMYFUNCTION("""COMPUTED_VALUE"""),"RC-235_26")</f>
        <v>RC-235_26</v>
      </c>
    </row>
    <row r="119">
      <c r="A119" s="495" t="str">
        <f t="shared" si="1"/>
        <v>RC-085</v>
      </c>
      <c r="B119" s="497">
        <f>IFERROR(__xludf.DUMMYFUNCTION("""COMPUTED_VALUE"""),45992.69091350694)</f>
        <v>45992.69091</v>
      </c>
      <c r="C119" s="495" t="str">
        <f>IFERROR(__xludf.DUMMYFUNCTION("""COMPUTED_VALUE"""),"")</f>
        <v/>
      </c>
      <c r="D119" s="495" t="str">
        <f>IFERROR(__xludf.DUMMYFUNCTION("""COMPUTED_VALUE"""),"Felipe Anselme Grandón")</f>
        <v>Felipe Anselme Grandón</v>
      </c>
      <c r="E119" s="495"/>
      <c r="F119" s="496" t="str">
        <f>IFERROR(__xludf.DUMMYFUNCTION("""COMPUTED_VALUE"""),"12212-2025")</f>
        <v>12212-2025</v>
      </c>
      <c r="G119" s="495"/>
      <c r="H119" s="495"/>
      <c r="I119" s="495"/>
      <c r="J119" s="495" t="str">
        <f>IFERROR(__xludf.DUMMYFUNCTION("""COMPUTED_VALUE"""),"Campus Pillanlelbun - CPL")</f>
        <v>Campus Pillanlelbun - CPL</v>
      </c>
      <c r="K119" s="495" t="str">
        <f>IFERROR(__xludf.DUMMYFUNCTION("""COMPUTED_VALUE"""),"Exterior")</f>
        <v>Exterior</v>
      </c>
      <c r="L119" s="495" t="str">
        <f>IFERROR(__xludf.DUMMYFUNCTION("""COMPUTED_VALUE"""),"Constructora y Servicios S-Tec SPA")</f>
        <v>Constructora y Servicios S-Tec SPA</v>
      </c>
      <c r="M119" s="495" t="str">
        <f>IFERROR(__xludf.DUMMYFUNCTION("""COMPUTED_VALUE"""),"77.781.356-0")</f>
        <v>77.781.356-0</v>
      </c>
      <c r="N119" s="495" t="str">
        <f>IFERROR(__xludf.DUMMYFUNCTION("""COMPUTED_VALUE"""),"Miguel Pino")</f>
        <v>Miguel Pino</v>
      </c>
      <c r="O119" s="495" t="str">
        <f>IFERROR(__xludf.DUMMYFUNCTION("""COMPUTED_VALUE"""),"Obras")</f>
        <v>Obras</v>
      </c>
      <c r="P119" s="495"/>
      <c r="Q119" s="495"/>
      <c r="R119" s="495" t="str">
        <f>IFERROR(__xludf.DUMMYFUNCTION("""COMPUTED_VALUE"""),"Exteriores")</f>
        <v>Exteriores</v>
      </c>
      <c r="S119" s="495" t="str">
        <f>IFERROR(__xludf.DUMMYFUNCTION("""COMPUTED_VALUE"""),"Estado de Pago - EP")</f>
        <v>Estado de Pago - EP</v>
      </c>
      <c r="T119" s="495" t="str">
        <f>IFERROR(__xludf.DUMMYFUNCTION("""COMPUTED_VALUE"""),"0 (Anticipo)")</f>
        <v>0 (Anticipo)</v>
      </c>
      <c r="U119" s="498">
        <f>IFERROR(__xludf.DUMMYFUNCTION("""COMPUTED_VALUE"""),2339482.0)</f>
        <v>2339482</v>
      </c>
      <c r="V119" s="495" t="str">
        <f>IFERROR(__xludf.DUMMYFUNCTION("""COMPUTED_VALUE"""),"Construcción de portones metálicos")</f>
        <v>Construcción de portones metálicos</v>
      </c>
      <c r="W119" s="495"/>
      <c r="X119" s="499" t="str">
        <f>IFERROR(__xludf.DUMMYFUNCTION("""COMPUTED_VALUE"""),"https://drive.google.com/open?id=130v1nybf2Zga6yAFpCF8Panu3YZBIFU-")</f>
        <v>https://drive.google.com/open?id=130v1nybf2Zga6yAFpCF8Panu3YZBIFU-</v>
      </c>
      <c r="Y119" s="495" t="str">
        <f>IFERROR(__xludf.DUMMYFUNCTION("""COMPUTED_VALUE"""),"miguelptorres@gmail.com")</f>
        <v>miguelptorres@gmail.com</v>
      </c>
      <c r="Z119" s="495"/>
      <c r="AA119" s="495"/>
      <c r="AB119" s="495"/>
      <c r="AC119" s="495"/>
      <c r="AD119" s="495" t="str">
        <f>IFERROR(__xludf.DUMMYFUNCTION("""COMPUTED_VALUE"""),"RC-085")</f>
        <v>RC-085</v>
      </c>
    </row>
    <row r="120">
      <c r="A120" s="495" t="str">
        <f t="shared" si="1"/>
        <v>RC-234_26</v>
      </c>
      <c r="B120" s="497">
        <f>IFERROR(__xludf.DUMMYFUNCTION("""COMPUTED_VALUE"""),46176.56056916667)</f>
        <v>46176.56057</v>
      </c>
      <c r="C120" s="495" t="str">
        <f>IFERROR(__xludf.DUMMYFUNCTION("""COMPUTED_VALUE"""),"")</f>
        <v/>
      </c>
      <c r="D120" s="495" t="str">
        <f>IFERROR(__xludf.DUMMYFUNCTION("""COMPUTED_VALUE"""),"Mauricio Matus Belmar")</f>
        <v>Mauricio Matus Belmar</v>
      </c>
      <c r="E120" s="495"/>
      <c r="F120" s="496" t="str">
        <f>IFERROR(__xludf.DUMMYFUNCTION("""COMPUTED_VALUE"""),"4128-2026")</f>
        <v>4128-2026</v>
      </c>
      <c r="G120" s="495"/>
      <c r="H120" s="495"/>
      <c r="I120" s="495"/>
      <c r="J120" s="495" t="str">
        <f>IFERROR(__xludf.DUMMYFUNCTION("""COMPUTED_VALUE"""),"Campus San Juan Pablo II - CJP")</f>
        <v>Campus San Juan Pablo II - CJP</v>
      </c>
      <c r="K120" s="495" t="str">
        <f>IFERROR(__xludf.DUMMYFUNCTION("""COMPUTED_VALUE"""),"07")</f>
        <v>07</v>
      </c>
      <c r="L120" s="495" t="str">
        <f>IFERROR(__xludf.DUMMYFUNCTION("""COMPUTED_VALUE"""),"Construcciones construcciones luis exequiel solis catalan E.I.R.L")</f>
        <v>Construcciones construcciones luis exequiel solis catalan E.I.R.L</v>
      </c>
      <c r="M120" s="495" t="str">
        <f>IFERROR(__xludf.DUMMYFUNCTION("""COMPUTED_VALUE"""),"77.280.635-3")</f>
        <v>77.280.635-3</v>
      </c>
      <c r="N120" s="495" t="str">
        <f>IFERROR(__xludf.DUMMYFUNCTION("""COMPUTED_VALUE"""),"Luis solis , representante empresa")</f>
        <v>Luis solis , representante empresa</v>
      </c>
      <c r="O120" s="495" t="str">
        <f>IFERROR(__xludf.DUMMYFUNCTION("""COMPUTED_VALUE"""),"Mantenciones")</f>
        <v>Mantenciones</v>
      </c>
      <c r="P120" s="495" t="str">
        <f>IFERROR(__xludf.DUMMYFUNCTION("""COMPUTED_VALUE"""),"Requerimientos Emergentes e Imprevistos")</f>
        <v>Requerimientos Emergentes e Imprevistos</v>
      </c>
      <c r="Q120" s="495"/>
      <c r="R120" s="495"/>
      <c r="S120" s="495"/>
      <c r="T120" s="495"/>
      <c r="U120" s="495"/>
      <c r="V120" s="495" t="str">
        <f>IFERROR(__xludf.DUMMYFUNCTION("""COMPUTED_VALUE"""),"Instalacion de 5 separadores en puestos de trabajo sala de computacion 07-350.")</f>
        <v>Instalacion de 5 separadores en puestos de trabajo sala de computacion 07-350.</v>
      </c>
      <c r="W120" s="495" t="str">
        <f>IFERROR(__xludf.DUMMYFUNCTION("""COMPUTED_VALUE"""),"No apoyarse en separadores ")</f>
        <v>No apoyarse en separadores </v>
      </c>
      <c r="X120" s="495" t="str">
        <f>IFERROR(__xludf.DUMMYFUNCTION("""COMPUTED_VALUE"""),"https://drive.google.com/open?id=1m4ohNWSwItMhko_AcCAgHovY2Vz3Fc5Q, https://drive.google.com/open?id=1A0hhK0f5apL4V101y6TpnjZWfQ_gTED_, https://drive.google.com/open?id=1vnL215Ae5clprHIntSdou0tZmEi5gn0y, https://drive.google.com/open?id=1n23WQi7Urz27sZuLj"&amp;"6-WdCpdLFqZOzeH, https://drive.google.com/open?id=138tGEWqt2eAgSZ42GnGRouoBsp_8G2-g")</f>
        <v>https://drive.google.com/open?id=1m4ohNWSwItMhko_AcCAgHovY2Vz3Fc5Q, https://drive.google.com/open?id=1A0hhK0f5apL4V101y6TpnjZWfQ_gTED_, https://drive.google.com/open?id=1vnL215Ae5clprHIntSdou0tZmEi5gn0y, https://drive.google.com/open?id=1n23WQi7Urz27sZuLj6-WdCpdLFqZOzeH, https://drive.google.com/open?id=138tGEWqt2eAgSZ42GnGRouoBsp_8G2-g</v>
      </c>
      <c r="Y120" s="495" t="str">
        <f>IFERROR(__xludf.DUMMYFUNCTION("""COMPUTED_VALUE"""),"luis.exequielsolis@gmail.com")</f>
        <v>luis.exequielsolis@gmail.com</v>
      </c>
      <c r="Z120" s="498">
        <f>IFERROR(__xludf.DUMMYFUNCTION("""COMPUTED_VALUE"""),169575.0)</f>
        <v>169575</v>
      </c>
      <c r="AA120" s="495"/>
      <c r="AB120" s="495"/>
      <c r="AC120" s="495"/>
      <c r="AD120" s="495" t="str">
        <f>IFERROR(__xludf.DUMMYFUNCTION("""COMPUTED_VALUE"""),"RC-234_26")</f>
        <v>RC-234_26</v>
      </c>
    </row>
    <row r="121">
      <c r="A121" s="495" t="str">
        <f t="shared" si="1"/>
        <v>RC-230_26</v>
      </c>
      <c r="B121" s="497">
        <f>IFERROR(__xludf.DUMMYFUNCTION("""COMPUTED_VALUE"""),46174.931026273145)</f>
        <v>46174.93103</v>
      </c>
      <c r="C121" s="495" t="str">
        <f>IFERROR(__xludf.DUMMYFUNCTION("""COMPUTED_VALUE"""),"")</f>
        <v/>
      </c>
      <c r="D121" s="495" t="str">
        <f>IFERROR(__xludf.DUMMYFUNCTION("""COMPUTED_VALUE"""),"Mauricio Matus Belmar")</f>
        <v>Mauricio Matus Belmar</v>
      </c>
      <c r="E121" s="495"/>
      <c r="F121" s="496" t="str">
        <f>IFERROR(__xludf.DUMMYFUNCTION("""COMPUTED_VALUE"""),"3704-2026")</f>
        <v>3704-2026</v>
      </c>
      <c r="G121" s="495"/>
      <c r="H121" s="495"/>
      <c r="I121" s="495"/>
      <c r="J121" s="495" t="str">
        <f>IFERROR(__xludf.DUMMYFUNCTION("""COMPUTED_VALUE"""),"Campus San Juan Pablo II - CJP")</f>
        <v>Campus San Juan Pablo II - CJP</v>
      </c>
      <c r="K121" s="495">
        <f>IFERROR(__xludf.DUMMYFUNCTION("""COMPUTED_VALUE"""),10.0)</f>
        <v>10</v>
      </c>
      <c r="L121" s="495" t="str">
        <f>IFERROR(__xludf.DUMMYFUNCTION("""COMPUTED_VALUE"""),"SERVICIOS INTEGRALES CRITICOS SPA")</f>
        <v>SERVICIOS INTEGRALES CRITICOS SPA</v>
      </c>
      <c r="M121" s="495" t="str">
        <f>IFERROR(__xludf.DUMMYFUNCTION("""COMPUTED_VALUE"""),"77.248.719-3")</f>
        <v>77.248.719-3</v>
      </c>
      <c r="N121" s="495" t="str">
        <f>IFERROR(__xludf.DUMMYFUNCTION("""COMPUTED_VALUE"""),"ROBERTO FUENTES RIFFO - SUPERVISOR")</f>
        <v>ROBERTO FUENTES RIFFO - SUPERVISOR</v>
      </c>
      <c r="O121" s="495" t="str">
        <f>IFERROR(__xludf.DUMMYFUNCTION("""COMPUTED_VALUE"""),"Mantenciones")</f>
        <v>Mantenciones</v>
      </c>
      <c r="P121" s="495" t="str">
        <f>IFERROR(__xludf.DUMMYFUNCTION("""COMPUTED_VALUE"""),"Requerimientos Emergentes e Imprevistos")</f>
        <v>Requerimientos Emergentes e Imprevistos</v>
      </c>
      <c r="Q121" s="495"/>
      <c r="R121" s="495"/>
      <c r="S121" s="495"/>
      <c r="T121" s="495"/>
      <c r="U121" s="495"/>
      <c r="V121" s="495" t="str">
        <f>IFERROR(__xludf.DUMMYFUNCTION("""COMPUTED_VALUE"""),"MANTENCION SEMANAL 2 CALDERAS A PELLET 500KW  Y 800 KW")</f>
        <v>MANTENCION SEMANAL 2 CALDERAS A PELLET 500KW  Y 800 KW</v>
      </c>
      <c r="W121" s="495" t="str">
        <f>IFERROR(__xludf.DUMMYFUNCTION("""COMPUTED_VALUE"""),"REALIZAR  PERIODICAMENTE")</f>
        <v>REALIZAR  PERIODICAMENTE</v>
      </c>
      <c r="X121" s="495" t="str">
        <f>IFERROR(__xludf.DUMMYFUNCTION("""COMPUTED_VALUE"""),"https://drive.google.com/open?id=1LFbZrYRctRnN3DIqOh5SDVBVrAFKFrCd, https://drive.google.com/open?id=1_VCb6giDKbYAmlaINAO0NA-cGw43gJQU, https://drive.google.com/open?id=104AfWZA0PKT8rLweg-UMzyUMB1LjiJpp, https://drive.google.com/open?id=1brqNIZlXYCV88P4Lb"&amp;"AYEnF3GmR72a1pG, https://drive.google.com/open?id=1NYfYLINATAtKxG7hdKLMa39WmO7hNRAm, https://drive.google.com/open?id=1FozMewwG03gF-Q15UCcUMSpcvOuS8aCD")</f>
        <v>https://drive.google.com/open?id=1LFbZrYRctRnN3DIqOh5SDVBVrAFKFrCd, https://drive.google.com/open?id=1_VCb6giDKbYAmlaINAO0NA-cGw43gJQU, https://drive.google.com/open?id=104AfWZA0PKT8rLweg-UMzyUMB1LjiJpp, https://drive.google.com/open?id=1brqNIZlXYCV88P4LbAYEnF3GmR72a1pG, https://drive.google.com/open?id=1NYfYLINATAtKxG7hdKLMa39WmO7hNRAm, https://drive.google.com/open?id=1FozMewwG03gF-Q15UCcUMSpcvOuS8aCD</v>
      </c>
      <c r="Y121" s="495" t="str">
        <f>IFERROR(__xludf.DUMMYFUNCTION("""COMPUTED_VALUE"""),"fuentes.roberto1@gmail.com")</f>
        <v>fuentes.roberto1@gmail.com</v>
      </c>
      <c r="Z121" s="498">
        <f>IFERROR(__xludf.DUMMYFUNCTION("""COMPUTED_VALUE"""),3190000.0)</f>
        <v>3190000</v>
      </c>
      <c r="AA121" s="495"/>
      <c r="AB121" s="495"/>
      <c r="AC121" s="495"/>
      <c r="AD121" s="495" t="str">
        <f>IFERROR(__xludf.DUMMYFUNCTION("""COMPUTED_VALUE"""),"RC-230_26")</f>
        <v>RC-230_26</v>
      </c>
    </row>
    <row r="122">
      <c r="A122" s="495" t="str">
        <f t="shared" si="1"/>
        <v>RC-229_26</v>
      </c>
      <c r="B122" s="497">
        <f>IFERROR(__xludf.DUMMYFUNCTION("""COMPUTED_VALUE"""),46174.724964733796)</f>
        <v>46174.72496</v>
      </c>
      <c r="C122" s="495" t="str">
        <f>IFERROR(__xludf.DUMMYFUNCTION("""COMPUTED_VALUE"""),"")</f>
        <v/>
      </c>
      <c r="D122" s="495" t="str">
        <f>IFERROR(__xludf.DUMMYFUNCTION("""COMPUTED_VALUE"""),"Carol Huenchual Chañilao")</f>
        <v>Carol Huenchual Chañilao</v>
      </c>
      <c r="E122" s="495"/>
      <c r="F122" s="496" t="str">
        <f>IFERROR(__xludf.DUMMYFUNCTION("""COMPUTED_VALUE"""),"3813 - 2026")</f>
        <v>3813 - 2026</v>
      </c>
      <c r="G122" s="495"/>
      <c r="H122" s="495"/>
      <c r="I122" s="495"/>
      <c r="J122" s="495" t="str">
        <f>IFERROR(__xludf.DUMMYFUNCTION("""COMPUTED_VALUE"""),"Campus Monseñor Sergio Contreras Navia - CSC")</f>
        <v>Campus Monseñor Sergio Contreras Navia - CSC</v>
      </c>
      <c r="K122" s="495" t="str">
        <f>IFERROR(__xludf.DUMMYFUNCTION("""COMPUTED_VALUE"""),"01")</f>
        <v>01</v>
      </c>
      <c r="L122" s="495" t="str">
        <f>IFERROR(__xludf.DUMMYFUNCTION("""COMPUTED_VALUE"""),"Constructora IGECE Ltda.")</f>
        <v>Constructora IGECE Ltda.</v>
      </c>
      <c r="M122" s="495" t="str">
        <f>IFERROR(__xludf.DUMMYFUNCTION("""COMPUTED_VALUE"""),"76.878.824-3")</f>
        <v>76.878.824-3</v>
      </c>
      <c r="N122" s="495" t="str">
        <f>IFERROR(__xludf.DUMMYFUNCTION("""COMPUTED_VALUE"""),"Carlos Troncoso - Gerente General ")</f>
        <v>Carlos Troncoso - Gerente General </v>
      </c>
      <c r="O122" s="495" t="str">
        <f>IFERROR(__xludf.DUMMYFUNCTION("""COMPUTED_VALUE"""),"Mantenciones")</f>
        <v>Mantenciones</v>
      </c>
      <c r="P122" s="495" t="str">
        <f>IFERROR(__xludf.DUMMYFUNCTION("""COMPUTED_VALUE"""),"Terminaciones Interiores")</f>
        <v>Terminaciones Interiores</v>
      </c>
      <c r="Q122" s="495"/>
      <c r="R122" s="495"/>
      <c r="S122" s="495"/>
      <c r="T122" s="495"/>
      <c r="U122" s="495"/>
      <c r="V122" s="495" t="str">
        <f>IFERROR(__xludf.DUMMYFUNCTION("""COMPUTED_VALUE"""),"Retiro e instalación Piso Vinílico: Se realiza retiro piso existe mal
estado, retiro guardapolvo, instalación piso Vinílico (tono a definir),
reinstalación guardapolvo existente y cubrejuntas.
Nivelación Piso: Aplicación de pegamento (Mortero Nivelante) "&amp;"en
sectores que se encuentren con desnivel, para así dejar una superficie
nivelada para instalación piso flotante.
ORDEN, ASEO Y RETIRO EXEDENTES: Se Realiza aseo general y retiro
de todo residuo generado por los trabajos, dejando todo en perfectas
condi"&amp;"ciones.")</f>
        <v>Retiro e instalación Piso Vinílico: Se realiza retiro piso existe mal
estado, retiro guardapolvo, instalación piso Vinílico (tono a definir),
reinstalación guardapolvo existente y cubrejuntas.
Nivelación Piso: Aplicación de pegamento (Mortero Nivelante) en
sectores que se encuentren con desnivel, para así dejar una superficie
nivelada para instalación piso flotante.
ORDEN, ASEO Y RETIRO EXEDENTES: Se Realiza aseo general y retiro
de todo residuo generado por los trabajos, dejando todo en perfectas
condiciones.</v>
      </c>
      <c r="W122" s="495"/>
      <c r="X122" s="495" t="str">
        <f>IFERROR(__xludf.DUMMYFUNCTION("""COMPUTED_VALUE"""),"https://drive.google.com/open?id=1e3DCOsl0fWcTJ46UBlfp5qiauqUAaJjL, https://drive.google.com/open?id=1skVVDC8nMN-Yn6aZkfQDOM0xYfKWgp8_, https://drive.google.com/open?id=1D8OgV8IJyd9sH5-UClsw1zzH0hmNVdwe, https://drive.google.com/open?id=1n5VVelmUKn3hUViE8"&amp;"BsUbcXOfZeHJ1Ty")</f>
        <v>https://drive.google.com/open?id=1e3DCOsl0fWcTJ46UBlfp5qiauqUAaJjL, https://drive.google.com/open?id=1skVVDC8nMN-Yn6aZkfQDOM0xYfKWgp8_, https://drive.google.com/open?id=1D8OgV8IJyd9sH5-UClsw1zzH0hmNVdwe, https://drive.google.com/open?id=1n5VVelmUKn3hUViE8BsUbcXOfZeHJ1Ty</v>
      </c>
      <c r="Y122" s="495" t="str">
        <f>IFERROR(__xludf.DUMMYFUNCTION("""COMPUTED_VALUE"""),"fabian.i.burgo.s@gmail.com")</f>
        <v>fabian.i.burgo.s@gmail.com</v>
      </c>
      <c r="Z122" s="498">
        <f>IFERROR(__xludf.DUMMYFUNCTION("""COMPUTED_VALUE"""),382604.0)</f>
        <v>382604</v>
      </c>
      <c r="AA122" s="495"/>
      <c r="AB122" s="495"/>
      <c r="AC122" s="495"/>
      <c r="AD122" s="495" t="str">
        <f>IFERROR(__xludf.DUMMYFUNCTION("""COMPUTED_VALUE"""),"RC-229_26")</f>
        <v>RC-229_26</v>
      </c>
    </row>
    <row r="123">
      <c r="A123" s="495" t="str">
        <f t="shared" si="1"/>
        <v>RC-228_26</v>
      </c>
      <c r="B123" s="497">
        <f>IFERROR(__xludf.DUMMYFUNCTION("""COMPUTED_VALUE"""),46174.67145333333)</f>
        <v>46174.67145</v>
      </c>
      <c r="C123" s="495" t="str">
        <f>IFERROR(__xludf.DUMMYFUNCTION("""COMPUTED_VALUE"""),"")</f>
        <v/>
      </c>
      <c r="D123" s="495" t="str">
        <f>IFERROR(__xludf.DUMMYFUNCTION("""COMPUTED_VALUE"""),"Felipe Anselme Grandón")</f>
        <v>Felipe Anselme Grandón</v>
      </c>
      <c r="E123" s="495"/>
      <c r="F123" s="496" t="str">
        <f>IFERROR(__xludf.DUMMYFUNCTION("""COMPUTED_VALUE"""),"4087 - 2026")</f>
        <v>4087 - 2026</v>
      </c>
      <c r="G123" s="495"/>
      <c r="H123" s="495"/>
      <c r="I123" s="495"/>
      <c r="J123" s="495" t="str">
        <f>IFERROR(__xludf.DUMMYFUNCTION("""COMPUTED_VALUE"""),"Campus San Juan Pablo II - CJP")</f>
        <v>Campus San Juan Pablo II - CJP</v>
      </c>
      <c r="K123" s="495" t="str">
        <f>IFERROR(__xludf.DUMMYFUNCTION("""COMPUTED_VALUE"""),"08")</f>
        <v>08</v>
      </c>
      <c r="L123" s="495" t="str">
        <f>IFERROR(__xludf.DUMMYFUNCTION("""COMPUTED_VALUE"""),"Constructora IGECE Ltda.")</f>
        <v>Constructora IGECE Ltda.</v>
      </c>
      <c r="M123" s="495" t="str">
        <f>IFERROR(__xludf.DUMMYFUNCTION("""COMPUTED_VALUE"""),"76.878.824-3")</f>
        <v>76.878.824-3</v>
      </c>
      <c r="N123" s="495" t="str">
        <f>IFERROR(__xludf.DUMMYFUNCTION("""COMPUTED_VALUE"""),"Carlos Troncoso - Gerente General ")</f>
        <v>Carlos Troncoso - Gerente General </v>
      </c>
      <c r="O123" s="495" t="str">
        <f>IFERROR(__xludf.DUMMYFUNCTION("""COMPUTED_VALUE"""),"Mantenciones")</f>
        <v>Mantenciones</v>
      </c>
      <c r="P123" s="495" t="str">
        <f>IFERROR(__xludf.DUMMYFUNCTION("""COMPUTED_VALUE"""),"Cubiertas")</f>
        <v>Cubiertas</v>
      </c>
      <c r="Q123" s="495"/>
      <c r="R123" s="495"/>
      <c r="S123" s="495"/>
      <c r="T123" s="495"/>
      <c r="U123" s="495"/>
      <c r="V123" s="495" t="str">
        <f>IFERROR(__xludf.DUMMYFUNCTION("""COMPUTED_VALUE"""),"Reparación Filtración + Terminación Interior: corte hojalatería e
instalación gárgola 75 mm, cambio plancha yeso cartón interior, huincha,
pasta y pintura (sector plancha cambiada).
reparación de 2 filtraciones en cubierta.
Orden - Aseo - Retiro Exceden"&amp;"tes: Se Realiza aseo general y retiro de
todo residuo generado por los trabajos, dejando todo en perfectas
condiciones.")</f>
        <v>Reparación Filtración + Terminación Interior: corte hojalatería e
instalación gárgola 75 mm, cambio plancha yeso cartón interior, huincha,
pasta y pintura (sector plancha cambiada).
reparación de 2 filtraciones en cubierta.
Orden - Aseo - Retiro Excedentes: Se Realiza aseo general y retiro de
todo residuo generado por los trabajos, dejando todo en perfectas
condiciones.</v>
      </c>
      <c r="W123" s="495"/>
      <c r="X123" s="495" t="str">
        <f>IFERROR(__xludf.DUMMYFUNCTION("""COMPUTED_VALUE"""),"https://drive.google.com/open?id=1iN70jS5xalk3lYi5XnNueAIWPZgoMV2N, https://drive.google.com/open?id=1vz36fA9U-aX4Bnih_qmMexGmNC9EG0Kl, https://drive.google.com/open?id=1avdHBWW2fxlr4Rga-Id1yemTEDL4QweR, https://drive.google.com/open?id=1gfJBSdn2bGGNkFRqa"&amp;"g8Zf5LTk-Sm5fuF, https://drive.google.com/open?id=1K7V7lG_TagjXbCzu3NEL-y284VYjEJnL")</f>
        <v>https://drive.google.com/open?id=1iN70jS5xalk3lYi5XnNueAIWPZgoMV2N, https://drive.google.com/open?id=1vz36fA9U-aX4Bnih_qmMexGmNC9EG0Kl, https://drive.google.com/open?id=1avdHBWW2fxlr4Rga-Id1yemTEDL4QweR, https://drive.google.com/open?id=1gfJBSdn2bGGNkFRqag8Zf5LTk-Sm5fuF, https://drive.google.com/open?id=1K7V7lG_TagjXbCzu3NEL-y284VYjEJnL</v>
      </c>
      <c r="Y123" s="495" t="str">
        <f>IFERROR(__xludf.DUMMYFUNCTION("""COMPUTED_VALUE"""),"fabian.i.burgos.s@gmail.com")</f>
        <v>fabian.i.burgos.s@gmail.com</v>
      </c>
      <c r="Z123" s="498">
        <f>IFERROR(__xludf.DUMMYFUNCTION("""COMPUTED_VALUE"""),667418.0)</f>
        <v>667418</v>
      </c>
      <c r="AA123" s="495"/>
      <c r="AB123" s="495"/>
      <c r="AC123" s="495"/>
      <c r="AD123" s="495" t="str">
        <f>IFERROR(__xludf.DUMMYFUNCTION("""COMPUTED_VALUE"""),"RC-228_26")</f>
        <v>RC-228_26</v>
      </c>
    </row>
    <row r="124">
      <c r="A124" s="495" t="str">
        <f t="shared" si="1"/>
        <v>RC-090</v>
      </c>
      <c r="B124" s="497">
        <f>IFERROR(__xludf.DUMMYFUNCTION("""COMPUTED_VALUE"""),45994.62668606482)</f>
        <v>45994.62669</v>
      </c>
      <c r="C124" s="495" t="str">
        <f>IFERROR(__xludf.DUMMYFUNCTION("""COMPUTED_VALUE"""),"")</f>
        <v/>
      </c>
      <c r="D124" s="495" t="str">
        <f>IFERROR(__xludf.DUMMYFUNCTION("""COMPUTED_VALUE"""),"Cristóbal Correa del Río")</f>
        <v>Cristóbal Correa del Río</v>
      </c>
      <c r="E124" s="495"/>
      <c r="F124" s="496" t="str">
        <f>IFERROR(__xludf.DUMMYFUNCTION("""COMPUTED_VALUE"""),"12398 - 2025")</f>
        <v>12398 - 2025</v>
      </c>
      <c r="G124" s="495"/>
      <c r="H124" s="495"/>
      <c r="I124" s="495"/>
      <c r="J124" s="495" t="str">
        <f>IFERROR(__xludf.DUMMYFUNCTION("""COMPUTED_VALUE"""),"Campus San Juan Pablo II - CJP")</f>
        <v>Campus San Juan Pablo II - CJP</v>
      </c>
      <c r="K124" s="495" t="str">
        <f>IFERROR(__xludf.DUMMYFUNCTION("""COMPUTED_VALUE"""),"07")</f>
        <v>07</v>
      </c>
      <c r="L124" s="495" t="str">
        <f>IFERROR(__xludf.DUMMYFUNCTION("""COMPUTED_VALUE"""),"CARTES TRIVIÑO CONSULTORES LIMITADA")</f>
        <v>CARTES TRIVIÑO CONSULTORES LIMITADA</v>
      </c>
      <c r="M124" s="495" t="str">
        <f>IFERROR(__xludf.DUMMYFUNCTION("""COMPUTED_VALUE"""),"77.685.023-3")</f>
        <v>77.685.023-3</v>
      </c>
      <c r="N124" s="495" t="str">
        <f>IFERROR(__xludf.DUMMYFUNCTION("""COMPUTED_VALUE"""),"Marcela Triviño")</f>
        <v>Marcela Triviño</v>
      </c>
      <c r="O124" s="495" t="str">
        <f>IFERROR(__xludf.DUMMYFUNCTION("""COMPUTED_VALUE"""),"Obras y Especialidades")</f>
        <v>Obras y Especialidades</v>
      </c>
      <c r="P124" s="495"/>
      <c r="Q124" s="495"/>
      <c r="R124" s="495" t="str">
        <f>IFERROR(__xludf.DUMMYFUNCTION("""COMPUTED_VALUE"""),"Especialidades")</f>
        <v>Especialidades</v>
      </c>
      <c r="S124" s="495" t="str">
        <f>IFERROR(__xludf.DUMMYFUNCTION("""COMPUTED_VALUE"""),"Estado de Pago - EP")</f>
        <v>Estado de Pago - EP</v>
      </c>
      <c r="T124" s="495" t="str">
        <f>IFERROR(__xludf.DUMMYFUNCTION("""COMPUTED_VALUE"""),"0 (Anticipo)")</f>
        <v>0 (Anticipo)</v>
      </c>
      <c r="U124" s="498">
        <f>IFERROR(__xludf.DUMMYFUNCTION("""COMPUTED_VALUE"""),5708676.0)</f>
        <v>5708676</v>
      </c>
      <c r="V124" s="495" t="str">
        <f>IFERROR(__xludf.DUMMYFUNCTION("""COMPUTED_VALUE"""),"Anticipo Asesoría de Revisor Independiente de edificación del expediente de Modificación
de permiso de “Edificios CJP-07 y CJP-10 /104")</f>
        <v>Anticipo Asesoría de Revisor Independiente de edificación del expediente de Modificación
de permiso de “Edificios CJP-07 y CJP-10 /104</v>
      </c>
      <c r="W124" s="495"/>
      <c r="X124" s="499" t="str">
        <f>IFERROR(__xludf.DUMMYFUNCTION("""COMPUTED_VALUE"""),"https://drive.google.com/open?id=16Fr9FtA5TSzOKorfaJYxqSFK2bwHXQx4")</f>
        <v>https://drive.google.com/open?id=16Fr9FtA5TSzOKorfaJYxqSFK2bwHXQx4</v>
      </c>
      <c r="Y124" s="495" t="str">
        <f>IFERROR(__xludf.DUMMYFUNCTION("""COMPUTED_VALUE"""),"ccorrea@uct.cl")</f>
        <v>ccorrea@uct.cl</v>
      </c>
      <c r="Z124" s="495"/>
      <c r="AA124" s="495"/>
      <c r="AB124" s="495"/>
      <c r="AC124" s="495"/>
      <c r="AD124" s="495" t="str">
        <f>IFERROR(__xludf.DUMMYFUNCTION("""COMPUTED_VALUE"""),"RC-090")</f>
        <v>RC-090</v>
      </c>
    </row>
    <row r="125">
      <c r="A125" s="495" t="str">
        <f t="shared" si="1"/>
        <v>RC-091</v>
      </c>
      <c r="B125" s="497">
        <f>IFERROR(__xludf.DUMMYFUNCTION("""COMPUTED_VALUE"""),45994.654323622686)</f>
        <v>45994.65432</v>
      </c>
      <c r="C125" s="495" t="str">
        <f>IFERROR(__xludf.DUMMYFUNCTION("""COMPUTED_VALUE"""),"")</f>
        <v/>
      </c>
      <c r="D125" s="495" t="str">
        <f>IFERROR(__xludf.DUMMYFUNCTION("""COMPUTED_VALUE"""),"Felipe Anselme Grandón")</f>
        <v>Felipe Anselme Grandón</v>
      </c>
      <c r="E125" s="495"/>
      <c r="F125" s="496" t="str">
        <f>IFERROR(__xludf.DUMMYFUNCTION("""COMPUTED_VALUE"""),"11638-2025")</f>
        <v>11638-2025</v>
      </c>
      <c r="G125" s="495"/>
      <c r="H125" s="495"/>
      <c r="I125" s="495"/>
      <c r="J125" s="495" t="str">
        <f>IFERROR(__xludf.DUMMYFUNCTION("""COMPUTED_VALUE"""),"Campus Dr. Luis Rivas del Canto - CRC")</f>
        <v>Campus Dr. Luis Rivas del Canto - CRC</v>
      </c>
      <c r="K125" s="495" t="str">
        <f>IFERROR(__xludf.DUMMYFUNCTION("""COMPUTED_VALUE"""),"Exterior")</f>
        <v>Exterior</v>
      </c>
      <c r="L125" s="495" t="str">
        <f>IFERROR(__xludf.DUMMYFUNCTION("""COMPUTED_VALUE"""),"CONSTRUCTORA ALPLAS SPA")</f>
        <v>CONSTRUCTORA ALPLAS SPA</v>
      </c>
      <c r="M125" s="495" t="str">
        <f>IFERROR(__xludf.DUMMYFUNCTION("""COMPUTED_VALUE"""),"77.190.049-6 ")</f>
        <v>77.190.049-6 </v>
      </c>
      <c r="N125" s="495" t="str">
        <f>IFERROR(__xludf.DUMMYFUNCTION("""COMPUTED_VALUE"""),"Camila Obando Nail - ING. CIVIL ")</f>
        <v>Camila Obando Nail - ING. CIVIL </v>
      </c>
      <c r="O125" s="495" t="str">
        <f>IFERROR(__xludf.DUMMYFUNCTION("""COMPUTED_VALUE"""),"Obras y Especialidades")</f>
        <v>Obras y Especialidades</v>
      </c>
      <c r="P125" s="495"/>
      <c r="Q125" s="495"/>
      <c r="R125" s="495" t="str">
        <f>IFERROR(__xludf.DUMMYFUNCTION("""COMPUTED_VALUE"""),"Exteriores")</f>
        <v>Exteriores</v>
      </c>
      <c r="S125" s="495" t="str">
        <f>IFERROR(__xludf.DUMMYFUNCTION("""COMPUTED_VALUE"""),"Recepción de Obra - RC")</f>
        <v>Recepción de Obra - RC</v>
      </c>
      <c r="T125" s="495"/>
      <c r="U125" s="495"/>
      <c r="V125" s="495" t="str">
        <f>IFERROR(__xludf.DUMMYFUNCTION("""COMPUTED_VALUE"""),"CONFECCION DE RADIER COBERTIZO BODEGA CRC18")</f>
        <v>CONFECCION DE RADIER COBERTIZO BODEGA CRC18</v>
      </c>
      <c r="W125" s="495"/>
      <c r="X125" s="495" t="str">
        <f>IFERROR(__xludf.DUMMYFUNCTION("""COMPUTED_VALUE"""),"https://drive.google.com/open?id=1L3X3BBSMcL42xQjT1oSw1ETDjLpICyXH, https://drive.google.com/open?id=156RJXD5fKJOCFNboUJc_cD8yJQHSF2uH, https://drive.google.com/open?id=1Bhg7cCuEpTka2l7Ppu1GFrKQRivvhwok, https://drive.google.com/open?id=1NBqyY_PesDjhhenOP"&amp;"97h9q8K1EOL5wJR")</f>
        <v>https://drive.google.com/open?id=1L3X3BBSMcL42xQjT1oSw1ETDjLpICyXH, https://drive.google.com/open?id=156RJXD5fKJOCFNboUJc_cD8yJQHSF2uH, https://drive.google.com/open?id=1Bhg7cCuEpTka2l7Ppu1GFrKQRivvhwok, https://drive.google.com/open?id=1NBqyY_PesDjhhenOP97h9q8K1EOL5wJR</v>
      </c>
      <c r="Y125" s="495" t="str">
        <f>IFERROR(__xludf.DUMMYFUNCTION("""COMPUTED_VALUE"""),"ventas@alplas.cl")</f>
        <v>ventas@alplas.cl</v>
      </c>
      <c r="Z125" s="495"/>
      <c r="AA125" s="495"/>
      <c r="AB125" s="495"/>
      <c r="AC125" s="495"/>
      <c r="AD125" s="495" t="str">
        <f>IFERROR(__xludf.DUMMYFUNCTION("""COMPUTED_VALUE"""),"RC-091")</f>
        <v>RC-091</v>
      </c>
    </row>
    <row r="126">
      <c r="A126" s="495" t="str">
        <f t="shared" si="1"/>
        <v>RC-092</v>
      </c>
      <c r="B126" s="497">
        <f>IFERROR(__xludf.DUMMYFUNCTION("""COMPUTED_VALUE"""),45994.72521462963)</f>
        <v>45994.72521</v>
      </c>
      <c r="C126" s="495" t="str">
        <f>IFERROR(__xludf.DUMMYFUNCTION("""COMPUTED_VALUE"""),"")</f>
        <v/>
      </c>
      <c r="D126" s="495" t="str">
        <f>IFERROR(__xludf.DUMMYFUNCTION("""COMPUTED_VALUE"""),"David Silva Roco")</f>
        <v>David Silva Roco</v>
      </c>
      <c r="E126" s="495"/>
      <c r="F126" s="496" t="str">
        <f>IFERROR(__xludf.DUMMYFUNCTION("""COMPUTED_VALUE"""),"11581-2025")</f>
        <v>11581-2025</v>
      </c>
      <c r="G126" s="495"/>
      <c r="H126" s="495"/>
      <c r="I126" s="495"/>
      <c r="J126" s="495" t="str">
        <f>IFERROR(__xludf.DUMMYFUNCTION("""COMPUTED_VALUE"""),"Campus San Francisco - CSF")</f>
        <v>Campus San Francisco - CSF</v>
      </c>
      <c r="K126" s="495" t="str">
        <f>IFERROR(__xludf.DUMMYFUNCTION("""COMPUTED_VALUE"""),"Sin número")</f>
        <v>Sin número</v>
      </c>
      <c r="L126" s="495" t="str">
        <f>IFERROR(__xludf.DUMMYFUNCTION("""COMPUTED_VALUE"""),"Constructora Romo y Cadi Limitada ")</f>
        <v>Constructora Romo y Cadi Limitada </v>
      </c>
      <c r="M126" s="495" t="str">
        <f>IFERROR(__xludf.DUMMYFUNCTION("""COMPUTED_VALUE"""),"76.107.187-4")</f>
        <v>76.107.187-4</v>
      </c>
      <c r="N126" s="495" t="str">
        <f>IFERROR(__xludf.DUMMYFUNCTION("""COMPUTED_VALUE"""),"Francisco Romo Socio-Gerente")</f>
        <v>Francisco Romo Socio-Gerente</v>
      </c>
      <c r="O126" s="495" t="str">
        <f>IFERROR(__xludf.DUMMYFUNCTION("""COMPUTED_VALUE"""),"Obras y Especialidades")</f>
        <v>Obras y Especialidades</v>
      </c>
      <c r="P126" s="495"/>
      <c r="Q126" s="495"/>
      <c r="R126" s="495" t="str">
        <f>IFERROR(__xludf.DUMMYFUNCTION("""COMPUTED_VALUE"""),"Especialidades")</f>
        <v>Especialidades</v>
      </c>
      <c r="S126" s="495" t="str">
        <f>IFERROR(__xludf.DUMMYFUNCTION("""COMPUTED_VALUE"""),"Estado de Pago - EP")</f>
        <v>Estado de Pago - EP</v>
      </c>
      <c r="T126" s="495">
        <f>IFERROR(__xludf.DUMMYFUNCTION("""COMPUTED_VALUE"""),1.0)</f>
        <v>1</v>
      </c>
      <c r="U126" s="498">
        <f>IFERROR(__xludf.DUMMYFUNCTION("""COMPUTED_VALUE"""),2.09321E7)</f>
        <v>20932100</v>
      </c>
      <c r="V126" s="495" t="str">
        <f>IFERROR(__xludf.DUMMYFUNCTION("""COMPUTED_VALUE"""),"Regularización instalaciones sanitarias Campus San Francisco ")</f>
        <v>Regularización instalaciones sanitarias Campus San Francisco </v>
      </c>
      <c r="W126" s="495" t="str">
        <f>IFERROR(__xludf.DUMMYFUNCTION("""COMPUTED_VALUE"""),"Sin Recomendaciones Técnicas ")</f>
        <v>Sin Recomendaciones Técnicas </v>
      </c>
      <c r="X126" s="495" t="str">
        <f>IFERROR(__xludf.DUMMYFUNCTION("""COMPUTED_VALUE"""),"https://drive.google.com/open?id=1O3f67XqIvy0M7x_nTZjNGIs-BUPxHgFr, https://drive.google.com/open?id=1NCW-WKT5fz0R61ik_dWOz6LKYJYc5wea")</f>
        <v>https://drive.google.com/open?id=1O3f67XqIvy0M7x_nTZjNGIs-BUPxHgFr, https://drive.google.com/open?id=1NCW-WKT5fz0R61ik_dWOz6LKYJYc5wea</v>
      </c>
      <c r="Y126" s="495" t="str">
        <f>IFERROR(__xludf.DUMMYFUNCTION("""COMPUTED_VALUE"""),"secretaria.fromo@gmail.com")</f>
        <v>secretaria.fromo@gmail.com</v>
      </c>
      <c r="Z126" s="495"/>
      <c r="AA126" s="495"/>
      <c r="AB126" s="495"/>
      <c r="AC126" s="495"/>
      <c r="AD126" s="495" t="str">
        <f>IFERROR(__xludf.DUMMYFUNCTION("""COMPUTED_VALUE"""),"RC-092")</f>
        <v>RC-092</v>
      </c>
    </row>
    <row r="127">
      <c r="A127" s="495" t="str">
        <f t="shared" si="1"/>
        <v>RC-226_26</v>
      </c>
      <c r="B127" s="497">
        <f>IFERROR(__xludf.DUMMYFUNCTION("""COMPUTED_VALUE"""),46174.48590342593)</f>
        <v>46174.4859</v>
      </c>
      <c r="C127" s="495" t="str">
        <f>IFERROR(__xludf.DUMMYFUNCTION("""COMPUTED_VALUE"""),"")</f>
        <v/>
      </c>
      <c r="D127" s="495" t="str">
        <f>IFERROR(__xludf.DUMMYFUNCTION("""COMPUTED_VALUE"""),"Felipe Anselme Grandón")</f>
        <v>Felipe Anselme Grandón</v>
      </c>
      <c r="E127" s="495"/>
      <c r="F127" s="496" t="str">
        <f>IFERROR(__xludf.DUMMYFUNCTION("""COMPUTED_VALUE"""),"4090-2026")</f>
        <v>4090-2026</v>
      </c>
      <c r="G127" s="495"/>
      <c r="H127" s="495"/>
      <c r="I127" s="495"/>
      <c r="J127" s="495" t="str">
        <f>IFERROR(__xludf.DUMMYFUNCTION("""COMPUTED_VALUE"""),"Campus San Francisco - CSF")</f>
        <v>Campus San Francisco - CSF</v>
      </c>
      <c r="K127" s="495">
        <f>IFERROR(__xludf.DUMMYFUNCTION("""COMPUTED_VALUE"""),10.0)</f>
        <v>10</v>
      </c>
      <c r="L127" s="495" t="str">
        <f>IFERROR(__xludf.DUMMYFUNCTION("""COMPUTED_VALUE"""),"gaticar spa")</f>
        <v>gaticar spa</v>
      </c>
      <c r="M127" s="495" t="str">
        <f>IFERROR(__xludf.DUMMYFUNCTION("""COMPUTED_VALUE"""),"77.578.487-3")</f>
        <v>77.578.487-3</v>
      </c>
      <c r="N127" s="495" t="str">
        <f>IFERROR(__xludf.DUMMYFUNCTION("""COMPUTED_VALUE"""),"hector gatica")</f>
        <v>hector gatica</v>
      </c>
      <c r="O127" s="495" t="str">
        <f>IFERROR(__xludf.DUMMYFUNCTION("""COMPUTED_VALUE"""),"Mantenciones")</f>
        <v>Mantenciones</v>
      </c>
      <c r="P127" s="495" t="str">
        <f>IFERROR(__xludf.DUMMYFUNCTION("""COMPUTED_VALUE"""),"Requerimientos Emergentes e Imprevistos")</f>
        <v>Requerimientos Emergentes e Imprevistos</v>
      </c>
      <c r="Q127" s="495"/>
      <c r="R127" s="495"/>
      <c r="S127" s="495"/>
      <c r="T127" s="495"/>
      <c r="U127" s="495"/>
      <c r="V127" s="495" t="str">
        <f>IFERROR(__xludf.DUMMYFUNCTION("""COMPUTED_VALUE"""),"REPARACIONES CREDITO CSF CAMBIO DE PLANCHA POLICARBONATO EN CUBIERTA Y REMPLAZO VIDRIO VENTANA,")</f>
        <v>REPARACIONES CREDITO CSF CAMBIO DE PLANCHA POLICARBONATO EN CUBIERTA Y REMPLAZO VIDRIO VENTANA,</v>
      </c>
      <c r="W127" s="495"/>
      <c r="X127" s="495" t="str">
        <f>IFERROR(__xludf.DUMMYFUNCTION("""COMPUTED_VALUE"""),"https://drive.google.com/open?id=1uTpOgiGrCCuBdjfoy7Uf2GrrEe9gTQfe, https://drive.google.com/open?id=18GcsqD0BgNDXQOQKmcN3J6-Pqi_V-ABs, https://drive.google.com/open?id=1STO1tCpT_EseEkCIjhhYHrw-deT6s_8o")</f>
        <v>https://drive.google.com/open?id=1uTpOgiGrCCuBdjfoy7Uf2GrrEe9gTQfe, https://drive.google.com/open?id=18GcsqD0BgNDXQOQKmcN3J6-Pqi_V-ABs, https://drive.google.com/open?id=1STO1tCpT_EseEkCIjhhYHrw-deT6s_8o</v>
      </c>
      <c r="Y127" s="495" t="str">
        <f>IFERROR(__xludf.DUMMYFUNCTION("""COMPUTED_VALUE"""),"serviciogaticar@gmail.com")</f>
        <v>serviciogaticar@gmail.com</v>
      </c>
      <c r="Z127" s="498">
        <f>IFERROR(__xludf.DUMMYFUNCTION("""COMPUTED_VALUE"""),214200.0)</f>
        <v>214200</v>
      </c>
      <c r="AA127" s="495"/>
      <c r="AB127" s="495"/>
      <c r="AC127" s="495"/>
      <c r="AD127" s="495" t="str">
        <f>IFERROR(__xludf.DUMMYFUNCTION("""COMPUTED_VALUE"""),"RC-226_26")</f>
        <v>RC-226_26</v>
      </c>
    </row>
    <row r="128">
      <c r="A128" s="495" t="str">
        <f t="shared" si="1"/>
        <v>RC-224_26</v>
      </c>
      <c r="B128" s="497">
        <f>IFERROR(__xludf.DUMMYFUNCTION("""COMPUTED_VALUE"""),46173.94318851852)</f>
        <v>46173.94319</v>
      </c>
      <c r="C128" s="495" t="str">
        <f>IFERROR(__xludf.DUMMYFUNCTION("""COMPUTED_VALUE"""),"")</f>
        <v/>
      </c>
      <c r="D128" s="495" t="str">
        <f>IFERROR(__xludf.DUMMYFUNCTION("""COMPUTED_VALUE"""),"Mauricio Matus Belmar")</f>
        <v>Mauricio Matus Belmar</v>
      </c>
      <c r="E128" s="495"/>
      <c r="F128" s="496" t="str">
        <f>IFERROR(__xludf.DUMMYFUNCTION("""COMPUTED_VALUE"""),"3704-2025")</f>
        <v>3704-2025</v>
      </c>
      <c r="G128" s="495"/>
      <c r="H128" s="495"/>
      <c r="I128" s="495"/>
      <c r="J128" s="495" t="str">
        <f>IFERROR(__xludf.DUMMYFUNCTION("""COMPUTED_VALUE"""),"Campus San Juan Pablo II - CJP")</f>
        <v>Campus San Juan Pablo II - CJP</v>
      </c>
      <c r="K128" s="495">
        <f>IFERROR(__xludf.DUMMYFUNCTION("""COMPUTED_VALUE"""),10.0)</f>
        <v>10</v>
      </c>
      <c r="L128" s="495" t="str">
        <f>IFERROR(__xludf.DUMMYFUNCTION("""COMPUTED_VALUE"""),"SERVICIOS INTEGRALES CRITICOS SPA")</f>
        <v>SERVICIOS INTEGRALES CRITICOS SPA</v>
      </c>
      <c r="M128" s="495" t="str">
        <f>IFERROR(__xludf.DUMMYFUNCTION("""COMPUTED_VALUE"""),"77.248.719-3")</f>
        <v>77.248.719-3</v>
      </c>
      <c r="N128" s="495" t="str">
        <f>IFERROR(__xludf.DUMMYFUNCTION("""COMPUTED_VALUE"""),"ROBERTO FUENTES RIFFO - SUPERVISOR")</f>
        <v>ROBERTO FUENTES RIFFO - SUPERVISOR</v>
      </c>
      <c r="O128" s="495" t="str">
        <f>IFERROR(__xludf.DUMMYFUNCTION("""COMPUTED_VALUE"""),"Mantenciones")</f>
        <v>Mantenciones</v>
      </c>
      <c r="P128" s="495" t="str">
        <f>IFERROR(__xludf.DUMMYFUNCTION("""COMPUTED_VALUE"""),"Requerimientos Emergentes e Imprevistos")</f>
        <v>Requerimientos Emergentes e Imprevistos</v>
      </c>
      <c r="Q128" s="495"/>
      <c r="R128" s="495"/>
      <c r="S128" s="495"/>
      <c r="T128" s="495"/>
      <c r="U128" s="495"/>
      <c r="V128" s="495" t="str">
        <f>IFERROR(__xludf.DUMMYFUNCTION("""COMPUTED_VALUE"""),"LICITACION DE CALDERA A PELLET SE REALIZA UNA VEZ POR SEMANA")</f>
        <v>LICITACION DE CALDERA A PELLET SE REALIZA UNA VEZ POR SEMANA</v>
      </c>
      <c r="W128" s="495" t="str">
        <f>IFERROR(__xludf.DUMMYFUNCTION("""COMPUTED_VALUE"""),"REALIZAR EN FORMA PERIODICA")</f>
        <v>REALIZAR EN FORMA PERIODICA</v>
      </c>
      <c r="X128" s="495" t="str">
        <f>IFERROR(__xludf.DUMMYFUNCTION("""COMPUTED_VALUE"""),"https://drive.google.com/open?id=12Ygr-SKaLdJoTYkq258UNCzDrRdR0TtS, https://drive.google.com/open?id=1z6BwfSSNEbLRmvzjIktbo4xERGmExzrD, https://drive.google.com/open?id=1Xe3PFt9VDHpsJW_hc00ujelXVM4yLKBJ, https://drive.google.com/open?id=1xzC-fMOHIRXx9PWZi"&amp;"5P1u0TolHmjRpYD, https://drive.google.com/open?id=1LLL9eEPSR7JGCuy-00CqEpqbq4eX-Z0L")</f>
        <v>https://drive.google.com/open?id=12Ygr-SKaLdJoTYkq258UNCzDrRdR0TtS, https://drive.google.com/open?id=1z6BwfSSNEbLRmvzjIktbo4xERGmExzrD, https://drive.google.com/open?id=1Xe3PFt9VDHpsJW_hc00ujelXVM4yLKBJ, https://drive.google.com/open?id=1xzC-fMOHIRXx9PWZi5P1u0TolHmjRpYD, https://drive.google.com/open?id=1LLL9eEPSR7JGCuy-00CqEpqbq4eX-Z0L</v>
      </c>
      <c r="Y128" s="495" t="str">
        <f>IFERROR(__xludf.DUMMYFUNCTION("""COMPUTED_VALUE"""),"fuentes.roberto1@gmail.com")</f>
        <v>fuentes.roberto1@gmail.com</v>
      </c>
      <c r="Z128" s="498">
        <f>IFERROR(__xludf.DUMMYFUNCTION("""COMPUTED_VALUE"""),6380000.0)</f>
        <v>6380000</v>
      </c>
      <c r="AA128" s="495"/>
      <c r="AB128" s="495"/>
      <c r="AC128" s="495"/>
      <c r="AD128" s="495" t="str">
        <f>IFERROR(__xludf.DUMMYFUNCTION("""COMPUTED_VALUE"""),"RC-224_26")</f>
        <v>RC-224_26</v>
      </c>
    </row>
    <row r="129">
      <c r="A129" s="495" t="str">
        <f t="shared" si="1"/>
        <v>RC-223_26</v>
      </c>
      <c r="B129" s="497">
        <f>IFERROR(__xludf.DUMMYFUNCTION("""COMPUTED_VALUE"""),46173.92978515047)</f>
        <v>46173.92979</v>
      </c>
      <c r="C129" s="495" t="str">
        <f>IFERROR(__xludf.DUMMYFUNCTION("""COMPUTED_VALUE"""),"")</f>
        <v/>
      </c>
      <c r="D129" s="495" t="str">
        <f>IFERROR(__xludf.DUMMYFUNCTION("""COMPUTED_VALUE"""),"Mauricio Matus Belmar")</f>
        <v>Mauricio Matus Belmar</v>
      </c>
      <c r="E129" s="495"/>
      <c r="F129" s="496" t="str">
        <f>IFERROR(__xludf.DUMMYFUNCTION("""COMPUTED_VALUE"""),"2252-2026")</f>
        <v>2252-2026</v>
      </c>
      <c r="G129" s="495"/>
      <c r="H129" s="495"/>
      <c r="I129" s="495"/>
      <c r="J129" s="495" t="str">
        <f>IFERROR(__xludf.DUMMYFUNCTION("""COMPUTED_VALUE"""),"Campus San Juan Pablo II - CJP")</f>
        <v>Campus San Juan Pablo II - CJP</v>
      </c>
      <c r="K129" s="495">
        <f>IFERROR(__xludf.DUMMYFUNCTION("""COMPUTED_VALUE"""),10.0)</f>
        <v>10</v>
      </c>
      <c r="L129" s="495" t="str">
        <f>IFERROR(__xludf.DUMMYFUNCTION("""COMPUTED_VALUE"""),"SERVICIOS INTEGRALES CRITICOS SPA")</f>
        <v>SERVICIOS INTEGRALES CRITICOS SPA</v>
      </c>
      <c r="M129" s="495" t="str">
        <f>IFERROR(__xludf.DUMMYFUNCTION("""COMPUTED_VALUE"""),"77.248.719-3")</f>
        <v>77.248.719-3</v>
      </c>
      <c r="N129" s="495" t="str">
        <f>IFERROR(__xludf.DUMMYFUNCTION("""COMPUTED_VALUE"""),"ROBERTO FUENTES RIFFO - SUPERVISOR")</f>
        <v>ROBERTO FUENTES RIFFO - SUPERVISOR</v>
      </c>
      <c r="O129" s="495" t="str">
        <f>IFERROR(__xludf.DUMMYFUNCTION("""COMPUTED_VALUE"""),"Mantenciones")</f>
        <v>Mantenciones</v>
      </c>
      <c r="P129" s="495" t="str">
        <f>IFERROR(__xludf.DUMMYFUNCTION("""COMPUTED_VALUE"""),"Requerimientos Emergentes e Imprevistos")</f>
        <v>Requerimientos Emergentes e Imprevistos</v>
      </c>
      <c r="Q129" s="495"/>
      <c r="R129" s="495"/>
      <c r="S129" s="495"/>
      <c r="T129" s="495"/>
      <c r="U129" s="495"/>
      <c r="V129" s="495" t="str">
        <f>IFERROR(__xludf.DUMMYFUNCTION("""COMPUTED_VALUE"""),"CALDERAS 800 KW SE PUSIERON PARRILLAS NUEVAS Y CALDERA DE 500 KW SE APROVECHARON TODAS LAS BUENAS DE AMBAS PARRILLAS")</f>
        <v>CALDERAS 800 KW SE PUSIERON PARRILLAS NUEVAS Y CALDERA DE 500 KW SE APROVECHARON TODAS LAS BUENAS DE AMBAS PARRILLAS</v>
      </c>
      <c r="W129" s="495" t="str">
        <f>IFERROR(__xludf.DUMMYFUNCTION("""COMPUTED_VALUE"""),"REALIZAR LIMPIEZA A CADA UNA DE LAS PARRILLAS 2 VECES AL AÑO")</f>
        <v>REALIZAR LIMPIEZA A CADA UNA DE LAS PARRILLAS 2 VECES AL AÑO</v>
      </c>
      <c r="X129" s="495" t="str">
        <f>IFERROR(__xludf.DUMMYFUNCTION("""COMPUTED_VALUE"""),"https://drive.google.com/open?id=111GTRVksg71vCGJH9HHWRC8ZrNU3scQF, https://drive.google.com/open?id=1bbt6bfYcRLgcz31-lQAp6__98hI45GC0, https://drive.google.com/open?id=1GiFsT7ZwPhaM-zoOrMDjh6kHaFKrONvx, https://drive.google.com/open?id=1RRHDLKhoLO6VmbdL3"&amp;"z_gGuZbW8AiXPtx, https://drive.google.com/open?id=1WYHfpNGT-qly9MB2Fhi6vD84XCeiPbGz")</f>
        <v>https://drive.google.com/open?id=111GTRVksg71vCGJH9HHWRC8ZrNU3scQF, https://drive.google.com/open?id=1bbt6bfYcRLgcz31-lQAp6__98hI45GC0, https://drive.google.com/open?id=1GiFsT7ZwPhaM-zoOrMDjh6kHaFKrONvx, https://drive.google.com/open?id=1RRHDLKhoLO6VmbdL3z_gGuZbW8AiXPtx, https://drive.google.com/open?id=1WYHfpNGT-qly9MB2Fhi6vD84XCeiPbGz</v>
      </c>
      <c r="Y129" s="495" t="str">
        <f>IFERROR(__xludf.DUMMYFUNCTION("""COMPUTED_VALUE"""),"fuentes.roberto1@gmail.com")</f>
        <v>fuentes.roberto1@gmail.com</v>
      </c>
      <c r="Z129" s="498">
        <f>IFERROR(__xludf.DUMMYFUNCTION("""COMPUTED_VALUE"""),3628310.0)</f>
        <v>3628310</v>
      </c>
      <c r="AA129" s="495"/>
      <c r="AB129" s="495"/>
      <c r="AC129" s="495"/>
      <c r="AD129" s="495" t="str">
        <f>IFERROR(__xludf.DUMMYFUNCTION("""COMPUTED_VALUE"""),"RC-223_26")</f>
        <v>RC-223_26</v>
      </c>
    </row>
    <row r="130">
      <c r="A130" s="495" t="str">
        <f t="shared" si="1"/>
        <v>RC-222_26</v>
      </c>
      <c r="B130" s="497">
        <f>IFERROR(__xludf.DUMMYFUNCTION("""COMPUTED_VALUE"""),46173.90499809028)</f>
        <v>46173.905</v>
      </c>
      <c r="C130" s="495" t="str">
        <f>IFERROR(__xludf.DUMMYFUNCTION("""COMPUTED_VALUE"""),"")</f>
        <v/>
      </c>
      <c r="D130" s="495" t="str">
        <f>IFERROR(__xludf.DUMMYFUNCTION("""COMPUTED_VALUE"""),"Mauricio Matus Belmar")</f>
        <v>Mauricio Matus Belmar</v>
      </c>
      <c r="E130" s="495"/>
      <c r="F130" s="496" t="str">
        <f>IFERROR(__xludf.DUMMYFUNCTION("""COMPUTED_VALUE"""),"2781-2026")</f>
        <v>2781-2026</v>
      </c>
      <c r="G130" s="495"/>
      <c r="H130" s="495"/>
      <c r="I130" s="495"/>
      <c r="J130" s="495" t="str">
        <f>IFERROR(__xludf.DUMMYFUNCTION("""COMPUTED_VALUE"""),"Campus Dr. Luis Rivas del Canto - CRC")</f>
        <v>Campus Dr. Luis Rivas del Canto - CRC</v>
      </c>
      <c r="K130" s="495" t="str">
        <f>IFERROR(__xludf.DUMMYFUNCTION("""COMPUTED_VALUE"""),"02")</f>
        <v>02</v>
      </c>
      <c r="L130" s="495" t="str">
        <f>IFERROR(__xludf.DUMMYFUNCTION("""COMPUTED_VALUE"""),"SERVICIOS INTEGRALES CRITICOS SPA")</f>
        <v>SERVICIOS INTEGRALES CRITICOS SPA</v>
      </c>
      <c r="M130" s="495" t="str">
        <f>IFERROR(__xludf.DUMMYFUNCTION("""COMPUTED_VALUE"""),"77.248.719-3")</f>
        <v>77.248.719-3</v>
      </c>
      <c r="N130" s="495" t="str">
        <f>IFERROR(__xludf.DUMMYFUNCTION("""COMPUTED_VALUE"""),"ROBERTO FUENTES RIFFO  -- SUPERVISOR")</f>
        <v>ROBERTO FUENTES RIFFO  -- SUPERVISOR</v>
      </c>
      <c r="O130" s="495" t="str">
        <f>IFERROR(__xludf.DUMMYFUNCTION("""COMPUTED_VALUE"""),"Mantenciones")</f>
        <v>Mantenciones</v>
      </c>
      <c r="P130" s="495" t="str">
        <f>IFERROR(__xludf.DUMMYFUNCTION("""COMPUTED_VALUE"""),"Requerimientos Emergentes e Imprevistos")</f>
        <v>Requerimientos Emergentes e Imprevistos</v>
      </c>
      <c r="Q130" s="495"/>
      <c r="R130" s="495"/>
      <c r="S130" s="495"/>
      <c r="T130" s="495"/>
      <c r="U130" s="495"/>
      <c r="V130" s="495" t="str">
        <f>IFERROR(__xludf.DUMMYFUNCTION("""COMPUTED_VALUE"""),"MANTENCION DE 2 CALDERAS CON QUEMADORES A PETROLEO RIELLO ")</f>
        <v>MANTENCION DE 2 CALDERAS CON QUEMADORES A PETROLEO RIELLO </v>
      </c>
      <c r="W130" s="495" t="str">
        <f>IFERROR(__xludf.DUMMYFUNCTION("""COMPUTED_VALUE"""),"REALIZAR UNA VEZ AL AÑO")</f>
        <v>REALIZAR UNA VEZ AL AÑO</v>
      </c>
      <c r="X130" s="495" t="str">
        <f>IFERROR(__xludf.DUMMYFUNCTION("""COMPUTED_VALUE"""),"https://drive.google.com/open?id=1--3PNJOMYDmPtAILfHZOMWrpbqu7HLZT, https://drive.google.com/open?id=1NQ6x2uIe9_ZDBLqlciVsiPEWMMqX2aVy, https://drive.google.com/open?id=1MdSV-xOVCMu6yYQidDrhZJaRBDMajHxn, https://drive.google.com/open?id=1l2Fv9VGMaUv2W7M3A"&amp;"efVCLEk63KL-T2J, https://drive.google.com/open?id=1HAQO1DX4MEJMOTQgZZl-xgZ_OhGaSGBO, https://drive.google.com/open?id=1r0g3xAuQpfR1U1d8bI5hvGArGzrM4S-B, https://drive.google.com/open?id=1ih7v55k7yA_TFA8HzvQE2Um0MBzwwqR6, https://drive.google.com/open?id=1"&amp;"02fcFpPR7DXPZgg1CLUPHk2UZflOpVXI, https://drive.google.com/open?id=1numSt7nesPCy4RhAs20SB9vKhSQKqgtn")</f>
        <v>https://drive.google.com/open?id=1--3PNJOMYDmPtAILfHZOMWrpbqu7HLZT, https://drive.google.com/open?id=1NQ6x2uIe9_ZDBLqlciVsiPEWMMqX2aVy, https://drive.google.com/open?id=1MdSV-xOVCMu6yYQidDrhZJaRBDMajHxn, https://drive.google.com/open?id=1l2Fv9VGMaUv2W7M3AefVCLEk63KL-T2J, https://drive.google.com/open?id=1HAQO1DX4MEJMOTQgZZl-xgZ_OhGaSGBO, https://drive.google.com/open?id=1r0g3xAuQpfR1U1d8bI5hvGArGzrM4S-B, https://drive.google.com/open?id=1ih7v55k7yA_TFA8HzvQE2Um0MBzwwqR6, https://drive.google.com/open?id=102fcFpPR7DXPZgg1CLUPHk2UZflOpVXI, https://drive.google.com/open?id=1numSt7nesPCy4RhAs20SB9vKhSQKqgtn</v>
      </c>
      <c r="Y130" s="495" t="str">
        <f>IFERROR(__xludf.DUMMYFUNCTION("""COMPUTED_VALUE"""),"fuentes.roberto1@gmail.com")</f>
        <v>fuentes.roberto1@gmail.com</v>
      </c>
      <c r="Z130" s="498">
        <f>IFERROR(__xludf.DUMMYFUNCTION("""COMPUTED_VALUE"""),598570.0)</f>
        <v>598570</v>
      </c>
      <c r="AA130" s="495"/>
      <c r="AB130" s="495"/>
      <c r="AC130" s="495"/>
      <c r="AD130" s="495" t="str">
        <f>IFERROR(__xludf.DUMMYFUNCTION("""COMPUTED_VALUE"""),"RC-222_26")</f>
        <v>RC-222_26</v>
      </c>
    </row>
    <row r="131">
      <c r="A131" s="495" t="str">
        <f t="shared" si="1"/>
        <v>RC-221_26</v>
      </c>
      <c r="B131" s="497">
        <f>IFERROR(__xludf.DUMMYFUNCTION("""COMPUTED_VALUE"""),46171.47001564815)</f>
        <v>46171.47002</v>
      </c>
      <c r="C131" s="495" t="str">
        <f>IFERROR(__xludf.DUMMYFUNCTION("""COMPUTED_VALUE"""),"")</f>
        <v/>
      </c>
      <c r="D131" s="495" t="str">
        <f>IFERROR(__xludf.DUMMYFUNCTION("""COMPUTED_VALUE"""),"Felipe Anselme Grandón")</f>
        <v>Felipe Anselme Grandón</v>
      </c>
      <c r="E131" s="495"/>
      <c r="F131" s="496" t="str">
        <f>IFERROR(__xludf.DUMMYFUNCTION("""COMPUTED_VALUE"""),"4089-2026")</f>
        <v>4089-2026</v>
      </c>
      <c r="G131" s="495"/>
      <c r="H131" s="495"/>
      <c r="I131" s="495"/>
      <c r="J131" s="495" t="str">
        <f>IFERROR(__xludf.DUMMYFUNCTION("""COMPUTED_VALUE"""),"Campus Dr. Luis Rivas del Canto - CRC")</f>
        <v>Campus Dr. Luis Rivas del Canto - CRC</v>
      </c>
      <c r="K131" s="495">
        <f>IFERROR(__xludf.DUMMYFUNCTION("""COMPUTED_VALUE"""),18.0)</f>
        <v>18</v>
      </c>
      <c r="L131" s="495" t="str">
        <f>IFERROR(__xludf.DUMMYFUNCTION("""COMPUTED_VALUE"""),"Alejandro Barria mateluna ")</f>
        <v>Alejandro Barria mateluna </v>
      </c>
      <c r="M131" s="495" t="str">
        <f>IFERROR(__xludf.DUMMYFUNCTION("""COMPUTED_VALUE"""),"11.662.472-9")</f>
        <v>11.662.472-9</v>
      </c>
      <c r="N131" s="495" t="str">
        <f>IFERROR(__xludf.DUMMYFUNCTION("""COMPUTED_VALUE"""),"Alejandro Barria ")</f>
        <v>Alejandro Barria </v>
      </c>
      <c r="O131" s="495" t="str">
        <f>IFERROR(__xludf.DUMMYFUNCTION("""COMPUTED_VALUE"""),"Mantenciones")</f>
        <v>Mantenciones</v>
      </c>
      <c r="P131" s="495" t="str">
        <f>IFERROR(__xludf.DUMMYFUNCTION("""COMPUTED_VALUE"""),"Cerramientos Verticales")</f>
        <v>Cerramientos Verticales</v>
      </c>
      <c r="Q131" s="495"/>
      <c r="R131" s="495"/>
      <c r="S131" s="495"/>
      <c r="T131" s="495"/>
      <c r="U131" s="495"/>
      <c r="V131" s="495" t="str">
        <f>IFERROR(__xludf.DUMMYFUNCTION("""COMPUTED_VALUE"""),"Modificación puerta acceso pañol ing. Eléctrica ")</f>
        <v>Modificación puerta acceso pañol ing. Eléctrica </v>
      </c>
      <c r="W131" s="495"/>
      <c r="X131" s="495" t="str">
        <f>IFERROR(__xludf.DUMMYFUNCTION("""COMPUTED_VALUE"""),"https://drive.google.com/open?id=1cq8IUHBmaHnabuo2Ucg__GkoET2xPsrH, https://drive.google.com/open?id=1erhhnQDgzsD4D3VSKewOsOHqXpG0bVp8, https://drive.google.com/open?id=1OAChecPijNV8JjngImjC5m28l6z4vC3y, https://drive.google.com/open?id=1zTIZ9vpbM5al4lrrM"&amp;"cijnHN2Xsns-in7, https://drive.google.com/open?id=1XZ488JVs9ZzkHD7cf7D-68MPRPeCNpgk, https://drive.google.com/open?id=1UoVhMytriZme2MUWXJojVIIquVApXqD5, https://drive.google.com/open?id=1aZYdW856yMG1ZxEQjP_vu3MQkobEpcvp, https://drive.google.com/open?id=1"&amp;"PQmNx6aQBH-wDNuwxyIijsRgO1n4DLiQ, https://drive.google.com/open?id=1CPxxFExCnQSS0f0h6Xe3w5u8fFGA7xut, https://drive.google.com/open?id=1Kf5NvEQV1OT3S-gJ08ZCsH5WrOR22YFH")</f>
        <v>https://drive.google.com/open?id=1cq8IUHBmaHnabuo2Ucg__GkoET2xPsrH, https://drive.google.com/open?id=1erhhnQDgzsD4D3VSKewOsOHqXpG0bVp8, https://drive.google.com/open?id=1OAChecPijNV8JjngImjC5m28l6z4vC3y, https://drive.google.com/open?id=1zTIZ9vpbM5al4lrrMcijnHN2Xsns-in7, https://drive.google.com/open?id=1XZ488JVs9ZzkHD7cf7D-68MPRPeCNpgk, https://drive.google.com/open?id=1UoVhMytriZme2MUWXJojVIIquVApXqD5, https://drive.google.com/open?id=1aZYdW856yMG1ZxEQjP_vu3MQkobEpcvp, https://drive.google.com/open?id=1PQmNx6aQBH-wDNuwxyIijsRgO1n4DLiQ, https://drive.google.com/open?id=1CPxxFExCnQSS0f0h6Xe3w5u8fFGA7xut, https://drive.google.com/open?id=1Kf5NvEQV1OT3S-gJ08ZCsH5WrOR22YFH</v>
      </c>
      <c r="Y131" s="495" t="str">
        <f>IFERROR(__xludf.DUMMYFUNCTION("""COMPUTED_VALUE"""),"aabarriam@gmail.com")</f>
        <v>aabarriam@gmail.com</v>
      </c>
      <c r="Z131" s="498">
        <f>IFERROR(__xludf.DUMMYFUNCTION("""COMPUTED_VALUE"""),124950.0)</f>
        <v>124950</v>
      </c>
      <c r="AA131" s="495"/>
      <c r="AB131" s="495"/>
      <c r="AC131" s="495"/>
      <c r="AD131" s="495" t="str">
        <f>IFERROR(__xludf.DUMMYFUNCTION("""COMPUTED_VALUE"""),"RC-221_26")</f>
        <v>RC-221_26</v>
      </c>
    </row>
    <row r="132">
      <c r="A132" s="495" t="str">
        <f t="shared" si="1"/>
        <v>RC-098</v>
      </c>
      <c r="B132" s="497">
        <f>IFERROR(__xludf.DUMMYFUNCTION("""COMPUTED_VALUE"""),45996.62111878472)</f>
        <v>45996.62112</v>
      </c>
      <c r="C132" s="495" t="str">
        <f>IFERROR(__xludf.DUMMYFUNCTION("""COMPUTED_VALUE"""),"")</f>
        <v/>
      </c>
      <c r="D132" s="495" t="str">
        <f>IFERROR(__xludf.DUMMYFUNCTION("""COMPUTED_VALUE"""),"Felipe Anselme Grandón")</f>
        <v>Felipe Anselme Grandón</v>
      </c>
      <c r="E132" s="495"/>
      <c r="F132" s="496" t="str">
        <f>IFERROR(__xludf.DUMMYFUNCTION("""COMPUTED_VALUE"""),"11581-2025")</f>
        <v>11581-2025</v>
      </c>
      <c r="G132" s="495"/>
      <c r="H132" s="495"/>
      <c r="I132" s="495"/>
      <c r="J132" s="495" t="str">
        <f>IFERROR(__xludf.DUMMYFUNCTION("""COMPUTED_VALUE"""),"Campus San Francisco - CSF")</f>
        <v>Campus San Francisco - CSF</v>
      </c>
      <c r="K132" s="495" t="str">
        <f>IFERROR(__xludf.DUMMYFUNCTION("""COMPUTED_VALUE"""),"Sin número")</f>
        <v>Sin número</v>
      </c>
      <c r="L132" s="495" t="str">
        <f>IFERROR(__xludf.DUMMYFUNCTION("""COMPUTED_VALUE"""),"Constructora Romo y Cadi Limitada ")</f>
        <v>Constructora Romo y Cadi Limitada </v>
      </c>
      <c r="M132" s="495" t="str">
        <f>IFERROR(__xludf.DUMMYFUNCTION("""COMPUTED_VALUE"""),"76.107.187-4")</f>
        <v>76.107.187-4</v>
      </c>
      <c r="N132" s="495" t="str">
        <f>IFERROR(__xludf.DUMMYFUNCTION("""COMPUTED_VALUE"""),"Francisco Romo Socio-Gerente ")</f>
        <v>Francisco Romo Socio-Gerente </v>
      </c>
      <c r="O132" s="495" t="str">
        <f>IFERROR(__xludf.DUMMYFUNCTION("""COMPUTED_VALUE"""),"Obras y Especialidades")</f>
        <v>Obras y Especialidades</v>
      </c>
      <c r="P132" s="495"/>
      <c r="Q132" s="495"/>
      <c r="R132" s="495" t="str">
        <f>IFERROR(__xludf.DUMMYFUNCTION("""COMPUTED_VALUE"""),"Especialidades")</f>
        <v>Especialidades</v>
      </c>
      <c r="S132" s="495" t="str">
        <f>IFERROR(__xludf.DUMMYFUNCTION("""COMPUTED_VALUE"""),"Estado de Pago - EP")</f>
        <v>Estado de Pago - EP</v>
      </c>
      <c r="T132" s="495">
        <f>IFERROR(__xludf.DUMMYFUNCTION("""COMPUTED_VALUE"""),1.0)</f>
        <v>1</v>
      </c>
      <c r="U132" s="498">
        <f>IFERROR(__xludf.DUMMYFUNCTION("""COMPUTED_VALUE"""),2.09321E7)</f>
        <v>20932100</v>
      </c>
      <c r="V132" s="495" t="str">
        <f>IFERROR(__xludf.DUMMYFUNCTION("""COMPUTED_VALUE"""),"Regularización instalaciones sanitarias Campus San Francisco ")</f>
        <v>Regularización instalaciones sanitarias Campus San Francisco </v>
      </c>
      <c r="W132" s="495" t="str">
        <f>IFERROR(__xludf.DUMMYFUNCTION("""COMPUTED_VALUE"""),"Sin Observaciones Técnicas")</f>
        <v>Sin Observaciones Técnicas</v>
      </c>
      <c r="X132" s="495" t="str">
        <f>IFERROR(__xludf.DUMMYFUNCTION("""COMPUTED_VALUE"""),"https://drive.google.com/open?id=1AkfFWDHao2i_sfgZKSSbPgC801AgLzEj, https://drive.google.com/open?id=1E7fowGcQhsqcj9qG1MiMssklZFYhOljE")</f>
        <v>https://drive.google.com/open?id=1AkfFWDHao2i_sfgZKSSbPgC801AgLzEj, https://drive.google.com/open?id=1E7fowGcQhsqcj9qG1MiMssklZFYhOljE</v>
      </c>
      <c r="Y132" s="495" t="str">
        <f>IFERROR(__xludf.DUMMYFUNCTION("""COMPUTED_VALUE"""),"secretaria.fromo@gmail.com")</f>
        <v>secretaria.fromo@gmail.com</v>
      </c>
      <c r="Z132" s="495"/>
      <c r="AA132" s="495"/>
      <c r="AB132" s="495"/>
      <c r="AC132" s="495"/>
      <c r="AD132" s="495" t="str">
        <f>IFERROR(__xludf.DUMMYFUNCTION("""COMPUTED_VALUE"""),"RC-098")</f>
        <v>RC-098</v>
      </c>
    </row>
    <row r="133">
      <c r="A133" s="495" t="str">
        <f t="shared" si="1"/>
        <v>RC-099</v>
      </c>
      <c r="B133" s="497">
        <f>IFERROR(__xludf.DUMMYFUNCTION("""COMPUTED_VALUE"""),45996.64602893518)</f>
        <v>45996.64603</v>
      </c>
      <c r="C133" s="495" t="str">
        <f>IFERROR(__xludf.DUMMYFUNCTION("""COMPUTED_VALUE"""),"")</f>
        <v/>
      </c>
      <c r="D133" s="495" t="str">
        <f>IFERROR(__xludf.DUMMYFUNCTION("""COMPUTED_VALUE"""),"Felipe Anselme Grandón")</f>
        <v>Felipe Anselme Grandón</v>
      </c>
      <c r="E133" s="495"/>
      <c r="F133" s="496" t="str">
        <f>IFERROR(__xludf.DUMMYFUNCTION("""COMPUTED_VALUE"""),"11581-2025")</f>
        <v>11581-2025</v>
      </c>
      <c r="G133" s="495"/>
      <c r="H133" s="495"/>
      <c r="I133" s="495"/>
      <c r="J133" s="495" t="str">
        <f>IFERROR(__xludf.DUMMYFUNCTION("""COMPUTED_VALUE"""),"Campus San Francisco - CSF")</f>
        <v>Campus San Francisco - CSF</v>
      </c>
      <c r="K133" s="495" t="str">
        <f>IFERROR(__xludf.DUMMYFUNCTION("""COMPUTED_VALUE"""),"Sin número")</f>
        <v>Sin número</v>
      </c>
      <c r="L133" s="495" t="str">
        <f>IFERROR(__xludf.DUMMYFUNCTION("""COMPUTED_VALUE"""),"Constructora Romo y Cadi Limitada ")</f>
        <v>Constructora Romo y Cadi Limitada </v>
      </c>
      <c r="M133" s="495" t="str">
        <f>IFERROR(__xludf.DUMMYFUNCTION("""COMPUTED_VALUE"""),"76.107.187-4")</f>
        <v>76.107.187-4</v>
      </c>
      <c r="N133" s="495" t="str">
        <f>IFERROR(__xludf.DUMMYFUNCTION("""COMPUTED_VALUE"""),"Francisco Romo Socio Gerente")</f>
        <v>Francisco Romo Socio Gerente</v>
      </c>
      <c r="O133" s="495" t="str">
        <f>IFERROR(__xludf.DUMMYFUNCTION("""COMPUTED_VALUE"""),"Obras y Especialidades")</f>
        <v>Obras y Especialidades</v>
      </c>
      <c r="P133" s="495"/>
      <c r="Q133" s="495"/>
      <c r="R133" s="495" t="str">
        <f>IFERROR(__xludf.DUMMYFUNCTION("""COMPUTED_VALUE"""),"Especialidades")</f>
        <v>Especialidades</v>
      </c>
      <c r="S133" s="495" t="str">
        <f>IFERROR(__xludf.DUMMYFUNCTION("""COMPUTED_VALUE"""),"Recepción de Obra - RC")</f>
        <v>Recepción de Obra - RC</v>
      </c>
      <c r="T133" s="495"/>
      <c r="U133" s="495"/>
      <c r="V133" s="495" t="str">
        <f>IFERROR(__xludf.DUMMYFUNCTION("""COMPUTED_VALUE"""),"Regularización Instalaciones sanitarias Campus  San Francisco ")</f>
        <v>Regularización Instalaciones sanitarias Campus  San Francisco </v>
      </c>
      <c r="W133" s="495" t="str">
        <f>IFERROR(__xludf.DUMMYFUNCTION("""COMPUTED_VALUE"""),"Sin observaciones técnicas")</f>
        <v>Sin observaciones técnicas</v>
      </c>
      <c r="X133" s="495" t="str">
        <f>IFERROR(__xludf.DUMMYFUNCTION("""COMPUTED_VALUE"""),"https://drive.google.com/open?id=1FNw4PtboQ4X5zWQ50-k6hQCwtUgoR74j, https://drive.google.com/open?id=1mttGncYaTDWUcRuDjojCx7k5bcYIaDDy")</f>
        <v>https://drive.google.com/open?id=1FNw4PtboQ4X5zWQ50-k6hQCwtUgoR74j, https://drive.google.com/open?id=1mttGncYaTDWUcRuDjojCx7k5bcYIaDDy</v>
      </c>
      <c r="Y133" s="495" t="str">
        <f>IFERROR(__xludf.DUMMYFUNCTION("""COMPUTED_VALUE"""),"secretaria.fromo@gmail.com")</f>
        <v>secretaria.fromo@gmail.com</v>
      </c>
      <c r="Z133" s="495"/>
      <c r="AA133" s="495"/>
      <c r="AB133" s="495"/>
      <c r="AC133" s="495"/>
      <c r="AD133" s="495" t="str">
        <f>IFERROR(__xludf.DUMMYFUNCTION("""COMPUTED_VALUE"""),"RC-099")</f>
        <v>RC-099</v>
      </c>
    </row>
    <row r="134">
      <c r="A134" s="495" t="str">
        <f t="shared" si="1"/>
        <v>RC-100</v>
      </c>
      <c r="B134" s="497">
        <f>IFERROR(__xludf.DUMMYFUNCTION("""COMPUTED_VALUE"""),45996.683062118056)</f>
        <v>45996.68306</v>
      </c>
      <c r="C134" s="495" t="str">
        <f>IFERROR(__xludf.DUMMYFUNCTION("""COMPUTED_VALUE"""),"")</f>
        <v/>
      </c>
      <c r="D134" s="495" t="str">
        <f>IFERROR(__xludf.DUMMYFUNCTION("""COMPUTED_VALUE"""),"Leonor Ríos Morales")</f>
        <v>Leonor Ríos Morales</v>
      </c>
      <c r="E134" s="495"/>
      <c r="F134" s="496" t="str">
        <f>IFERROR(__xludf.DUMMYFUNCTION("""COMPUTED_VALUE"""),"12161-2025")</f>
        <v>12161-2025</v>
      </c>
      <c r="G134" s="495"/>
      <c r="H134" s="495"/>
      <c r="I134" s="495"/>
      <c r="J134" s="495" t="str">
        <f>IFERROR(__xludf.DUMMYFUNCTION("""COMPUTED_VALUE"""),"Campus San Francisco - CSF")</f>
        <v>Campus San Francisco - CSF</v>
      </c>
      <c r="K134" s="495" t="str">
        <f>IFERROR(__xludf.DUMMYFUNCTION("""COMPUTED_VALUE"""),"02")</f>
        <v>02</v>
      </c>
      <c r="L134" s="495" t="str">
        <f>IFERROR(__xludf.DUMMYFUNCTION("""COMPUTED_VALUE"""),"Construcciones luis exequiel solis catalan e. I. R. L. ")</f>
        <v>Construcciones luis exequiel solis catalan e. I. R. L. </v>
      </c>
      <c r="M134" s="495" t="str">
        <f>IFERROR(__xludf.DUMMYFUNCTION("""COMPUTED_VALUE"""),"77.280.635-3")</f>
        <v>77.280.635-3</v>
      </c>
      <c r="N134" s="495" t="str">
        <f>IFERROR(__xludf.DUMMYFUNCTION("""COMPUTED_VALUE"""),"Luis solis")</f>
        <v>Luis solis</v>
      </c>
      <c r="O134" s="495" t="str">
        <f>IFERROR(__xludf.DUMMYFUNCTION("""COMPUTED_VALUE"""),"Obras y Especialidades")</f>
        <v>Obras y Especialidades</v>
      </c>
      <c r="P134" s="495"/>
      <c r="Q134" s="495"/>
      <c r="R134" s="495" t="str">
        <f>IFERROR(__xludf.DUMMYFUNCTION("""COMPUTED_VALUE"""),"Especialidades")</f>
        <v>Especialidades</v>
      </c>
      <c r="S134" s="495" t="str">
        <f>IFERROR(__xludf.DUMMYFUNCTION("""COMPUTED_VALUE"""),"Recepción de Obra - RC")</f>
        <v>Recepción de Obra - RC</v>
      </c>
      <c r="T134" s="495"/>
      <c r="U134" s="495"/>
      <c r="V134" s="495" t="str">
        <f>IFERROR(__xludf.DUMMYFUNCTION("""COMPUTED_VALUE"""),"2 escritorios 2 sillas de escritorios , 2 cajoneras con llaves tode en melamina 18 mm gris ")</f>
        <v>2 escritorios 2 sillas de escritorios , 2 cajoneras con llaves tode en melamina 18 mm gris </v>
      </c>
      <c r="W134" s="495" t="str">
        <f>IFERROR(__xludf.DUMMYFUNCTION("""COMPUTED_VALUE"""),"No mojar cubierta")</f>
        <v>No mojar cubierta</v>
      </c>
      <c r="X134" s="495" t="str">
        <f>IFERROR(__xludf.DUMMYFUNCTION("""COMPUTED_VALUE"""),"https://drive.google.com/open?id=1shgfhlhSrUiXuIsC4Xu1EQu5z2R8WbJm, https://drive.google.com/open?id=1lLGZ-Rf6ZMuuWCVUCDOtyyo_-3bB4yhA, https://drive.google.com/open?id=1ygM7twcH4K3QafQnEBHHcOA3SEyOPbzE, https://drive.google.com/open?id=1O9OzRzJexwMdOK9bc"&amp;"VboJfP6Jwlwwf65")</f>
        <v>https://drive.google.com/open?id=1shgfhlhSrUiXuIsC4Xu1EQu5z2R8WbJm, https://drive.google.com/open?id=1lLGZ-Rf6ZMuuWCVUCDOtyyo_-3bB4yhA, https://drive.google.com/open?id=1ygM7twcH4K3QafQnEBHHcOA3SEyOPbzE, https://drive.google.com/open?id=1O9OzRzJexwMdOK9bcVboJfP6Jwlwwf65</v>
      </c>
      <c r="Y134" s="495" t="str">
        <f>IFERROR(__xludf.DUMMYFUNCTION("""COMPUTED_VALUE"""),"luis.exequielsolis@gmail.com")</f>
        <v>luis.exequielsolis@gmail.com</v>
      </c>
      <c r="Z134" s="495"/>
      <c r="AA134" s="495"/>
      <c r="AB134" s="495"/>
      <c r="AC134" s="495"/>
      <c r="AD134" s="495" t="str">
        <f>IFERROR(__xludf.DUMMYFUNCTION("""COMPUTED_VALUE"""),"RC-100")</f>
        <v>RC-100</v>
      </c>
    </row>
    <row r="135">
      <c r="A135" s="495" t="str">
        <f t="shared" si="1"/>
        <v>RC-220_26</v>
      </c>
      <c r="B135" s="497">
        <f>IFERROR(__xludf.DUMMYFUNCTION("""COMPUTED_VALUE"""),46171.4555303588)</f>
        <v>46171.45553</v>
      </c>
      <c r="C135" s="495" t="str">
        <f>IFERROR(__xludf.DUMMYFUNCTION("""COMPUTED_VALUE"""),"")</f>
        <v/>
      </c>
      <c r="D135" s="495" t="str">
        <f>IFERROR(__xludf.DUMMYFUNCTION("""COMPUTED_VALUE"""),"Felipe Anselme Grandón")</f>
        <v>Felipe Anselme Grandón</v>
      </c>
      <c r="E135" s="495"/>
      <c r="F135" s="496" t="str">
        <f>IFERROR(__xludf.DUMMYFUNCTION("""COMPUTED_VALUE"""),"4086-2026")</f>
        <v>4086-2026</v>
      </c>
      <c r="G135" s="495"/>
      <c r="H135" s="495"/>
      <c r="I135" s="495"/>
      <c r="J135" s="495" t="str">
        <f>IFERROR(__xludf.DUMMYFUNCTION("""COMPUTED_VALUE"""),"Campus San Francisco - CSF")</f>
        <v>Campus San Francisco - CSF</v>
      </c>
      <c r="K135" s="495" t="str">
        <f>IFERROR(__xludf.DUMMYFUNCTION("""COMPUTED_VALUE"""),"05")</f>
        <v>05</v>
      </c>
      <c r="L135" s="495" t="str">
        <f>IFERROR(__xludf.DUMMYFUNCTION("""COMPUTED_VALUE"""),"Alejandro Barria mateluna ")</f>
        <v>Alejandro Barria mateluna </v>
      </c>
      <c r="M135" s="495" t="str">
        <f>IFERROR(__xludf.DUMMYFUNCTION("""COMPUTED_VALUE"""),"11.662.472-9")</f>
        <v>11.662.472-9</v>
      </c>
      <c r="N135" s="495" t="str">
        <f>IFERROR(__xludf.DUMMYFUNCTION("""COMPUTED_VALUE"""),"Alejandro Barria ")</f>
        <v>Alejandro Barria </v>
      </c>
      <c r="O135" s="495" t="str">
        <f>IFERROR(__xludf.DUMMYFUNCTION("""COMPUTED_VALUE"""),"Mantenciones")</f>
        <v>Mantenciones</v>
      </c>
      <c r="P135" s="495" t="str">
        <f>IFERROR(__xludf.DUMMYFUNCTION("""COMPUTED_VALUE"""),"Cerramientos Verticales")</f>
        <v>Cerramientos Verticales</v>
      </c>
      <c r="Q135" s="495"/>
      <c r="R135" s="495"/>
      <c r="S135" s="495"/>
      <c r="T135" s="495"/>
      <c r="U135" s="495"/>
      <c r="V135" s="495" t="str">
        <f>IFERROR(__xludf.DUMMYFUNCTION("""COMPUTED_VALUE"""),"Mallas mosqueteras ventanas casino csf")</f>
        <v>Mallas mosqueteras ventanas casino csf</v>
      </c>
      <c r="W135" s="495"/>
      <c r="X135" s="495" t="str">
        <f>IFERROR(__xludf.DUMMYFUNCTION("""COMPUTED_VALUE"""),"https://drive.google.com/open?id=1zRaTxCjNtuKvaZciC7Oga1PWMhAkA_49, https://drive.google.com/open?id=1ozmOK-cowC6eagijxATpZDKk5B6iBjQW, https://drive.google.com/open?id=1l_EcZbRlNlLJzqJZFssvEFVYAbWLLy-M, https://drive.google.com/open?id=1u5Po2ay-Oj9RpGayr"&amp;"MBKbADEQ-Je2juX, https://drive.google.com/open?id=1kFQQYhjHuYlF7GOa258uSZB0DaXgeWMj, https://drive.google.com/open?id=1Ue1jUibxy-a7OxA-Dt05HwLH76B2ROF_")</f>
        <v>https://drive.google.com/open?id=1zRaTxCjNtuKvaZciC7Oga1PWMhAkA_49, https://drive.google.com/open?id=1ozmOK-cowC6eagijxATpZDKk5B6iBjQW, https://drive.google.com/open?id=1l_EcZbRlNlLJzqJZFssvEFVYAbWLLy-M, https://drive.google.com/open?id=1u5Po2ay-Oj9RpGayrMBKbADEQ-Je2juX, https://drive.google.com/open?id=1kFQQYhjHuYlF7GOa258uSZB0DaXgeWMj, https://drive.google.com/open?id=1Ue1jUibxy-a7OxA-Dt05HwLH76B2ROF_</v>
      </c>
      <c r="Y135" s="495" t="str">
        <f>IFERROR(__xludf.DUMMYFUNCTION("""COMPUTED_VALUE"""),"aabarriam@gmail.com")</f>
        <v>aabarriam@gmail.com</v>
      </c>
      <c r="Z135" s="498">
        <f>IFERROR(__xludf.DUMMYFUNCTION("""COMPUTED_VALUE"""),386750.0)</f>
        <v>386750</v>
      </c>
      <c r="AA135" s="495"/>
      <c r="AB135" s="495"/>
      <c r="AC135" s="495"/>
      <c r="AD135" s="495" t="str">
        <f>IFERROR(__xludf.DUMMYFUNCTION("""COMPUTED_VALUE"""),"RC-220_26")</f>
        <v>RC-220_26</v>
      </c>
    </row>
    <row r="136">
      <c r="A136" s="495" t="str">
        <f t="shared" si="1"/>
        <v>RC-219_26</v>
      </c>
      <c r="B136" s="497">
        <f>IFERROR(__xludf.DUMMYFUNCTION("""COMPUTED_VALUE"""),46170.70344225694)</f>
        <v>46170.70344</v>
      </c>
      <c r="C136" s="495" t="str">
        <f>IFERROR(__xludf.DUMMYFUNCTION("""COMPUTED_VALUE"""),"")</f>
        <v/>
      </c>
      <c r="D136" s="495" t="str">
        <f>IFERROR(__xludf.DUMMYFUNCTION("""COMPUTED_VALUE"""),"Arturo Meza Vega")</f>
        <v>Arturo Meza Vega</v>
      </c>
      <c r="E136" s="495"/>
      <c r="F136" s="496" t="str">
        <f>IFERROR(__xludf.DUMMYFUNCTION("""COMPUTED_VALUE"""),"4023 - 2026")</f>
        <v>4023 - 2026</v>
      </c>
      <c r="G136" s="495"/>
      <c r="H136" s="495"/>
      <c r="I136" s="495"/>
      <c r="J136" s="495" t="str">
        <f>IFERROR(__xludf.DUMMYFUNCTION("""COMPUTED_VALUE"""),"Campus Dr. Luis Rivas del Canto - CRC")</f>
        <v>Campus Dr. Luis Rivas del Canto - CRC</v>
      </c>
      <c r="K136" s="495">
        <f>IFERROR(__xludf.DUMMYFUNCTION("""COMPUTED_VALUE"""),10.0)</f>
        <v>10</v>
      </c>
      <c r="L136" s="495" t="str">
        <f>IFERROR(__xludf.DUMMYFUNCTION("""COMPUTED_VALUE"""),"J&amp;D Ingeniería y Ejecución SPA")</f>
        <v>J&amp;D Ingeniería y Ejecución SPA</v>
      </c>
      <c r="M136" s="495" t="str">
        <f>IFERROR(__xludf.DUMMYFUNCTION("""COMPUTED_VALUE"""),"78.368.635-K")</f>
        <v>78.368.635-K</v>
      </c>
      <c r="N136" s="495" t="str">
        <f>IFERROR(__xludf.DUMMYFUNCTION("""COMPUTED_VALUE"""),"José Espinoza - Jefe de Proyectos")</f>
        <v>José Espinoza - Jefe de Proyectos</v>
      </c>
      <c r="O136" s="495" t="str">
        <f>IFERROR(__xludf.DUMMYFUNCTION("""COMPUTED_VALUE"""),"Mantenciones")</f>
        <v>Mantenciones</v>
      </c>
      <c r="P136" s="495" t="str">
        <f>IFERROR(__xludf.DUMMYFUNCTION("""COMPUTED_VALUE"""),"Instalaciones Eléctricas")</f>
        <v>Instalaciones Eléctricas</v>
      </c>
      <c r="Q136" s="495"/>
      <c r="R136" s="495"/>
      <c r="S136" s="495"/>
      <c r="T136" s="495"/>
      <c r="U136" s="495"/>
      <c r="V136" s="495" t="str">
        <f>IFERROR(__xludf.DUMMYFUNCTION("""COMPUTED_VALUE"""),"Modificaciones eléctricas en laboratorios CRC10 160 Y 170")</f>
        <v>Modificaciones eléctricas en laboratorios CRC10 160 Y 170</v>
      </c>
      <c r="W136" s="495"/>
      <c r="X136" s="499" t="str">
        <f>IFERROR(__xludf.DUMMYFUNCTION("""COMPUTED_VALUE"""),"https://drive.google.com/open?id=1mqBfW_q1TWf22GNKEbmfZYMAmhWUabHj")</f>
        <v>https://drive.google.com/open?id=1mqBfW_q1TWf22GNKEbmfZYMAmhWUabHj</v>
      </c>
      <c r="Y136" s="495" t="str">
        <f>IFERROR(__xludf.DUMMYFUNCTION("""COMPUTED_VALUE"""),"jotayde.ingenieria@gmail.com")</f>
        <v>jotayde.ingenieria@gmail.com</v>
      </c>
      <c r="Z136" s="498">
        <f>IFERROR(__xludf.DUMMYFUNCTION("""COMPUTED_VALUE"""),226158.0)</f>
        <v>226158</v>
      </c>
      <c r="AA136" s="495"/>
      <c r="AB136" s="495"/>
      <c r="AC136" s="495"/>
      <c r="AD136" s="495" t="str">
        <f>IFERROR(__xludf.DUMMYFUNCTION("""COMPUTED_VALUE"""),"RC-219_26")</f>
        <v>RC-219_26</v>
      </c>
    </row>
    <row r="137">
      <c r="A137" s="495" t="str">
        <f t="shared" si="1"/>
        <v>RC-217_26</v>
      </c>
      <c r="B137" s="497">
        <f>IFERROR(__xludf.DUMMYFUNCTION("""COMPUTED_VALUE"""),46170.70083476852)</f>
        <v>46170.70083</v>
      </c>
      <c r="C137" s="495" t="str">
        <f>IFERROR(__xludf.DUMMYFUNCTION("""COMPUTED_VALUE"""),"")</f>
        <v/>
      </c>
      <c r="D137" s="495" t="str">
        <f>IFERROR(__xludf.DUMMYFUNCTION("""COMPUTED_VALUE"""),"Arturo Meza Vega")</f>
        <v>Arturo Meza Vega</v>
      </c>
      <c r="E137" s="495"/>
      <c r="F137" s="496" t="str">
        <f>IFERROR(__xludf.DUMMYFUNCTION("""COMPUTED_VALUE"""),"3481 - 2026")</f>
        <v>3481 - 2026</v>
      </c>
      <c r="G137" s="495"/>
      <c r="H137" s="495"/>
      <c r="I137" s="495"/>
      <c r="J137" s="495" t="str">
        <f>IFERROR(__xludf.DUMMYFUNCTION("""COMPUTED_VALUE"""),"Campus San Francisco - CSF")</f>
        <v>Campus San Francisco - CSF</v>
      </c>
      <c r="K137" s="495" t="str">
        <f>IFERROR(__xludf.DUMMYFUNCTION("""COMPUTED_VALUE"""),"05")</f>
        <v>05</v>
      </c>
      <c r="L137" s="495" t="str">
        <f>IFERROR(__xludf.DUMMYFUNCTION("""COMPUTED_VALUE"""),"J&amp;D Ingeniería y Ejecución SPA")</f>
        <v>J&amp;D Ingeniería y Ejecución SPA</v>
      </c>
      <c r="M137" s="495" t="str">
        <f>IFERROR(__xludf.DUMMYFUNCTION("""COMPUTED_VALUE"""),"78.368.635-K")</f>
        <v>78.368.635-K</v>
      </c>
      <c r="N137" s="495" t="str">
        <f>IFERROR(__xludf.DUMMYFUNCTION("""COMPUTED_VALUE"""),"José Espinoza - Jefe de Proyectos")</f>
        <v>José Espinoza - Jefe de Proyectos</v>
      </c>
      <c r="O137" s="495" t="str">
        <f>IFERROR(__xludf.DUMMYFUNCTION("""COMPUTED_VALUE"""),"Mantenciones")</f>
        <v>Mantenciones</v>
      </c>
      <c r="P137" s="495" t="str">
        <f>IFERROR(__xludf.DUMMYFUNCTION("""COMPUTED_VALUE"""),"Instalaciones Eléctricas")</f>
        <v>Instalaciones Eléctricas</v>
      </c>
      <c r="Q137" s="495"/>
      <c r="R137" s="495"/>
      <c r="S137" s="495"/>
      <c r="T137" s="495"/>
      <c r="U137" s="495"/>
      <c r="V137" s="495" t="str">
        <f>IFERROR(__xludf.DUMMYFUNCTION("""COMPUTED_VALUE"""),"Certificación TE1 para inscripción de calderas CSF 05 y CEC")</f>
        <v>Certificación TE1 para inscripción de calderas CSF 05 y CEC</v>
      </c>
      <c r="W137" s="495"/>
      <c r="X137" s="499" t="str">
        <f>IFERROR(__xludf.DUMMYFUNCTION("""COMPUTED_VALUE"""),"https://drive.google.com/open?id=1d2ibdwSs_k5lOXHcFc1uM2iZK4sDvB5e")</f>
        <v>https://drive.google.com/open?id=1d2ibdwSs_k5lOXHcFc1uM2iZK4sDvB5e</v>
      </c>
      <c r="Y137" s="495" t="str">
        <f>IFERROR(__xludf.DUMMYFUNCTION("""COMPUTED_VALUE"""),"jotayde.ingenieria@gmail.com")</f>
        <v>jotayde.ingenieria@gmail.com</v>
      </c>
      <c r="Z137" s="498">
        <f>IFERROR(__xludf.DUMMYFUNCTION("""COMPUTED_VALUE"""),612850.0)</f>
        <v>612850</v>
      </c>
      <c r="AA137" s="495"/>
      <c r="AB137" s="495"/>
      <c r="AC137" s="495"/>
      <c r="AD137" s="495" t="str">
        <f>IFERROR(__xludf.DUMMYFUNCTION("""COMPUTED_VALUE"""),"RC-217_26")</f>
        <v>RC-217_26</v>
      </c>
    </row>
    <row r="138">
      <c r="A138" s="495" t="str">
        <f t="shared" si="1"/>
        <v>RC-104</v>
      </c>
      <c r="B138" s="497">
        <f>IFERROR(__xludf.DUMMYFUNCTION("""COMPUTED_VALUE"""),46000.53407142361)</f>
        <v>46000.53407</v>
      </c>
      <c r="C138" s="495" t="str">
        <f>IFERROR(__xludf.DUMMYFUNCTION("""COMPUTED_VALUE"""),"")</f>
        <v/>
      </c>
      <c r="D138" s="495" t="str">
        <f>IFERROR(__xludf.DUMMYFUNCTION("""COMPUTED_VALUE"""),"Leonor Ríos Morales")</f>
        <v>Leonor Ríos Morales</v>
      </c>
      <c r="E138" s="495"/>
      <c r="F138" s="496">
        <f>IFERROR(__xludf.DUMMYFUNCTION("""COMPUTED_VALUE"""),11712.0)</f>
        <v>11712</v>
      </c>
      <c r="G138" s="495"/>
      <c r="H138" s="495"/>
      <c r="I138" s="495"/>
      <c r="J138" s="495" t="str">
        <f>IFERROR(__xludf.DUMMYFUNCTION("""COMPUTED_VALUE"""),"Campus San Juan Pablo II - CJP")</f>
        <v>Campus San Juan Pablo II - CJP</v>
      </c>
      <c r="K138" s="495" t="str">
        <f>IFERROR(__xludf.DUMMYFUNCTION("""COMPUTED_VALUE"""),"07")</f>
        <v>07</v>
      </c>
      <c r="L138" s="495" t="str">
        <f>IFERROR(__xludf.DUMMYFUNCTION("""COMPUTED_VALUE"""),"dsiete spa")</f>
        <v>dsiete spa</v>
      </c>
      <c r="M138" s="495" t="str">
        <f>IFERROR(__xludf.DUMMYFUNCTION("""COMPUTED_VALUE"""),"77.964.311-5")</f>
        <v>77.964.311-5</v>
      </c>
      <c r="N138" s="495" t="str">
        <f>IFERROR(__xludf.DUMMYFUNCTION("""COMPUTED_VALUE"""),"Daniella Vidal encargada de proyectos")</f>
        <v>Daniella Vidal encargada de proyectos</v>
      </c>
      <c r="O138" s="495" t="str">
        <f>IFERROR(__xludf.DUMMYFUNCTION("""COMPUTED_VALUE"""),"Obras y Especialidades")</f>
        <v>Obras y Especialidades</v>
      </c>
      <c r="P138" s="495"/>
      <c r="Q138" s="495"/>
      <c r="R138" s="495" t="str">
        <f>IFERROR(__xludf.DUMMYFUNCTION("""COMPUTED_VALUE"""),"Exteriores")</f>
        <v>Exteriores</v>
      </c>
      <c r="S138" s="495" t="str">
        <f>IFERROR(__xludf.DUMMYFUNCTION("""COMPUTED_VALUE"""),"Recepción de Obra - RC")</f>
        <v>Recepción de Obra - RC</v>
      </c>
      <c r="T138" s="495"/>
      <c r="U138" s="495"/>
      <c r="V138" s="495" t="str">
        <f>IFERROR(__xludf.DUMMYFUNCTION("""COMPUTED_VALUE"""),"Señaleticas de edificios ")</f>
        <v>Señaleticas de edificios </v>
      </c>
      <c r="W138" s="495"/>
      <c r="X138" s="495" t="str">
        <f>IFERROR(__xludf.DUMMYFUNCTION("""COMPUTED_VALUE"""),"https://drive.google.com/open?id=1Fs0WzW7aLrN8O4H7bUo7jQ1STU-vffiY, https://drive.google.com/open?id=1mjFYpYg79_qCf81kIGBPvxqfSPwh07rc, https://drive.google.com/open?id=1i94K_BUBNs6wJbKVBVuOAlmL36iQpfXg, https://drive.google.com/open?id=1cti36Tmz3BG5oO_0n"&amp;"boj8OQoM-zCOq_v, https://drive.google.com/open?id=18b-Z7Z3kXYB8obUQzOyBfnzzMHqSjG45")</f>
        <v>https://drive.google.com/open?id=1Fs0WzW7aLrN8O4H7bUo7jQ1STU-vffiY, https://drive.google.com/open?id=1mjFYpYg79_qCf81kIGBPvxqfSPwh07rc, https://drive.google.com/open?id=1i94K_BUBNs6wJbKVBVuOAlmL36iQpfXg, https://drive.google.com/open?id=1cti36Tmz3BG5oO_0nboj8OQoM-zCOq_v, https://drive.google.com/open?id=18b-Z7Z3kXYB8obUQzOyBfnzzMHqSjG45</v>
      </c>
      <c r="Y138" s="495" t="str">
        <f>IFERROR(__xludf.DUMMYFUNCTION("""COMPUTED_VALUE"""),"dsiete.design@gmail.com")</f>
        <v>dsiete.design@gmail.com</v>
      </c>
      <c r="Z138" s="495"/>
      <c r="AA138" s="495"/>
      <c r="AB138" s="495"/>
      <c r="AC138" s="495"/>
      <c r="AD138" s="495" t="str">
        <f>IFERROR(__xludf.DUMMYFUNCTION("""COMPUTED_VALUE"""),"RC-104")</f>
        <v>RC-104</v>
      </c>
    </row>
    <row r="139">
      <c r="A139" s="495" t="str">
        <f t="shared" si="1"/>
        <v>RC-214_26</v>
      </c>
      <c r="B139" s="497">
        <f>IFERROR(__xludf.DUMMYFUNCTION("""COMPUTED_VALUE"""),46168.99231476852)</f>
        <v>46168.99231</v>
      </c>
      <c r="C139" s="495" t="str">
        <f>IFERROR(__xludf.DUMMYFUNCTION("""COMPUTED_VALUE"""),"")</f>
        <v/>
      </c>
      <c r="D139" s="495" t="str">
        <f>IFERROR(__xludf.DUMMYFUNCTION("""COMPUTED_VALUE"""),"Juan Ignacio Solís de Ovando")</f>
        <v>Juan Ignacio Solís de Ovando</v>
      </c>
      <c r="E139" s="495"/>
      <c r="F139" s="496">
        <f>IFERROR(__xludf.DUMMYFUNCTION("""COMPUTED_VALUE"""),3296.0)</f>
        <v>3296</v>
      </c>
      <c r="G139" s="495"/>
      <c r="H139" s="495"/>
      <c r="I139" s="495"/>
      <c r="J139" s="495" t="str">
        <f>IFERROR(__xludf.DUMMYFUNCTION("""COMPUTED_VALUE"""),"Campus Dr. Luis Rivas del Canto - CRC")</f>
        <v>Campus Dr. Luis Rivas del Canto - CRC</v>
      </c>
      <c r="K139" s="495">
        <f>IFERROR(__xludf.DUMMYFUNCTION("""COMPUTED_VALUE"""),10.0)</f>
        <v>10</v>
      </c>
      <c r="L139" s="495" t="str">
        <f>IFERROR(__xludf.DUMMYFUNCTION("""COMPUTED_VALUE"""),"COMERCIALIZADORA DANIELA ARRIAGADA E.I,R,L")</f>
        <v>COMERCIALIZADORA DANIELA ARRIAGADA E.I,R,L</v>
      </c>
      <c r="M139" s="495" t="str">
        <f>IFERROR(__xludf.DUMMYFUNCTION("""COMPUTED_VALUE"""),"76.707.485-9")</f>
        <v>76.707.485-9</v>
      </c>
      <c r="N139" s="495" t="str">
        <f>IFERROR(__xludf.DUMMYFUNCTION("""COMPUTED_VALUE"""),"JUAN IGNACIO SOLIS")</f>
        <v>JUAN IGNACIO SOLIS</v>
      </c>
      <c r="O139" s="495" t="str">
        <f>IFERROR(__xludf.DUMMYFUNCTION("""COMPUTED_VALUE"""),"Mantenciones")</f>
        <v>Mantenciones</v>
      </c>
      <c r="P139" s="495" t="str">
        <f>IFERROR(__xludf.DUMMYFUNCTION("""COMPUTED_VALUE"""),"Terminaciones Interiores")</f>
        <v>Terminaciones Interiores</v>
      </c>
      <c r="Q139" s="495"/>
      <c r="R139" s="495"/>
      <c r="S139" s="495"/>
      <c r="T139" s="495"/>
      <c r="U139" s="495"/>
      <c r="V139" s="495" t="str">
        <f>IFERROR(__xludf.DUMMYFUNCTION("""COMPUTED_VALUE""")," INSTALACION SEÑALETICAS LOCKERS")</f>
        <v> INSTALACION SEÑALETICAS LOCKERS</v>
      </c>
      <c r="W139" s="495"/>
      <c r="X139" s="499" t="str">
        <f>IFERROR(__xludf.DUMMYFUNCTION("""COMPUTED_VALUE"""),"https://drive.google.com/open?id=1P0wbTdqeZ7srT0uYYI8fn_xKt9PaxM5g")</f>
        <v>https://drive.google.com/open?id=1P0wbTdqeZ7srT0uYYI8fn_xKt9PaxM5g</v>
      </c>
      <c r="Y139" s="495" t="str">
        <f>IFERROR(__xludf.DUMMYFUNCTION("""COMPUTED_VALUE"""),"danielapatriciaarriagadacaba@hotmail.com")</f>
        <v>danielapatriciaarriagadacaba@hotmail.com</v>
      </c>
      <c r="Z139" s="498">
        <f>IFERROR(__xludf.DUMMYFUNCTION("""COMPUTED_VALUE"""),78000.0)</f>
        <v>78000</v>
      </c>
      <c r="AA139" s="495"/>
      <c r="AB139" s="495"/>
      <c r="AC139" s="495"/>
      <c r="AD139" s="495" t="str">
        <f>IFERROR(__xludf.DUMMYFUNCTION("""COMPUTED_VALUE"""),"RC-214_26")</f>
        <v>RC-214_26</v>
      </c>
    </row>
    <row r="140">
      <c r="A140" s="495" t="str">
        <f t="shared" si="1"/>
        <v>RC-213_26</v>
      </c>
      <c r="B140" s="497">
        <f>IFERROR(__xludf.DUMMYFUNCTION("""COMPUTED_VALUE"""),46168.98715381944)</f>
        <v>46168.98715</v>
      </c>
      <c r="C140" s="495" t="str">
        <f>IFERROR(__xludf.DUMMYFUNCTION("""COMPUTED_VALUE"""),"")</f>
        <v/>
      </c>
      <c r="D140" s="495" t="str">
        <f>IFERROR(__xludf.DUMMYFUNCTION("""COMPUTED_VALUE"""),"Leonor Ríos Morales")</f>
        <v>Leonor Ríos Morales</v>
      </c>
      <c r="E140" s="495"/>
      <c r="F140" s="496">
        <f>IFERROR(__xludf.DUMMYFUNCTION("""COMPUTED_VALUE"""),3810.0)</f>
        <v>3810</v>
      </c>
      <c r="G140" s="495"/>
      <c r="H140" s="495"/>
      <c r="I140" s="495"/>
      <c r="J140" s="495" t="str">
        <f>IFERROR(__xludf.DUMMYFUNCTION("""COMPUTED_VALUE"""),"Campus San Juan Pablo II - CJP")</f>
        <v>Campus San Juan Pablo II - CJP</v>
      </c>
      <c r="K140" s="495" t="str">
        <f>IFERROR(__xludf.DUMMYFUNCTION("""COMPUTED_VALUE"""),"08")</f>
        <v>08</v>
      </c>
      <c r="L140" s="495" t="str">
        <f>IFERROR(__xludf.DUMMYFUNCTION("""COMPUTED_VALUE"""),"COMERCIALIZADORA Daniela Arriagada EIRL")</f>
        <v>COMERCIALIZADORA Daniela Arriagada EIRL</v>
      </c>
      <c r="M140" s="495" t="str">
        <f>IFERROR(__xludf.DUMMYFUNCTION("""COMPUTED_VALUE"""),"76.707.485-9")</f>
        <v>76.707.485-9</v>
      </c>
      <c r="N140" s="495" t="str">
        <f>IFERROR(__xludf.DUMMYFUNCTION("""COMPUTED_VALUE"""),"LEONOR RIOS")</f>
        <v>LEONOR RIOS</v>
      </c>
      <c r="O140" s="495" t="str">
        <f>IFERROR(__xludf.DUMMYFUNCTION("""COMPUTED_VALUE"""),"Mantenciones")</f>
        <v>Mantenciones</v>
      </c>
      <c r="P140" s="495" t="str">
        <f>IFERROR(__xludf.DUMMYFUNCTION("""COMPUTED_VALUE"""),"Terminaciones Interiores")</f>
        <v>Terminaciones Interiores</v>
      </c>
      <c r="Q140" s="495"/>
      <c r="R140" s="495"/>
      <c r="S140" s="495"/>
      <c r="T140" s="495"/>
      <c r="U140" s="495"/>
      <c r="V140" s="495" t="str">
        <f>IFERROR(__xludf.DUMMYFUNCTION("""COMPUTED_VALUE"""),"RETIRO ROTULADO")</f>
        <v>RETIRO ROTULADO</v>
      </c>
      <c r="W140" s="495" t="str">
        <f>IFERROR(__xludf.DUMMYFUNCTION("""COMPUTED_VALUE"""),"RETIRO Y LIMPIEZA ROTULADOS")</f>
        <v>RETIRO Y LIMPIEZA ROTULADOS</v>
      </c>
      <c r="X140" s="499" t="str">
        <f>IFERROR(__xludf.DUMMYFUNCTION("""COMPUTED_VALUE"""),"https://drive.google.com/open?id=1OOVK9z7pTnPkTNkJF7BLMgW2UafC0m3G")</f>
        <v>https://drive.google.com/open?id=1OOVK9z7pTnPkTNkJF7BLMgW2UafC0m3G</v>
      </c>
      <c r="Y140" s="495" t="str">
        <f>IFERROR(__xludf.DUMMYFUNCTION("""COMPUTED_VALUE"""),"danielapatriciaarriagadacaba@hotmail.com")</f>
        <v>danielapatriciaarriagadacaba@hotmail.com</v>
      </c>
      <c r="Z140" s="498">
        <f>IFERROR(__xludf.DUMMYFUNCTION("""COMPUTED_VALUE"""),196350.0)</f>
        <v>196350</v>
      </c>
      <c r="AA140" s="495"/>
      <c r="AB140" s="495"/>
      <c r="AC140" s="495"/>
      <c r="AD140" s="495" t="str">
        <f>IFERROR(__xludf.DUMMYFUNCTION("""COMPUTED_VALUE"""),"RC-213_26")</f>
        <v>RC-213_26</v>
      </c>
    </row>
    <row r="141">
      <c r="A141" s="495" t="str">
        <f t="shared" si="1"/>
        <v>RC-107</v>
      </c>
      <c r="B141" s="497">
        <f>IFERROR(__xludf.DUMMYFUNCTION("""COMPUTED_VALUE"""),46001.525475902774)</f>
        <v>46001.52548</v>
      </c>
      <c r="C141" s="495" t="str">
        <f>IFERROR(__xludf.DUMMYFUNCTION("""COMPUTED_VALUE"""),"")</f>
        <v/>
      </c>
      <c r="D141" s="495" t="str">
        <f>IFERROR(__xludf.DUMMYFUNCTION("""COMPUTED_VALUE"""),"Leonor Ríos Morales")</f>
        <v>Leonor Ríos Morales</v>
      </c>
      <c r="E141" s="495"/>
      <c r="F141" s="496">
        <f>IFERROR(__xludf.DUMMYFUNCTION("""COMPUTED_VALUE"""),9983.0)</f>
        <v>9983</v>
      </c>
      <c r="G141" s="495"/>
      <c r="H141" s="495"/>
      <c r="I141" s="495"/>
      <c r="J141" s="495" t="str">
        <f>IFERROR(__xludf.DUMMYFUNCTION("""COMPUTED_VALUE"""),"Campus Educación Continua - CEC")</f>
        <v>Campus Educación Continua - CEC</v>
      </c>
      <c r="K141" s="495" t="str">
        <f>IFERROR(__xludf.DUMMYFUNCTION("""COMPUTED_VALUE"""),"Exterior")</f>
        <v>Exterior</v>
      </c>
      <c r="L141" s="495" t="str">
        <f>IFERROR(__xludf.DUMMYFUNCTION("""COMPUTED_VALUE"""),"regaldo nicolas riquelme lizama")</f>
        <v>regaldo nicolas riquelme lizama</v>
      </c>
      <c r="M141" s="495" t="str">
        <f>IFERROR(__xludf.DUMMYFUNCTION("""COMPUTED_VALUE"""),"9.937.535-3")</f>
        <v>9.937.535-3</v>
      </c>
      <c r="N141" s="495" t="str">
        <f>IFERROR(__xludf.DUMMYFUNCTION("""COMPUTED_VALUE"""),"Leonor Rios ")</f>
        <v>Leonor Rios </v>
      </c>
      <c r="O141" s="495" t="str">
        <f>IFERROR(__xludf.DUMMYFUNCTION("""COMPUTED_VALUE"""),"Obras y Especialidades")</f>
        <v>Obras y Especialidades</v>
      </c>
      <c r="P141" s="495"/>
      <c r="Q141" s="495"/>
      <c r="R141" s="495" t="str">
        <f>IFERROR(__xludf.DUMMYFUNCTION("""COMPUTED_VALUE"""),"Exteriores")</f>
        <v>Exteriores</v>
      </c>
      <c r="S141" s="495" t="str">
        <f>IFERROR(__xludf.DUMMYFUNCTION("""COMPUTED_VALUE"""),"Recepción de Obra - RC")</f>
        <v>Recepción de Obra - RC</v>
      </c>
      <c r="T141" s="495"/>
      <c r="U141" s="495"/>
      <c r="V141" s="495" t="str">
        <f>IFERROR(__xludf.DUMMYFUNCTION("""COMPUTED_VALUE"""),"Provisión de letreros indicativos base aluminio compuesto para estacionamientos. Instalados")</f>
        <v>Provisión de letreros indicativos base aluminio compuesto para estacionamientos. Instalados</v>
      </c>
      <c r="W141" s="495"/>
      <c r="X141" s="495" t="str">
        <f>IFERROR(__xludf.DUMMYFUNCTION("""COMPUTED_VALUE"""),"https://drive.google.com/open?id=1aFoItsler8yFMYzIp98iBY-HC-A7zsH8, https://drive.google.com/open?id=1VPFTw-iofDAkLjGkl40LqWjbM_DXOzId, https://drive.google.com/open?id=1CVtmbGA1eBMGcmJidA3KNPIpgoxHtDCN, https://drive.google.com/open?id=1e8w1PO0uSSOFohB8V"&amp;"5XaMwb8E8Momflv, https://drive.google.com/open?id=1XhN4FontRE5VIxy3xMWWrFTUzJKzMK2Q")</f>
        <v>https://drive.google.com/open?id=1aFoItsler8yFMYzIp98iBY-HC-A7zsH8, https://drive.google.com/open?id=1VPFTw-iofDAkLjGkl40LqWjbM_DXOzId, https://drive.google.com/open?id=1CVtmbGA1eBMGcmJidA3KNPIpgoxHtDCN, https://drive.google.com/open?id=1e8w1PO0uSSOFohB8V5XaMwb8E8Momflv, https://drive.google.com/open?id=1XhN4FontRE5VIxy3xMWWrFTUzJKzMK2Q</v>
      </c>
      <c r="Y141" s="495" t="str">
        <f>IFERROR(__xludf.DUMMYFUNCTION("""COMPUTED_VALUE"""),"lrios@uct.cl")</f>
        <v>lrios@uct.cl</v>
      </c>
      <c r="Z141" s="495"/>
      <c r="AA141" s="495"/>
      <c r="AB141" s="495"/>
      <c r="AC141" s="495"/>
      <c r="AD141" s="495" t="str">
        <f>IFERROR(__xludf.DUMMYFUNCTION("""COMPUTED_VALUE"""),"RC-107")</f>
        <v>RC-107</v>
      </c>
    </row>
    <row r="142">
      <c r="A142" s="495" t="str">
        <f t="shared" si="1"/>
        <v>RC-212_26</v>
      </c>
      <c r="B142" s="497">
        <f>IFERROR(__xludf.DUMMYFUNCTION("""COMPUTED_VALUE"""),46168.835074918985)</f>
        <v>46168.83507</v>
      </c>
      <c r="C142" s="495" t="str">
        <f>IFERROR(__xludf.DUMMYFUNCTION("""COMPUTED_VALUE"""),"")</f>
        <v/>
      </c>
      <c r="D142" s="495" t="str">
        <f>IFERROR(__xludf.DUMMYFUNCTION("""COMPUTED_VALUE"""),"Carol Huenchual Chañilao")</f>
        <v>Carol Huenchual Chañilao</v>
      </c>
      <c r="E142" s="495"/>
      <c r="F142" s="496" t="str">
        <f>IFERROR(__xludf.DUMMYFUNCTION("""COMPUTED_VALUE"""),"3478-2026")</f>
        <v>3478-2026</v>
      </c>
      <c r="G142" s="495"/>
      <c r="H142" s="495"/>
      <c r="I142" s="495"/>
      <c r="J142" s="495" t="str">
        <f>IFERROR(__xludf.DUMMYFUNCTION("""COMPUTED_VALUE"""),"Campus San Francisco - CSF")</f>
        <v>Campus San Francisco - CSF</v>
      </c>
      <c r="K142" s="495">
        <f>IFERROR(__xludf.DUMMYFUNCTION("""COMPUTED_VALUE"""),16.0)</f>
        <v>16</v>
      </c>
      <c r="L142" s="495" t="str">
        <f>IFERROR(__xludf.DUMMYFUNCTION("""COMPUTED_VALUE"""),"FCM Ingenieria Spa")</f>
        <v>FCM Ingenieria Spa</v>
      </c>
      <c r="M142" s="495" t="str">
        <f>IFERROR(__xludf.DUMMYFUNCTION("""COMPUTED_VALUE"""),"76.881.945-9")</f>
        <v>76.881.945-9</v>
      </c>
      <c r="N142" s="495" t="str">
        <f>IFERROR(__xludf.DUMMYFUNCTION("""COMPUTED_VALUE"""),"Marcelo Cruces, Ingeniero Ejecución Mecánico")</f>
        <v>Marcelo Cruces, Ingeniero Ejecución Mecánico</v>
      </c>
      <c r="O142" s="495" t="str">
        <f>IFERROR(__xludf.DUMMYFUNCTION("""COMPUTED_VALUE"""),"Mantenciones")</f>
        <v>Mantenciones</v>
      </c>
      <c r="P142" s="495" t="str">
        <f>IFERROR(__xludf.DUMMYFUNCTION("""COMPUTED_VALUE"""),"Requerimientos Emergentes e Imprevistos")</f>
        <v>Requerimientos Emergentes e Imprevistos</v>
      </c>
      <c r="Q142" s="495"/>
      <c r="R142" s="495"/>
      <c r="S142" s="495"/>
      <c r="T142" s="495"/>
      <c r="U142" s="495"/>
      <c r="V142" s="495" t="str">
        <f>IFERROR(__xludf.DUMMYFUNCTION("""COMPUTED_VALUE"""),"Reposición válvula de llanado automático de caldera.")</f>
        <v>Reposición válvula de llanado automático de caldera.</v>
      </c>
      <c r="W142" s="495" t="str">
        <f>IFERROR(__xludf.DUMMYFUNCTION("""COMPUTED_VALUE"""),"Se recomienda verificar permanentemente la presión del circuito de calefacción.")</f>
        <v>Se recomienda verificar permanentemente la presión del circuito de calefacción.</v>
      </c>
      <c r="X142" s="499" t="str">
        <f>IFERROR(__xludf.DUMMYFUNCTION("""COMPUTED_VALUE"""),"https://drive.google.com/open?id=1ZKjTWl5K90wfyuk8Ws1i_4ySjL8azPcw")</f>
        <v>https://drive.google.com/open?id=1ZKjTWl5K90wfyuk8Ws1i_4ySjL8azPcw</v>
      </c>
      <c r="Y142" s="495" t="str">
        <f>IFERROR(__xludf.DUMMYFUNCTION("""COMPUTED_VALUE"""),"marcelocruces@fcmingenieria.cl")</f>
        <v>marcelocruces@fcmingenieria.cl</v>
      </c>
      <c r="Z142" s="498">
        <f>IFERROR(__xludf.DUMMYFUNCTION("""COMPUTED_VALUE"""),107100.0)</f>
        <v>107100</v>
      </c>
      <c r="AA142" s="495"/>
      <c r="AB142" s="495"/>
      <c r="AC142" s="495"/>
      <c r="AD142" s="495" t="str">
        <f>IFERROR(__xludf.DUMMYFUNCTION("""COMPUTED_VALUE"""),"RC-212_26")</f>
        <v>RC-212_26</v>
      </c>
    </row>
    <row r="143">
      <c r="A143" s="495" t="str">
        <f t="shared" si="1"/>
        <v>RC-211_26</v>
      </c>
      <c r="B143" s="497">
        <f>IFERROR(__xludf.DUMMYFUNCTION("""COMPUTED_VALUE"""),46168.70442849537)</f>
        <v>46168.70443</v>
      </c>
      <c r="C143" s="495" t="str">
        <f>IFERROR(__xludf.DUMMYFUNCTION("""COMPUTED_VALUE"""),"")</f>
        <v/>
      </c>
      <c r="D143" s="495" t="str">
        <f>IFERROR(__xludf.DUMMYFUNCTION("""COMPUTED_VALUE"""),"David Silva Roco")</f>
        <v>David Silva Roco</v>
      </c>
      <c r="E143" s="495"/>
      <c r="F143" s="496" t="str">
        <f>IFERROR(__xludf.DUMMYFUNCTION("""COMPUTED_VALUE"""),"3010-26")</f>
        <v>3010-26</v>
      </c>
      <c r="G143" s="495"/>
      <c r="H143" s="495"/>
      <c r="I143" s="495"/>
      <c r="J143" s="495" t="str">
        <f>IFERROR(__xludf.DUMMYFUNCTION("""COMPUTED_VALUE"""),"Campus San Nicolás (Curacautín) - CSN")</f>
        <v>Campus San Nicolás (Curacautín) - CSN</v>
      </c>
      <c r="K143" s="495" t="str">
        <f>IFERROR(__xludf.DUMMYFUNCTION("""COMPUTED_VALUE"""),"Exterior")</f>
        <v>Exterior</v>
      </c>
      <c r="L143" s="495" t="str">
        <f>IFERROR(__xludf.DUMMYFUNCTION("""COMPUTED_VALUE"""),"luis saez allendes ingenieria y construccion eirl")</f>
        <v>luis saez allendes ingenieria y construccion eirl</v>
      </c>
      <c r="M143" s="495" t="str">
        <f>IFERROR(__xludf.DUMMYFUNCTION("""COMPUTED_VALUE"""),"76.219.281-0")</f>
        <v>76.219.281-0</v>
      </c>
      <c r="N143" s="495" t="str">
        <f>IFERROR(__xludf.DUMMYFUNCTION("""COMPUTED_VALUE"""),"luis saez allendes - representante legal")</f>
        <v>luis saez allendes - representante legal</v>
      </c>
      <c r="O143" s="495" t="str">
        <f>IFERROR(__xludf.DUMMYFUNCTION("""COMPUTED_VALUE"""),"Mantenciones")</f>
        <v>Mantenciones</v>
      </c>
      <c r="P143" s="495" t="str">
        <f>IFERROR(__xludf.DUMMYFUNCTION("""COMPUTED_VALUE"""),"Requerimientos Emergentes e Imprevistos")</f>
        <v>Requerimientos Emergentes e Imprevistos</v>
      </c>
      <c r="Q143" s="495"/>
      <c r="R143" s="495"/>
      <c r="S143" s="495"/>
      <c r="T143" s="495"/>
      <c r="U143" s="495"/>
      <c r="V143" s="495" t="str">
        <f>IFERROR(__xludf.DUMMYFUNCTION("""COMPUTED_VALUE"""),"SEGURIDAD PERIMETRAL CAMPUS CURACAUTIN DURANTE PERIODO DE CONSTRUCCIÓN DEL CENTRO RECREACIONAL")</f>
        <v>SEGURIDAD PERIMETRAL CAMPUS CURACAUTIN DURANTE PERIODO DE CONSTRUCCIÓN DEL CENTRO RECREACIONAL</v>
      </c>
      <c r="W143" s="495"/>
      <c r="X143" s="499" t="str">
        <f>IFERROR(__xludf.DUMMYFUNCTION("""COMPUTED_VALUE"""),"https://drive.google.com/open?id=1ooxYZGpGUliAQRm0bW6_2kRHFsy84HCv")</f>
        <v>https://drive.google.com/open?id=1ooxYZGpGUliAQRm0bW6_2kRHFsy84HCv</v>
      </c>
      <c r="Y143" s="495" t="str">
        <f>IFERROR(__xludf.DUMMYFUNCTION("""COMPUTED_VALUE"""),"luissaez@lsaingenieria.cl")</f>
        <v>luissaez@lsaingenieria.cl</v>
      </c>
      <c r="Z143" s="498">
        <f>IFERROR(__xludf.DUMMYFUNCTION("""COMPUTED_VALUE"""),2772537.0)</f>
        <v>2772537</v>
      </c>
      <c r="AA143" s="495"/>
      <c r="AB143" s="495"/>
      <c r="AC143" s="495"/>
      <c r="AD143" s="495" t="str">
        <f>IFERROR(__xludf.DUMMYFUNCTION("""COMPUTED_VALUE"""),"RC-211_26")</f>
        <v>RC-211_26</v>
      </c>
    </row>
    <row r="144">
      <c r="A144" s="495" t="str">
        <f t="shared" si="1"/>
        <v>RC-208_26</v>
      </c>
      <c r="B144" s="497">
        <f>IFERROR(__xludf.DUMMYFUNCTION("""COMPUTED_VALUE"""),46167.92385363426)</f>
        <v>46167.92385</v>
      </c>
      <c r="C144" s="495" t="str">
        <f>IFERROR(__xludf.DUMMYFUNCTION("""COMPUTED_VALUE"""),"")</f>
        <v/>
      </c>
      <c r="D144" s="495" t="str">
        <f>IFERROR(__xludf.DUMMYFUNCTION("""COMPUTED_VALUE"""),"Mauricio Matus Belmar")</f>
        <v>Mauricio Matus Belmar</v>
      </c>
      <c r="E144" s="495"/>
      <c r="F144" s="496" t="str">
        <f>IFERROR(__xludf.DUMMYFUNCTION("""COMPUTED_VALUE"""),"3923 - 2026")</f>
        <v>3923 - 2026</v>
      </c>
      <c r="G144" s="495"/>
      <c r="H144" s="495"/>
      <c r="I144" s="495"/>
      <c r="J144" s="495" t="str">
        <f>IFERROR(__xludf.DUMMYFUNCTION("""COMPUTED_VALUE"""),"Campus San Juan Pablo II - CJP")</f>
        <v>Campus San Juan Pablo II - CJP</v>
      </c>
      <c r="K144" s="495">
        <f>IFERROR(__xludf.DUMMYFUNCTION("""COMPUTED_VALUE"""),16.0)</f>
        <v>16</v>
      </c>
      <c r="L144" s="495" t="str">
        <f>IFERROR(__xludf.DUMMYFUNCTION("""COMPUTED_VALUE"""),"Flavia Oyarzun Soto")</f>
        <v>Flavia Oyarzun Soto</v>
      </c>
      <c r="M144" s="495" t="str">
        <f>IFERROR(__xludf.DUMMYFUNCTION("""COMPUTED_VALUE"""),"5.503.590-3")</f>
        <v>5.503.590-3</v>
      </c>
      <c r="N144" s="495" t="str">
        <f>IFERROR(__xludf.DUMMYFUNCTION("""COMPUTED_VALUE"""),"Roberto Lassalle Prado   Supervisor")</f>
        <v>Roberto Lassalle Prado   Supervisor</v>
      </c>
      <c r="O144" s="495" t="str">
        <f>IFERROR(__xludf.DUMMYFUNCTION("""COMPUTED_VALUE"""),"Mantenciones")</f>
        <v>Mantenciones</v>
      </c>
      <c r="P144" s="495" t="str">
        <f>IFERROR(__xludf.DUMMYFUNCTION("""COMPUTED_VALUE"""),"Requerimientos Emergentes e Imprevistos")</f>
        <v>Requerimientos Emergentes e Imprevistos</v>
      </c>
      <c r="Q144" s="495"/>
      <c r="R144" s="495"/>
      <c r="S144" s="495"/>
      <c r="T144" s="495"/>
      <c r="U144" s="495"/>
      <c r="V144" s="495" t="str">
        <f>IFERROR(__xludf.DUMMYFUNCTION("""COMPUTED_VALUE"""),"Reposición de mallas destruidas por roedores en edificio del huerto")</f>
        <v>Reposición de mallas destruidas por roedores en edificio del huerto</v>
      </c>
      <c r="W144" s="495" t="str">
        <f>IFERROR(__xludf.DUMMYFUNCTION("""COMPUTED_VALUE"""),"no hay")</f>
        <v>no hay</v>
      </c>
      <c r="X144" s="495" t="str">
        <f>IFERROR(__xludf.DUMMYFUNCTION("""COMPUTED_VALUE"""),"https://drive.google.com/open?id=1zEcIpRsp1YvHgIGVdvg7Op1r-p5CiWCS, https://drive.google.com/open?id=1F4Ca8tGSDMspeKjX8AN5DCzExYpzb3C6, https://drive.google.com/open?id=1hQSbKTPH9ykJqYn0n1K-mZX655S5Yvtx")</f>
        <v>https://drive.google.com/open?id=1zEcIpRsp1YvHgIGVdvg7Op1r-p5CiWCS, https://drive.google.com/open?id=1F4Ca8tGSDMspeKjX8AN5DCzExYpzb3C6, https://drive.google.com/open?id=1hQSbKTPH9ykJqYn0n1K-mZX655S5Yvtx</v>
      </c>
      <c r="Y144" s="495" t="str">
        <f>IFERROR(__xludf.DUMMYFUNCTION("""COMPUTED_VALUE"""),"roberto.lassalle@gmail.com")</f>
        <v>roberto.lassalle@gmail.com</v>
      </c>
      <c r="Z144" s="498">
        <f>IFERROR(__xludf.DUMMYFUNCTION("""COMPUTED_VALUE"""),307615.0)</f>
        <v>307615</v>
      </c>
      <c r="AA144" s="495"/>
      <c r="AB144" s="495"/>
      <c r="AC144" s="495"/>
      <c r="AD144" s="495" t="str">
        <f>IFERROR(__xludf.DUMMYFUNCTION("""COMPUTED_VALUE"""),"RC-208_26")</f>
        <v>RC-208_26</v>
      </c>
    </row>
    <row r="145">
      <c r="A145" s="495" t="str">
        <f t="shared" si="1"/>
        <v>RC-207_26</v>
      </c>
      <c r="B145" s="497">
        <f>IFERROR(__xludf.DUMMYFUNCTION("""COMPUTED_VALUE"""),46167.377279629625)</f>
        <v>46167.37728</v>
      </c>
      <c r="C145" s="495" t="str">
        <f>IFERROR(__xludf.DUMMYFUNCTION("""COMPUTED_VALUE"""),"")</f>
        <v/>
      </c>
      <c r="D145" s="495" t="str">
        <f>IFERROR(__xludf.DUMMYFUNCTION("""COMPUTED_VALUE"""),"Carol Huenchual Chañilao")</f>
        <v>Carol Huenchual Chañilao</v>
      </c>
      <c r="E145" s="495"/>
      <c r="F145" s="496" t="str">
        <f>IFERROR(__xludf.DUMMYFUNCTION("""COMPUTED_VALUE"""),"3879-2026")</f>
        <v>3879-2026</v>
      </c>
      <c r="G145" s="495"/>
      <c r="H145" s="495"/>
      <c r="I145" s="495"/>
      <c r="J145" s="495" t="str">
        <f>IFERROR(__xludf.DUMMYFUNCTION("""COMPUTED_VALUE"""),"Campus San Francisco - CSF")</f>
        <v>Campus San Francisco - CSF</v>
      </c>
      <c r="K145" s="495" t="str">
        <f>IFERROR(__xludf.DUMMYFUNCTION("""COMPUTED_VALUE"""),"08")</f>
        <v>08</v>
      </c>
      <c r="L145" s="495" t="str">
        <f>IFERROR(__xludf.DUMMYFUNCTION("""COMPUTED_VALUE"""),"servicios temuco spa")</f>
        <v>servicios temuco spa</v>
      </c>
      <c r="M145" s="495" t="str">
        <f>IFERROR(__xludf.DUMMYFUNCTION("""COMPUTED_VALUE"""),"77.805.908-8")</f>
        <v>77.805.908-8</v>
      </c>
      <c r="N145" s="495" t="str">
        <f>IFERROR(__xludf.DUMMYFUNCTION("""COMPUTED_VALUE"""),"claudio mellado paz instalador autorizado sec")</f>
        <v>claudio mellado paz instalador autorizado sec</v>
      </c>
      <c r="O145" s="495" t="str">
        <f>IFERROR(__xludf.DUMMYFUNCTION("""COMPUTED_VALUE"""),"Mantenciones")</f>
        <v>Mantenciones</v>
      </c>
      <c r="P145" s="495" t="str">
        <f>IFERROR(__xludf.DUMMYFUNCTION("""COMPUTED_VALUE"""),"Requerimientos Emergentes e Imprevistos")</f>
        <v>Requerimientos Emergentes e Imprevistos</v>
      </c>
      <c r="Q145" s="495"/>
      <c r="R145" s="495"/>
      <c r="S145" s="495"/>
      <c r="T145" s="495"/>
      <c r="U145" s="495"/>
      <c r="V145" s="495" t="str">
        <f>IFERROR(__xludf.DUMMYFUNCTION("""COMPUTED_VALUE"""),"reparacion de calefactores murales trotter con cambio de repuestos ")</f>
        <v>reparacion de calefactores murales trotter con cambio de repuestos </v>
      </c>
      <c r="W145" s="495"/>
      <c r="X145" s="495" t="str">
        <f>IFERROR(__xludf.DUMMYFUNCTION("""COMPUTED_VALUE"""),"https://drive.google.com/open?id=1XR5cJKD8QLnKRgnWZPuGJiYbel1E90Jq, https://drive.google.com/open?id=1FaJzgjtvVpBjuch45RALch_7R1tU4iS2, https://drive.google.com/open?id=1b-f3-Mj8plAETfu3MfiSMNMfdmWEuZJY, https://drive.google.com/open?id=1Ka6GlsKcRAy7loOUm"&amp;"MBrFCTEhW9hvkmX, https://drive.google.com/open?id=12VbGGdAU1D8BCjf2NIHVDrPJ8zktZmWf, https://drive.google.com/open?id=1bVQ8Gq1PPzA7TlPEUM9ufKE-XP6_jHoo, https://drive.google.com/open?id=1sznl7QDPg1Z1XAGqQ41EYBONRFTg4V7U, https://drive.google.com/open?id=1"&amp;"Tp45wgp6npVei398zG-gTsvWx4jswneF, https://drive.google.com/open?id=1lKWoY9gYA9XuWGmCVFPYjoDeJUIXHPeS, https://drive.google.com/open?id=1UhyJ8q8VJWq3dr0bVJSFtFvmxjj6rkpD")</f>
        <v>https://drive.google.com/open?id=1XR5cJKD8QLnKRgnWZPuGJiYbel1E90Jq, https://drive.google.com/open?id=1FaJzgjtvVpBjuch45RALch_7R1tU4iS2, https://drive.google.com/open?id=1b-f3-Mj8plAETfu3MfiSMNMfdmWEuZJY, https://drive.google.com/open?id=1Ka6GlsKcRAy7loOUmMBrFCTEhW9hvkmX, https://drive.google.com/open?id=12VbGGdAU1D8BCjf2NIHVDrPJ8zktZmWf, https://drive.google.com/open?id=1bVQ8Gq1PPzA7TlPEUM9ufKE-XP6_jHoo, https://drive.google.com/open?id=1sznl7QDPg1Z1XAGqQ41EYBONRFTg4V7U, https://drive.google.com/open?id=1Tp45wgp6npVei398zG-gTsvWx4jswneF, https://drive.google.com/open?id=1lKWoY9gYA9XuWGmCVFPYjoDeJUIXHPeS, https://drive.google.com/open?id=1UhyJ8q8VJWq3dr0bVJSFtFvmxjj6rkpD</v>
      </c>
      <c r="Y145" s="495" t="str">
        <f>IFERROR(__xludf.DUMMYFUNCTION("""COMPUTED_VALUE"""),"contacto@serviciostemuco.cl")</f>
        <v>contacto@serviciostemuco.cl</v>
      </c>
      <c r="Z145" s="498">
        <f>IFERROR(__xludf.DUMMYFUNCTION("""COMPUTED_VALUE"""),391510.0)</f>
        <v>391510</v>
      </c>
      <c r="AA145" s="495"/>
      <c r="AB145" s="495"/>
      <c r="AC145" s="495"/>
      <c r="AD145" s="495" t="str">
        <f>IFERROR(__xludf.DUMMYFUNCTION("""COMPUTED_VALUE"""),"RC-207_26")</f>
        <v>RC-207_26</v>
      </c>
    </row>
    <row r="146">
      <c r="A146" s="495" t="str">
        <f t="shared" si="1"/>
        <v>RC-206_26</v>
      </c>
      <c r="B146" s="497">
        <f>IFERROR(__xludf.DUMMYFUNCTION("""COMPUTED_VALUE"""),46164.88023219907)</f>
        <v>46164.88023</v>
      </c>
      <c r="C146" s="495" t="str">
        <f>IFERROR(__xludf.DUMMYFUNCTION("""COMPUTED_VALUE"""),"")</f>
        <v/>
      </c>
      <c r="D146" s="495" t="str">
        <f>IFERROR(__xludf.DUMMYFUNCTION("""COMPUTED_VALUE"""),"Mauricio Matus Belmar")</f>
        <v>Mauricio Matus Belmar</v>
      </c>
      <c r="E146" s="495"/>
      <c r="F146" s="496" t="str">
        <f>IFERROR(__xludf.DUMMYFUNCTION("""COMPUTED_VALUE"""),"2731-2026")</f>
        <v>2731-2026</v>
      </c>
      <c r="G146" s="495"/>
      <c r="H146" s="495"/>
      <c r="I146" s="495"/>
      <c r="J146" s="495" t="str">
        <f>IFERROR(__xludf.DUMMYFUNCTION("""COMPUTED_VALUE"""),"Campus San Juan Pablo II - CJP")</f>
        <v>Campus San Juan Pablo II - CJP</v>
      </c>
      <c r="K146" s="495" t="str">
        <f>IFERROR(__xludf.DUMMYFUNCTION("""COMPUTED_VALUE"""),"04")</f>
        <v>04</v>
      </c>
      <c r="L146" s="495" t="str">
        <f>IFERROR(__xludf.DUMMYFUNCTION("""COMPUTED_VALUE"""),"Sergio Flores Garrido")</f>
        <v>Sergio Flores Garrido</v>
      </c>
      <c r="M146" s="495" t="str">
        <f>IFERROR(__xludf.DUMMYFUNCTION("""COMPUTED_VALUE"""),"12.928.980-5")</f>
        <v>12.928.980-5</v>
      </c>
      <c r="N146" s="495" t="str">
        <f>IFERROR(__xludf.DUMMYFUNCTION("""COMPUTED_VALUE"""),"Sergio Flores Garrido")</f>
        <v>Sergio Flores Garrido</v>
      </c>
      <c r="O146" s="495" t="str">
        <f>IFERROR(__xludf.DUMMYFUNCTION("""COMPUTED_VALUE"""),"Mantenciones")</f>
        <v>Mantenciones</v>
      </c>
      <c r="P146" s="495" t="str">
        <f>IFERROR(__xludf.DUMMYFUNCTION("""COMPUTED_VALUE"""),"Cerramientos Verticales")</f>
        <v>Cerramientos Verticales</v>
      </c>
      <c r="Q146" s="495"/>
      <c r="R146" s="495"/>
      <c r="S146" s="495"/>
      <c r="T146" s="495"/>
      <c r="U146" s="495"/>
      <c r="V146" s="495" t="str">
        <f>IFERROR(__xludf.DUMMYFUNCTION("""COMPUTED_VALUE"""),"Modificación de paño fijo a ventana proyectante para ventilación.")</f>
        <v>Modificación de paño fijo a ventana proyectante para ventilación.</v>
      </c>
      <c r="W146" s="495" t="str">
        <f>IFERROR(__xludf.DUMMYFUNCTION("""COMPUTED_VALUE"""),"No requiere seguimiento.")</f>
        <v>No requiere seguimiento.</v>
      </c>
      <c r="X146" s="495" t="str">
        <f>IFERROR(__xludf.DUMMYFUNCTION("""COMPUTED_VALUE"""),"https://drive.google.com/open?id=1XPMUQCBqrSwNy1_Fen0PKN0tuADXNSH7, https://drive.google.com/open?id=1zkwMslEuwLkGYFEEMrrA1AIHaG2RBBPu")</f>
        <v>https://drive.google.com/open?id=1XPMUQCBqrSwNy1_Fen0PKN0tuADXNSH7, https://drive.google.com/open?id=1zkwMslEuwLkGYFEEMrrA1AIHaG2RBBPu</v>
      </c>
      <c r="Y146" s="495" t="str">
        <f>IFERROR(__xludf.DUMMYFUNCTION("""COMPUTED_VALUE"""),"sergiofloresgarrido19731217@gmail.com")</f>
        <v>sergiofloresgarrido19731217@gmail.com</v>
      </c>
      <c r="Z146" s="498">
        <f>IFERROR(__xludf.DUMMYFUNCTION("""COMPUTED_VALUE"""),126242.0)</f>
        <v>126242</v>
      </c>
      <c r="AA146" s="495"/>
      <c r="AB146" s="495"/>
      <c r="AC146" s="495"/>
      <c r="AD146" s="495" t="str">
        <f>IFERROR(__xludf.DUMMYFUNCTION("""COMPUTED_VALUE"""),"RC-206_26")</f>
        <v>RC-206_26</v>
      </c>
    </row>
    <row r="147">
      <c r="A147" s="495" t="str">
        <f t="shared" si="1"/>
        <v>RC-205_26</v>
      </c>
      <c r="B147" s="497">
        <f>IFERROR(__xludf.DUMMYFUNCTION("""COMPUTED_VALUE"""),46164.87691744213)</f>
        <v>46164.87692</v>
      </c>
      <c r="C147" s="495" t="str">
        <f>IFERROR(__xludf.DUMMYFUNCTION("""COMPUTED_VALUE"""),"")</f>
        <v/>
      </c>
      <c r="D147" s="495" t="str">
        <f>IFERROR(__xludf.DUMMYFUNCTION("""COMPUTED_VALUE"""),"Mauricio Matus Belmar")</f>
        <v>Mauricio Matus Belmar</v>
      </c>
      <c r="E147" s="495"/>
      <c r="F147" s="496" t="str">
        <f>IFERROR(__xludf.DUMMYFUNCTION("""COMPUTED_VALUE"""),"3046-2026")</f>
        <v>3046-2026</v>
      </c>
      <c r="G147" s="495"/>
      <c r="H147" s="495"/>
      <c r="I147" s="495"/>
      <c r="J147" s="495" t="str">
        <f>IFERROR(__xludf.DUMMYFUNCTION("""COMPUTED_VALUE"""),"Campus San Juan Pablo II - CJP")</f>
        <v>Campus San Juan Pablo II - CJP</v>
      </c>
      <c r="K147" s="495" t="str">
        <f>IFERROR(__xludf.DUMMYFUNCTION("""COMPUTED_VALUE"""),"07")</f>
        <v>07</v>
      </c>
      <c r="L147" s="495" t="str">
        <f>IFERROR(__xludf.DUMMYFUNCTION("""COMPUTED_VALUE"""),"Sergio Flores Garrido")</f>
        <v>Sergio Flores Garrido</v>
      </c>
      <c r="M147" s="495" t="str">
        <f>IFERROR(__xludf.DUMMYFUNCTION("""COMPUTED_VALUE"""),"12.928.980-5")</f>
        <v>12.928.980-5</v>
      </c>
      <c r="N147" s="495" t="str">
        <f>IFERROR(__xludf.DUMMYFUNCTION("""COMPUTED_VALUE"""),"Sergio Flores")</f>
        <v>Sergio Flores</v>
      </c>
      <c r="O147" s="495" t="str">
        <f>IFERROR(__xludf.DUMMYFUNCTION("""COMPUTED_VALUE"""),"Mantenciones")</f>
        <v>Mantenciones</v>
      </c>
      <c r="P147" s="495" t="str">
        <f>IFERROR(__xludf.DUMMYFUNCTION("""COMPUTED_VALUE"""),"Cerramientos Verticales")</f>
        <v>Cerramientos Verticales</v>
      </c>
      <c r="Q147" s="495"/>
      <c r="R147" s="495"/>
      <c r="S147" s="495"/>
      <c r="T147" s="495"/>
      <c r="U147" s="495"/>
      <c r="V147" s="495" t="str">
        <f>IFERROR(__xludf.DUMMYFUNCTION("""COMPUTED_VALUE"""),"Reparación de ventana proyectante,más cambio de cristal.")</f>
        <v>Reparación de ventana proyectante,más cambio de cristal.</v>
      </c>
      <c r="W147" s="495" t="str">
        <f>IFERROR(__xludf.DUMMYFUNCTION("""COMPUTED_VALUE"""),"No requiere seguimiento.")</f>
        <v>No requiere seguimiento.</v>
      </c>
      <c r="X147" s="495" t="str">
        <f>IFERROR(__xludf.DUMMYFUNCTION("""COMPUTED_VALUE"""),"https://drive.google.com/open?id=1f1p6EBm9S4q33svdewL4k4KI-XHI3TcP, https://drive.google.com/open?id=1J5kvGtsQcnWsHuPUFRsYZ-G4gNcKz3QF, https://drive.google.com/open?id=115aT3fYCFCTptFjguS6p0XN3RZZR_DFm")</f>
        <v>https://drive.google.com/open?id=1f1p6EBm9S4q33svdewL4k4KI-XHI3TcP, https://drive.google.com/open?id=1J5kvGtsQcnWsHuPUFRsYZ-G4gNcKz3QF, https://drive.google.com/open?id=115aT3fYCFCTptFjguS6p0XN3RZZR_DFm</v>
      </c>
      <c r="Y147" s="495" t="str">
        <f>IFERROR(__xludf.DUMMYFUNCTION("""COMPUTED_VALUE"""),"sergiofloresgarrido19731217@gmail.com")</f>
        <v>sergiofloresgarrido19731217@gmail.com</v>
      </c>
      <c r="Z147" s="498">
        <f>IFERROR(__xludf.DUMMYFUNCTION("""COMPUTED_VALUE"""),220530.0)</f>
        <v>220530</v>
      </c>
      <c r="AA147" s="495"/>
      <c r="AB147" s="495"/>
      <c r="AC147" s="495"/>
      <c r="AD147" s="495" t="str">
        <f>IFERROR(__xludf.DUMMYFUNCTION("""COMPUTED_VALUE"""),"RC-205_26")</f>
        <v>RC-205_26</v>
      </c>
    </row>
    <row r="148">
      <c r="A148" s="495" t="str">
        <f t="shared" si="1"/>
        <v>RC-114</v>
      </c>
      <c r="B148" s="497">
        <f>IFERROR(__xludf.DUMMYFUNCTION("""COMPUTED_VALUE"""),46003.6259515625)</f>
        <v>46003.62595</v>
      </c>
      <c r="C148" s="495" t="str">
        <f>IFERROR(__xludf.DUMMYFUNCTION("""COMPUTED_VALUE"""),"")</f>
        <v/>
      </c>
      <c r="D148" s="495" t="str">
        <f>IFERROR(__xludf.DUMMYFUNCTION("""COMPUTED_VALUE"""),"Felipe Anselme Grandón")</f>
        <v>Felipe Anselme Grandón</v>
      </c>
      <c r="E148" s="495"/>
      <c r="F148" s="496" t="str">
        <f>IFERROR(__xludf.DUMMYFUNCTION("""COMPUTED_VALUE"""),"12239 - 2025")</f>
        <v>12239 - 2025</v>
      </c>
      <c r="G148" s="495"/>
      <c r="H148" s="495"/>
      <c r="I148" s="495"/>
      <c r="J148" s="495" t="str">
        <f>IFERROR(__xludf.DUMMYFUNCTION("""COMPUTED_VALUE"""),"Campus Dr. Luis Rivas del Canto - CRC")</f>
        <v>Campus Dr. Luis Rivas del Canto - CRC</v>
      </c>
      <c r="K148" s="495" t="str">
        <f>IFERROR(__xludf.DUMMYFUNCTION("""COMPUTED_VALUE"""),"Exterior")</f>
        <v>Exterior</v>
      </c>
      <c r="L148" s="495" t="str">
        <f>IFERROR(__xludf.DUMMYFUNCTION("""COMPUTED_VALUE"""),"IPROSAM Ltda.")</f>
        <v>IPROSAM Ltda.</v>
      </c>
      <c r="M148" s="495" t="str">
        <f>IFERROR(__xludf.DUMMYFUNCTION("""COMPUTED_VALUE"""),"76423859-1")</f>
        <v>76423859-1</v>
      </c>
      <c r="N148" s="495" t="str">
        <f>IFERROR(__xludf.DUMMYFUNCTION("""COMPUTED_VALUE"""),"Diógenes Sanhueza Furntealba 
Gerente Técnico ")</f>
        <v>Diógenes Sanhueza Furntealba 
Gerente Técnico </v>
      </c>
      <c r="O148" s="495" t="str">
        <f>IFERROR(__xludf.DUMMYFUNCTION("""COMPUTED_VALUE"""),"Obras y Especialidades")</f>
        <v>Obras y Especialidades</v>
      </c>
      <c r="P148" s="495"/>
      <c r="Q148" s="495"/>
      <c r="R148" s="495" t="str">
        <f>IFERROR(__xludf.DUMMYFUNCTION("""COMPUTED_VALUE"""),"Exteriores")</f>
        <v>Exteriores</v>
      </c>
      <c r="S148" s="495" t="str">
        <f>IFERROR(__xludf.DUMMYFUNCTION("""COMPUTED_VALUE"""),"Recepción de Obra - RC")</f>
        <v>Recepción de Obra - RC</v>
      </c>
      <c r="T148" s="495"/>
      <c r="U148" s="495"/>
      <c r="V148" s="495" t="str">
        <f>IFERROR(__xludf.DUMMYFUNCTION("""COMPUTED_VALUE"""),"Mini galpón de estructura metálica techado, de protección  de bomba y estanques de agua  CRC  ")</f>
        <v>Mini galpón de estructura metálica techado, de protección  de bomba y estanques de agua  CRC  </v>
      </c>
      <c r="W148" s="495" t="str">
        <f>IFERROR(__xludf.DUMMYFUNCTION("""COMPUTED_VALUE"""),"No requiere recomendaciones  a corto plazo ")</f>
        <v>No requiere recomendaciones  a corto plazo </v>
      </c>
      <c r="X148" s="495" t="str">
        <f>IFERROR(__xludf.DUMMYFUNCTION("""COMPUTED_VALUE"""),"https://drive.google.com/open?id=1yTSUj6FZescmlSFlOkBMZ6xw00oRjBJi, https://drive.google.com/open?id=1bvvUzC8F2h4WooAv1wO-7OC6zGwj2-fL, https://drive.google.com/open?id=1Rl3hn9XpNt4Q17ZI-rNdI4GSRIktTpC0, https://drive.google.com/open?id=1VLNSjPxTuAinzVDvR"&amp;"c0PuUh4eX60gra5, https://drive.google.com/open?id=1MdV4gqY7FCh1I0RMVS9R5dMlNN-1gICo")</f>
        <v>https://drive.google.com/open?id=1yTSUj6FZescmlSFlOkBMZ6xw00oRjBJi, https://drive.google.com/open?id=1bvvUzC8F2h4WooAv1wO-7OC6zGwj2-fL, https://drive.google.com/open?id=1Rl3hn9XpNt4Q17ZI-rNdI4GSRIktTpC0, https://drive.google.com/open?id=1VLNSjPxTuAinzVDvRc0PuUh4eX60gra5, https://drive.google.com/open?id=1MdV4gqY7FCh1I0RMVS9R5dMlNN-1gICo</v>
      </c>
      <c r="Y148" s="495" t="str">
        <f>IFERROR(__xludf.DUMMYFUNCTION("""COMPUTED_VALUE"""),"iprosam.fsd@gmail.com")</f>
        <v>iprosam.fsd@gmail.com</v>
      </c>
      <c r="Z148" s="495"/>
      <c r="AA148" s="495"/>
      <c r="AB148" s="495"/>
      <c r="AC148" s="495"/>
      <c r="AD148" s="495" t="str">
        <f>IFERROR(__xludf.DUMMYFUNCTION("""COMPUTED_VALUE"""),"RC-114")</f>
        <v>RC-114</v>
      </c>
    </row>
    <row r="149">
      <c r="A149" s="495" t="str">
        <f t="shared" si="1"/>
        <v>RC-115</v>
      </c>
      <c r="B149" s="497">
        <f>IFERROR(__xludf.DUMMYFUNCTION("""COMPUTED_VALUE"""),46003.67903667824)</f>
        <v>46003.67904</v>
      </c>
      <c r="C149" s="495" t="str">
        <f>IFERROR(__xludf.DUMMYFUNCTION("""COMPUTED_VALUE"""),"")</f>
        <v/>
      </c>
      <c r="D149" s="495" t="str">
        <f>IFERROR(__xludf.DUMMYFUNCTION("""COMPUTED_VALUE"""),"Carol Huenchual Chañilao")</f>
        <v>Carol Huenchual Chañilao</v>
      </c>
      <c r="E149" s="495"/>
      <c r="F149" s="496" t="str">
        <f>IFERROR(__xludf.DUMMYFUNCTION("""COMPUTED_VALUE"""),"13003 - 2025")</f>
        <v>13003 - 2025</v>
      </c>
      <c r="G149" s="495"/>
      <c r="H149" s="495"/>
      <c r="I149" s="495"/>
      <c r="J149" s="495" t="str">
        <f>IFERROR(__xludf.DUMMYFUNCTION("""COMPUTED_VALUE"""),"Campus San Juan Pablo II - CJP")</f>
        <v>Campus San Juan Pablo II - CJP</v>
      </c>
      <c r="K149" s="495" t="str">
        <f>IFERROR(__xludf.DUMMYFUNCTION("""COMPUTED_VALUE"""),"08")</f>
        <v>08</v>
      </c>
      <c r="L149" s="495" t="str">
        <f>IFERROR(__xludf.DUMMYFUNCTION("""COMPUTED_VALUE"""),"Marcelo Javier Jacobi Siegmund")</f>
        <v>Marcelo Javier Jacobi Siegmund</v>
      </c>
      <c r="M149" s="495" t="str">
        <f>IFERROR(__xludf.DUMMYFUNCTION("""COMPUTED_VALUE"""),"9.087.185-4")</f>
        <v>9.087.185-4</v>
      </c>
      <c r="N149" s="495" t="str">
        <f>IFERROR(__xludf.DUMMYFUNCTION("""COMPUTED_VALUE"""),"Patricio Manriquez Riffo  Jefe de Operaciones")</f>
        <v>Patricio Manriquez Riffo  Jefe de Operaciones</v>
      </c>
      <c r="O149" s="495" t="str">
        <f>IFERROR(__xludf.DUMMYFUNCTION("""COMPUTED_VALUE"""),"Obras y Especialidades")</f>
        <v>Obras y Especialidades</v>
      </c>
      <c r="P149" s="495"/>
      <c r="Q149" s="495"/>
      <c r="R149" s="495" t="str">
        <f>IFERROR(__xludf.DUMMYFUNCTION("""COMPUTED_VALUE"""),"Especialidades")</f>
        <v>Especialidades</v>
      </c>
      <c r="S149" s="495" t="str">
        <f>IFERROR(__xludf.DUMMYFUNCTION("""COMPUTED_VALUE"""),"Recepción de Obra - RC")</f>
        <v>Recepción de Obra - RC</v>
      </c>
      <c r="T149" s="495"/>
      <c r="U149" s="495"/>
      <c r="V149" s="495" t="str">
        <f>IFERROR(__xludf.DUMMYFUNCTION("""COMPUTED_VALUE"""),"Revisión, control, programación y limpieza de AAcs en Edif.JPII - 08 y Reparación fuga gas refrigerante en AAc tipo Multi-Split en VRAE Vicerrectoría CRC")</f>
        <v>Revisión, control, programación y limpieza de AAcs en Edif.JPII - 08 y Reparación fuga gas refrigerante en AAc tipo Multi-Split en VRAE Vicerrectoría CRC</v>
      </c>
      <c r="W149" s="495" t="str">
        <f>IFERROR(__xludf.DUMMYFUNCTION("""COMPUTED_VALUE"""),"Trabajo concluido sin inconvenientes y observación cada cierto tiempo")</f>
        <v>Trabajo concluido sin inconvenientes y observación cada cierto tiempo</v>
      </c>
      <c r="X149" s="495" t="str">
        <f>IFERROR(__xludf.DUMMYFUNCTION("""COMPUTED_VALUE"""),"https://drive.google.com/open?id=1J62HPA51nIxeXk9Ip4KWuk5neRI_FS1X, https://drive.google.com/open?id=18aUAIZP1WYFCbAL_9xnc4MU11q2FQCWl, https://drive.google.com/open?id=1YEmAZ4yMwGz-0LeWmV73OTtvJMcUbD4_, https://drive.google.com/open?id=138LagMZw7RwXJLEsh"&amp;"vNwvL6JG5fZIM_G, https://drive.google.com/open?id=1YKvWy1U8iEwdROBp32jxZ3JPLCeFhFO0")</f>
        <v>https://drive.google.com/open?id=1J62HPA51nIxeXk9Ip4KWuk5neRI_FS1X, https://drive.google.com/open?id=18aUAIZP1WYFCbAL_9xnc4MU11q2FQCWl, https://drive.google.com/open?id=1YEmAZ4yMwGz-0LeWmV73OTtvJMcUbD4_, https://drive.google.com/open?id=138LagMZw7RwXJLEshvNwvL6JG5fZIM_G, https://drive.google.com/open?id=1YKvWy1U8iEwdROBp32jxZ3JPLCeFhFO0</v>
      </c>
      <c r="Y149" s="495" t="str">
        <f>IFERROR(__xludf.DUMMYFUNCTION("""COMPUTED_VALUE"""),"mjacobisiegmund@gmail.com")</f>
        <v>mjacobisiegmund@gmail.com</v>
      </c>
      <c r="Z149" s="495"/>
      <c r="AA149" s="495"/>
      <c r="AB149" s="495"/>
      <c r="AC149" s="495"/>
      <c r="AD149" s="495" t="str">
        <f>IFERROR(__xludf.DUMMYFUNCTION("""COMPUTED_VALUE"""),"RC-115")</f>
        <v>RC-115</v>
      </c>
    </row>
    <row r="150">
      <c r="A150" s="495" t="str">
        <f t="shared" si="1"/>
        <v>RC-204_26</v>
      </c>
      <c r="B150" s="497">
        <f>IFERROR(__xludf.DUMMYFUNCTION("""COMPUTED_VALUE"""),46164.874177060185)</f>
        <v>46164.87418</v>
      </c>
      <c r="C150" s="495" t="str">
        <f>IFERROR(__xludf.DUMMYFUNCTION("""COMPUTED_VALUE"""),"")</f>
        <v/>
      </c>
      <c r="D150" s="495" t="str">
        <f>IFERROR(__xludf.DUMMYFUNCTION("""COMPUTED_VALUE"""),"Mauricio Matus Belmar")</f>
        <v>Mauricio Matus Belmar</v>
      </c>
      <c r="E150" s="495"/>
      <c r="F150" s="496" t="str">
        <f>IFERROR(__xludf.DUMMYFUNCTION("""COMPUTED_VALUE"""),"3046-2026")</f>
        <v>3046-2026</v>
      </c>
      <c r="G150" s="495"/>
      <c r="H150" s="495"/>
      <c r="I150" s="495"/>
      <c r="J150" s="495" t="str">
        <f>IFERROR(__xludf.DUMMYFUNCTION("""COMPUTED_VALUE"""),"Campus San Juan Pablo II - CJP")</f>
        <v>Campus San Juan Pablo II - CJP</v>
      </c>
      <c r="K150" s="495" t="str">
        <f>IFERROR(__xludf.DUMMYFUNCTION("""COMPUTED_VALUE"""),"04")</f>
        <v>04</v>
      </c>
      <c r="L150" s="495" t="str">
        <f>IFERROR(__xludf.DUMMYFUNCTION("""COMPUTED_VALUE"""),"Sergio Flores")</f>
        <v>Sergio Flores</v>
      </c>
      <c r="M150" s="495" t="str">
        <f>IFERROR(__xludf.DUMMYFUNCTION("""COMPUTED_VALUE"""),"12.928.980-5")</f>
        <v>12.928.980-5</v>
      </c>
      <c r="N150" s="495" t="str">
        <f>IFERROR(__xludf.DUMMYFUNCTION("""COMPUTED_VALUE"""),"Sergio Flores")</f>
        <v>Sergio Flores</v>
      </c>
      <c r="O150" s="495" t="str">
        <f>IFERROR(__xludf.DUMMYFUNCTION("""COMPUTED_VALUE"""),"Mantenciones")</f>
        <v>Mantenciones</v>
      </c>
      <c r="P150" s="495" t="str">
        <f>IFERROR(__xludf.DUMMYFUNCTION("""COMPUTED_VALUE"""),"Cerramientos Verticales")</f>
        <v>Cerramientos Verticales</v>
      </c>
      <c r="Q150" s="495"/>
      <c r="R150" s="495"/>
      <c r="S150" s="495"/>
      <c r="T150" s="495"/>
      <c r="U150" s="495"/>
      <c r="V150" s="495" t="str">
        <f>IFERROR(__xludf.DUMMYFUNCTION("""COMPUTED_VALUE"""),"Cambio de brazos en ventana proyectante y reparación de ventana más vidrio.")</f>
        <v>Cambio de brazos en ventana proyectante y reparación de ventana más vidrio.</v>
      </c>
      <c r="W150" s="495" t="str">
        <f>IFERROR(__xludf.DUMMYFUNCTION("""COMPUTED_VALUE"""),"No requiere seguimiento.")</f>
        <v>No requiere seguimiento.</v>
      </c>
      <c r="X150" s="499" t="str">
        <f>IFERROR(__xludf.DUMMYFUNCTION("""COMPUTED_VALUE"""),"https://drive.google.com/open?id=1HT1OZA6NeB-QLyO0G2r2CaCJ0SixSvLJ")</f>
        <v>https://drive.google.com/open?id=1HT1OZA6NeB-QLyO0G2r2CaCJ0SixSvLJ</v>
      </c>
      <c r="Y150" s="495" t="str">
        <f>IFERROR(__xludf.DUMMYFUNCTION("""COMPUTED_VALUE"""),"sergiofloresgarrido19731217@gmail.com")</f>
        <v>sergiofloresgarrido19731217@gmail.com</v>
      </c>
      <c r="Z150" s="498">
        <f>IFERROR(__xludf.DUMMYFUNCTION("""COMPUTED_VALUE"""),220530.0)</f>
        <v>220530</v>
      </c>
      <c r="AA150" s="495"/>
      <c r="AB150" s="495"/>
      <c r="AC150" s="495"/>
      <c r="AD150" s="495" t="str">
        <f>IFERROR(__xludf.DUMMYFUNCTION("""COMPUTED_VALUE"""),"RC-204_26")</f>
        <v>RC-204_26</v>
      </c>
    </row>
    <row r="151">
      <c r="A151" s="495" t="str">
        <f t="shared" si="1"/>
        <v>RC-203_26</v>
      </c>
      <c r="B151" s="497">
        <f>IFERROR(__xludf.DUMMYFUNCTION("""COMPUTED_VALUE"""),46162.655072361114)</f>
        <v>46162.65507</v>
      </c>
      <c r="C151" s="495" t="str">
        <f>IFERROR(__xludf.DUMMYFUNCTION("""COMPUTED_VALUE"""),"")</f>
        <v/>
      </c>
      <c r="D151" s="495" t="str">
        <f>IFERROR(__xludf.DUMMYFUNCTION("""COMPUTED_VALUE"""),"Mauricio Matus Belmar")</f>
        <v>Mauricio Matus Belmar</v>
      </c>
      <c r="E151" s="495"/>
      <c r="F151" s="496" t="str">
        <f>IFERROR(__xludf.DUMMYFUNCTION("""COMPUTED_VALUE"""),"3152-2026")</f>
        <v>3152-2026</v>
      </c>
      <c r="G151" s="495"/>
      <c r="H151" s="495"/>
      <c r="I151" s="495"/>
      <c r="J151" s="495" t="str">
        <f>IFERROR(__xludf.DUMMYFUNCTION("""COMPUTED_VALUE"""),"Campus San Juan Pablo II - CJP")</f>
        <v>Campus San Juan Pablo II - CJP</v>
      </c>
      <c r="K151" s="495">
        <f>IFERROR(__xludf.DUMMYFUNCTION("""COMPUTED_VALUE"""),12.0)</f>
        <v>12</v>
      </c>
      <c r="L151" s="495" t="str">
        <f>IFERROR(__xludf.DUMMYFUNCTION("""COMPUTED_VALUE"""),"AMARIS CONSTRUCTORA SPA.")</f>
        <v>AMARIS CONSTRUCTORA SPA.</v>
      </c>
      <c r="M151" s="495" t="str">
        <f>IFERROR(__xludf.DUMMYFUNCTION("""COMPUTED_VALUE"""),"77.648.798-8")</f>
        <v>77.648.798-8</v>
      </c>
      <c r="N151" s="495" t="str">
        <f>IFERROR(__xludf.DUMMYFUNCTION("""COMPUTED_VALUE"""),"JESUS MANCILLA VIDAL- JEFE DE OBRA")</f>
        <v>JESUS MANCILLA VIDAL- JEFE DE OBRA</v>
      </c>
      <c r="O151" s="495" t="str">
        <f>IFERROR(__xludf.DUMMYFUNCTION("""COMPUTED_VALUE"""),"Mantenciones")</f>
        <v>Mantenciones</v>
      </c>
      <c r="P151" s="495" t="str">
        <f>IFERROR(__xludf.DUMMYFUNCTION("""COMPUTED_VALUE"""),"Terminaciones Interiores")</f>
        <v>Terminaciones Interiores</v>
      </c>
      <c r="Q151" s="495"/>
      <c r="R151" s="495"/>
      <c r="S151" s="495"/>
      <c r="T151" s="495"/>
      <c r="U151" s="495"/>
      <c r="V151" s="495" t="str">
        <f>IFERROR(__xludf.DUMMYFUNCTION("""COMPUTED_VALUE"""),"Retiro de lavamanos dañado e instalación de nuevo lavamanos y cellado ")</f>
        <v>Retiro de lavamanos dañado e instalación de nuevo lavamanos y cellado </v>
      </c>
      <c r="W151" s="495" t="str">
        <f>IFERROR(__xludf.DUMMYFUNCTION("""COMPUTED_VALUE"""),"Sin observaciones ")</f>
        <v>Sin observaciones </v>
      </c>
      <c r="X151" s="499" t="str">
        <f>IFERROR(__xludf.DUMMYFUNCTION("""COMPUTED_VALUE"""),"https://drive.google.com/open?id=12wLwM7P59HP2OH-FLfvGJFiXFjRyhIzw")</f>
        <v>https://drive.google.com/open?id=12wLwM7P59HP2OH-FLfvGJFiXFjRyhIzw</v>
      </c>
      <c r="Y151" s="495" t="str">
        <f>IFERROR(__xludf.DUMMYFUNCTION("""COMPUTED_VALUE"""),"e.fuentealba@amaris.cl")</f>
        <v>e.fuentealba@amaris.cl</v>
      </c>
      <c r="Z151" s="498">
        <f>IFERROR(__xludf.DUMMYFUNCTION("""COMPUTED_VALUE"""),148750.0)</f>
        <v>148750</v>
      </c>
      <c r="AA151" s="495"/>
      <c r="AB151" s="495"/>
      <c r="AC151" s="495"/>
      <c r="AD151" s="495" t="str">
        <f>IFERROR(__xludf.DUMMYFUNCTION("""COMPUTED_VALUE"""),"RC-203_26")</f>
        <v>RC-203_26</v>
      </c>
    </row>
    <row r="152">
      <c r="A152" s="495" t="str">
        <f t="shared" si="1"/>
        <v>RC-202_26</v>
      </c>
      <c r="B152" s="497">
        <f>IFERROR(__xludf.DUMMYFUNCTION("""COMPUTED_VALUE"""),46162.641775474534)</f>
        <v>46162.64178</v>
      </c>
      <c r="C152" s="495" t="str">
        <f>IFERROR(__xludf.DUMMYFUNCTION("""COMPUTED_VALUE"""),"")</f>
        <v/>
      </c>
      <c r="D152" s="495" t="str">
        <f>IFERROR(__xludf.DUMMYFUNCTION("""COMPUTED_VALUE"""),"Mauricio Matus Belmar")</f>
        <v>Mauricio Matus Belmar</v>
      </c>
      <c r="E152" s="495"/>
      <c r="F152" s="496" t="str">
        <f>IFERROR(__xludf.DUMMYFUNCTION("""COMPUTED_VALUE"""),"3488 - 2026")</f>
        <v>3488 - 2026</v>
      </c>
      <c r="G152" s="495"/>
      <c r="H152" s="495"/>
      <c r="I152" s="495"/>
      <c r="J152" s="495" t="str">
        <f>IFERROR(__xludf.DUMMYFUNCTION("""COMPUTED_VALUE"""),"Campus San Juan Pablo II - CJP")</f>
        <v>Campus San Juan Pablo II - CJP</v>
      </c>
      <c r="K152" s="495" t="str">
        <f>IFERROR(__xludf.DUMMYFUNCTION("""COMPUTED_VALUE"""),"08")</f>
        <v>08</v>
      </c>
      <c r="L152" s="495" t="str">
        <f>IFERROR(__xludf.DUMMYFUNCTION("""COMPUTED_VALUE"""),"Flavia Oyarzun Soto")</f>
        <v>Flavia Oyarzun Soto</v>
      </c>
      <c r="M152" s="495" t="str">
        <f>IFERROR(__xludf.DUMMYFUNCTION("""COMPUTED_VALUE"""),"5.503.590-3")</f>
        <v>5.503.590-3</v>
      </c>
      <c r="N152" s="495" t="str">
        <f>IFERROR(__xludf.DUMMYFUNCTION("""COMPUTED_VALUE"""),"Roberto Lassalle Prado  Supervisor")</f>
        <v>Roberto Lassalle Prado  Supervisor</v>
      </c>
      <c r="O152" s="495" t="str">
        <f>IFERROR(__xludf.DUMMYFUNCTION("""COMPUTED_VALUE"""),"Mantenciones")</f>
        <v>Mantenciones</v>
      </c>
      <c r="P152" s="495" t="str">
        <f>IFERROR(__xludf.DUMMYFUNCTION("""COMPUTED_VALUE"""),"Terminaciones Interiores")</f>
        <v>Terminaciones Interiores</v>
      </c>
      <c r="Q152" s="495"/>
      <c r="R152" s="495"/>
      <c r="S152" s="495"/>
      <c r="T152" s="495"/>
      <c r="U152" s="495"/>
      <c r="V152" s="495" t="str">
        <f>IFERROR(__xludf.DUMMYFUNCTION("""COMPUTED_VALUE"""),"Pintura de muros en algunas Oficinas ")</f>
        <v>Pintura de muros en algunas Oficinas </v>
      </c>
      <c r="W152" s="495"/>
      <c r="X152" s="495" t="str">
        <f>IFERROR(__xludf.DUMMYFUNCTION("""COMPUTED_VALUE"""),"https://drive.google.com/open?id=1g28kRMzRMIOOOKqjVxGEvu13lbf_UPvC, https://drive.google.com/open?id=1FsEu1L2o6hgRl3lSUXTaFmCKmk_LVySz, https://drive.google.com/open?id=1hqEuspYB0BKQ5sBuT0hcuJQ56v-YwlY2, https://drive.google.com/open?id=1MzLDQN4dmEAOsuFMd"&amp;"NVOUoQJ5XsfL4YM")</f>
        <v>https://drive.google.com/open?id=1g28kRMzRMIOOOKqjVxGEvu13lbf_UPvC, https://drive.google.com/open?id=1FsEu1L2o6hgRl3lSUXTaFmCKmk_LVySz, https://drive.google.com/open?id=1hqEuspYB0BKQ5sBuT0hcuJQ56v-YwlY2, https://drive.google.com/open?id=1MzLDQN4dmEAOsuFMdNVOUoQJ5XsfL4YM</v>
      </c>
      <c r="Y152" s="495" t="str">
        <f>IFERROR(__xludf.DUMMYFUNCTION("""COMPUTED_VALUE"""),"roberto.lassalle@gmail.com")</f>
        <v>roberto.lassalle@gmail.com</v>
      </c>
      <c r="Z152" s="498">
        <f>IFERROR(__xludf.DUMMYFUNCTION("""COMPUTED_VALUE"""),611776.0)</f>
        <v>611776</v>
      </c>
      <c r="AA152" s="495"/>
      <c r="AB152" s="495"/>
      <c r="AC152" s="495"/>
      <c r="AD152" s="495" t="str">
        <f>IFERROR(__xludf.DUMMYFUNCTION("""COMPUTED_VALUE"""),"RC-202_26")</f>
        <v>RC-202_26</v>
      </c>
    </row>
    <row r="153">
      <c r="A153" s="495" t="str">
        <f t="shared" si="1"/>
        <v>RC-201_26</v>
      </c>
      <c r="B153" s="497">
        <f>IFERROR(__xludf.DUMMYFUNCTION("""COMPUTED_VALUE"""),46162.59643140047)</f>
        <v>46162.59643</v>
      </c>
      <c r="C153" s="495" t="str">
        <f>IFERROR(__xludf.DUMMYFUNCTION("""COMPUTED_VALUE"""),"")</f>
        <v/>
      </c>
      <c r="D153" s="495" t="str">
        <f>IFERROR(__xludf.DUMMYFUNCTION("""COMPUTED_VALUE"""),"Arturo Meza Vega")</f>
        <v>Arturo Meza Vega</v>
      </c>
      <c r="E153" s="495"/>
      <c r="F153" s="496" t="str">
        <f>IFERROR(__xludf.DUMMYFUNCTION("""COMPUTED_VALUE"""),"2837 - 2026")</f>
        <v>2837 - 2026</v>
      </c>
      <c r="G153" s="495"/>
      <c r="H153" s="495"/>
      <c r="I153" s="495"/>
      <c r="J153" s="495" t="str">
        <f>IFERROR(__xludf.DUMMYFUNCTION("""COMPUTED_VALUE"""),"Campus Dr. Luis Rivas del Canto - CRC")</f>
        <v>Campus Dr. Luis Rivas del Canto - CRC</v>
      </c>
      <c r="K153" s="495" t="str">
        <f>IFERROR(__xludf.DUMMYFUNCTION("""COMPUTED_VALUE"""),"01")</f>
        <v>01</v>
      </c>
      <c r="L153" s="495" t="str">
        <f>IFERROR(__xludf.DUMMYFUNCTION("""COMPUTED_VALUE"""),"Gyg servicios Spa.")</f>
        <v>Gyg servicios Spa.</v>
      </c>
      <c r="M153" s="495" t="str">
        <f>IFERROR(__xludf.DUMMYFUNCTION("""COMPUTED_VALUE"""),"77.215.624-3")</f>
        <v>77.215.624-3</v>
      </c>
      <c r="N153" s="495" t="str">
        <f>IFERROR(__xludf.DUMMYFUNCTION("""COMPUTED_VALUE"""),"Gustavo fuentes - Supervisor Tecnico")</f>
        <v>Gustavo fuentes - Supervisor Tecnico</v>
      </c>
      <c r="O153" s="495" t="str">
        <f>IFERROR(__xludf.DUMMYFUNCTION("""COMPUTED_VALUE"""),"Mantenciones")</f>
        <v>Mantenciones</v>
      </c>
      <c r="P153" s="495" t="str">
        <f>IFERROR(__xludf.DUMMYFUNCTION("""COMPUTED_VALUE"""),"Instalaciones Eléctricas")</f>
        <v>Instalaciones Eléctricas</v>
      </c>
      <c r="Q153" s="495"/>
      <c r="R153" s="495"/>
      <c r="S153" s="495"/>
      <c r="T153" s="495"/>
      <c r="U153" s="495"/>
      <c r="V153" s="495" t="str">
        <f>IFERROR(__xludf.DUMMYFUNCTION("""COMPUTED_VALUE"""),"Instalacion Punto de red")</f>
        <v>Instalacion Punto de red</v>
      </c>
      <c r="W153" s="495"/>
      <c r="X153" s="499" t="str">
        <f>IFERROR(__xludf.DUMMYFUNCTION("""COMPUTED_VALUE"""),"https://drive.google.com/open?id=1xi52j-3cSNCGAkNyTem6dB6XLCiMgODc")</f>
        <v>https://drive.google.com/open?id=1xi52j-3cSNCGAkNyTem6dB6XLCiMgODc</v>
      </c>
      <c r="Y153" s="495" t="str">
        <f>IFERROR(__xludf.DUMMYFUNCTION("""COMPUTED_VALUE"""),"contacto@gygtecnologias.com")</f>
        <v>contacto@gygtecnologias.com</v>
      </c>
      <c r="Z153" s="498">
        <f>IFERROR(__xludf.DUMMYFUNCTION("""COMPUTED_VALUE"""),390320.0)</f>
        <v>390320</v>
      </c>
      <c r="AA153" s="495"/>
      <c r="AB153" s="495"/>
      <c r="AC153" s="495"/>
      <c r="AD153" s="495" t="str">
        <f>IFERROR(__xludf.DUMMYFUNCTION("""COMPUTED_VALUE"""),"RC-201_26")</f>
        <v>RC-201_26</v>
      </c>
    </row>
    <row r="154">
      <c r="A154" s="495" t="str">
        <f t="shared" si="1"/>
        <v>RC-120</v>
      </c>
      <c r="B154" s="497">
        <f>IFERROR(__xludf.DUMMYFUNCTION("""COMPUTED_VALUE"""),46003.75346331019)</f>
        <v>46003.75346</v>
      </c>
      <c r="C154" s="495" t="str">
        <f>IFERROR(__xludf.DUMMYFUNCTION("""COMPUTED_VALUE"""),"")</f>
        <v/>
      </c>
      <c r="D154" s="495" t="str">
        <f>IFERROR(__xludf.DUMMYFUNCTION("""COMPUTED_VALUE"""),"Carol Huenchual Chañilao")</f>
        <v>Carol Huenchual Chañilao</v>
      </c>
      <c r="E154" s="495"/>
      <c r="F154" s="496" t="str">
        <f>IFERROR(__xludf.DUMMYFUNCTION("""COMPUTED_VALUE"""),"12925 2025")</f>
        <v>12925 2025</v>
      </c>
      <c r="G154" s="495"/>
      <c r="H154" s="495"/>
      <c r="I154" s="495"/>
      <c r="J154" s="495" t="str">
        <f>IFERROR(__xludf.DUMMYFUNCTION("""COMPUTED_VALUE"""),"Campus Monseñor Sergio Contreras Navia - CSC")</f>
        <v>Campus Monseñor Sergio Contreras Navia - CSC</v>
      </c>
      <c r="K154" s="495" t="str">
        <f>IFERROR(__xludf.DUMMYFUNCTION("""COMPUTED_VALUE"""),"01")</f>
        <v>01</v>
      </c>
      <c r="L154" s="495" t="str">
        <f>IFERROR(__xludf.DUMMYFUNCTION("""COMPUTED_VALUE"""),"SOCIEDAD GONZALEZ GAJARDO Y CIA LTDA")</f>
        <v>SOCIEDAD GONZALEZ GAJARDO Y CIA LTDA</v>
      </c>
      <c r="M154" s="495" t="str">
        <f>IFERROR(__xludf.DUMMYFUNCTION("""COMPUTED_VALUE"""),"76.265.749-K")</f>
        <v>76.265.749-K</v>
      </c>
      <c r="N154" s="495" t="str">
        <f>IFERROR(__xludf.DUMMYFUNCTION("""COMPUTED_VALUE"""),"MARCELO GONZALEZ CARGO SUPERVISOR")</f>
        <v>MARCELO GONZALEZ CARGO SUPERVISOR</v>
      </c>
      <c r="O154" s="495" t="str">
        <f>IFERROR(__xludf.DUMMYFUNCTION("""COMPUTED_VALUE"""),"Operación")</f>
        <v>Operación</v>
      </c>
      <c r="P154" s="495"/>
      <c r="Q154" s="495" t="str">
        <f>IFERROR(__xludf.DUMMYFUNCTION("""COMPUTED_VALUE"""),"Portones y Barreras")</f>
        <v>Portones y Barreras</v>
      </c>
      <c r="R154" s="495"/>
      <c r="S154" s="495"/>
      <c r="T154" s="495"/>
      <c r="U154" s="495"/>
      <c r="V154" s="495" t="str">
        <f>IFERROR(__xludf.DUMMYFUNCTION("""COMPUTED_VALUE"""),"REVISION DE PORTON ELECTRICO Y REPOSICION DE CONTROL PROGRAMADO,")</f>
        <v>REVISION DE PORTON ELECTRICO Y REPOSICION DE CONTROL PROGRAMADO,</v>
      </c>
      <c r="W154" s="495" t="str">
        <f>IFERROR(__xludf.DUMMYFUNCTION("""COMPUTED_VALUE"""),"NO")</f>
        <v>NO</v>
      </c>
      <c r="X154" s="499" t="str">
        <f>IFERROR(__xludf.DUMMYFUNCTION("""COMPUTED_VALUE"""),"https://drive.google.com/open?id=1nSJGFnn9trqCbbaBGj6ujvSZm3uzhbME")</f>
        <v>https://drive.google.com/open?id=1nSJGFnn9trqCbbaBGj6ujvSZm3uzhbME</v>
      </c>
      <c r="Y154" s="495" t="str">
        <f>IFERROR(__xludf.DUMMYFUNCTION("""COMPUTED_VALUE"""),"operaciones@tecfull.cl")</f>
        <v>operaciones@tecfull.cl</v>
      </c>
      <c r="Z154" s="495"/>
      <c r="AA154" s="495"/>
      <c r="AB154" s="495"/>
      <c r="AC154" s="495"/>
      <c r="AD154" s="495" t="str">
        <f>IFERROR(__xludf.DUMMYFUNCTION("""COMPUTED_VALUE"""),"RC-120")</f>
        <v>RC-120</v>
      </c>
    </row>
    <row r="155">
      <c r="A155" s="495" t="str">
        <f t="shared" si="1"/>
        <v>RC-121</v>
      </c>
      <c r="B155" s="497">
        <f>IFERROR(__xludf.DUMMYFUNCTION("""COMPUTED_VALUE"""),46003.77028119213)</f>
        <v>46003.77028</v>
      </c>
      <c r="C155" s="495" t="str">
        <f>IFERROR(__xludf.DUMMYFUNCTION("""COMPUTED_VALUE"""),"")</f>
        <v/>
      </c>
      <c r="D155" s="495" t="str">
        <f>IFERROR(__xludf.DUMMYFUNCTION("""COMPUTED_VALUE"""),"Carol Huenchual Chañilao")</f>
        <v>Carol Huenchual Chañilao</v>
      </c>
      <c r="E155" s="495"/>
      <c r="F155" s="496" t="str">
        <f>IFERROR(__xludf.DUMMYFUNCTION("""COMPUTED_VALUE"""),"12953 2025")</f>
        <v>12953 2025</v>
      </c>
      <c r="G155" s="495"/>
      <c r="H155" s="495"/>
      <c r="I155" s="495"/>
      <c r="J155" s="495" t="str">
        <f>IFERROR(__xludf.DUMMYFUNCTION("""COMPUTED_VALUE"""),"Campus Dr. Luis Rivas del Canto - CRC")</f>
        <v>Campus Dr. Luis Rivas del Canto - CRC</v>
      </c>
      <c r="K155" s="495" t="str">
        <f>IFERROR(__xludf.DUMMYFUNCTION("""COMPUTED_VALUE"""),"05")</f>
        <v>05</v>
      </c>
      <c r="L155" s="495" t="str">
        <f>IFERROR(__xludf.DUMMYFUNCTION("""COMPUTED_VALUE"""),"SOCIEDAD GONZALEZ GAJARDO Y CIA LTDA")</f>
        <v>SOCIEDAD GONZALEZ GAJARDO Y CIA LTDA</v>
      </c>
      <c r="M155" s="495" t="str">
        <f>IFERROR(__xludf.DUMMYFUNCTION("""COMPUTED_VALUE"""),"76265749-K")</f>
        <v>76265749-K</v>
      </c>
      <c r="N155" s="495" t="str">
        <f>IFERROR(__xludf.DUMMYFUNCTION("""COMPUTED_VALUE"""),"MARCELO GONZALEZ CARGO SUPERVISOR")</f>
        <v>MARCELO GONZALEZ CARGO SUPERVISOR</v>
      </c>
      <c r="O155" s="495" t="str">
        <f>IFERROR(__xludf.DUMMYFUNCTION("""COMPUTED_VALUE"""),"Operación")</f>
        <v>Operación</v>
      </c>
      <c r="P155" s="495"/>
      <c r="Q155" s="495" t="str">
        <f>IFERROR(__xludf.DUMMYFUNCTION("""COMPUTED_VALUE"""),"Sala de Bombas y Sistema de Riego")</f>
        <v>Sala de Bombas y Sistema de Riego</v>
      </c>
      <c r="R155" s="495"/>
      <c r="S155" s="495"/>
      <c r="T155" s="495"/>
      <c r="U155" s="495"/>
      <c r="V155" s="495" t="str">
        <f>IFERROR(__xludf.DUMMYFUNCTION("""COMPUTED_VALUE"""),"REPOSICION DE ESTANQUE HIDRONEUMATICO Y LAVADO / SANITIZADO DE ESTANQUE PLASTICO LABORATORIO CRC05_110 ANATOMIA,")</f>
        <v>REPOSICION DE ESTANQUE HIDRONEUMATICO Y LAVADO / SANITIZADO DE ESTANQUE PLASTICO LABORATORIO CRC05_110 ANATOMIA,</v>
      </c>
      <c r="W155" s="495" t="str">
        <f>IFERROR(__xludf.DUMMYFUNCTION("""COMPUTED_VALUE"""),"NO")</f>
        <v>NO</v>
      </c>
      <c r="X155" s="495" t="str">
        <f>IFERROR(__xludf.DUMMYFUNCTION("""COMPUTED_VALUE"""),"https://drive.google.com/open?id=1jpppnUFXBNCY-4mL0ZOssF3U4pFZyWbl, https://drive.google.com/open?id=10cTYUAegKiftDxRocx7NT26sh0q-dnoN, https://drive.google.com/open?id=1qxuda0ETjpu8Qj50IQHygs7aWjGS_F7L")</f>
        <v>https://drive.google.com/open?id=1jpppnUFXBNCY-4mL0ZOssF3U4pFZyWbl, https://drive.google.com/open?id=10cTYUAegKiftDxRocx7NT26sh0q-dnoN, https://drive.google.com/open?id=1qxuda0ETjpu8Qj50IQHygs7aWjGS_F7L</v>
      </c>
      <c r="Y155" s="495" t="str">
        <f>IFERROR(__xludf.DUMMYFUNCTION("""COMPUTED_VALUE"""),"operaciones@tecfull.cl")</f>
        <v>operaciones@tecfull.cl</v>
      </c>
      <c r="Z155" s="495"/>
      <c r="AA155" s="495"/>
      <c r="AB155" s="495"/>
      <c r="AC155" s="495"/>
      <c r="AD155" s="495" t="str">
        <f>IFERROR(__xludf.DUMMYFUNCTION("""COMPUTED_VALUE"""),"RC-121")</f>
        <v>RC-121</v>
      </c>
    </row>
    <row r="156">
      <c r="A156" s="495" t="str">
        <f t="shared" si="1"/>
        <v>RC-199_26</v>
      </c>
      <c r="B156" s="497">
        <f>IFERROR(__xludf.DUMMYFUNCTION("""COMPUTED_VALUE"""),46162.57661881944)</f>
        <v>46162.57662</v>
      </c>
      <c r="C156" s="495" t="str">
        <f>IFERROR(__xludf.DUMMYFUNCTION("""COMPUTED_VALUE"""),"")</f>
        <v/>
      </c>
      <c r="D156" s="495" t="str">
        <f>IFERROR(__xludf.DUMMYFUNCTION("""COMPUTED_VALUE"""),"Arturo Meza Vega")</f>
        <v>Arturo Meza Vega</v>
      </c>
      <c r="E156" s="495"/>
      <c r="F156" s="496" t="str">
        <f>IFERROR(__xludf.DUMMYFUNCTION("""COMPUTED_VALUE"""),"2421 - 2026")</f>
        <v>2421 - 2026</v>
      </c>
      <c r="G156" s="495"/>
      <c r="H156" s="495"/>
      <c r="I156" s="495"/>
      <c r="J156" s="495" t="str">
        <f>IFERROR(__xludf.DUMMYFUNCTION("""COMPUTED_VALUE"""),"Campus Dr. Luis Rivas del Canto - CRC")</f>
        <v>Campus Dr. Luis Rivas del Canto - CRC</v>
      </c>
      <c r="K156" s="495" t="str">
        <f>IFERROR(__xludf.DUMMYFUNCTION("""COMPUTED_VALUE"""),"01")</f>
        <v>01</v>
      </c>
      <c r="L156" s="495" t="str">
        <f>IFERROR(__xludf.DUMMYFUNCTION("""COMPUTED_VALUE"""),"Gyg servicios spa")</f>
        <v>Gyg servicios spa</v>
      </c>
      <c r="M156" s="495" t="str">
        <f>IFERROR(__xludf.DUMMYFUNCTION("""COMPUTED_VALUE"""),"77.215.624-3")</f>
        <v>77.215.624-3</v>
      </c>
      <c r="N156" s="495" t="str">
        <f>IFERROR(__xludf.DUMMYFUNCTION("""COMPUTED_VALUE"""),"Gustavo Fuentes - Supervisor tecnico")</f>
        <v>Gustavo Fuentes - Supervisor tecnico</v>
      </c>
      <c r="O156" s="495" t="str">
        <f>IFERROR(__xludf.DUMMYFUNCTION("""COMPUTED_VALUE"""),"Mantenciones")</f>
        <v>Mantenciones</v>
      </c>
      <c r="P156" s="495" t="str">
        <f>IFERROR(__xludf.DUMMYFUNCTION("""COMPUTED_VALUE"""),"Instalaciones Eléctricas")</f>
        <v>Instalaciones Eléctricas</v>
      </c>
      <c r="Q156" s="495"/>
      <c r="R156" s="495"/>
      <c r="S156" s="495"/>
      <c r="T156" s="495"/>
      <c r="U156" s="495"/>
      <c r="V156" s="495" t="str">
        <f>IFERROR(__xludf.DUMMYFUNCTION("""COMPUTED_VALUE"""),"Modificación de enchufe y HDMI para la instalacion de tv")</f>
        <v>Modificación de enchufe y HDMI para la instalacion de tv</v>
      </c>
      <c r="W156" s="495"/>
      <c r="X156" s="495" t="str">
        <f>IFERROR(__xludf.DUMMYFUNCTION("""COMPUTED_VALUE"""),"https://drive.google.com/open?id=1L41Yu-jPU7jVslDLIaUM38UMLPhybXFO, https://drive.google.com/open?id=1rzy7SkAHi5FqeYT_w-qjX_K-ye9FNI-6")</f>
        <v>https://drive.google.com/open?id=1L41Yu-jPU7jVslDLIaUM38UMLPhybXFO, https://drive.google.com/open?id=1rzy7SkAHi5FqeYT_w-qjX_K-ye9FNI-6</v>
      </c>
      <c r="Y156" s="495" t="str">
        <f>IFERROR(__xludf.DUMMYFUNCTION("""COMPUTED_VALUE"""),"contacto@gygtecnologias.com")</f>
        <v>contacto@gygtecnologias.com</v>
      </c>
      <c r="Z156" s="498">
        <f>IFERROR(__xludf.DUMMYFUNCTION("""COMPUTED_VALUE"""),799442.0)</f>
        <v>799442</v>
      </c>
      <c r="AA156" s="495"/>
      <c r="AB156" s="495"/>
      <c r="AC156" s="495"/>
      <c r="AD156" s="495" t="str">
        <f>IFERROR(__xludf.DUMMYFUNCTION("""COMPUTED_VALUE"""),"RC-199_26")</f>
        <v>RC-199_26</v>
      </c>
    </row>
    <row r="157">
      <c r="A157" s="495" t="str">
        <f t="shared" si="1"/>
        <v>RC-198_26</v>
      </c>
      <c r="B157" s="497">
        <f>IFERROR(__xludf.DUMMYFUNCTION("""COMPUTED_VALUE"""),46162.47263924769)</f>
        <v>46162.47264</v>
      </c>
      <c r="C157" s="495" t="str">
        <f>IFERROR(__xludf.DUMMYFUNCTION("""COMPUTED_VALUE"""),"")</f>
        <v/>
      </c>
      <c r="D157" s="495" t="str">
        <f>IFERROR(__xludf.DUMMYFUNCTION("""COMPUTED_VALUE"""),"Carol Huenchual Chañilao")</f>
        <v>Carol Huenchual Chañilao</v>
      </c>
      <c r="E157" s="495"/>
      <c r="F157" s="496" t="str">
        <f>IFERROR(__xludf.DUMMYFUNCTION("""COMPUTED_VALUE"""),"3692-2026")</f>
        <v>3692-2026</v>
      </c>
      <c r="G157" s="495"/>
      <c r="H157" s="495"/>
      <c r="I157" s="495"/>
      <c r="J157" s="495" t="str">
        <f>IFERROR(__xludf.DUMMYFUNCTION("""COMPUTED_VALUE"""),"Campus Monseñor Alejandro Menchaca Lira - CML")</f>
        <v>Campus Monseñor Alejandro Menchaca Lira - CML</v>
      </c>
      <c r="K157" s="495" t="str">
        <f>IFERROR(__xludf.DUMMYFUNCTION("""COMPUTED_VALUE"""),"03")</f>
        <v>03</v>
      </c>
      <c r="L157" s="495" t="str">
        <f>IFERROR(__xludf.DUMMYFUNCTION("""COMPUTED_VALUE"""),"Servicios técnicos asistec araucania spa")</f>
        <v>Servicios técnicos asistec araucania spa</v>
      </c>
      <c r="M157" s="495" t="str">
        <f>IFERROR(__xludf.DUMMYFUNCTION("""COMPUTED_VALUE"""),"77.192.604-5")</f>
        <v>77.192.604-5</v>
      </c>
      <c r="N157" s="495" t="str">
        <f>IFERROR(__xludf.DUMMYFUNCTION("""COMPUTED_VALUE"""),"Jonathan Espinoza  jefe tecnico")</f>
        <v>Jonathan Espinoza  jefe tecnico</v>
      </c>
      <c r="O157" s="495" t="str">
        <f>IFERROR(__xludf.DUMMYFUNCTION("""COMPUTED_VALUE"""),"Mantenciones")</f>
        <v>Mantenciones</v>
      </c>
      <c r="P157" s="495" t="str">
        <f>IFERROR(__xludf.DUMMYFUNCTION("""COMPUTED_VALUE"""),"Requerimientos Emergentes e Imprevistos")</f>
        <v>Requerimientos Emergentes e Imprevistos</v>
      </c>
      <c r="Q157" s="495"/>
      <c r="R157" s="495"/>
      <c r="S157" s="495"/>
      <c r="T157" s="495"/>
      <c r="U157" s="495"/>
      <c r="V157" s="495" t="str">
        <f>IFERROR(__xludf.DUMMYFUNCTION("""COMPUTED_VALUE"""),"Mantencion  estufas a parafina toyotomi")</f>
        <v>Mantencion  estufas a parafina toyotomi</v>
      </c>
      <c r="W157" s="495"/>
      <c r="X157" s="499" t="str">
        <f>IFERROR(__xludf.DUMMYFUNCTION("""COMPUTED_VALUE"""),"https://drive.google.com/open?id=1CH7OQ64WCC9_nAiBGs6-nIh6MU9xrfbO")</f>
        <v>https://drive.google.com/open?id=1CH7OQ64WCC9_nAiBGs6-nIh6MU9xrfbO</v>
      </c>
      <c r="Y157" s="495" t="str">
        <f>IFERROR(__xludf.DUMMYFUNCTION("""COMPUTED_VALUE"""),"asistec.estufas@gmail.com")</f>
        <v>asistec.estufas@gmail.com</v>
      </c>
      <c r="Z157" s="498">
        <f>IFERROR(__xludf.DUMMYFUNCTION("""COMPUTED_VALUE"""),220000.0)</f>
        <v>220000</v>
      </c>
      <c r="AA157" s="495"/>
      <c r="AB157" s="495"/>
      <c r="AC157" s="495"/>
      <c r="AD157" s="495" t="str">
        <f>IFERROR(__xludf.DUMMYFUNCTION("""COMPUTED_VALUE"""),"RC-198_26")</f>
        <v>RC-198_26</v>
      </c>
    </row>
    <row r="158">
      <c r="A158" s="495" t="str">
        <f t="shared" si="1"/>
        <v>RC-195_26</v>
      </c>
      <c r="B158" s="497">
        <f>IFERROR(__xludf.DUMMYFUNCTION("""COMPUTED_VALUE"""),46162.04185761574)</f>
        <v>46162.04186</v>
      </c>
      <c r="C158" s="495" t="str">
        <f>IFERROR(__xludf.DUMMYFUNCTION("""COMPUTED_VALUE"""),"")</f>
        <v/>
      </c>
      <c r="D158" s="495" t="str">
        <f>IFERROR(__xludf.DUMMYFUNCTION("""COMPUTED_VALUE"""),"Carol Huenchual Chañilao")</f>
        <v>Carol Huenchual Chañilao</v>
      </c>
      <c r="E158" s="495"/>
      <c r="F158" s="496">
        <f>IFERROR(__xludf.DUMMYFUNCTION("""COMPUTED_VALUE"""),3803.0)</f>
        <v>3803</v>
      </c>
      <c r="G158" s="495"/>
      <c r="H158" s="495"/>
      <c r="I158" s="495"/>
      <c r="J158" s="495" t="str">
        <f>IFERROR(__xludf.DUMMYFUNCTION("""COMPUTED_VALUE"""),"Campus Monseñor Alejandro Menchaca Lira - CML")</f>
        <v>Campus Monseñor Alejandro Menchaca Lira - CML</v>
      </c>
      <c r="K158" s="495" t="str">
        <f>IFERROR(__xludf.DUMMYFUNCTION("""COMPUTED_VALUE"""),"01")</f>
        <v>01</v>
      </c>
      <c r="L158" s="495" t="str">
        <f>IFERROR(__xludf.DUMMYFUNCTION("""COMPUTED_VALUE"""),"Riol Moisés Bascur Jara")</f>
        <v>Riol Moisés Bascur Jara</v>
      </c>
      <c r="M158" s="495" t="str">
        <f>IFERROR(__xludf.DUMMYFUNCTION("""COMPUTED_VALUE"""),"11.811.450-7")</f>
        <v>11.811.450-7</v>
      </c>
      <c r="N158" s="495" t="str">
        <f>IFERROR(__xludf.DUMMYFUNCTION("""COMPUTED_VALUE"""),"Riol Bascur Jara")</f>
        <v>Riol Bascur Jara</v>
      </c>
      <c r="O158" s="495" t="str">
        <f>IFERROR(__xludf.DUMMYFUNCTION("""COMPUTED_VALUE"""),"Mantenciones")</f>
        <v>Mantenciones</v>
      </c>
      <c r="P158" s="495" t="str">
        <f>IFERROR(__xludf.DUMMYFUNCTION("""COMPUTED_VALUE"""),"Alcantarillado")</f>
        <v>Alcantarillado</v>
      </c>
      <c r="Q158" s="495"/>
      <c r="R158" s="495"/>
      <c r="S158" s="495"/>
      <c r="T158" s="495"/>
      <c r="U158" s="495"/>
      <c r="V158" s="495" t="str">
        <f>IFERROR(__xludf.DUMMYFUNCTION("""COMPUTED_VALUE"""),"Limpieza, mantención de cámaras de registros y sistemas sanitarios campus Menchaca Lira edificio CL01.")</f>
        <v>Limpieza, mantención de cámaras de registros y sistemas sanitarios campus Menchaca Lira edificio CL01.</v>
      </c>
      <c r="W158" s="495" t="str">
        <f>IFERROR(__xludf.DUMMYFUNCTION("""COMPUTED_VALUE"""),"Al parecer uno de los baños esta conectado a cámaras de aguas lluvias, favor revisar.")</f>
        <v>Al parecer uno de los baños esta conectado a cámaras de aguas lluvias, favor revisar.</v>
      </c>
      <c r="X158" s="499" t="str">
        <f>IFERROR(__xludf.DUMMYFUNCTION("""COMPUTED_VALUE"""),"https://drive.google.com/open?id=1npEBki6tTKkhUw5yCFjueI107EAkg0TL")</f>
        <v>https://drive.google.com/open?id=1npEBki6tTKkhUw5yCFjueI107EAkg0TL</v>
      </c>
      <c r="Y158" s="495" t="str">
        <f>IFERROR(__xludf.DUMMYFUNCTION("""COMPUTED_VALUE"""),"fosasgogol@hotmail.com")</f>
        <v>fosasgogol@hotmail.com</v>
      </c>
      <c r="Z158" s="498">
        <f>IFERROR(__xludf.DUMMYFUNCTION("""COMPUTED_VALUE"""),154700.0)</f>
        <v>154700</v>
      </c>
      <c r="AA158" s="495"/>
      <c r="AB158" s="495"/>
      <c r="AC158" s="495"/>
      <c r="AD158" s="495" t="str">
        <f>IFERROR(__xludf.DUMMYFUNCTION("""COMPUTED_VALUE"""),"RC-195_26")</f>
        <v>RC-195_26</v>
      </c>
    </row>
    <row r="159">
      <c r="A159" s="495" t="str">
        <f t="shared" si="1"/>
        <v>RC-194_26</v>
      </c>
      <c r="B159" s="497">
        <f>IFERROR(__xludf.DUMMYFUNCTION("""COMPUTED_VALUE"""),46161.54797422454)</f>
        <v>46161.54797</v>
      </c>
      <c r="C159" s="495" t="str">
        <f>IFERROR(__xludf.DUMMYFUNCTION("""COMPUTED_VALUE"""),"")</f>
        <v/>
      </c>
      <c r="D159" s="495" t="str">
        <f>IFERROR(__xludf.DUMMYFUNCTION("""COMPUTED_VALUE"""),"Mauricio Matus Belmar")</f>
        <v>Mauricio Matus Belmar</v>
      </c>
      <c r="E159" s="495"/>
      <c r="F159" s="496">
        <f>IFERROR(__xludf.DUMMYFUNCTION("""COMPUTED_VALUE"""),3141.0)</f>
        <v>3141</v>
      </c>
      <c r="G159" s="495"/>
      <c r="H159" s="495"/>
      <c r="I159" s="495"/>
      <c r="J159" s="495" t="str">
        <f>IFERROR(__xludf.DUMMYFUNCTION("""COMPUTED_VALUE"""),"Campus Educación Continua - CEC")</f>
        <v>Campus Educación Continua - CEC</v>
      </c>
      <c r="K159" s="495" t="str">
        <f>IFERROR(__xludf.DUMMYFUNCTION("""COMPUTED_VALUE"""),"01")</f>
        <v>01</v>
      </c>
      <c r="L159" s="495" t="str">
        <f>IFERROR(__xludf.DUMMYFUNCTION("""COMPUTED_VALUE"""),"Innovaclima MQ SPA")</f>
        <v>Innovaclima MQ SPA</v>
      </c>
      <c r="M159" s="495" t="str">
        <f>IFERROR(__xludf.DUMMYFUNCTION("""COMPUTED_VALUE"""),"76.464.159-0")</f>
        <v>76.464.159-0</v>
      </c>
      <c r="N159" s="495" t="str">
        <f>IFERROR(__xludf.DUMMYFUNCTION("""COMPUTED_VALUE"""),"Miguel Quezada Yañez")</f>
        <v>Miguel Quezada Yañez</v>
      </c>
      <c r="O159" s="495" t="str">
        <f>IFERROR(__xludf.DUMMYFUNCTION("""COMPUTED_VALUE"""),"Mantenciones")</f>
        <v>Mantenciones</v>
      </c>
      <c r="P159" s="495" t="str">
        <f>IFERROR(__xludf.DUMMYFUNCTION("""COMPUTED_VALUE"""),"Requerimientos Emergentes e Imprevistos")</f>
        <v>Requerimientos Emergentes e Imprevistos</v>
      </c>
      <c r="Q159" s="495"/>
      <c r="R159" s="495"/>
      <c r="S159" s="495"/>
      <c r="T159" s="495"/>
      <c r="U159" s="495"/>
      <c r="V159" s="495" t="str">
        <f>IFERROR(__xludf.DUMMYFUNCTION("""COMPUTED_VALUE"""),"Mantenimiento preventivo caldera a petróleo")</f>
        <v>Mantenimiento preventivo caldera a petróleo</v>
      </c>
      <c r="W159" s="495" t="str">
        <f>IFERROR(__xludf.DUMMYFUNCTION("""COMPUTED_VALUE"""),"Se sugiere hacer mantenimiento cada tres meses")</f>
        <v>Se sugiere hacer mantenimiento cada tres meses</v>
      </c>
      <c r="X159" s="495" t="str">
        <f>IFERROR(__xludf.DUMMYFUNCTION("""COMPUTED_VALUE"""),"https://drive.google.com/open?id=158r0b0lI0BYQropftBaIZxa9HcXezBKR, https://drive.google.com/open?id=1p0hICVZmo8Py87-8VgObmrLXVGKYLTBc, https://drive.google.com/open?id=1Fk4jg4Vk1Hp_cXPGmIZtWGvA9ETJ7AV4, https://drive.google.com/open?id=1vTmYCKhNdfe1oA8wN"&amp;"cpk9pRJTjcjxISS, https://drive.google.com/open?id=18yKxNDUKc5Qwd8jPZcRUSnUv-wBgwe52")</f>
        <v>https://drive.google.com/open?id=158r0b0lI0BYQropftBaIZxa9HcXezBKR, https://drive.google.com/open?id=1p0hICVZmo8Py87-8VgObmrLXVGKYLTBc, https://drive.google.com/open?id=1Fk4jg4Vk1Hp_cXPGmIZtWGvA9ETJ7AV4, https://drive.google.com/open?id=1vTmYCKhNdfe1oA8wNcpk9pRJTjcjxISS, https://drive.google.com/open?id=18yKxNDUKc5Qwd8jPZcRUSnUv-wBgwe52</v>
      </c>
      <c r="Y159" s="495" t="str">
        <f>IFERROR(__xludf.DUMMYFUNCTION("""COMPUTED_VALUE"""),"mquezaday@gmail.com")</f>
        <v>mquezaday@gmail.com</v>
      </c>
      <c r="Z159" s="498">
        <f>IFERROR(__xludf.DUMMYFUNCTION("""COMPUTED_VALUE"""),261800.0)</f>
        <v>261800</v>
      </c>
      <c r="AA159" s="495"/>
      <c r="AB159" s="495"/>
      <c r="AC159" s="495"/>
      <c r="AD159" s="495" t="str">
        <f>IFERROR(__xludf.DUMMYFUNCTION("""COMPUTED_VALUE"""),"RC-194_26")</f>
        <v>RC-194_26</v>
      </c>
    </row>
    <row r="160">
      <c r="A160" s="495" t="str">
        <f t="shared" si="1"/>
        <v>RC-193_26</v>
      </c>
      <c r="B160" s="497">
        <f>IFERROR(__xludf.DUMMYFUNCTION("""COMPUTED_VALUE"""),46161.520582743055)</f>
        <v>46161.52058</v>
      </c>
      <c r="C160" s="495" t="str">
        <f>IFERROR(__xludf.DUMMYFUNCTION("""COMPUTED_VALUE"""),"")</f>
        <v/>
      </c>
      <c r="D160" s="495" t="str">
        <f>IFERROR(__xludf.DUMMYFUNCTION("""COMPUTED_VALUE"""),"Carol Huenchual Chañilao")</f>
        <v>Carol Huenchual Chañilao</v>
      </c>
      <c r="E160" s="495"/>
      <c r="F160" s="496" t="str">
        <f>IFERROR(__xludf.DUMMYFUNCTION("""COMPUTED_VALUE"""),"3799 - 2026")</f>
        <v>3799 - 2026</v>
      </c>
      <c r="G160" s="495"/>
      <c r="H160" s="495"/>
      <c r="I160" s="495"/>
      <c r="J160" s="495" t="str">
        <f>IFERROR(__xludf.DUMMYFUNCTION("""COMPUTED_VALUE"""),"Campus San Francisco - CSF")</f>
        <v>Campus San Francisco - CSF</v>
      </c>
      <c r="K160" s="495">
        <f>IFERROR(__xludf.DUMMYFUNCTION("""COMPUTED_VALUE"""),16.0)</f>
        <v>16</v>
      </c>
      <c r="L160" s="495" t="str">
        <f>IFERROR(__xludf.DUMMYFUNCTION("""COMPUTED_VALUE"""),"Constructora IGECE Ltda.")</f>
        <v>Constructora IGECE Ltda.</v>
      </c>
      <c r="M160" s="495" t="str">
        <f>IFERROR(__xludf.DUMMYFUNCTION("""COMPUTED_VALUE"""),"76.878.824-3")</f>
        <v>76.878.824-3</v>
      </c>
      <c r="N160" s="495" t="str">
        <f>IFERROR(__xludf.DUMMYFUNCTION("""COMPUTED_VALUE"""),"Carlos Troncoso - Gerente General ")</f>
        <v>Carlos Troncoso - Gerente General </v>
      </c>
      <c r="O160" s="495" t="str">
        <f>IFERROR(__xludf.DUMMYFUNCTION("""COMPUTED_VALUE"""),"Mantenciones")</f>
        <v>Mantenciones</v>
      </c>
      <c r="P160" s="495" t="str">
        <f>IFERROR(__xludf.DUMMYFUNCTION("""COMPUTED_VALUE"""),"Terminaciones Interiores")</f>
        <v>Terminaciones Interiores</v>
      </c>
      <c r="Q160" s="495"/>
      <c r="R160" s="495"/>
      <c r="S160" s="495"/>
      <c r="T160" s="495"/>
      <c r="U160" s="495"/>
      <c r="V160" s="495" t="str">
        <f>IFERROR(__xludf.DUMMYFUNCTION("""COMPUTED_VALUE"""),"Retiro e instalación Piso Vinílico: Se realiza retiro piso existe mal
instalado, retiro guardapolvo, instalación piso vinílico SPC de 4 mm
espesor, reinstalación guardapolvo existente.
ORDEN, ASEO Y RETIRO EXEDENTES: Se Realiza aseo general y retiro
de t"&amp;"odo residuo generado por los trabajos, dejando todo en perfectas
condiciones.")</f>
        <v>Retiro e instalación Piso Vinílico: Se realiza retiro piso existe mal
instalado, retiro guardapolvo, instalación piso vinílico SPC de 4 mm
espesor, reinstalación guardapolvo existente.
ORDEN, ASEO Y RETIRO EXEDENTES: Se Realiza aseo general y retiro
de todo residuo generado por los trabajos, dejando todo en perfectas
condiciones.</v>
      </c>
      <c r="W160" s="495"/>
      <c r="X160" s="495" t="str">
        <f>IFERROR(__xludf.DUMMYFUNCTION("""COMPUTED_VALUE"""),"https://drive.google.com/open?id=1zcx-TxjSQM856fCVKqqwU6VulYnrGSCA, https://drive.google.com/open?id=15PY2Lz7K8h1T-onz0Ivw91V3UOGuwsCO, https://drive.google.com/open?id=12U92NgTdrY6TZA5XqO5sRnMHWN2kDNKR, https://drive.google.com/open?id=1qa4C0SKZ-Mi1eQIPs"&amp;"va43YJzbO-UP9UR, https://drive.google.com/open?id=1TcG9vRh6R2xCn7BDrJvl-tMjmDgNuqRv, https://drive.google.com/open?id=1jhyp7bDxEcGRcYxaejF83MIsNIsRFyTS, https://drive.google.com/open?id=1sex5G7OyNzbVZQy3YX865rT5Vaef65I3, https://drive.google.com/open?id=1"&amp;"xLSOb9GOD-bd60hVWgyz9I6aVbZ6ZS5r, https://drive.google.com/open?id=1xc6kFia8-wfaHuXZ7Eye91mwQJtovgGH")</f>
        <v>https://drive.google.com/open?id=1zcx-TxjSQM856fCVKqqwU6VulYnrGSCA, https://drive.google.com/open?id=15PY2Lz7K8h1T-onz0Ivw91V3UOGuwsCO, https://drive.google.com/open?id=12U92NgTdrY6TZA5XqO5sRnMHWN2kDNKR, https://drive.google.com/open?id=1qa4C0SKZ-Mi1eQIPsva43YJzbO-UP9UR, https://drive.google.com/open?id=1TcG9vRh6R2xCn7BDrJvl-tMjmDgNuqRv, https://drive.google.com/open?id=1jhyp7bDxEcGRcYxaejF83MIsNIsRFyTS, https://drive.google.com/open?id=1sex5G7OyNzbVZQy3YX865rT5Vaef65I3, https://drive.google.com/open?id=1xLSOb9GOD-bd60hVWgyz9I6aVbZ6ZS5r, https://drive.google.com/open?id=1xc6kFia8-wfaHuXZ7Eye91mwQJtovgGH</v>
      </c>
      <c r="Y160" s="495" t="str">
        <f>IFERROR(__xludf.DUMMYFUNCTION("""COMPUTED_VALUE"""),"fabien.i.burgos.s@gmail.com")</f>
        <v>fabien.i.burgos.s@gmail.com</v>
      </c>
      <c r="Z160" s="498">
        <f>IFERROR(__xludf.DUMMYFUNCTION("""COMPUTED_VALUE"""),798990.0)</f>
        <v>798990</v>
      </c>
      <c r="AA160" s="495"/>
      <c r="AB160" s="495"/>
      <c r="AC160" s="495"/>
      <c r="AD160" s="495" t="str">
        <f>IFERROR(__xludf.DUMMYFUNCTION("""COMPUTED_VALUE"""),"RC-193_26")</f>
        <v>RC-193_26</v>
      </c>
    </row>
    <row r="161">
      <c r="A161" s="495" t="str">
        <f t="shared" si="1"/>
        <v>RC-192_26</v>
      </c>
      <c r="B161" s="497">
        <f>IFERROR(__xludf.DUMMYFUNCTION("""COMPUTED_VALUE"""),46161.3690412037)</f>
        <v>46161.36904</v>
      </c>
      <c r="C161" s="495" t="str">
        <f>IFERROR(__xludf.DUMMYFUNCTION("""COMPUTED_VALUE"""),"")</f>
        <v/>
      </c>
      <c r="D161" s="495" t="str">
        <f>IFERROR(__xludf.DUMMYFUNCTION("""COMPUTED_VALUE"""),"Carol Huenchual Chañilao")</f>
        <v>Carol Huenchual Chañilao</v>
      </c>
      <c r="E161" s="495"/>
      <c r="F161" s="496" t="str">
        <f>IFERROR(__xludf.DUMMYFUNCTION("""COMPUTED_VALUE"""),"3789 - 2026")</f>
        <v>3789 - 2026</v>
      </c>
      <c r="G161" s="495"/>
      <c r="H161" s="495"/>
      <c r="I161" s="495"/>
      <c r="J161" s="495" t="str">
        <f>IFERROR(__xludf.DUMMYFUNCTION("""COMPUTED_VALUE"""),"Campus San Francisco - CSF")</f>
        <v>Campus San Francisco - CSF</v>
      </c>
      <c r="K161" s="495" t="str">
        <f>IFERROR(__xludf.DUMMYFUNCTION("""COMPUTED_VALUE"""),"02")</f>
        <v>02</v>
      </c>
      <c r="L161" s="495" t="str">
        <f>IFERROR(__xludf.DUMMYFUNCTION("""COMPUTED_VALUE"""),"Constructora IGECE Ltda.")</f>
        <v>Constructora IGECE Ltda.</v>
      </c>
      <c r="M161" s="495" t="str">
        <f>IFERROR(__xludf.DUMMYFUNCTION("""COMPUTED_VALUE"""),"76.878.824-3")</f>
        <v>76.878.824-3</v>
      </c>
      <c r="N161" s="495" t="str">
        <f>IFERROR(__xludf.DUMMYFUNCTION("""COMPUTED_VALUE"""),"Carlos Troncoso - Gerente General ")</f>
        <v>Carlos Troncoso - Gerente General </v>
      </c>
      <c r="O161" s="495" t="str">
        <f>IFERROR(__xludf.DUMMYFUNCTION("""COMPUTED_VALUE"""),"Mantenciones")</f>
        <v>Mantenciones</v>
      </c>
      <c r="P161" s="495" t="str">
        <f>IFERROR(__xludf.DUMMYFUNCTION("""COMPUTED_VALUE"""),"Suelos")</f>
        <v>Suelos</v>
      </c>
      <c r="Q161" s="495"/>
      <c r="R161" s="495"/>
      <c r="S161" s="495"/>
      <c r="T161" s="495"/>
      <c r="U161" s="495"/>
      <c r="V161" s="495" t="str">
        <f>IFERROR(__xludf.DUMMYFUNCTION("""COMPUTED_VALUE"""),"Excavación, cambio Tubería y tapado piso (Filtración Tubería Rota)")</f>
        <v>Excavación, cambio Tubería y tapado piso (Filtración Tubería Rota)</v>
      </c>
      <c r="W161" s="495"/>
      <c r="X161" s="495" t="str">
        <f>IFERROR(__xludf.DUMMYFUNCTION("""COMPUTED_VALUE"""),"https://drive.google.com/open?id=13J8FCEg75QfhNFcSwu5Ch5MX4E-Q8y46, https://drive.google.com/open?id=1oADyNBOJlZt_0-r3X65l-LdZPfbknuSF, https://drive.google.com/open?id=1RkJHDxu9Uda21TQcmsCIjhkFgCzSBGcm, https://drive.google.com/open?id=1GgtkE2uppp5mAku2h"&amp;"NTOQMTFCyF2rjqv, https://drive.google.com/open?id=1SJ3KRPt406DRnWoV6fnCoVaplCXUMZl_")</f>
        <v>https://drive.google.com/open?id=13J8FCEg75QfhNFcSwu5Ch5MX4E-Q8y46, https://drive.google.com/open?id=1oADyNBOJlZt_0-r3X65l-LdZPfbknuSF, https://drive.google.com/open?id=1RkJHDxu9Uda21TQcmsCIjhkFgCzSBGcm, https://drive.google.com/open?id=1GgtkE2uppp5mAku2hNTOQMTFCyF2rjqv, https://drive.google.com/open?id=1SJ3KRPt406DRnWoV6fnCoVaplCXUMZl_</v>
      </c>
      <c r="Y161" s="495" t="str">
        <f>IFERROR(__xludf.DUMMYFUNCTION("""COMPUTED_VALUE"""),"fabien.i.burgos.s@gmail.com")</f>
        <v>fabien.i.burgos.s@gmail.com</v>
      </c>
      <c r="Z161" s="498">
        <f>IFERROR(__xludf.DUMMYFUNCTION("""COMPUTED_VALUE"""),320797.0)</f>
        <v>320797</v>
      </c>
      <c r="AA161" s="495"/>
      <c r="AB161" s="495"/>
      <c r="AC161" s="495"/>
      <c r="AD161" s="495" t="str">
        <f>IFERROR(__xludf.DUMMYFUNCTION("""COMPUTED_VALUE"""),"RC-192_26")</f>
        <v>RC-192_26</v>
      </c>
    </row>
    <row r="162">
      <c r="A162" s="495" t="str">
        <f t="shared" si="1"/>
        <v>RC-191_26</v>
      </c>
      <c r="B162" s="497">
        <f>IFERROR(__xludf.DUMMYFUNCTION("""COMPUTED_VALUE"""),46160.949464143516)</f>
        <v>46160.94946</v>
      </c>
      <c r="C162" s="495" t="str">
        <f>IFERROR(__xludf.DUMMYFUNCTION("""COMPUTED_VALUE"""),"")</f>
        <v/>
      </c>
      <c r="D162" s="495" t="str">
        <f>IFERROR(__xludf.DUMMYFUNCTION("""COMPUTED_VALUE"""),"Cristóbal Correa del Río")</f>
        <v>Cristóbal Correa del Río</v>
      </c>
      <c r="E162" s="495"/>
      <c r="F162" s="496">
        <f>IFERROR(__xludf.DUMMYFUNCTION("""COMPUTED_VALUE"""),1273.0)</f>
        <v>1273</v>
      </c>
      <c r="G162" s="495"/>
      <c r="H162" s="495"/>
      <c r="I162" s="495"/>
      <c r="J162" s="495" t="str">
        <f>IFERROR(__xludf.DUMMYFUNCTION("""COMPUTED_VALUE"""),"Campus San Francisco - CSF")</f>
        <v>Campus San Francisco - CSF</v>
      </c>
      <c r="K162" s="495">
        <f>IFERROR(__xludf.DUMMYFUNCTION("""COMPUTED_VALUE"""),21.0)</f>
        <v>21</v>
      </c>
      <c r="L162" s="495" t="str">
        <f>IFERROR(__xludf.DUMMYFUNCTION("""COMPUTED_VALUE"""),"Construcciones luis exequiel solis catalan E.i .R. L")</f>
        <v>Construcciones luis exequiel solis catalan E.i .R. L</v>
      </c>
      <c r="M162" s="495" t="str">
        <f>IFERROR(__xludf.DUMMYFUNCTION("""COMPUTED_VALUE"""),"77.280.635-3")</f>
        <v>77.280.635-3</v>
      </c>
      <c r="N162" s="495" t="str">
        <f>IFERROR(__xludf.DUMMYFUNCTION("""COMPUTED_VALUE"""),"Luis solis ,empresa. ")</f>
        <v>Luis solis ,empresa. </v>
      </c>
      <c r="O162" s="495" t="str">
        <f>IFERROR(__xludf.DUMMYFUNCTION("""COMPUTED_VALUE"""),"Mantenciones")</f>
        <v>Mantenciones</v>
      </c>
      <c r="P162" s="495" t="str">
        <f>IFERROR(__xludf.DUMMYFUNCTION("""COMPUTED_VALUE"""),"Requerimientos Emergentes e Imprevistos")</f>
        <v>Requerimientos Emergentes e Imprevistos</v>
      </c>
      <c r="Q162" s="495"/>
      <c r="R162" s="495"/>
      <c r="S162" s="495"/>
      <c r="T162" s="495"/>
      <c r="U162" s="495"/>
      <c r="V162" s="495" t="str">
        <f>IFERROR(__xludf.DUMMYFUNCTION("""COMPUTED_VALUE"""),"Barnizar columnas de madera, primer piso edificio 21")</f>
        <v>Barnizar columnas de madera, primer piso edificio 21</v>
      </c>
      <c r="W162" s="495" t="str">
        <f>IFERROR(__xludf.DUMMYFUNCTION("""COMPUTED_VALUE"""),"Recomendacion , solo barnizar con clima apropiado")</f>
        <v>Recomendacion , solo barnizar con clima apropiado</v>
      </c>
      <c r="X162" s="495" t="str">
        <f>IFERROR(__xludf.DUMMYFUNCTION("""COMPUTED_VALUE"""),"https://drive.google.com/open?id=1T-mZKvw4454ucIta33gr8n5WByOx_VjX, https://drive.google.com/open?id=1cDt-y3jNHIKhALQEaGicRP6zTg91zMF4, https://drive.google.com/open?id=1iIBo1pUHFo_Q44ZCXZhLRSBQCFf-B8AY, https://drive.google.com/open?id=1Qu1BYnKW1X5WTroGu"&amp;"pZNIqpDWRr4qH0r, https://drive.google.com/open?id=1XgP1uq37Fy_BA9G6I6SXfu1vnZhFTSqa")</f>
        <v>https://drive.google.com/open?id=1T-mZKvw4454ucIta33gr8n5WByOx_VjX, https://drive.google.com/open?id=1cDt-y3jNHIKhALQEaGicRP6zTg91zMF4, https://drive.google.com/open?id=1iIBo1pUHFo_Q44ZCXZhLRSBQCFf-B8AY, https://drive.google.com/open?id=1Qu1BYnKW1X5WTroGupZNIqpDWRr4qH0r, https://drive.google.com/open?id=1XgP1uq37Fy_BA9G6I6SXfu1vnZhFTSqa</v>
      </c>
      <c r="Y162" s="495" t="str">
        <f>IFERROR(__xludf.DUMMYFUNCTION("""COMPUTED_VALUE"""),"luis.exequielsolis@gmail.com")</f>
        <v>luis.exequielsolis@gmail.com</v>
      </c>
      <c r="Z162" s="498">
        <f>IFERROR(__xludf.DUMMYFUNCTION("""COMPUTED_VALUE"""),577912.0)</f>
        <v>577912</v>
      </c>
      <c r="AA162" s="495"/>
      <c r="AB162" s="495"/>
      <c r="AC162" s="495"/>
      <c r="AD162" s="495" t="str">
        <f>IFERROR(__xludf.DUMMYFUNCTION("""COMPUTED_VALUE"""),"RC-191_26")</f>
        <v>RC-191_26</v>
      </c>
    </row>
    <row r="163">
      <c r="A163" s="495" t="str">
        <f t="shared" si="1"/>
        <v>RC-190_26</v>
      </c>
      <c r="B163" s="497">
        <f>IFERROR(__xludf.DUMMYFUNCTION("""COMPUTED_VALUE"""),46160.752690891204)</f>
        <v>46160.75269</v>
      </c>
      <c r="C163" s="495" t="str">
        <f>IFERROR(__xludf.DUMMYFUNCTION("""COMPUTED_VALUE"""),"")</f>
        <v/>
      </c>
      <c r="D163" s="495" t="str">
        <f>IFERROR(__xludf.DUMMYFUNCTION("""COMPUTED_VALUE"""),"Carol Huenchual Chañilao")</f>
        <v>Carol Huenchual Chañilao</v>
      </c>
      <c r="E163" s="495"/>
      <c r="F163" s="496" t="str">
        <f>IFERROR(__xludf.DUMMYFUNCTION("""COMPUTED_VALUE"""),"3761 - 26")</f>
        <v>3761 - 26</v>
      </c>
      <c r="G163" s="495"/>
      <c r="H163" s="495"/>
      <c r="I163" s="495"/>
      <c r="J163" s="495" t="str">
        <f>IFERROR(__xludf.DUMMYFUNCTION("""COMPUTED_VALUE"""),"Campus Dr. Luis Rivas del Canto - CRC")</f>
        <v>Campus Dr. Luis Rivas del Canto - CRC</v>
      </c>
      <c r="K163" s="495" t="str">
        <f>IFERROR(__xludf.DUMMYFUNCTION("""COMPUTED_VALUE"""),"08")</f>
        <v>08</v>
      </c>
      <c r="L163" s="495" t="str">
        <f>IFERROR(__xludf.DUMMYFUNCTION("""COMPUTED_VALUE"""),"TECFULL LTDA")</f>
        <v>TECFULL LTDA</v>
      </c>
      <c r="M163" s="495" t="str">
        <f>IFERROR(__xludf.DUMMYFUNCTION("""COMPUTED_VALUE"""),"76.265.749-K")</f>
        <v>76.265.749-K</v>
      </c>
      <c r="N163" s="495" t="str">
        <f>IFERROR(__xludf.DUMMYFUNCTION("""COMPUTED_VALUE"""),"MARCELO GONZALEZ")</f>
        <v>MARCELO GONZALEZ</v>
      </c>
      <c r="O163" s="495" t="str">
        <f>IFERROR(__xludf.DUMMYFUNCTION("""COMPUTED_VALUE"""),"Mantenciones")</f>
        <v>Mantenciones</v>
      </c>
      <c r="P163" s="495" t="str">
        <f>IFERROR(__xludf.DUMMYFUNCTION("""COMPUTED_VALUE"""),"Instalaciones de Agua Potable")</f>
        <v>Instalaciones de Agua Potable</v>
      </c>
      <c r="Q163" s="495"/>
      <c r="R163" s="495"/>
      <c r="S163" s="495"/>
      <c r="T163" s="495"/>
      <c r="U163" s="495"/>
      <c r="V163" s="495" t="str">
        <f>IFERROR(__xludf.DUMMYFUNCTION("""COMPUTED_VALUE"""),"MANTENCION INFRAESTRUCTURA")</f>
        <v>MANTENCION INFRAESTRUCTURA</v>
      </c>
      <c r="W163" s="495" t="str">
        <f>IFERROR(__xludf.DUMMYFUNCTION("""COMPUTED_VALUE"""),"NO")</f>
        <v>NO</v>
      </c>
      <c r="X163" s="499" t="str">
        <f>IFERROR(__xludf.DUMMYFUNCTION("""COMPUTED_VALUE"""),"https://drive.google.com/open?id=1ItdJxkYaNGR1VHQOlB4ZrCxHPAtc4Meb")</f>
        <v>https://drive.google.com/open?id=1ItdJxkYaNGR1VHQOlB4ZrCxHPAtc4Meb</v>
      </c>
      <c r="Y163" s="495" t="str">
        <f>IFERROR(__xludf.DUMMYFUNCTION("""COMPUTED_VALUE"""),"operaciones@tecfull.cl")</f>
        <v>operaciones@tecfull.cl</v>
      </c>
      <c r="Z163" s="498">
        <f>IFERROR(__xludf.DUMMYFUNCTION("""COMPUTED_VALUE"""),356028.0)</f>
        <v>356028</v>
      </c>
      <c r="AA163" s="495"/>
      <c r="AB163" s="495"/>
      <c r="AC163" s="495"/>
      <c r="AD163" s="495" t="str">
        <f>IFERROR(__xludf.DUMMYFUNCTION("""COMPUTED_VALUE"""),"RC-190_26")</f>
        <v>RC-190_26</v>
      </c>
    </row>
    <row r="164">
      <c r="A164" s="495" t="str">
        <f t="shared" si="1"/>
        <v>RC-188_26</v>
      </c>
      <c r="B164" s="497">
        <f>IFERROR(__xludf.DUMMYFUNCTION("""COMPUTED_VALUE"""),46160.58797893519)</f>
        <v>46160.58798</v>
      </c>
      <c r="C164" s="495" t="str">
        <f>IFERROR(__xludf.DUMMYFUNCTION("""COMPUTED_VALUE"""),"")</f>
        <v/>
      </c>
      <c r="D164" s="495" t="str">
        <f>IFERROR(__xludf.DUMMYFUNCTION("""COMPUTED_VALUE"""),"Mauricio Matus Belmar")</f>
        <v>Mauricio Matus Belmar</v>
      </c>
      <c r="E164" s="495"/>
      <c r="F164" s="496" t="str">
        <f>IFERROR(__xludf.DUMMYFUNCTION("""COMPUTED_VALUE"""),"3066-2026")</f>
        <v>3066-2026</v>
      </c>
      <c r="G164" s="495"/>
      <c r="H164" s="495"/>
      <c r="I164" s="495"/>
      <c r="J164" s="495" t="str">
        <f>IFERROR(__xludf.DUMMYFUNCTION("""COMPUTED_VALUE"""),"Campus San Juan Pablo II - CJP")</f>
        <v>Campus San Juan Pablo II - CJP</v>
      </c>
      <c r="K164" s="495">
        <f>IFERROR(__xludf.DUMMYFUNCTION("""COMPUTED_VALUE"""),12.0)</f>
        <v>12</v>
      </c>
      <c r="L164" s="495" t="str">
        <f>IFERROR(__xludf.DUMMYFUNCTION("""COMPUTED_VALUE"""),"AMARIS CONSTRUCTORA SPA")</f>
        <v>AMARIS CONSTRUCTORA SPA</v>
      </c>
      <c r="M164" s="495" t="str">
        <f>IFERROR(__xludf.DUMMYFUNCTION("""COMPUTED_VALUE"""),"77.648.798-8")</f>
        <v>77.648.798-8</v>
      </c>
      <c r="N164" s="495" t="str">
        <f>IFERROR(__xludf.DUMMYFUNCTION("""COMPUTED_VALUE"""),"Jesus Mancilla Vidal")</f>
        <v>Jesus Mancilla Vidal</v>
      </c>
      <c r="O164" s="495" t="str">
        <f>IFERROR(__xludf.DUMMYFUNCTION("""COMPUTED_VALUE"""),"Mantenciones")</f>
        <v>Mantenciones</v>
      </c>
      <c r="P164" s="495" t="str">
        <f>IFERROR(__xludf.DUMMYFUNCTION("""COMPUTED_VALUE"""),"Terminaciones Interiores")</f>
        <v>Terminaciones Interiores</v>
      </c>
      <c r="Q164" s="495"/>
      <c r="R164" s="495"/>
      <c r="S164" s="495"/>
      <c r="T164" s="495"/>
      <c r="U164" s="495"/>
      <c r="V164" s="495" t="str">
        <f>IFERROR(__xludf.DUMMYFUNCTION("""COMPUTED_VALUE"""),"Instalación de 3 pizarras una por cada sala")</f>
        <v>Instalación de 3 pizarras una por cada sala</v>
      </c>
      <c r="W164" s="495" t="str">
        <f>IFERROR(__xludf.DUMMYFUNCTION("""COMPUTED_VALUE"""),"Sin obsevaciones ")</f>
        <v>Sin obsevaciones </v>
      </c>
      <c r="X164" s="495" t="str">
        <f>IFERROR(__xludf.DUMMYFUNCTION("""COMPUTED_VALUE"""),"https://drive.google.com/open?id=1eaAJyVFl0gb_XKI8bD7w0H2ikwwXM_gn, https://drive.google.com/open?id=1smJOt3fX4McgPZs7XfYXheVEWdVojxEc")</f>
        <v>https://drive.google.com/open?id=1eaAJyVFl0gb_XKI8bD7w0H2ikwwXM_gn, https://drive.google.com/open?id=1smJOt3fX4McgPZs7XfYXheVEWdVojxEc</v>
      </c>
      <c r="Y164" s="495" t="str">
        <f>IFERROR(__xludf.DUMMYFUNCTION("""COMPUTED_VALUE"""),"e.fuentealba@amaris.cl")</f>
        <v>e.fuentealba@amaris.cl</v>
      </c>
      <c r="Z164" s="498">
        <f>IFERROR(__xludf.DUMMYFUNCTION("""COMPUTED_VALUE"""),210035.0)</f>
        <v>210035</v>
      </c>
      <c r="AA164" s="495"/>
      <c r="AB164" s="495"/>
      <c r="AC164" s="495"/>
      <c r="AD164" s="495" t="str">
        <f>IFERROR(__xludf.DUMMYFUNCTION("""COMPUTED_VALUE"""),"RC-188_26")</f>
        <v>RC-188_26</v>
      </c>
    </row>
    <row r="165">
      <c r="A165" s="495" t="str">
        <f t="shared" si="1"/>
        <v>RC-187_26</v>
      </c>
      <c r="B165" s="497">
        <f>IFERROR(__xludf.DUMMYFUNCTION("""COMPUTED_VALUE"""),46160.57459487268)</f>
        <v>46160.57459</v>
      </c>
      <c r="C165" s="495" t="str">
        <f>IFERROR(__xludf.DUMMYFUNCTION("""COMPUTED_VALUE"""),"")</f>
        <v/>
      </c>
      <c r="D165" s="495" t="str">
        <f>IFERROR(__xludf.DUMMYFUNCTION("""COMPUTED_VALUE"""),"Mauricio Matus Belmar")</f>
        <v>Mauricio Matus Belmar</v>
      </c>
      <c r="E165" s="495"/>
      <c r="F165" s="496" t="str">
        <f>IFERROR(__xludf.DUMMYFUNCTION("""COMPUTED_VALUE"""),"2949-2026")</f>
        <v>2949-2026</v>
      </c>
      <c r="G165" s="495"/>
      <c r="H165" s="495"/>
      <c r="I165" s="495"/>
      <c r="J165" s="495" t="str">
        <f>IFERROR(__xludf.DUMMYFUNCTION("""COMPUTED_VALUE"""),"Campus San Juan Pablo II - CJP")</f>
        <v>Campus San Juan Pablo II - CJP</v>
      </c>
      <c r="K165" s="495">
        <f>IFERROR(__xludf.DUMMYFUNCTION("""COMPUTED_VALUE"""),12.0)</f>
        <v>12</v>
      </c>
      <c r="L165" s="495" t="str">
        <f>IFERROR(__xludf.DUMMYFUNCTION("""COMPUTED_VALUE"""),"AMARIS CONSTRUCTORA SPA ")</f>
        <v>AMARIS CONSTRUCTORA SPA </v>
      </c>
      <c r="M165" s="495" t="str">
        <f>IFERROR(__xludf.DUMMYFUNCTION("""COMPUTED_VALUE"""),"77.648.798-8")</f>
        <v>77.648.798-8</v>
      </c>
      <c r="N165" s="495" t="str">
        <f>IFERROR(__xludf.DUMMYFUNCTION("""COMPUTED_VALUE"""),"Jesus Mancilla Vidal")</f>
        <v>Jesus Mancilla Vidal</v>
      </c>
      <c r="O165" s="495" t="str">
        <f>IFERROR(__xludf.DUMMYFUNCTION("""COMPUTED_VALUE"""),"Mantenciones")</f>
        <v>Mantenciones</v>
      </c>
      <c r="P165" s="495" t="str">
        <f>IFERROR(__xludf.DUMMYFUNCTION("""COMPUTED_VALUE"""),"Instalaciones Eléctricas")</f>
        <v>Instalaciones Eléctricas</v>
      </c>
      <c r="Q165" s="495"/>
      <c r="R165" s="495"/>
      <c r="S165" s="495"/>
      <c r="T165" s="495"/>
      <c r="U165" s="495"/>
      <c r="V165" s="495" t="str">
        <f>IFERROR(__xludf.DUMMYFUNCTION("""COMPUTED_VALUE"""),"Instalación de 3 enchufes mas un modulo por cada uno")</f>
        <v>Instalación de 3 enchufes mas un modulo por cada uno</v>
      </c>
      <c r="W165" s="495" t="str">
        <f>IFERROR(__xludf.DUMMYFUNCTION("""COMPUTED_VALUE"""),"sin observaciones ")</f>
        <v>sin observaciones </v>
      </c>
      <c r="X165" s="495" t="str">
        <f>IFERROR(__xludf.DUMMYFUNCTION("""COMPUTED_VALUE"""),"https://drive.google.com/open?id=1Swf7xueAtLozNfwVc-fnYDZRJqYWcgKX, https://drive.google.com/open?id=1krYRceRbPFR3D3lF6ZJBcaGmQe_jG5pt, https://drive.google.com/open?id=1TRmufqeVoZIiqelMf9GyHRVxZhjyRL2y, https://drive.google.com/open?id=1VFsBRP_SUVzcW-093"&amp;"1dO_zhlI4fr4k06, https://drive.google.com/open?id=167i4ZI_lKU8TZ1WvMuLxphkWaegzmyUD")</f>
        <v>https://drive.google.com/open?id=1Swf7xueAtLozNfwVc-fnYDZRJqYWcgKX, https://drive.google.com/open?id=1krYRceRbPFR3D3lF6ZJBcaGmQe_jG5pt, https://drive.google.com/open?id=1TRmufqeVoZIiqelMf9GyHRVxZhjyRL2y, https://drive.google.com/open?id=1VFsBRP_SUVzcW-0931dO_zhlI4fr4k06, https://drive.google.com/open?id=167i4ZI_lKU8TZ1WvMuLxphkWaegzmyUD</v>
      </c>
      <c r="Y165" s="495" t="str">
        <f>IFERROR(__xludf.DUMMYFUNCTION("""COMPUTED_VALUE"""),"e.fuentealba@amaris.cl")</f>
        <v>e.fuentealba@amaris.cl</v>
      </c>
      <c r="Z165" s="498">
        <f>IFERROR(__xludf.DUMMYFUNCTION("""COMPUTED_VALUE"""),198730.0)</f>
        <v>198730</v>
      </c>
      <c r="AA165" s="495"/>
      <c r="AB165" s="495"/>
      <c r="AC165" s="495"/>
      <c r="AD165" s="495" t="str">
        <f>IFERROR(__xludf.DUMMYFUNCTION("""COMPUTED_VALUE"""),"RC-187_26")</f>
        <v>RC-187_26</v>
      </c>
    </row>
    <row r="166">
      <c r="A166" s="495" t="str">
        <f t="shared" si="1"/>
        <v>RC-186_26</v>
      </c>
      <c r="B166" s="497">
        <f>IFERROR(__xludf.DUMMYFUNCTION("""COMPUTED_VALUE"""),46160.508900659726)</f>
        <v>46160.5089</v>
      </c>
      <c r="C166" s="495" t="str">
        <f>IFERROR(__xludf.DUMMYFUNCTION("""COMPUTED_VALUE"""),"")</f>
        <v/>
      </c>
      <c r="D166" s="495" t="str">
        <f>IFERROR(__xludf.DUMMYFUNCTION("""COMPUTED_VALUE"""),"Mauricio Matus Belmar")</f>
        <v>Mauricio Matus Belmar</v>
      </c>
      <c r="E166" s="495"/>
      <c r="F166" s="496" t="str">
        <f>IFERROR(__xludf.DUMMYFUNCTION("""COMPUTED_VALUE"""),"3138 - 2026")</f>
        <v>3138 - 2026</v>
      </c>
      <c r="G166" s="495"/>
      <c r="H166" s="495"/>
      <c r="I166" s="495"/>
      <c r="J166" s="495" t="str">
        <f>IFERROR(__xludf.DUMMYFUNCTION("""COMPUTED_VALUE"""),"Campus Pillanlelbun - CPL")</f>
        <v>Campus Pillanlelbun - CPL</v>
      </c>
      <c r="K166" s="495" t="str">
        <f>IFERROR(__xludf.DUMMYFUNCTION("""COMPUTED_VALUE"""),"Sin número")</f>
        <v>Sin número</v>
      </c>
      <c r="L166" s="495" t="str">
        <f>IFERROR(__xludf.DUMMYFUNCTION("""COMPUTED_VALUE"""),"Constructora IGECE Ltda.")</f>
        <v>Constructora IGECE Ltda.</v>
      </c>
      <c r="M166" s="495" t="str">
        <f>IFERROR(__xludf.DUMMYFUNCTION("""COMPUTED_VALUE"""),"76.878.824-3")</f>
        <v>76.878.824-3</v>
      </c>
      <c r="N166" s="495" t="str">
        <f>IFERROR(__xludf.DUMMYFUNCTION("""COMPUTED_VALUE"""),"Carlos Troncoso - Gerente General ")</f>
        <v>Carlos Troncoso - Gerente General </v>
      </c>
      <c r="O166" s="495" t="str">
        <f>IFERROR(__xludf.DUMMYFUNCTION("""COMPUTED_VALUE"""),"Mantenciones")</f>
        <v>Mantenciones</v>
      </c>
      <c r="P166" s="495" t="str">
        <f>IFERROR(__xludf.DUMMYFUNCTION("""COMPUTED_VALUE"""),"Requerimientos Emergentes e Imprevistos")</f>
        <v>Requerimientos Emergentes e Imprevistos</v>
      </c>
      <c r="Q166" s="495"/>
      <c r="R166" s="495"/>
      <c r="S166" s="495"/>
      <c r="T166" s="495"/>
      <c r="U166" s="495"/>
      <c r="V166" s="495" t="str">
        <f>IFERROR(__xludf.DUMMYFUNCTION("""COMPUTED_VALUE"""),"Mejoramiento fachada Principal: Instalación de Piezas de maderas 4x4 para mejorar soportes rotos e instalación plancha PV5. 
Mejoramiento Fachada Posterior: Instalación Planchas pv5, Instalación Piezas de madera de 2x2 para dar soporte a plancha alveolar")</f>
        <v>Mejoramiento fachada Principal: Instalación de Piezas de maderas 4x4 para mejorar soportes rotos e instalación plancha PV5. 
Mejoramiento Fachada Posterior: Instalación Planchas pv5, Instalación Piezas de madera de 2x2 para dar soporte a plancha alveolar</v>
      </c>
      <c r="W166" s="495"/>
      <c r="X166" s="495" t="str">
        <f>IFERROR(__xludf.DUMMYFUNCTION("""COMPUTED_VALUE"""),"https://drive.google.com/open?id=12frMGnXs017N3REJUlPUzxCLUeHq9EoA, https://drive.google.com/open?id=11z8i_Gck88p5RaNQFVLxJmAe2rsdCvu3, https://drive.google.com/open?id=16Dur_JqIHZJY-q0dCjv-xJ8jnINgchUu, https://drive.google.com/open?id=1yuY4KdKsfFCyok0gA"&amp;"fv1WN4Xi0Etzdl5, https://drive.google.com/open?id=1XAImOnUbOSxetmPf4uiyrQJGuR0IUOkq, https://drive.google.com/open?id=189ngM88ei6aQ3mw_R4yEVrNR6vsmlZQK, https://drive.google.com/open?id=1tlJm88D2U2WdUK0ufAKuQse7IYZt6BZj, https://drive.google.com/open?id=1"&amp;"2V-Ijsgs4uHLc3D0sZiwgzCR7djBua_S, https://drive.google.com/open?id=1u1FAZBx9Mt_Qx5icGRZjoQTiSvG31q3H, https://drive.google.com/open?id=1pU-V4DP3ljDONaI1akyPWuCt52c9FE3w")</f>
        <v>https://drive.google.com/open?id=12frMGnXs017N3REJUlPUzxCLUeHq9EoA, https://drive.google.com/open?id=11z8i_Gck88p5RaNQFVLxJmAe2rsdCvu3, https://drive.google.com/open?id=16Dur_JqIHZJY-q0dCjv-xJ8jnINgchUu, https://drive.google.com/open?id=1yuY4KdKsfFCyok0gAfv1WN4Xi0Etzdl5, https://drive.google.com/open?id=1XAImOnUbOSxetmPf4uiyrQJGuR0IUOkq, https://drive.google.com/open?id=189ngM88ei6aQ3mw_R4yEVrNR6vsmlZQK, https://drive.google.com/open?id=1tlJm88D2U2WdUK0ufAKuQse7IYZt6BZj, https://drive.google.com/open?id=12V-Ijsgs4uHLc3D0sZiwgzCR7djBua_S, https://drive.google.com/open?id=1u1FAZBx9Mt_Qx5icGRZjoQTiSvG31q3H, https://drive.google.com/open?id=1pU-V4DP3ljDONaI1akyPWuCt52c9FE3w</v>
      </c>
      <c r="Y166" s="495" t="str">
        <f>IFERROR(__xludf.DUMMYFUNCTION("""COMPUTED_VALUE"""),"fabian.i.burgos.s@gmail.com")</f>
        <v>fabian.i.burgos.s@gmail.com</v>
      </c>
      <c r="Z166" s="498">
        <f>IFERROR(__xludf.DUMMYFUNCTION("""COMPUTED_VALUE"""),496230.0)</f>
        <v>496230</v>
      </c>
      <c r="AA166" s="495"/>
      <c r="AB166" s="495"/>
      <c r="AC166" s="495"/>
      <c r="AD166" s="495" t="str">
        <f>IFERROR(__xludf.DUMMYFUNCTION("""COMPUTED_VALUE"""),"RC-186_26")</f>
        <v>RC-186_26</v>
      </c>
    </row>
    <row r="167">
      <c r="A167" s="495" t="str">
        <f t="shared" si="1"/>
        <v>RC-183_26</v>
      </c>
      <c r="B167" s="497">
        <f>IFERROR(__xludf.DUMMYFUNCTION("""COMPUTED_VALUE"""),46159.81944663194)</f>
        <v>46159.81945</v>
      </c>
      <c r="C167" s="495" t="str">
        <f>IFERROR(__xludf.DUMMYFUNCTION("""COMPUTED_VALUE"""),"")</f>
        <v/>
      </c>
      <c r="D167" s="495" t="str">
        <f>IFERROR(__xludf.DUMMYFUNCTION("""COMPUTED_VALUE"""),"Carol Huenchual Chañilao")</f>
        <v>Carol Huenchual Chañilao</v>
      </c>
      <c r="E167" s="495"/>
      <c r="F167" s="496" t="str">
        <f>IFERROR(__xludf.DUMMYFUNCTION("""COMPUTED_VALUE"""),"3465-2026")</f>
        <v>3465-2026</v>
      </c>
      <c r="G167" s="495"/>
      <c r="H167" s="495"/>
      <c r="I167" s="495"/>
      <c r="J167" s="495" t="str">
        <f>IFERROR(__xludf.DUMMYFUNCTION("""COMPUTED_VALUE"""),"Campus San Juan Pablo II - CJP")</f>
        <v>Campus San Juan Pablo II - CJP</v>
      </c>
      <c r="K167" s="495" t="str">
        <f>IFERROR(__xludf.DUMMYFUNCTION("""COMPUTED_VALUE"""),"07")</f>
        <v>07</v>
      </c>
      <c r="L167" s="495" t="str">
        <f>IFERROR(__xludf.DUMMYFUNCTION("""COMPUTED_VALUE"""),"FCM Ingenieria Spa")</f>
        <v>FCM Ingenieria Spa</v>
      </c>
      <c r="M167" s="495" t="str">
        <f>IFERROR(__xludf.DUMMYFUNCTION("""COMPUTED_VALUE"""),"76.881.945-9")</f>
        <v>76.881.945-9</v>
      </c>
      <c r="N167" s="495" t="str">
        <f>IFERROR(__xludf.DUMMYFUNCTION("""COMPUTED_VALUE"""),"Marcelo Cruces, Ingeniero Ejecución Mecánico")</f>
        <v>Marcelo Cruces, Ingeniero Ejecución Mecánico</v>
      </c>
      <c r="O167" s="495" t="str">
        <f>IFERROR(__xludf.DUMMYFUNCTION("""COMPUTED_VALUE"""),"Mantenciones")</f>
        <v>Mantenciones</v>
      </c>
      <c r="P167" s="495" t="str">
        <f>IFERROR(__xludf.DUMMYFUNCTION("""COMPUTED_VALUE"""),"Alcantarillado")</f>
        <v>Alcantarillado</v>
      </c>
      <c r="Q167" s="495"/>
      <c r="R167" s="495"/>
      <c r="S167" s="495"/>
      <c r="T167" s="495"/>
      <c r="U167" s="495"/>
      <c r="V167" s="495" t="str">
        <f>IFERROR(__xludf.DUMMYFUNCTION("""COMPUTED_VALUE"""),"Reparación filtración WC sanitario baño varones.")</f>
        <v>Reparación filtración WC sanitario baño varones.</v>
      </c>
      <c r="W167" s="495" t="str">
        <f>IFERROR(__xludf.DUMMYFUNCTION("""COMPUTED_VALUE"""),"Se recomienda una mantención periodica cada 6 meses")</f>
        <v>Se recomienda una mantención periodica cada 6 meses</v>
      </c>
      <c r="X167" s="495" t="str">
        <f>IFERROR(__xludf.DUMMYFUNCTION("""COMPUTED_VALUE"""),"https://drive.google.com/open?id=12ktfvEjVFSGjv7PvHwpsw7Hd_39DLraA, https://drive.google.com/open?id=1vEkvgKnYtIlKBxeLO3Ioi8MymyvjbffF, https://drive.google.com/open?id=13VwimByUC0oRN1fbCm2H0BXYt-L1lVX3, https://drive.google.com/open?id=1bjz7tCSSZXHsl55Di"&amp;"GN-YBMpjTHLSz6Q, https://drive.google.com/open?id=1_rEoTaxfBD_R-OTf40bkzLbR8fxnN9E8")</f>
        <v>https://drive.google.com/open?id=12ktfvEjVFSGjv7PvHwpsw7Hd_39DLraA, https://drive.google.com/open?id=1vEkvgKnYtIlKBxeLO3Ioi8MymyvjbffF, https://drive.google.com/open?id=13VwimByUC0oRN1fbCm2H0BXYt-L1lVX3, https://drive.google.com/open?id=1bjz7tCSSZXHsl55DiGN-YBMpjTHLSz6Q, https://drive.google.com/open?id=1_rEoTaxfBD_R-OTf40bkzLbR8fxnN9E8</v>
      </c>
      <c r="Y167" s="495" t="str">
        <f>IFERROR(__xludf.DUMMYFUNCTION("""COMPUTED_VALUE"""),"marcelocruce@fcmingenieria.cl")</f>
        <v>marcelocruce@fcmingenieria.cl</v>
      </c>
      <c r="Z167" s="498">
        <f>IFERROR(__xludf.DUMMYFUNCTION("""COMPUTED_VALUE"""),107100.0)</f>
        <v>107100</v>
      </c>
      <c r="AA167" s="495"/>
      <c r="AB167" s="495"/>
      <c r="AC167" s="495"/>
      <c r="AD167" s="495" t="str">
        <f>IFERROR(__xludf.DUMMYFUNCTION("""COMPUTED_VALUE"""),"RC-183_26")</f>
        <v>RC-183_26</v>
      </c>
    </row>
    <row r="168">
      <c r="A168" s="495" t="str">
        <f t="shared" si="1"/>
        <v>RC-182_26</v>
      </c>
      <c r="B168" s="497">
        <f>IFERROR(__xludf.DUMMYFUNCTION("""COMPUTED_VALUE"""),46159.81333232639)</f>
        <v>46159.81333</v>
      </c>
      <c r="C168" s="495" t="str">
        <f>IFERROR(__xludf.DUMMYFUNCTION("""COMPUTED_VALUE"""),"")</f>
        <v/>
      </c>
      <c r="D168" s="495" t="str">
        <f>IFERROR(__xludf.DUMMYFUNCTION("""COMPUTED_VALUE"""),"Carol Huenchual Chañilao")</f>
        <v>Carol Huenchual Chañilao</v>
      </c>
      <c r="E168" s="495"/>
      <c r="F168" s="496" t="str">
        <f>IFERROR(__xludf.DUMMYFUNCTION("""COMPUTED_VALUE"""),"3480-2026")</f>
        <v>3480-2026</v>
      </c>
      <c r="G168" s="495"/>
      <c r="H168" s="495"/>
      <c r="I168" s="495"/>
      <c r="J168" s="495" t="str">
        <f>IFERROR(__xludf.DUMMYFUNCTION("""COMPUTED_VALUE"""),"Campus San Francisco - CSF")</f>
        <v>Campus San Francisco - CSF</v>
      </c>
      <c r="K168" s="495">
        <f>IFERROR(__xludf.DUMMYFUNCTION("""COMPUTED_VALUE"""),16.0)</f>
        <v>16</v>
      </c>
      <c r="L168" s="495" t="str">
        <f>IFERROR(__xludf.DUMMYFUNCTION("""COMPUTED_VALUE"""),"FCM Ingenieria Spa")</f>
        <v>FCM Ingenieria Spa</v>
      </c>
      <c r="M168" s="495" t="str">
        <f>IFERROR(__xludf.DUMMYFUNCTION("""COMPUTED_VALUE"""),"76.881.945-9")</f>
        <v>76.881.945-9</v>
      </c>
      <c r="N168" s="495" t="str">
        <f>IFERROR(__xludf.DUMMYFUNCTION("""COMPUTED_VALUE"""),"Marcelo Cruces, Ingeniero Ejecución Mecánico")</f>
        <v>Marcelo Cruces, Ingeniero Ejecución Mecánico</v>
      </c>
      <c r="O168" s="495" t="str">
        <f>IFERROR(__xludf.DUMMYFUNCTION("""COMPUTED_VALUE"""),"Mantenciones")</f>
        <v>Mantenciones</v>
      </c>
      <c r="P168" s="495" t="str">
        <f>IFERROR(__xludf.DUMMYFUNCTION("""COMPUTED_VALUE"""),"Requerimientos Emergentes e Imprevistos")</f>
        <v>Requerimientos Emergentes e Imprevistos</v>
      </c>
      <c r="Q168" s="495"/>
      <c r="R168" s="495"/>
      <c r="S168" s="495"/>
      <c r="T168" s="495"/>
      <c r="U168" s="495"/>
      <c r="V168" s="495" t="str">
        <f>IFERROR(__xludf.DUMMYFUNCTION("""COMPUTED_VALUE"""),"Reposición bomba recirculadora circuito de calefacción central.")</f>
        <v>Reposición bomba recirculadora circuito de calefacción central.</v>
      </c>
      <c r="W168" s="495" t="str">
        <f>IFERROR(__xludf.DUMMYFUNCTION("""COMPUTED_VALUE"""),"Se sugiere mantención preventiva cada 6 meses")</f>
        <v>Se sugiere mantención preventiva cada 6 meses</v>
      </c>
      <c r="X168" s="495" t="str">
        <f>IFERROR(__xludf.DUMMYFUNCTION("""COMPUTED_VALUE"""),"https://drive.google.com/open?id=1ZF5pfNwWVkXkmAzXDr_crL_tR_ApnwR3, https://drive.google.com/open?id=1IvtOMA1N2aFFZkrtobkVH-LH0ikpdqU2")</f>
        <v>https://drive.google.com/open?id=1ZF5pfNwWVkXkmAzXDr_crL_tR_ApnwR3, https://drive.google.com/open?id=1IvtOMA1N2aFFZkrtobkVH-LH0ikpdqU2</v>
      </c>
      <c r="Y168" s="495" t="str">
        <f>IFERROR(__xludf.DUMMYFUNCTION("""COMPUTED_VALUE"""),"marcelocruces@fcmingenieria.cl")</f>
        <v>marcelocruces@fcmingenieria.cl</v>
      </c>
      <c r="Z168" s="498">
        <f>IFERROR(__xludf.DUMMYFUNCTION("""COMPUTED_VALUE"""),737800.0)</f>
        <v>737800</v>
      </c>
      <c r="AA168" s="495"/>
      <c r="AB168" s="495"/>
      <c r="AC168" s="495"/>
      <c r="AD168" s="495" t="str">
        <f>IFERROR(__xludf.DUMMYFUNCTION("""COMPUTED_VALUE"""),"RC-182_26")</f>
        <v>RC-182_26</v>
      </c>
    </row>
    <row r="169">
      <c r="A169" s="495" t="str">
        <f t="shared" si="1"/>
        <v>RC-180_26</v>
      </c>
      <c r="B169" s="497">
        <f>IFERROR(__xludf.DUMMYFUNCTION("""COMPUTED_VALUE"""),46157.704047719904)</f>
        <v>46157.70405</v>
      </c>
      <c r="C169" s="495" t="str">
        <f>IFERROR(__xludf.DUMMYFUNCTION("""COMPUTED_VALUE"""),"")</f>
        <v/>
      </c>
      <c r="D169" s="495" t="str">
        <f>IFERROR(__xludf.DUMMYFUNCTION("""COMPUTED_VALUE"""),"Carol Huenchual Chañilao")</f>
        <v>Carol Huenchual Chañilao</v>
      </c>
      <c r="E169" s="495"/>
      <c r="F169" s="496" t="str">
        <f>IFERROR(__xludf.DUMMYFUNCTION("""COMPUTED_VALUE"""),"476 - 2026")</f>
        <v>476 - 2026</v>
      </c>
      <c r="G169" s="495"/>
      <c r="H169" s="495"/>
      <c r="I169" s="495"/>
      <c r="J169" s="495" t="str">
        <f>IFERROR(__xludf.DUMMYFUNCTION("""COMPUTED_VALUE"""),"Campus San Juan Pablo II - CJP")</f>
        <v>Campus San Juan Pablo II - CJP</v>
      </c>
      <c r="K169" s="495" t="str">
        <f>IFERROR(__xludf.DUMMYFUNCTION("""COMPUTED_VALUE"""),"Sin número")</f>
        <v>Sin número</v>
      </c>
      <c r="L169" s="495" t="str">
        <f>IFERROR(__xludf.DUMMYFUNCTION("""COMPUTED_VALUE"""),"Tecfull Ltda")</f>
        <v>Tecfull Ltda</v>
      </c>
      <c r="M169" s="495" t="str">
        <f>IFERROR(__xludf.DUMMYFUNCTION("""COMPUTED_VALUE"""),"76.265.749-K")</f>
        <v>76.265.749-K</v>
      </c>
      <c r="N169" s="495" t="str">
        <f>IFERROR(__xludf.DUMMYFUNCTION("""COMPUTED_VALUE"""),"MARCELO GONZALEZ")</f>
        <v>MARCELO GONZALEZ</v>
      </c>
      <c r="O169" s="495" t="str">
        <f>IFERROR(__xludf.DUMMYFUNCTION("""COMPUTED_VALUE"""),"Mantenciones")</f>
        <v>Mantenciones</v>
      </c>
      <c r="P169" s="495" t="str">
        <f>IFERROR(__xludf.DUMMYFUNCTION("""COMPUTED_VALUE"""),"Instalaciones de Agua Potable")</f>
        <v>Instalaciones de Agua Potable</v>
      </c>
      <c r="Q169" s="495"/>
      <c r="R169" s="495"/>
      <c r="S169" s="495"/>
      <c r="T169" s="495"/>
      <c r="U169" s="495"/>
      <c r="V169" s="495" t="str">
        <f>IFERROR(__xludf.DUMMYFUNCTION("""COMPUTED_VALUE"""),"MANTENCION INFRAESTRUCTURA")</f>
        <v>MANTENCION INFRAESTRUCTURA</v>
      </c>
      <c r="W169" s="495"/>
      <c r="X169" s="495" t="str">
        <f>IFERROR(__xludf.DUMMYFUNCTION("""COMPUTED_VALUE"""),"https://drive.google.com/open?id=11eM8yPNudeevvX24NzohZOXVdJG6N60h, https://drive.google.com/open?id=1Qlw3FoLBjxZsnpTY8sBXoABRVm0aoFxR, https://drive.google.com/open?id=1rkQr3eZyWBUuqhlyecxQUsN-dqQi9hPF, https://drive.google.com/open?id=1F0XECSZw5gPwRw5qm"&amp;"6Glg8_Q_dNikMTk, https://drive.google.com/open?id=1dpbM3fleCR7PrffOUmZGWqfwyW-8_Tvr, https://drive.google.com/open?id=1SYKywnhZMeuTRqy-3Fszuo2zKZ1TukXE, https://drive.google.com/open?id=1OhD3BwSU2MmEBOx_Lr2ILmWhQXdax25b, https://drive.google.com/open?id=1"&amp;"YTSge-blI0kf5m5ChlKlmfBbYB0r2gYg")</f>
        <v>https://drive.google.com/open?id=11eM8yPNudeevvX24NzohZOXVdJG6N60h, https://drive.google.com/open?id=1Qlw3FoLBjxZsnpTY8sBXoABRVm0aoFxR, https://drive.google.com/open?id=1rkQr3eZyWBUuqhlyecxQUsN-dqQi9hPF, https://drive.google.com/open?id=1F0XECSZw5gPwRw5qm6Glg8_Q_dNikMTk, https://drive.google.com/open?id=1dpbM3fleCR7PrffOUmZGWqfwyW-8_Tvr, https://drive.google.com/open?id=1SYKywnhZMeuTRqy-3Fszuo2zKZ1TukXE, https://drive.google.com/open?id=1OhD3BwSU2MmEBOx_Lr2ILmWhQXdax25b, https://drive.google.com/open?id=1YTSge-blI0kf5m5ChlKlmfBbYB0r2gYg</v>
      </c>
      <c r="Y169" s="495" t="str">
        <f>IFERROR(__xludf.DUMMYFUNCTION("""COMPUTED_VALUE"""),"operaciones@tecfull.cl")</f>
        <v>operaciones@tecfull.cl</v>
      </c>
      <c r="Z169" s="498">
        <f>IFERROR(__xludf.DUMMYFUNCTION("""COMPUTED_VALUE"""),3748500.0)</f>
        <v>3748500</v>
      </c>
      <c r="AA169" s="495"/>
      <c r="AB169" s="495"/>
      <c r="AC169" s="495"/>
      <c r="AD169" s="495" t="str">
        <f>IFERROR(__xludf.DUMMYFUNCTION("""COMPUTED_VALUE"""),"RC-180_26")</f>
        <v>RC-180_26</v>
      </c>
    </row>
    <row r="170">
      <c r="A170" s="495" t="str">
        <f t="shared" si="1"/>
        <v>RC-177_26</v>
      </c>
      <c r="B170" s="497">
        <f>IFERROR(__xludf.DUMMYFUNCTION("""COMPUTED_VALUE"""),46157.603895092594)</f>
        <v>46157.6039</v>
      </c>
      <c r="C170" s="495" t="str">
        <f>IFERROR(__xludf.DUMMYFUNCTION("""COMPUTED_VALUE"""),"")</f>
        <v/>
      </c>
      <c r="D170" s="495" t="str">
        <f>IFERROR(__xludf.DUMMYFUNCTION("""COMPUTED_VALUE"""),"Carol Huenchual Chañilao")</f>
        <v>Carol Huenchual Chañilao</v>
      </c>
      <c r="E170" s="495"/>
      <c r="F170" s="496" t="str">
        <f>IFERROR(__xludf.DUMMYFUNCTION("""COMPUTED_VALUE"""),"3691 - 2026")</f>
        <v>3691 - 2026</v>
      </c>
      <c r="G170" s="495"/>
      <c r="H170" s="495"/>
      <c r="I170" s="495"/>
      <c r="J170" s="495" t="str">
        <f>IFERROR(__xludf.DUMMYFUNCTION("""COMPUTED_VALUE"""),"Campus San Juan Pablo II - CJP")</f>
        <v>Campus San Juan Pablo II - CJP</v>
      </c>
      <c r="K170" s="495">
        <f>IFERROR(__xludf.DUMMYFUNCTION("""COMPUTED_VALUE"""),12.0)</f>
        <v>12</v>
      </c>
      <c r="L170" s="495" t="str">
        <f>IFERROR(__xludf.DUMMYFUNCTION("""COMPUTED_VALUE"""),"TECFULL LTDA")</f>
        <v>TECFULL LTDA</v>
      </c>
      <c r="M170" s="495" t="str">
        <f>IFERROR(__xludf.DUMMYFUNCTION("""COMPUTED_VALUE"""),"76.265.749-K")</f>
        <v>76.265.749-K</v>
      </c>
      <c r="N170" s="495" t="str">
        <f>IFERROR(__xludf.DUMMYFUNCTION("""COMPUTED_VALUE"""),"MARCELO GONZALEZ")</f>
        <v>MARCELO GONZALEZ</v>
      </c>
      <c r="O170" s="495" t="str">
        <f>IFERROR(__xludf.DUMMYFUNCTION("""COMPUTED_VALUE"""),"Mantenciones")</f>
        <v>Mantenciones</v>
      </c>
      <c r="P170" s="495" t="str">
        <f>IFERROR(__xludf.DUMMYFUNCTION("""COMPUTED_VALUE"""),"Instalaciones de Agua Potable")</f>
        <v>Instalaciones de Agua Potable</v>
      </c>
      <c r="Q170" s="495"/>
      <c r="R170" s="495"/>
      <c r="S170" s="495"/>
      <c r="T170" s="495"/>
      <c r="U170" s="495"/>
      <c r="V170" s="495" t="str">
        <f>IFERROR(__xludf.DUMMYFUNCTION("""COMPUTED_VALUE"""),"MANTENCION PREVENTIVA")</f>
        <v>MANTENCION PREVENTIVA</v>
      </c>
      <c r="W170" s="495" t="str">
        <f>IFERROR(__xludf.DUMMYFUNCTION("""COMPUTED_VALUE"""),"NO")</f>
        <v>NO</v>
      </c>
      <c r="X170" s="495" t="str">
        <f>IFERROR(__xludf.DUMMYFUNCTION("""COMPUTED_VALUE"""),"https://drive.google.com/open?id=1LdMjW-zCnS3f_WdRO7QPpg_mTFAsrHM-, https://drive.google.com/open?id=1oD49ENrnrPmuBTIs02HLbqOKYR_irsDZ")</f>
        <v>https://drive.google.com/open?id=1LdMjW-zCnS3f_WdRO7QPpg_mTFAsrHM-, https://drive.google.com/open?id=1oD49ENrnrPmuBTIs02HLbqOKYR_irsDZ</v>
      </c>
      <c r="Y170" s="495" t="str">
        <f>IFERROR(__xludf.DUMMYFUNCTION("""COMPUTED_VALUE"""),"operaciones@tecfull.cl")</f>
        <v>operaciones@tecfull.cl</v>
      </c>
      <c r="Z170" s="498">
        <f>IFERROR(__xludf.DUMMYFUNCTION("""COMPUTED_VALUE"""),733611.0)</f>
        <v>733611</v>
      </c>
      <c r="AA170" s="495"/>
      <c r="AB170" s="495"/>
      <c r="AC170" s="495"/>
      <c r="AD170" s="495" t="str">
        <f>IFERROR(__xludf.DUMMYFUNCTION("""COMPUTED_VALUE"""),"RC-177_26")</f>
        <v>RC-177_26</v>
      </c>
    </row>
    <row r="171">
      <c r="A171" s="495" t="str">
        <f t="shared" si="1"/>
        <v>RC-176_26</v>
      </c>
      <c r="B171" s="497">
        <f>IFERROR(__xludf.DUMMYFUNCTION("""COMPUTED_VALUE"""),46157.55384278935)</f>
        <v>46157.55384</v>
      </c>
      <c r="C171" s="495" t="str">
        <f>IFERROR(__xludf.DUMMYFUNCTION("""COMPUTED_VALUE"""),"")</f>
        <v/>
      </c>
      <c r="D171" s="495" t="str">
        <f>IFERROR(__xludf.DUMMYFUNCTION("""COMPUTED_VALUE"""),"Mauricio Zurita Aldea")</f>
        <v>Mauricio Zurita Aldea</v>
      </c>
      <c r="E171" s="495"/>
      <c r="F171" s="496" t="str">
        <f>IFERROR(__xludf.DUMMYFUNCTION("""COMPUTED_VALUE"""),"12766 - 2025")</f>
        <v>12766 - 2025</v>
      </c>
      <c r="G171" s="495"/>
      <c r="H171" s="495"/>
      <c r="I171" s="495"/>
      <c r="J171" s="495" t="str">
        <f>IFERROR(__xludf.DUMMYFUNCTION("""COMPUTED_VALUE"""),"Campus Pillanlelbun - CPL")</f>
        <v>Campus Pillanlelbun - CPL</v>
      </c>
      <c r="K171" s="495" t="str">
        <f>IFERROR(__xludf.DUMMYFUNCTION("""COMPUTED_VALUE"""),"01")</f>
        <v>01</v>
      </c>
      <c r="L171" s="495" t="str">
        <f>IFERROR(__xludf.DUMMYFUNCTION("""COMPUTED_VALUE"""),"Gyg servicios spa")</f>
        <v>Gyg servicios spa</v>
      </c>
      <c r="M171" s="495" t="str">
        <f>IFERROR(__xludf.DUMMYFUNCTION("""COMPUTED_VALUE"""),"77.215.624-3")</f>
        <v>77.215.624-3</v>
      </c>
      <c r="N171" s="495" t="str">
        <f>IFERROR(__xludf.DUMMYFUNCTION("""COMPUTED_VALUE"""),"Gustavo Fuentes")</f>
        <v>Gustavo Fuentes</v>
      </c>
      <c r="O171" s="495" t="str">
        <f>IFERROR(__xludf.DUMMYFUNCTION("""COMPUTED_VALUE"""),"Mantenciones")</f>
        <v>Mantenciones</v>
      </c>
      <c r="P171" s="495" t="str">
        <f>IFERROR(__xludf.DUMMYFUNCTION("""COMPUTED_VALUE"""),"Instalaciones Eléctricas")</f>
        <v>Instalaciones Eléctricas</v>
      </c>
      <c r="Q171" s="495"/>
      <c r="R171" s="495"/>
      <c r="S171" s="495"/>
      <c r="T171" s="495"/>
      <c r="U171" s="495"/>
      <c r="V171" s="495" t="str">
        <f>IFERROR(__xludf.DUMMYFUNCTION("""COMPUTED_VALUE"""),"Habilitación de antena ")</f>
        <v>Habilitación de antena </v>
      </c>
      <c r="W171" s="495"/>
      <c r="X171" s="495" t="str">
        <f>IFERROR(__xludf.DUMMYFUNCTION("""COMPUTED_VALUE"""),"https://drive.google.com/open?id=1-NL4eLZ4FB9DrXwAYomnxh_rotimza0s, https://drive.google.com/open?id=1u9hQxeBLTDKoGDrH89_ZxXjshzCP5vv-")</f>
        <v>https://drive.google.com/open?id=1-NL4eLZ4FB9DrXwAYomnxh_rotimza0s, https://drive.google.com/open?id=1u9hQxeBLTDKoGDrH89_ZxXjshzCP5vv-</v>
      </c>
      <c r="Y171" s="495" t="str">
        <f>IFERROR(__xludf.DUMMYFUNCTION("""COMPUTED_VALUE"""),"contacto@gygtecnologias.com")</f>
        <v>contacto@gygtecnologias.com</v>
      </c>
      <c r="Z171" s="498">
        <f>IFERROR(__xludf.DUMMYFUNCTION("""COMPUTED_VALUE"""),2427600.0)</f>
        <v>2427600</v>
      </c>
      <c r="AA171" s="495"/>
      <c r="AB171" s="495"/>
      <c r="AC171" s="495"/>
      <c r="AD171" s="495" t="str">
        <f>IFERROR(__xludf.DUMMYFUNCTION("""COMPUTED_VALUE"""),"RC-176_26")</f>
        <v>RC-176_26</v>
      </c>
    </row>
    <row r="172">
      <c r="A172" s="495" t="str">
        <f t="shared" si="1"/>
        <v>RC-175_26</v>
      </c>
      <c r="B172" s="497">
        <f>IFERROR(__xludf.DUMMYFUNCTION("""COMPUTED_VALUE"""),46157.51508045139)</f>
        <v>46157.51508</v>
      </c>
      <c r="C172" s="495" t="str">
        <f>IFERROR(__xludf.DUMMYFUNCTION("""COMPUTED_VALUE"""),"")</f>
        <v/>
      </c>
      <c r="D172" s="495" t="str">
        <f>IFERROR(__xludf.DUMMYFUNCTION("""COMPUTED_VALUE"""),"Mauricio Matus Belmar")</f>
        <v>Mauricio Matus Belmar</v>
      </c>
      <c r="E172" s="495"/>
      <c r="F172" s="496" t="str">
        <f>IFERROR(__xludf.DUMMYFUNCTION("""COMPUTED_VALUE"""),"2955 - 2026")</f>
        <v>2955 - 2026</v>
      </c>
      <c r="G172" s="495"/>
      <c r="H172" s="495"/>
      <c r="I172" s="495"/>
      <c r="J172" s="495" t="str">
        <f>IFERROR(__xludf.DUMMYFUNCTION("""COMPUTED_VALUE"""),"Campus San Juan Pablo II - CJP")</f>
        <v>Campus San Juan Pablo II - CJP</v>
      </c>
      <c r="K172" s="495" t="str">
        <f>IFERROR(__xludf.DUMMYFUNCTION("""COMPUTED_VALUE"""),"Exterior")</f>
        <v>Exterior</v>
      </c>
      <c r="L172" s="495" t="str">
        <f>IFERROR(__xludf.DUMMYFUNCTION("""COMPUTED_VALUE"""),"Automatizaciones JH Group Limitada")</f>
        <v>Automatizaciones JH Group Limitada</v>
      </c>
      <c r="M172" s="495" t="str">
        <f>IFERROR(__xludf.DUMMYFUNCTION("""COMPUTED_VALUE"""),"77.315.614-k")</f>
        <v>77.315.614-k</v>
      </c>
      <c r="N172" s="495" t="str">
        <f>IFERROR(__xludf.DUMMYFUNCTION("""COMPUTED_VALUE"""),"Julio Cesar Herrera Poza Tecnico electronico ")</f>
        <v>Julio Cesar Herrera Poza Tecnico electronico </v>
      </c>
      <c r="O172" s="495" t="str">
        <f>IFERROR(__xludf.DUMMYFUNCTION("""COMPUTED_VALUE"""),"Mantenciones")</f>
        <v>Mantenciones</v>
      </c>
      <c r="P172" s="495" t="str">
        <f>IFERROR(__xludf.DUMMYFUNCTION("""COMPUTED_VALUE"""),"Requerimientos Emergentes e Imprevistos")</f>
        <v>Requerimientos Emergentes e Imprevistos</v>
      </c>
      <c r="Q172" s="495"/>
      <c r="R172" s="495"/>
      <c r="S172" s="495"/>
      <c r="T172" s="495"/>
      <c r="U172" s="495"/>
      <c r="V172" s="495" t="str">
        <f>IFERROR(__xludf.DUMMYFUNCTION("""COMPUTED_VALUE"""),"MANTENCION BARRERA REPARACION Y HABILITACION BARRERA CONTROL VEHICULAR GARITA NRO. 2 ")</f>
        <v>MANTENCION BARRERA REPARACION Y HABILITACION BARRERA CONTROL VEHICULAR GARITA NRO. 2 </v>
      </c>
      <c r="W172" s="495"/>
      <c r="X172" s="495" t="str">
        <f>IFERROR(__xludf.DUMMYFUNCTION("""COMPUTED_VALUE"""),"https://drive.google.com/open?id=1dFis1xJShZJNTXlNe0mgc9mbdXPlTEaW, https://drive.google.com/open?id=128X6czjPqZ4TLdm8AjToeDynZVlxPeiy, https://drive.google.com/open?id=14NKiO084Q7Yp_WxMzTPCOUQ9uNGkGU75, https://drive.google.com/open?id=1J6Jb4zw79z9aQ-sub"&amp;"Igt4_JbFkbKbjFM, https://drive.google.com/open?id=1jKn1WoRzbbqn07EhSbYyBTlUD6zL5Mc7, https://drive.google.com/open?id=1QWN8d1ZMwZA5tBYCUSTr_6JnS2x276yj, https://drive.google.com/open?id=1SFmM7BhEbFeO4yFgl7ls57OhgNmKwWeD")</f>
        <v>https://drive.google.com/open?id=1dFis1xJShZJNTXlNe0mgc9mbdXPlTEaW, https://drive.google.com/open?id=128X6czjPqZ4TLdm8AjToeDynZVlxPeiy, https://drive.google.com/open?id=14NKiO084Q7Yp_WxMzTPCOUQ9uNGkGU75, https://drive.google.com/open?id=1J6Jb4zw79z9aQ-subIgt4_JbFkbKbjFM, https://drive.google.com/open?id=1jKn1WoRzbbqn07EhSbYyBTlUD6zL5Mc7, https://drive.google.com/open?id=1QWN8d1ZMwZA5tBYCUSTr_6JnS2x276yj, https://drive.google.com/open?id=1SFmM7BhEbFeO4yFgl7ls57OhgNmKwWeD</v>
      </c>
      <c r="Y172" s="495" t="str">
        <f>IFERROR(__xludf.DUMMYFUNCTION("""COMPUTED_VALUE"""),"jhcomunicacion@gmail.com")</f>
        <v>jhcomunicacion@gmail.com</v>
      </c>
      <c r="Z172" s="498">
        <f>IFERROR(__xludf.DUMMYFUNCTION("""COMPUTED_VALUE"""),756578.0)</f>
        <v>756578</v>
      </c>
      <c r="AA172" s="495"/>
      <c r="AB172" s="495"/>
      <c r="AC172" s="495"/>
      <c r="AD172" s="495" t="str">
        <f>IFERROR(__xludf.DUMMYFUNCTION("""COMPUTED_VALUE"""),"RC-175_26")</f>
        <v>RC-175_26</v>
      </c>
    </row>
    <row r="173">
      <c r="A173" s="495" t="str">
        <f t="shared" si="1"/>
        <v>RC-174_26</v>
      </c>
      <c r="B173" s="497">
        <f>IFERROR(__xludf.DUMMYFUNCTION("""COMPUTED_VALUE"""),46157.44899109953)</f>
        <v>46157.44899</v>
      </c>
      <c r="C173" s="495" t="str">
        <f>IFERROR(__xludf.DUMMYFUNCTION("""COMPUTED_VALUE"""),"")</f>
        <v/>
      </c>
      <c r="D173" s="495" t="str">
        <f>IFERROR(__xludf.DUMMYFUNCTION("""COMPUTED_VALUE"""),"Carol Huenchual Chañilao")</f>
        <v>Carol Huenchual Chañilao</v>
      </c>
      <c r="E173" s="495"/>
      <c r="F173" s="496" t="str">
        <f>IFERROR(__xludf.DUMMYFUNCTION("""COMPUTED_VALUE"""),"3152-2026")</f>
        <v>3152-2026</v>
      </c>
      <c r="G173" s="495"/>
      <c r="H173" s="495"/>
      <c r="I173" s="495"/>
      <c r="J173" s="495" t="str">
        <f>IFERROR(__xludf.DUMMYFUNCTION("""COMPUTED_VALUE"""),"Campus San Juan Pablo II - CJP")</f>
        <v>Campus San Juan Pablo II - CJP</v>
      </c>
      <c r="K173" s="495">
        <f>IFERROR(__xludf.DUMMYFUNCTION("""COMPUTED_VALUE"""),13.0)</f>
        <v>13</v>
      </c>
      <c r="L173" s="495" t="str">
        <f>IFERROR(__xludf.DUMMYFUNCTION("""COMPUTED_VALUE"""),"Amaris Constructora SpA")</f>
        <v>Amaris Constructora SpA</v>
      </c>
      <c r="M173" s="495" t="str">
        <f>IFERROR(__xludf.DUMMYFUNCTION("""COMPUTED_VALUE"""),"77.648.798-8")</f>
        <v>77.648.798-8</v>
      </c>
      <c r="N173" s="495" t="str">
        <f>IFERROR(__xludf.DUMMYFUNCTION("""COMPUTED_VALUE"""),"Jesús Mancilla V")</f>
        <v>Jesús Mancilla V</v>
      </c>
      <c r="O173" s="495" t="str">
        <f>IFERROR(__xludf.DUMMYFUNCTION("""COMPUTED_VALUE"""),"Mantenciones")</f>
        <v>Mantenciones</v>
      </c>
      <c r="P173" s="495" t="str">
        <f>IFERROR(__xludf.DUMMYFUNCTION("""COMPUTED_VALUE"""),"Requerimientos Emergentes e Imprevistos")</f>
        <v>Requerimientos Emergentes e Imprevistos</v>
      </c>
      <c r="Q173" s="495"/>
      <c r="R173" s="495"/>
      <c r="S173" s="495"/>
      <c r="T173" s="495"/>
      <c r="U173" s="495"/>
      <c r="V173" s="495" t="str">
        <f>IFERROR(__xludf.DUMMYFUNCTION("""COMPUTED_VALUE"""),"Lavamanos suelto, se adhiero con pegamento y se sello ")</f>
        <v>Lavamanos suelto, se adhiero con pegamento y se sello </v>
      </c>
      <c r="W173" s="495" t="str">
        <f>IFERROR(__xludf.DUMMYFUNCTION("""COMPUTED_VALUE"""),"Se recomienda revisar otros lavamanos")</f>
        <v>Se recomienda revisar otros lavamanos</v>
      </c>
      <c r="X173" s="499" t="str">
        <f>IFERROR(__xludf.DUMMYFUNCTION("""COMPUTED_VALUE"""),"https://drive.google.com/open?id=1RrUImtIAJ_MtgGxdNtbXPIgSJWvep8gD")</f>
        <v>https://drive.google.com/open?id=1RrUImtIAJ_MtgGxdNtbXPIgSJWvep8gD</v>
      </c>
      <c r="Y173" s="495" t="str">
        <f>IFERROR(__xludf.DUMMYFUNCTION("""COMPUTED_VALUE"""),"jesus.mancilla@amaris.cl")</f>
        <v>jesus.mancilla@amaris.cl</v>
      </c>
      <c r="Z173" s="498">
        <f>IFERROR(__xludf.DUMMYFUNCTION("""COMPUTED_VALUE"""),148750.0)</f>
        <v>148750</v>
      </c>
      <c r="AA173" s="495"/>
      <c r="AB173" s="495"/>
      <c r="AC173" s="495"/>
      <c r="AD173" s="495" t="str">
        <f>IFERROR(__xludf.DUMMYFUNCTION("""COMPUTED_VALUE"""),"RC-174_26")</f>
        <v>RC-174_26</v>
      </c>
    </row>
    <row r="174">
      <c r="A174" s="495" t="str">
        <f t="shared" si="1"/>
        <v>RC-140</v>
      </c>
      <c r="B174" s="497">
        <f>IFERROR(__xludf.DUMMYFUNCTION("""COMPUTED_VALUE"""),46006.65517012731)</f>
        <v>46006.65517</v>
      </c>
      <c r="C174" s="495" t="str">
        <f>IFERROR(__xludf.DUMMYFUNCTION("""COMPUTED_VALUE"""),"")</f>
        <v/>
      </c>
      <c r="D174" s="495" t="str">
        <f>IFERROR(__xludf.DUMMYFUNCTION("""COMPUTED_VALUE"""),"Juan Ignacio Solís de Ovando")</f>
        <v>Juan Ignacio Solís de Ovando</v>
      </c>
      <c r="E174" s="495"/>
      <c r="F174" s="496" t="str">
        <f>IFERROR(__xludf.DUMMYFUNCTION("""COMPUTED_VALUE"""),"11875-2025")</f>
        <v>11875-2025</v>
      </c>
      <c r="G174" s="495"/>
      <c r="H174" s="495"/>
      <c r="I174" s="495"/>
      <c r="J174" s="495" t="str">
        <f>IFERROR(__xludf.DUMMYFUNCTION("""COMPUTED_VALUE"""),"Campus San Francisco - CSF")</f>
        <v>Campus San Francisco - CSF</v>
      </c>
      <c r="K174" s="495" t="str">
        <f>IFERROR(__xludf.DUMMYFUNCTION("""COMPUTED_VALUE"""),"Sin número")</f>
        <v>Sin número</v>
      </c>
      <c r="L174" s="495" t="str">
        <f>IFERROR(__xludf.DUMMYFUNCTION("""COMPUTED_VALUE"""),"CONSTRUCTORA INGTRAPP SPA")</f>
        <v>CONSTRUCTORA INGTRAPP SPA</v>
      </c>
      <c r="M174" s="495" t="str">
        <f>IFERROR(__xludf.DUMMYFUNCTION("""COMPUTED_VALUE"""),"78.202.133-8")</f>
        <v>78.202.133-8</v>
      </c>
      <c r="N174" s="495" t="str">
        <f>IFERROR(__xludf.DUMMYFUNCTION("""COMPUTED_VALUE"""),"PATRICK GUTIERREZ, JEFE DE OBRA")</f>
        <v>PATRICK GUTIERREZ, JEFE DE OBRA</v>
      </c>
      <c r="O174" s="495" t="str">
        <f>IFERROR(__xludf.DUMMYFUNCTION("""COMPUTED_VALUE"""),"Obras y Especialidades")</f>
        <v>Obras y Especialidades</v>
      </c>
      <c r="P174" s="495"/>
      <c r="Q174" s="495"/>
      <c r="R174" s="495" t="str">
        <f>IFERROR(__xludf.DUMMYFUNCTION("""COMPUTED_VALUE"""),"Modificación de Espacio")</f>
        <v>Modificación de Espacio</v>
      </c>
      <c r="S174" s="495" t="str">
        <f>IFERROR(__xludf.DUMMYFUNCTION("""COMPUTED_VALUE"""),"Estado de Pago - EP")</f>
        <v>Estado de Pago - EP</v>
      </c>
      <c r="T174" s="495">
        <f>IFERROR(__xludf.DUMMYFUNCTION("""COMPUTED_VALUE"""),1.0)</f>
        <v>1</v>
      </c>
      <c r="U174" s="498">
        <f>IFERROR(__xludf.DUMMYFUNCTION("""COMPUTED_VALUE"""),7310138.0)</f>
        <v>7310138</v>
      </c>
      <c r="V174" s="495" t="str">
        <f>IFERROR(__xludf.DUMMYFUNCTION("""COMPUTED_VALUE"""),"REMODELACION HALL ATENCION DE PUBLICO EDIFICO CAEP CAMPUS SAN FRANCISCO")</f>
        <v>REMODELACION HALL ATENCION DE PUBLICO EDIFICO CAEP CAMPUS SAN FRANCISCO</v>
      </c>
      <c r="W174" s="495"/>
      <c r="X174" s="499" t="str">
        <f>IFERROR(__xludf.DUMMYFUNCTION("""COMPUTED_VALUE"""),"https://drive.google.com/open?id=112YFegn_btqKhAZY4viuqPDaiG8Kdykl, https://drive.google.com/open?id=1KvIDpUtlhCVztNOJOh0VLNvvbRjfLQUF, https://drive.google.com/open?id=1vzBtC8ZYmqKHEHrKecPbp0N2JhADjT5y, https://drive.google.com/open?id=1-TDmZkwhTY-A2INwJ"&amp;"U7z6erP3CNlOsgw, https://drive.google.com/open?id=1VUcfJZHtaojYembzDXDx5Hr9RWK5__af")</f>
        <v>https://drive.google.com/open?id=112YFegn_btqKhAZY4viuqPDaiG8Kdykl, https://drive.google.com/open?id=1KvIDpUtlhCVztNOJOh0VLNvvbRjfLQUF, https://drive.google.com/open?id=1vzBtC8ZYmqKHEHrKecPbp0N2JhADjT5y, https://drive.google.com/open?id=1-TDmZkwhTY-A2INwJU7z6erP3CNlOsgw, https://drive.google.com/open?id=1VUcfJZHtaojYembzDXDx5Hr9RWK5__af</v>
      </c>
      <c r="Y174" s="495" t="str">
        <f>IFERROR(__xludf.DUMMYFUNCTION("""COMPUTED_VALUE"""),"constructoraingtrappspa@gmail.com")</f>
        <v>constructoraingtrappspa@gmail.com</v>
      </c>
      <c r="Z174" s="495"/>
      <c r="AA174" s="495"/>
      <c r="AB174" s="495"/>
      <c r="AC174" s="495"/>
      <c r="AD174" s="495" t="str">
        <f>IFERROR(__xludf.DUMMYFUNCTION("""COMPUTED_VALUE"""),"RC-140")</f>
        <v>RC-140</v>
      </c>
    </row>
    <row r="175">
      <c r="A175" s="495" t="str">
        <f t="shared" si="1"/>
        <v>RC-141</v>
      </c>
      <c r="B175" s="497">
        <f>IFERROR(__xludf.DUMMYFUNCTION("""COMPUTED_VALUE"""),46006.71792685185)</f>
        <v>46006.71793</v>
      </c>
      <c r="C175" s="495" t="str">
        <f>IFERROR(__xludf.DUMMYFUNCTION("""COMPUTED_VALUE"""),"")</f>
        <v/>
      </c>
      <c r="D175" s="495" t="str">
        <f>IFERROR(__xludf.DUMMYFUNCTION("""COMPUTED_VALUE"""),"Juan Ignacio Solís de Ovando")</f>
        <v>Juan Ignacio Solís de Ovando</v>
      </c>
      <c r="E175" s="495"/>
      <c r="F175" s="496" t="str">
        <f>IFERROR(__xludf.DUMMYFUNCTION("""COMPUTED_VALUE"""),"11875 - 2025")</f>
        <v>11875 - 2025</v>
      </c>
      <c r="G175" s="495"/>
      <c r="H175" s="495"/>
      <c r="I175" s="495"/>
      <c r="J175" s="495" t="str">
        <f>IFERROR(__xludf.DUMMYFUNCTION("""COMPUTED_VALUE"""),"Campus San Francisco - CSF")</f>
        <v>Campus San Francisco - CSF</v>
      </c>
      <c r="K175" s="495" t="str">
        <f>IFERROR(__xludf.DUMMYFUNCTION("""COMPUTED_VALUE"""),"Sin número")</f>
        <v>Sin número</v>
      </c>
      <c r="L175" s="495" t="str">
        <f>IFERROR(__xludf.DUMMYFUNCTION("""COMPUTED_VALUE"""),"CONSTRUCTORA INGTRAPP SPA")</f>
        <v>CONSTRUCTORA INGTRAPP SPA</v>
      </c>
      <c r="M175" s="495" t="str">
        <f>IFERROR(__xludf.DUMMYFUNCTION("""COMPUTED_VALUE"""),"78.202.133-8")</f>
        <v>78.202.133-8</v>
      </c>
      <c r="N175" s="495" t="str">
        <f>IFERROR(__xludf.DUMMYFUNCTION("""COMPUTED_VALUE"""),"PATRICK GUTIERREZ, JEFE DE OBRA")</f>
        <v>PATRICK GUTIERREZ, JEFE DE OBRA</v>
      </c>
      <c r="O175" s="495" t="str">
        <f>IFERROR(__xludf.DUMMYFUNCTION("""COMPUTED_VALUE"""),"Obras y Especialidades")</f>
        <v>Obras y Especialidades</v>
      </c>
      <c r="P175" s="495"/>
      <c r="Q175" s="495"/>
      <c r="R175" s="495" t="str">
        <f>IFERROR(__xludf.DUMMYFUNCTION("""COMPUTED_VALUE"""),"Modificación de Espacio")</f>
        <v>Modificación de Espacio</v>
      </c>
      <c r="S175" s="495" t="str">
        <f>IFERROR(__xludf.DUMMYFUNCTION("""COMPUTED_VALUE"""),"Estado de Pago - EP")</f>
        <v>Estado de Pago - EP</v>
      </c>
      <c r="T175" s="495">
        <f>IFERROR(__xludf.DUMMYFUNCTION("""COMPUTED_VALUE"""),1.0)</f>
        <v>1</v>
      </c>
      <c r="U175" s="498">
        <f>IFERROR(__xludf.DUMMYFUNCTION("""COMPUTED_VALUE"""),7421966.0)</f>
        <v>7421966</v>
      </c>
      <c r="V175" s="495" t="str">
        <f>IFERROR(__xludf.DUMMYFUNCTION("""COMPUTED_VALUE"""),"REMODELACION HALL ATENCION DE PUBLICO EDIFICO CAEP CAMPUS SAN FRANCISCO, ")</f>
        <v>REMODELACION HALL ATENCION DE PUBLICO EDIFICO CAEP CAMPUS SAN FRANCISCO, </v>
      </c>
      <c r="W175" s="495"/>
      <c r="X175" s="495" t="str">
        <f>IFERROR(__xludf.DUMMYFUNCTION("""COMPUTED_VALUE"""),"https://drive.google.com/open?id=1nnOpUtJvUTMnGezgpgjhnSihZaLDTWLU, https://drive.google.com/open?id=1t09oTRJmM9qy9WamdE3XvR3PP0UdbaEC, https://drive.google.com/open?id=1f0RfUgDHdC6s1xsfdZZY8WZrtgygIRzS, https://drive.google.com/open?id=1F_2ZgRd3eXBM0YtH4"&amp;"Bg78-d5huwZyNpT, https://drive.google.com/open?id=1-1_kzzj1jFW-8FouoYMwuzBHDN7LRYHL")</f>
        <v>https://drive.google.com/open?id=1nnOpUtJvUTMnGezgpgjhnSihZaLDTWLU, https://drive.google.com/open?id=1t09oTRJmM9qy9WamdE3XvR3PP0UdbaEC, https://drive.google.com/open?id=1f0RfUgDHdC6s1xsfdZZY8WZrtgygIRzS, https://drive.google.com/open?id=1F_2ZgRd3eXBM0YtH4Bg78-d5huwZyNpT, https://drive.google.com/open?id=1-1_kzzj1jFW-8FouoYMwuzBHDN7LRYHL</v>
      </c>
      <c r="Y175" s="495" t="str">
        <f>IFERROR(__xludf.DUMMYFUNCTION("""COMPUTED_VALUE"""),"constructoraingtrappspa@gmail.com")</f>
        <v>constructoraingtrappspa@gmail.com</v>
      </c>
      <c r="Z175" s="495"/>
      <c r="AA175" s="495"/>
      <c r="AB175" s="495"/>
      <c r="AC175" s="495"/>
      <c r="AD175" s="495" t="str">
        <f>IFERROR(__xludf.DUMMYFUNCTION("""COMPUTED_VALUE"""),"RC-141")</f>
        <v>RC-141</v>
      </c>
    </row>
    <row r="176">
      <c r="A176" s="495" t="str">
        <f t="shared" si="1"/>
        <v>RC-173_26</v>
      </c>
      <c r="B176" s="497">
        <f>IFERROR(__xludf.DUMMYFUNCTION("""COMPUTED_VALUE"""),46156.911688865745)</f>
        <v>46156.91169</v>
      </c>
      <c r="C176" s="495" t="str">
        <f>IFERROR(__xludf.DUMMYFUNCTION("""COMPUTED_VALUE"""),"")</f>
        <v/>
      </c>
      <c r="D176" s="495" t="str">
        <f>IFERROR(__xludf.DUMMYFUNCTION("""COMPUTED_VALUE"""),"Juan Ignacio Solís de Ovando")</f>
        <v>Juan Ignacio Solís de Ovando</v>
      </c>
      <c r="E176" s="495"/>
      <c r="F176" s="496">
        <f>IFERROR(__xludf.DUMMYFUNCTION("""COMPUTED_VALUE"""),3296.0)</f>
        <v>3296</v>
      </c>
      <c r="G176" s="495"/>
      <c r="H176" s="495"/>
      <c r="I176" s="495"/>
      <c r="J176" s="495" t="str">
        <f>IFERROR(__xludf.DUMMYFUNCTION("""COMPUTED_VALUE"""),"Campus San Juan Pablo II - CJP")</f>
        <v>Campus San Juan Pablo II - CJP</v>
      </c>
      <c r="K176" s="495">
        <f>IFERROR(__xludf.DUMMYFUNCTION("""COMPUTED_VALUE"""),10.0)</f>
        <v>10</v>
      </c>
      <c r="L176" s="495" t="str">
        <f>IFERROR(__xludf.DUMMYFUNCTION("""COMPUTED_VALUE"""),"Comercializadora art.ferreteria , servicios personales de publicidad")</f>
        <v>Comercializadora art.ferreteria , servicios personales de publicidad</v>
      </c>
      <c r="M176" s="495" t="str">
        <f>IFERROR(__xludf.DUMMYFUNCTION("""COMPUTED_VALUE"""),"76.707.485-9")</f>
        <v>76.707.485-9</v>
      </c>
      <c r="N176" s="495" t="str">
        <f>IFERROR(__xludf.DUMMYFUNCTION("""COMPUTED_VALUE"""),"JUAN IGNACIO SOLIS")</f>
        <v>JUAN IGNACIO SOLIS</v>
      </c>
      <c r="O176" s="495" t="str">
        <f>IFERROR(__xludf.DUMMYFUNCTION("""COMPUTED_VALUE"""),"Mantenciones")</f>
        <v>Mantenciones</v>
      </c>
      <c r="P176" s="495" t="str">
        <f>IFERROR(__xludf.DUMMYFUNCTION("""COMPUTED_VALUE"""),"Terminaciones Interiores")</f>
        <v>Terminaciones Interiores</v>
      </c>
      <c r="Q176" s="495"/>
      <c r="R176" s="495"/>
      <c r="S176" s="495"/>
      <c r="T176" s="495"/>
      <c r="U176" s="495"/>
      <c r="V176" s="495" t="str">
        <f>IFERROR(__xludf.DUMMYFUNCTION("""COMPUTED_VALUE"""),"INTALACION SEÑALES LOCKER 3 PISOS")</f>
        <v>INTALACION SEÑALES LOCKER 3 PISOS</v>
      </c>
      <c r="W176" s="495"/>
      <c r="X176" s="499" t="str">
        <f>IFERROR(__xludf.DUMMYFUNCTION("""COMPUTED_VALUE"""),"https://drive.google.com/open?id=17W0EdujcIRAMugYlw1ETf9U75HJIfH1v")</f>
        <v>https://drive.google.com/open?id=17W0EdujcIRAMugYlw1ETf9U75HJIfH1v</v>
      </c>
      <c r="Y176" s="495" t="str">
        <f>IFERROR(__xludf.DUMMYFUNCTION("""COMPUTED_VALUE"""),"danielaarriagadacaba@hotmail.com")</f>
        <v>danielaarriagadacaba@hotmail.com</v>
      </c>
      <c r="Z176" s="498">
        <f>IFERROR(__xludf.DUMMYFUNCTION("""COMPUTED_VALUE"""),78000.0)</f>
        <v>78000</v>
      </c>
      <c r="AA176" s="495"/>
      <c r="AB176" s="495"/>
      <c r="AC176" s="495"/>
      <c r="AD176" s="495" t="str">
        <f>IFERROR(__xludf.DUMMYFUNCTION("""COMPUTED_VALUE"""),"RC-173_26")</f>
        <v>RC-173_26</v>
      </c>
    </row>
    <row r="177">
      <c r="A177" s="495" t="str">
        <f t="shared" si="1"/>
        <v>RC-172_26</v>
      </c>
      <c r="B177" s="497">
        <f>IFERROR(__xludf.DUMMYFUNCTION("""COMPUTED_VALUE"""),46156.61774793982)</f>
        <v>46156.61775</v>
      </c>
      <c r="C177" s="495" t="str">
        <f>IFERROR(__xludf.DUMMYFUNCTION("""COMPUTED_VALUE"""),"")</f>
        <v/>
      </c>
      <c r="D177" s="495" t="str">
        <f>IFERROR(__xludf.DUMMYFUNCTION("""COMPUTED_VALUE"""),"David Silva Roco")</f>
        <v>David Silva Roco</v>
      </c>
      <c r="E177" s="495"/>
      <c r="F177" s="496" t="str">
        <f>IFERROR(__xludf.DUMMYFUNCTION("""COMPUTED_VALUE"""),"3657 - 2026")</f>
        <v>3657 - 2026</v>
      </c>
      <c r="G177" s="495"/>
      <c r="H177" s="495"/>
      <c r="I177" s="495"/>
      <c r="J177" s="495" t="str">
        <f>IFERROR(__xludf.DUMMYFUNCTION("""COMPUTED_VALUE"""),"Campus Dr. Luis Rivas del Canto - CRC")</f>
        <v>Campus Dr. Luis Rivas del Canto - CRC</v>
      </c>
      <c r="K177" s="495" t="str">
        <f>IFERROR(__xludf.DUMMYFUNCTION("""COMPUTED_VALUE"""),"05")</f>
        <v>05</v>
      </c>
      <c r="L177" s="495" t="str">
        <f>IFERROR(__xludf.DUMMYFUNCTION("""COMPUTED_VALUE"""),"Constructora IGECE")</f>
        <v>Constructora IGECE</v>
      </c>
      <c r="M177" s="495" t="str">
        <f>IFERROR(__xludf.DUMMYFUNCTION("""COMPUTED_VALUE"""),"76.878.824-3")</f>
        <v>76.878.824-3</v>
      </c>
      <c r="N177" s="495" t="str">
        <f>IFERROR(__xludf.DUMMYFUNCTION("""COMPUTED_VALUE"""),"Carlos Troncoso - Gerente General ")</f>
        <v>Carlos Troncoso - Gerente General </v>
      </c>
      <c r="O177" s="495" t="str">
        <f>IFERROR(__xludf.DUMMYFUNCTION("""COMPUTED_VALUE"""),"Mantenciones")</f>
        <v>Mantenciones</v>
      </c>
      <c r="P177" s="495" t="str">
        <f>IFERROR(__xludf.DUMMYFUNCTION("""COMPUTED_VALUE"""),"Terminaciones Interiores")</f>
        <v>Terminaciones Interiores</v>
      </c>
      <c r="Q177" s="495"/>
      <c r="R177" s="495"/>
      <c r="S177" s="495"/>
      <c r="T177" s="495"/>
      <c r="U177" s="495"/>
      <c r="V177" s="495" t="str">
        <f>IFERROR(__xludf.DUMMYFUNCTION("""COMPUTED_VALUE"""),"instalación Laminas en Termopanel
instalación Laminas en Ventanas Velux
")</f>
        <v>instalación Laminas en Termopanel
instalación Laminas en Ventanas Velux
</v>
      </c>
      <c r="W177" s="495"/>
      <c r="X177" s="495" t="str">
        <f>IFERROR(__xludf.DUMMYFUNCTION("""COMPUTED_VALUE"""),"https://drive.google.com/open?id=1gJM6y7iDrze8mnbxdJvSRnn_udKlVUQR, https://drive.google.com/open?id=1OVxX_3blhNUJxbWsQv4eb0OTEucKz45V, https://drive.google.com/open?id=1ilk5BMuaiI313_JCrm9O0tYVVzTkgadf")</f>
        <v>https://drive.google.com/open?id=1gJM6y7iDrze8mnbxdJvSRnn_udKlVUQR, https://drive.google.com/open?id=1OVxX_3blhNUJxbWsQv4eb0OTEucKz45V, https://drive.google.com/open?id=1ilk5BMuaiI313_JCrm9O0tYVVzTkgadf</v>
      </c>
      <c r="Y177" s="495" t="str">
        <f>IFERROR(__xludf.DUMMYFUNCTION("""COMPUTED_VALUE"""),"fabian.i.burgos.s@gmail.com")</f>
        <v>fabian.i.burgos.s@gmail.com</v>
      </c>
      <c r="Z177" s="498">
        <f>IFERROR(__xludf.DUMMYFUNCTION("""COMPUTED_VALUE"""),287980.0)</f>
        <v>287980</v>
      </c>
      <c r="AA177" s="495"/>
      <c r="AB177" s="495"/>
      <c r="AC177" s="495"/>
      <c r="AD177" s="495" t="str">
        <f>IFERROR(__xludf.DUMMYFUNCTION("""COMPUTED_VALUE"""),"RC-172_26")</f>
        <v>RC-172_26</v>
      </c>
    </row>
    <row r="178">
      <c r="A178" s="495" t="str">
        <f t="shared" si="1"/>
        <v>RC-171_26</v>
      </c>
      <c r="B178" s="497">
        <f>IFERROR(__xludf.DUMMYFUNCTION("""COMPUTED_VALUE"""),46156.56236202546)</f>
        <v>46156.56236</v>
      </c>
      <c r="C178" s="495" t="str">
        <f>IFERROR(__xludf.DUMMYFUNCTION("""COMPUTED_VALUE"""),"")</f>
        <v/>
      </c>
      <c r="D178" s="495" t="str">
        <f>IFERROR(__xludf.DUMMYFUNCTION("""COMPUTED_VALUE"""),"Mauricio Zurita Aldea")</f>
        <v>Mauricio Zurita Aldea</v>
      </c>
      <c r="E178" s="495"/>
      <c r="F178" s="496" t="str">
        <f>IFERROR(__xludf.DUMMYFUNCTION("""COMPUTED_VALUE"""),"512 - 2026")</f>
        <v>512 - 2026</v>
      </c>
      <c r="G178" s="495"/>
      <c r="H178" s="495"/>
      <c r="I178" s="495"/>
      <c r="J178" s="495" t="str">
        <f>IFERROR(__xludf.DUMMYFUNCTION("""COMPUTED_VALUE"""),"Campus Monseñor Alejandro Menchaca Lira - CML")</f>
        <v>Campus Monseñor Alejandro Menchaca Lira - CML</v>
      </c>
      <c r="K178" s="495" t="str">
        <f>IFERROR(__xludf.DUMMYFUNCTION("""COMPUTED_VALUE"""),"01")</f>
        <v>01</v>
      </c>
      <c r="L178" s="495" t="str">
        <f>IFERROR(__xludf.DUMMYFUNCTION("""COMPUTED_VALUE"""),"Gyg servicios spa")</f>
        <v>Gyg servicios spa</v>
      </c>
      <c r="M178" s="495" t="str">
        <f>IFERROR(__xludf.DUMMYFUNCTION("""COMPUTED_VALUE"""),"77.215.624-3")</f>
        <v>77.215.624-3</v>
      </c>
      <c r="N178" s="495" t="str">
        <f>IFERROR(__xludf.DUMMYFUNCTION("""COMPUTED_VALUE"""),"Gustavo Fuentes")</f>
        <v>Gustavo Fuentes</v>
      </c>
      <c r="O178" s="495" t="str">
        <f>IFERROR(__xludf.DUMMYFUNCTION("""COMPUTED_VALUE"""),"Mantenciones")</f>
        <v>Mantenciones</v>
      </c>
      <c r="P178" s="495" t="str">
        <f>IFERROR(__xludf.DUMMYFUNCTION("""COMPUTED_VALUE"""),"Instalaciones Eléctricas")</f>
        <v>Instalaciones Eléctricas</v>
      </c>
      <c r="Q178" s="495"/>
      <c r="R178" s="495"/>
      <c r="S178" s="495"/>
      <c r="T178" s="495"/>
      <c r="U178" s="495"/>
      <c r="V178" s="495" t="str">
        <f>IFERROR(__xludf.DUMMYFUNCTION("""COMPUTED_VALUE"""),"Reparación de cámaras y control de Acceso")</f>
        <v>Reparación de cámaras y control de Acceso</v>
      </c>
      <c r="W178" s="495"/>
      <c r="X178" s="495" t="str">
        <f>IFERROR(__xludf.DUMMYFUNCTION("""COMPUTED_VALUE"""),"https://drive.google.com/open?id=1fxhJy4eXBR_olpaFRat8IEFBeUMYAKSS, https://drive.google.com/open?id=1DC9jYVVoaRLmyo0qodduinkbvSdaX7lI")</f>
        <v>https://drive.google.com/open?id=1fxhJy4eXBR_olpaFRat8IEFBeUMYAKSS, https://drive.google.com/open?id=1DC9jYVVoaRLmyo0qodduinkbvSdaX7lI</v>
      </c>
      <c r="Y178" s="495" t="str">
        <f>IFERROR(__xludf.DUMMYFUNCTION("""COMPUTED_VALUE"""),"contacto@gygtecnologias.com")</f>
        <v>contacto@gygtecnologias.com</v>
      </c>
      <c r="Z178" s="498">
        <f>IFERROR(__xludf.DUMMYFUNCTION("""COMPUTED_VALUE"""),279650.0)</f>
        <v>279650</v>
      </c>
      <c r="AA178" s="495"/>
      <c r="AB178" s="495"/>
      <c r="AC178" s="495"/>
      <c r="AD178" s="495" t="str">
        <f>IFERROR(__xludf.DUMMYFUNCTION("""COMPUTED_VALUE"""),"RC-171_26")</f>
        <v>RC-171_26</v>
      </c>
    </row>
    <row r="179">
      <c r="A179" s="495" t="str">
        <f t="shared" si="1"/>
        <v>RC-170_26</v>
      </c>
      <c r="B179" s="497">
        <f>IFERROR(__xludf.DUMMYFUNCTION("""COMPUTED_VALUE"""),46156.55476293981)</f>
        <v>46156.55476</v>
      </c>
      <c r="C179" s="495" t="str">
        <f>IFERROR(__xludf.DUMMYFUNCTION("""COMPUTED_VALUE"""),"")</f>
        <v/>
      </c>
      <c r="D179" s="495" t="str">
        <f>IFERROR(__xludf.DUMMYFUNCTION("""COMPUTED_VALUE"""),"Mauricio Zurita Aldea")</f>
        <v>Mauricio Zurita Aldea</v>
      </c>
      <c r="E179" s="495"/>
      <c r="F179" s="496" t="str">
        <f>IFERROR(__xludf.DUMMYFUNCTION("""COMPUTED_VALUE"""),"12766 - 2026")</f>
        <v>12766 - 2026</v>
      </c>
      <c r="G179" s="495"/>
      <c r="H179" s="495"/>
      <c r="I179" s="495"/>
      <c r="J179" s="495" t="str">
        <f>IFERROR(__xludf.DUMMYFUNCTION("""COMPUTED_VALUE"""),"Campus Pillanlelbun - CPL")</f>
        <v>Campus Pillanlelbun - CPL</v>
      </c>
      <c r="K179" s="495" t="str">
        <f>IFERROR(__xludf.DUMMYFUNCTION("""COMPUTED_VALUE"""),"01")</f>
        <v>01</v>
      </c>
      <c r="L179" s="495" t="str">
        <f>IFERROR(__xludf.DUMMYFUNCTION("""COMPUTED_VALUE"""),"Gyg servicios spa")</f>
        <v>Gyg servicios spa</v>
      </c>
      <c r="M179" s="495" t="str">
        <f>IFERROR(__xludf.DUMMYFUNCTION("""COMPUTED_VALUE"""),"77.215.624-3")</f>
        <v>77.215.624-3</v>
      </c>
      <c r="N179" s="495" t="str">
        <f>IFERROR(__xludf.DUMMYFUNCTION("""COMPUTED_VALUE"""),"Gustavo Fuentes")</f>
        <v>Gustavo Fuentes</v>
      </c>
      <c r="O179" s="495" t="str">
        <f>IFERROR(__xludf.DUMMYFUNCTION("""COMPUTED_VALUE"""),"Mantenciones")</f>
        <v>Mantenciones</v>
      </c>
      <c r="P179" s="495" t="str">
        <f>IFERROR(__xludf.DUMMYFUNCTION("""COMPUTED_VALUE"""),"Instalaciones Eléctricas")</f>
        <v>Instalaciones Eléctricas</v>
      </c>
      <c r="Q179" s="495"/>
      <c r="R179" s="495"/>
      <c r="S179" s="495"/>
      <c r="T179" s="495"/>
      <c r="U179" s="495"/>
      <c r="V179" s="495" t="str">
        <f>IFERROR(__xludf.DUMMYFUNCTION("""COMPUTED_VALUE"""),"Habilitación de antena starlink ")</f>
        <v>Habilitación de antena starlink </v>
      </c>
      <c r="W179" s="495"/>
      <c r="X179" s="495" t="str">
        <f>IFERROR(__xludf.DUMMYFUNCTION("""COMPUTED_VALUE"""),"https://drive.google.com/open?id=1-PsCWWPXDrAQEXdcsZt88AGULG9cOLbX, https://drive.google.com/open?id=1ydb0qNVkKTJzB6AJBTe_reu2ssKPqQpR")</f>
        <v>https://drive.google.com/open?id=1-PsCWWPXDrAQEXdcsZt88AGULG9cOLbX, https://drive.google.com/open?id=1ydb0qNVkKTJzB6AJBTe_reu2ssKPqQpR</v>
      </c>
      <c r="Y179" s="495" t="str">
        <f>IFERROR(__xludf.DUMMYFUNCTION("""COMPUTED_VALUE"""),"contacto@gygtecnologias.com")</f>
        <v>contacto@gygtecnologias.com</v>
      </c>
      <c r="Z179" s="498">
        <f>IFERROR(__xludf.DUMMYFUNCTION("""COMPUTED_VALUE"""),2427600.0)</f>
        <v>2427600</v>
      </c>
      <c r="AA179" s="495"/>
      <c r="AB179" s="495"/>
      <c r="AC179" s="495"/>
      <c r="AD179" s="495" t="str">
        <f>IFERROR(__xludf.DUMMYFUNCTION("""COMPUTED_VALUE"""),"RC-170_26")</f>
        <v>RC-170_26</v>
      </c>
    </row>
    <row r="180">
      <c r="A180" s="495" t="str">
        <f t="shared" si="1"/>
        <v>RC-169_26</v>
      </c>
      <c r="B180" s="497">
        <f>IFERROR(__xludf.DUMMYFUNCTION("""COMPUTED_VALUE"""),46156.50526608796)</f>
        <v>46156.50527</v>
      </c>
      <c r="C180" s="495" t="str">
        <f>IFERROR(__xludf.DUMMYFUNCTION("""COMPUTED_VALUE"""),"")</f>
        <v/>
      </c>
      <c r="D180" s="495" t="str">
        <f>IFERROR(__xludf.DUMMYFUNCTION("""COMPUTED_VALUE"""),"Carol Huenchual Chañilao")</f>
        <v>Carol Huenchual Chañilao</v>
      </c>
      <c r="E180" s="495"/>
      <c r="F180" s="496" t="str">
        <f>IFERROR(__xludf.DUMMYFUNCTION("""COMPUTED_VALUE"""),"3652 - 2026")</f>
        <v>3652 - 2026</v>
      </c>
      <c r="G180" s="495"/>
      <c r="H180" s="495"/>
      <c r="I180" s="495"/>
      <c r="J180" s="495" t="str">
        <f>IFERROR(__xludf.DUMMYFUNCTION("""COMPUTED_VALUE"""),"Campus San Francisco - CSF")</f>
        <v>Campus San Francisco - CSF</v>
      </c>
      <c r="K180" s="495" t="str">
        <f>IFERROR(__xludf.DUMMYFUNCTION("""COMPUTED_VALUE"""),"Exterior")</f>
        <v>Exterior</v>
      </c>
      <c r="L180" s="495" t="str">
        <f>IFERROR(__xludf.DUMMYFUNCTION("""COMPUTED_VALUE"""),"SOC. GONZALEZ GAJARDO Y CIA. LTDA")</f>
        <v>SOC. GONZALEZ GAJARDO Y CIA. LTDA</v>
      </c>
      <c r="M180" s="495" t="str">
        <f>IFERROR(__xludf.DUMMYFUNCTION("""COMPUTED_VALUE"""),"76.265.749-K")</f>
        <v>76.265.749-K</v>
      </c>
      <c r="N180" s="495" t="str">
        <f>IFERROR(__xludf.DUMMYFUNCTION("""COMPUTED_VALUE"""),"MARCELO GONZALEZ")</f>
        <v>MARCELO GONZALEZ</v>
      </c>
      <c r="O180" s="495" t="str">
        <f>IFERROR(__xludf.DUMMYFUNCTION("""COMPUTED_VALUE"""),"Mantenciones")</f>
        <v>Mantenciones</v>
      </c>
      <c r="P180" s="495" t="str">
        <f>IFERROR(__xludf.DUMMYFUNCTION("""COMPUTED_VALUE"""),"Requerimientos Emergentes e Imprevistos")</f>
        <v>Requerimientos Emergentes e Imprevistos</v>
      </c>
      <c r="Q180" s="495"/>
      <c r="R180" s="495"/>
      <c r="S180" s="495"/>
      <c r="T180" s="495"/>
      <c r="U180" s="495"/>
      <c r="V180" s="495" t="str">
        <f>IFERROR(__xludf.DUMMYFUNCTION("""COMPUTED_VALUE"""),"INSTALACIONES - PROVISION E INSTALACION PROGRAMADOR RIEGO AUTOMATICO")</f>
        <v>INSTALACIONES - PROVISION E INSTALACION PROGRAMADOR RIEGO AUTOMATICO</v>
      </c>
      <c r="W180" s="495" t="str">
        <f>IFERROR(__xludf.DUMMYFUNCTION("""COMPUTED_VALUE"""),"NO")</f>
        <v>NO</v>
      </c>
      <c r="X180" s="499" t="str">
        <f>IFERROR(__xludf.DUMMYFUNCTION("""COMPUTED_VALUE"""),"https://drive.google.com/open?id=1JfEutnb4a-j9tE19fAsh26VhSA2dbmtJ")</f>
        <v>https://drive.google.com/open?id=1JfEutnb4a-j9tE19fAsh26VhSA2dbmtJ</v>
      </c>
      <c r="Y180" s="495" t="str">
        <f>IFERROR(__xludf.DUMMYFUNCTION("""COMPUTED_VALUE"""),"operaciones@tecfull.cl")</f>
        <v>operaciones@tecfull.cl</v>
      </c>
      <c r="Z180" s="498">
        <f>IFERROR(__xludf.DUMMYFUNCTION("""COMPUTED_VALUE"""),142800.0)</f>
        <v>142800</v>
      </c>
      <c r="AA180" s="495"/>
      <c r="AB180" s="495"/>
      <c r="AC180" s="495"/>
      <c r="AD180" s="495" t="str">
        <f>IFERROR(__xludf.DUMMYFUNCTION("""COMPUTED_VALUE"""),"RC-169_26")</f>
        <v>RC-169_26</v>
      </c>
    </row>
    <row r="181">
      <c r="A181" s="495" t="str">
        <f t="shared" si="1"/>
        <v>RC-168_26</v>
      </c>
      <c r="B181" s="497">
        <f>IFERROR(__xludf.DUMMYFUNCTION("""COMPUTED_VALUE"""),46155.51412800926)</f>
        <v>46155.51413</v>
      </c>
      <c r="C181" s="495" t="str">
        <f>IFERROR(__xludf.DUMMYFUNCTION("""COMPUTED_VALUE"""),"")</f>
        <v/>
      </c>
      <c r="D181" s="495" t="str">
        <f>IFERROR(__xludf.DUMMYFUNCTION("""COMPUTED_VALUE"""),"Oscar Painén Briones")</f>
        <v>Oscar Painén Briones</v>
      </c>
      <c r="E181" s="495"/>
      <c r="F181" s="496" t="str">
        <f>IFERROR(__xludf.DUMMYFUNCTION("""COMPUTED_VALUE"""),"2612 - 2026")</f>
        <v>2612 - 2026</v>
      </c>
      <c r="G181" s="495"/>
      <c r="H181" s="495"/>
      <c r="I181" s="495"/>
      <c r="J181" s="495" t="str">
        <f>IFERROR(__xludf.DUMMYFUNCTION("""COMPUTED_VALUE"""),"Campus Monseñor Alejandro Menchaca Lira - CML")</f>
        <v>Campus Monseñor Alejandro Menchaca Lira - CML</v>
      </c>
      <c r="K181" s="495" t="str">
        <f>IFERROR(__xludf.DUMMYFUNCTION("""COMPUTED_VALUE"""),"Sin número")</f>
        <v>Sin número</v>
      </c>
      <c r="L181" s="495" t="str">
        <f>IFERROR(__xludf.DUMMYFUNCTION("""COMPUTED_VALUE"""),"Constructora IGECE Ltda.")</f>
        <v>Constructora IGECE Ltda.</v>
      </c>
      <c r="M181" s="495" t="str">
        <f>IFERROR(__xludf.DUMMYFUNCTION("""COMPUTED_VALUE"""),"76.878.824-3")</f>
        <v>76.878.824-3</v>
      </c>
      <c r="N181" s="495" t="str">
        <f>IFERROR(__xludf.DUMMYFUNCTION("""COMPUTED_VALUE"""),"Carlos Troncoso - Gerente General ")</f>
        <v>Carlos Troncoso - Gerente General </v>
      </c>
      <c r="O181" s="495" t="str">
        <f>IFERROR(__xludf.DUMMYFUNCTION("""COMPUTED_VALUE"""),"Mantenciones")</f>
        <v>Mantenciones</v>
      </c>
      <c r="P181" s="495" t="str">
        <f>IFERROR(__xludf.DUMMYFUNCTION("""COMPUTED_VALUE"""),"Instalaciones Eléctricas")</f>
        <v>Instalaciones Eléctricas</v>
      </c>
      <c r="Q181" s="495"/>
      <c r="R181" s="495"/>
      <c r="S181" s="495"/>
      <c r="T181" s="495"/>
      <c r="U181" s="495"/>
      <c r="V181" s="495" t="str">
        <f>IFERROR(__xludf.DUMMYFUNCTION("""COMPUTED_VALUE"""),"Retiro Madera - Pilastras - Junquillo: Se realiza retiro de dichos elementos, evitando dañar cada uno de ello, para su posterior instalación.
Instalación Eléctrica: Se realizan conexiones mediante EMT flexible de 40 mm, dentro de los cuales irán 2 cables"&amp;" HDMI y cordón de cable negro de 2,5 mm, señalar que los el cables eléctricos ira en ductos aparte del de corrientes débiles.
Reparación Muro Volcanita + Reinstalación Madera - Pilastras - Junquillos: Se realizara un corte horizontal en toda la longitud "&amp;"del espacio, con el fin de poder instalar ductos EMT, luego de procederá a realizar reinstalación de dichos materiales mencionados.
Pintura Muro: Se realizaran hinchas en unión de volcanita, aplicación pasta, lijado y posterior aplicación de 2 manos de p"&amp;"intura esmalte al agua.
Pintura Madera - Pilastras - Junquillos: Se realiza la reparación de molduras con retape de madera (mismo tono madera), lijado y posterior aplicación de protector de madera.
ORDEN, ASEO Y RETIRO EXEDENTES: Se Realiza aseo general"&amp;" y retiro de todo residuo generado por los trabajos, dejando todo en perfectas condiciones.
")</f>
        <v>Retiro Madera - Pilastras - Junquillo: Se realiza retiro de dichos elementos, evitando dañar cada uno de ello, para su posterior instalación.
Instalación Eléctrica: Se realizan conexiones mediante EMT flexible de 40 mm, dentro de los cuales irán 2 cables HDMI y cordón de cable negro de 2,5 mm, señalar que los el cables eléctricos ira en ductos aparte del de corrientes débiles.
Reparación Muro Volcanita + Reinstalación Madera - Pilastras - Junquillos: Se realizara un corte horizontal en toda la longitud del espacio, con el fin de poder instalar ductos EMT, luego de procederá a realizar reinstalación de dichos materiales mencionados.
Pintura Muro: Se realizaran hinchas en unión de volcanita, aplicación pasta, lijado y posterior aplicación de 2 manos de pintura esmalte al agua.
Pintura Madera - Pilastras - Junquillos: Se realiza la reparación de molduras con retape de madera (mismo tono madera), lijado y posterior aplicación de protector de madera.
ORDEN, ASEO Y RETIRO EXEDENTES: Se Realiza aseo general y retiro de todo residuo generado por los trabajos, dejando todo en perfectas condiciones.
</v>
      </c>
      <c r="W181" s="495"/>
      <c r="X181" s="495" t="str">
        <f>IFERROR(__xludf.DUMMYFUNCTION("""COMPUTED_VALUE"""),"https://drive.google.com/open?id=1g2xmFgd5EeeZKCUFqvEF-_9eF-OQRbdn, https://drive.google.com/open?id=1JSMuo7lseejXaEQDaZwIstf3ojnYWlMY, https://drive.google.com/open?id=1hgKrbpabZJPYWKM4I-UnBET9PYDYh1Dl, https://drive.google.com/open?id=1xCxWd54ARkC_QYr4q"&amp;"oYsMENRHWvqgxs0")</f>
        <v>https://drive.google.com/open?id=1g2xmFgd5EeeZKCUFqvEF-_9eF-OQRbdn, https://drive.google.com/open?id=1JSMuo7lseejXaEQDaZwIstf3ojnYWlMY, https://drive.google.com/open?id=1hgKrbpabZJPYWKM4I-UnBET9PYDYh1Dl, https://drive.google.com/open?id=1xCxWd54ARkC_QYr4qoYsMENRHWvqgxs0</v>
      </c>
      <c r="Y181" s="495" t="str">
        <f>IFERROR(__xludf.DUMMYFUNCTION("""COMPUTED_VALUE"""),"fabian.i.burgos.s@gmail.com")</f>
        <v>fabian.i.burgos.s@gmail.com</v>
      </c>
      <c r="Z181" s="498">
        <f>IFERROR(__xludf.DUMMYFUNCTION("""COMPUTED_VALUE"""),1171975.0)</f>
        <v>1171975</v>
      </c>
      <c r="AA181" s="495"/>
      <c r="AB181" s="495"/>
      <c r="AC181" s="495"/>
      <c r="AD181" s="495" t="str">
        <f>IFERROR(__xludf.DUMMYFUNCTION("""COMPUTED_VALUE"""),"RC-168_26")</f>
        <v>RC-168_26</v>
      </c>
    </row>
    <row r="182">
      <c r="A182" s="495" t="str">
        <f t="shared" si="1"/>
        <v>RC-148</v>
      </c>
      <c r="B182" s="497">
        <f>IFERROR(__xludf.DUMMYFUNCTION("""COMPUTED_VALUE"""),46008.52642274306)</f>
        <v>46008.52642</v>
      </c>
      <c r="C182" s="495" t="str">
        <f>IFERROR(__xludf.DUMMYFUNCTION("""COMPUTED_VALUE"""),"")</f>
        <v/>
      </c>
      <c r="D182" s="495" t="str">
        <f>IFERROR(__xludf.DUMMYFUNCTION("""COMPUTED_VALUE"""),"Juan Ignacio Solís de Ovando")</f>
        <v>Juan Ignacio Solís de Ovando</v>
      </c>
      <c r="E182" s="495"/>
      <c r="F182" s="496" t="str">
        <f>IFERROR(__xludf.DUMMYFUNCTION("""COMPUTED_VALUE"""),"11875 - 2025")</f>
        <v>11875 - 2025</v>
      </c>
      <c r="G182" s="495"/>
      <c r="H182" s="495"/>
      <c r="I182" s="495"/>
      <c r="J182" s="495" t="str">
        <f>IFERROR(__xludf.DUMMYFUNCTION("""COMPUTED_VALUE"""),"Campus San Francisco - CSF")</f>
        <v>Campus San Francisco - CSF</v>
      </c>
      <c r="K182" s="495" t="str">
        <f>IFERROR(__xludf.DUMMYFUNCTION("""COMPUTED_VALUE"""),"Sin número")</f>
        <v>Sin número</v>
      </c>
      <c r="L182" s="495" t="str">
        <f>IFERROR(__xludf.DUMMYFUNCTION("""COMPUTED_VALUE"""),"CONSTRUCTORA INGTRAPP SPA")</f>
        <v>CONSTRUCTORA INGTRAPP SPA</v>
      </c>
      <c r="M182" s="495" t="str">
        <f>IFERROR(__xludf.DUMMYFUNCTION("""COMPUTED_VALUE"""),"78.202.133-8 ")</f>
        <v>78.202.133-8 </v>
      </c>
      <c r="N182" s="495" t="str">
        <f>IFERROR(__xludf.DUMMYFUNCTION("""COMPUTED_VALUE"""),"PATRICK GUTIÉRREZ ")</f>
        <v>PATRICK GUTIÉRREZ </v>
      </c>
      <c r="O182" s="495" t="str">
        <f>IFERROR(__xludf.DUMMYFUNCTION("""COMPUTED_VALUE"""),"Obras y Especialidades")</f>
        <v>Obras y Especialidades</v>
      </c>
      <c r="P182" s="495"/>
      <c r="Q182" s="495"/>
      <c r="R182" s="495" t="str">
        <f>IFERROR(__xludf.DUMMYFUNCTION("""COMPUTED_VALUE"""),"Modificación de Espacio")</f>
        <v>Modificación de Espacio</v>
      </c>
      <c r="S182" s="495" t="str">
        <f>IFERROR(__xludf.DUMMYFUNCTION("""COMPUTED_VALUE"""),"Estado de Pago - EP")</f>
        <v>Estado de Pago - EP</v>
      </c>
      <c r="T182" s="495">
        <f>IFERROR(__xludf.DUMMYFUNCTION("""COMPUTED_VALUE"""),1.0)</f>
        <v>1</v>
      </c>
      <c r="U182" s="498">
        <f>IFERROR(__xludf.DUMMYFUNCTION("""COMPUTED_VALUE"""),7421966.0)</f>
        <v>7421966</v>
      </c>
      <c r="V182" s="495" t="str">
        <f>IFERROR(__xludf.DUMMYFUNCTION("""COMPUTED_VALUE"""),"REMODELACION HALL ATENCION DE PUBLICO
EDIFICO CAEP CAMPUS SAN FRANCISCO")</f>
        <v>REMODELACION HALL ATENCION DE PUBLICO
EDIFICO CAEP CAMPUS SAN FRANCISCO</v>
      </c>
      <c r="W182" s="495"/>
      <c r="X182" s="495" t="str">
        <f>IFERROR(__xludf.DUMMYFUNCTION("""COMPUTED_VALUE"""),"https://drive.google.com/open?id=1YBQxhZf8PIFL90OiWQBdE3lvC-MvjvcD, https://drive.google.com/open?id=1aObnUCy0msteYFnWvX-8bsMcbCVr9Zkj, https://drive.google.com/open?id=1vE60Lxo7EqnPPkr5tD4cRK7D4LFOS3aZ, https://drive.google.com/open?id=1qjr0sTqDC0cQBEQHH"&amp;"FLln7l7l-BqdukW")</f>
        <v>https://drive.google.com/open?id=1YBQxhZf8PIFL90OiWQBdE3lvC-MvjvcD, https://drive.google.com/open?id=1aObnUCy0msteYFnWvX-8bsMcbCVr9Zkj, https://drive.google.com/open?id=1vE60Lxo7EqnPPkr5tD4cRK7D4LFOS3aZ, https://drive.google.com/open?id=1qjr0sTqDC0cQBEQHHFLln7l7l-BqdukW</v>
      </c>
      <c r="Y182" s="495" t="str">
        <f>IFERROR(__xludf.DUMMYFUNCTION("""COMPUTED_VALUE"""),"constructoraingtrappspa@gmail.com")</f>
        <v>constructoraingtrappspa@gmail.com</v>
      </c>
      <c r="Z182" s="495"/>
      <c r="AA182" s="495"/>
      <c r="AB182" s="495"/>
      <c r="AC182" s="495"/>
      <c r="AD182" s="495" t="str">
        <f>IFERROR(__xludf.DUMMYFUNCTION("""COMPUTED_VALUE"""),"RC-148")</f>
        <v>RC-148</v>
      </c>
    </row>
    <row r="183">
      <c r="A183" s="495" t="str">
        <f t="shared" si="1"/>
        <v>RC-166_26</v>
      </c>
      <c r="B183" s="497">
        <f>IFERROR(__xludf.DUMMYFUNCTION("""COMPUTED_VALUE"""),46155.505412094906)</f>
        <v>46155.50541</v>
      </c>
      <c r="C183" s="495" t="str">
        <f>IFERROR(__xludf.DUMMYFUNCTION("""COMPUTED_VALUE"""),"")</f>
        <v/>
      </c>
      <c r="D183" s="495" t="str">
        <f>IFERROR(__xludf.DUMMYFUNCTION("""COMPUTED_VALUE"""),"Cristóbal Correa del Río")</f>
        <v>Cristóbal Correa del Río</v>
      </c>
      <c r="E183" s="495"/>
      <c r="F183" s="496" t="str">
        <f>IFERROR(__xludf.DUMMYFUNCTION("""COMPUTED_VALUE"""),"3398 - 2026")</f>
        <v>3398 - 2026</v>
      </c>
      <c r="G183" s="495"/>
      <c r="H183" s="495"/>
      <c r="I183" s="495"/>
      <c r="J183" s="495" t="str">
        <f>IFERROR(__xludf.DUMMYFUNCTION("""COMPUTED_VALUE"""),"Campus San Francisco - CSF")</f>
        <v>Campus San Francisco - CSF</v>
      </c>
      <c r="K183" s="495" t="str">
        <f>IFERROR(__xludf.DUMMYFUNCTION("""COMPUTED_VALUE"""),"02")</f>
        <v>02</v>
      </c>
      <c r="L183" s="495" t="str">
        <f>IFERROR(__xludf.DUMMYFUNCTION("""COMPUTED_VALUE"""),"Constructora IGECE Ltda.")</f>
        <v>Constructora IGECE Ltda.</v>
      </c>
      <c r="M183" s="495" t="str">
        <f>IFERROR(__xludf.DUMMYFUNCTION("""COMPUTED_VALUE"""),"76.878.824-3")</f>
        <v>76.878.824-3</v>
      </c>
      <c r="N183" s="495" t="str">
        <f>IFERROR(__xludf.DUMMYFUNCTION("""COMPUTED_VALUE"""),"Carlos Troncoso - Gerente General ")</f>
        <v>Carlos Troncoso - Gerente General </v>
      </c>
      <c r="O183" s="495" t="str">
        <f>IFERROR(__xludf.DUMMYFUNCTION("""COMPUTED_VALUE"""),"Mantenciones")</f>
        <v>Mantenciones</v>
      </c>
      <c r="P183" s="495" t="str">
        <f>IFERROR(__xludf.DUMMYFUNCTION("""COMPUTED_VALUE"""),"Alcantarillado")</f>
        <v>Alcantarillado</v>
      </c>
      <c r="Q183" s="495"/>
      <c r="R183" s="495"/>
      <c r="S183" s="495"/>
      <c r="T183" s="495"/>
      <c r="U183" s="495"/>
      <c r="V183" s="495" t="str">
        <f>IFERROR(__xludf.DUMMYFUNCTION("""COMPUTED_VALUE"""),"Remate cámaras aguas lluvia,
instalación codo PVC y aseo cámara.")</f>
        <v>Remate cámaras aguas lluvia,
instalación codo PVC y aseo cámara.</v>
      </c>
      <c r="W183" s="495"/>
      <c r="X183" s="495" t="str">
        <f>IFERROR(__xludf.DUMMYFUNCTION("""COMPUTED_VALUE"""),"https://drive.google.com/open?id=1WOliLy9aD2Tw9PqlRnBo8aH9CzKNzSc7, https://drive.google.com/open?id=1WbNI-fz-x9ioaGAwlcxj_QJN0m9-_L9c, https://drive.google.com/open?id=1udQ62MLlu7GZ1gqwMC80ry8_IRH4mwGn, https://drive.google.com/open?id=1lUk-N9O56tf5B2hMg"&amp;"vs2re87VWKapJ68")</f>
        <v>https://drive.google.com/open?id=1WOliLy9aD2Tw9PqlRnBo8aH9CzKNzSc7, https://drive.google.com/open?id=1WbNI-fz-x9ioaGAwlcxj_QJN0m9-_L9c, https://drive.google.com/open?id=1udQ62MLlu7GZ1gqwMC80ry8_IRH4mwGn, https://drive.google.com/open?id=1lUk-N9O56tf5B2hMgvs2re87VWKapJ68</v>
      </c>
      <c r="Y183" s="495" t="str">
        <f>IFERROR(__xludf.DUMMYFUNCTION("""COMPUTED_VALUE"""),"fabian.i.burgos.s@gmail.com")</f>
        <v>fabian.i.burgos.s@gmail.com</v>
      </c>
      <c r="Z183" s="498">
        <f>IFERROR(__xludf.DUMMYFUNCTION("""COMPUTED_VALUE"""),82556.0)</f>
        <v>82556</v>
      </c>
      <c r="AA183" s="495"/>
      <c r="AB183" s="495"/>
      <c r="AC183" s="495"/>
      <c r="AD183" s="495" t="str">
        <f>IFERROR(__xludf.DUMMYFUNCTION("""COMPUTED_VALUE"""),"RC-166_26")</f>
        <v>RC-166_26</v>
      </c>
    </row>
    <row r="184">
      <c r="A184" s="495" t="str">
        <f t="shared" si="1"/>
        <v>RC-165_26</v>
      </c>
      <c r="B184" s="497">
        <f>IFERROR(__xludf.DUMMYFUNCTION("""COMPUTED_VALUE"""),46154.70255408565)</f>
        <v>46154.70255</v>
      </c>
      <c r="C184" s="495" t="str">
        <f>IFERROR(__xludf.DUMMYFUNCTION("""COMPUTED_VALUE"""),"")</f>
        <v/>
      </c>
      <c r="D184" s="495" t="str">
        <f>IFERROR(__xludf.DUMMYFUNCTION("""COMPUTED_VALUE"""),"Arturo Meza Vega")</f>
        <v>Arturo Meza Vega</v>
      </c>
      <c r="E184" s="495"/>
      <c r="F184" s="496" t="str">
        <f>IFERROR(__xludf.DUMMYFUNCTION("""COMPUTED_VALUE"""),"3047 2026")</f>
        <v>3047 2026</v>
      </c>
      <c r="G184" s="495"/>
      <c r="H184" s="495"/>
      <c r="I184" s="495"/>
      <c r="J184" s="495" t="str">
        <f>IFERROR(__xludf.DUMMYFUNCTION("""COMPUTED_VALUE"""),"Campus Dr. Luis Rivas del Canto - CRC")</f>
        <v>Campus Dr. Luis Rivas del Canto - CRC</v>
      </c>
      <c r="K184" s="495" t="str">
        <f>IFERROR(__xludf.DUMMYFUNCTION("""COMPUTED_VALUE"""),"07")</f>
        <v>07</v>
      </c>
      <c r="L184" s="495" t="str">
        <f>IFERROR(__xludf.DUMMYFUNCTION("""COMPUTED_VALUE"""),"Ingertemuco Ingeniería Spa ")</f>
        <v>Ingertemuco Ingeniería Spa </v>
      </c>
      <c r="M184" s="495" t="str">
        <f>IFERROR(__xludf.DUMMYFUNCTION("""COMPUTED_VALUE"""),"77.369.471-0")</f>
        <v>77.369.471-0</v>
      </c>
      <c r="N184" s="495" t="str">
        <f>IFERROR(__xludf.DUMMYFUNCTION("""COMPUTED_VALUE"""),"Christian Ortega ")</f>
        <v>Christian Ortega </v>
      </c>
      <c r="O184" s="495" t="str">
        <f>IFERROR(__xludf.DUMMYFUNCTION("""COMPUTED_VALUE"""),"Mantenciones")</f>
        <v>Mantenciones</v>
      </c>
      <c r="P184" s="495" t="str">
        <f>IFERROR(__xludf.DUMMYFUNCTION("""COMPUTED_VALUE"""),"Instalaciones Eléctricas")</f>
        <v>Instalaciones Eléctricas</v>
      </c>
      <c r="Q184" s="495"/>
      <c r="R184" s="495"/>
      <c r="S184" s="495"/>
      <c r="T184" s="495"/>
      <c r="U184" s="495"/>
      <c r="V184" s="495" t="str">
        <f>IFERROR(__xludf.DUMMYFUNCTION("""COMPUTED_VALUE"""),"Se realizó instalación de riel din para mejoras de red modbus ")</f>
        <v>Se realizó instalación de riel din para mejoras de red modbus </v>
      </c>
      <c r="W184" s="495"/>
      <c r="X184" s="495" t="str">
        <f>IFERROR(__xludf.DUMMYFUNCTION("""COMPUTED_VALUE"""),"https://drive.google.com/open?id=1SiqqDFPzBDH6QDv-pVYGdom7cmq1be3i, https://drive.google.com/open?id=1pUHAwnC-zMSJI268S-CmziPlJDtlpfwz")</f>
        <v>https://drive.google.com/open?id=1SiqqDFPzBDH6QDv-pVYGdom7cmq1be3i, https://drive.google.com/open?id=1pUHAwnC-zMSJI268S-CmziPlJDtlpfwz</v>
      </c>
      <c r="Y184" s="495" t="str">
        <f>IFERROR(__xludf.DUMMYFUNCTION("""COMPUTED_VALUE"""),"comercialingertemuco@gmail.com")</f>
        <v>comercialingertemuco@gmail.com</v>
      </c>
      <c r="Z184" s="498">
        <f>IFERROR(__xludf.DUMMYFUNCTION("""COMPUTED_VALUE"""),180434.0)</f>
        <v>180434</v>
      </c>
      <c r="AA184" s="495"/>
      <c r="AB184" s="495"/>
      <c r="AC184" s="495"/>
      <c r="AD184" s="495" t="str">
        <f>IFERROR(__xludf.DUMMYFUNCTION("""COMPUTED_VALUE"""),"RC-165_26")</f>
        <v>RC-165_26</v>
      </c>
    </row>
    <row r="185">
      <c r="A185" s="495" t="str">
        <f t="shared" si="1"/>
        <v>RC-164_26</v>
      </c>
      <c r="B185" s="497">
        <f>IFERROR(__xludf.DUMMYFUNCTION("""COMPUTED_VALUE"""),46154.65687015046)</f>
        <v>46154.65687</v>
      </c>
      <c r="C185" s="495" t="str">
        <f>IFERROR(__xludf.DUMMYFUNCTION("""COMPUTED_VALUE"""),"")</f>
        <v/>
      </c>
      <c r="D185" s="495" t="str">
        <f>IFERROR(__xludf.DUMMYFUNCTION("""COMPUTED_VALUE"""),"Arturo Meza Vega")</f>
        <v>Arturo Meza Vega</v>
      </c>
      <c r="E185" s="495"/>
      <c r="F185" s="496" t="str">
        <f>IFERROR(__xludf.DUMMYFUNCTION("""COMPUTED_VALUE"""),"663 - 2026")</f>
        <v>663 - 2026</v>
      </c>
      <c r="G185" s="495"/>
      <c r="H185" s="495"/>
      <c r="I185" s="495"/>
      <c r="J185" s="495" t="str">
        <f>IFERROR(__xludf.DUMMYFUNCTION("""COMPUTED_VALUE"""),"Campus San Nicolás (Curacautín) - CSN")</f>
        <v>Campus San Nicolás (Curacautín) - CSN</v>
      </c>
      <c r="K185" s="495" t="str">
        <f>IFERROR(__xludf.DUMMYFUNCTION("""COMPUTED_VALUE"""),"01")</f>
        <v>01</v>
      </c>
      <c r="L185" s="495" t="str">
        <f>IFERROR(__xludf.DUMMYFUNCTION("""COMPUTED_VALUE"""),"Gyg servicios spa")</f>
        <v>Gyg servicios spa</v>
      </c>
      <c r="M185" s="495" t="str">
        <f>IFERROR(__xludf.DUMMYFUNCTION("""COMPUTED_VALUE"""),"77.215.624-3")</f>
        <v>77.215.624-3</v>
      </c>
      <c r="N185" s="495" t="str">
        <f>IFERROR(__xludf.DUMMYFUNCTION("""COMPUTED_VALUE"""),"Gustavo Fuentes")</f>
        <v>Gustavo Fuentes</v>
      </c>
      <c r="O185" s="495" t="str">
        <f>IFERROR(__xludf.DUMMYFUNCTION("""COMPUTED_VALUE"""),"Mantenciones")</f>
        <v>Mantenciones</v>
      </c>
      <c r="P185" s="495" t="str">
        <f>IFERROR(__xludf.DUMMYFUNCTION("""COMPUTED_VALUE"""),"Instalaciones Eléctricas")</f>
        <v>Instalaciones Eléctricas</v>
      </c>
      <c r="Q185" s="495"/>
      <c r="R185" s="495"/>
      <c r="S185" s="495"/>
      <c r="T185" s="495"/>
      <c r="U185" s="495"/>
      <c r="V185" s="495" t="str">
        <f>IFERROR(__xludf.DUMMYFUNCTION("""COMPUTED_VALUE"""),"Instalacion de servicio de internet ")</f>
        <v>Instalacion de servicio de internet </v>
      </c>
      <c r="W185" s="495"/>
      <c r="X185" s="495" t="str">
        <f>IFERROR(__xludf.DUMMYFUNCTION("""COMPUTED_VALUE"""),"https://drive.google.com/open?id=1-u_7-kanv5Q8GBVFMsr5Vcv6i2dR9s2-, https://drive.google.com/open?id=1MOQ4xj3JpVfhKiFxAeXeKarba1YU_69L")</f>
        <v>https://drive.google.com/open?id=1-u_7-kanv5Q8GBVFMsr5Vcv6i2dR9s2-, https://drive.google.com/open?id=1MOQ4xj3JpVfhKiFxAeXeKarba1YU_69L</v>
      </c>
      <c r="Y185" s="495" t="str">
        <f>IFERROR(__xludf.DUMMYFUNCTION("""COMPUTED_VALUE"""),"contacto@gygtecnologias.com")</f>
        <v>contacto@gygtecnologias.com</v>
      </c>
      <c r="Z185" s="498">
        <f>IFERROR(__xludf.DUMMYFUNCTION("""COMPUTED_VALUE"""),4699310.0)</f>
        <v>4699310</v>
      </c>
      <c r="AA185" s="495"/>
      <c r="AB185" s="495"/>
      <c r="AC185" s="495"/>
      <c r="AD185" s="495" t="str">
        <f>IFERROR(__xludf.DUMMYFUNCTION("""COMPUTED_VALUE"""),"RC-164_26")</f>
        <v>RC-164_26</v>
      </c>
    </row>
    <row r="186">
      <c r="A186" s="495" t="str">
        <f t="shared" si="1"/>
        <v>RC-163_26</v>
      </c>
      <c r="B186" s="497">
        <f>IFERROR(__xludf.DUMMYFUNCTION("""COMPUTED_VALUE"""),46153.64670840278)</f>
        <v>46153.64671</v>
      </c>
      <c r="C186" s="495" t="str">
        <f>IFERROR(__xludf.DUMMYFUNCTION("""COMPUTED_VALUE"""),"")</f>
        <v/>
      </c>
      <c r="D186" s="495" t="str">
        <f>IFERROR(__xludf.DUMMYFUNCTION("""COMPUTED_VALUE"""),"Mauricio Zurita Aldea")</f>
        <v>Mauricio Zurita Aldea</v>
      </c>
      <c r="E186" s="495"/>
      <c r="F186" s="496" t="str">
        <f>IFERROR(__xludf.DUMMYFUNCTION("""COMPUTED_VALUE"""),"621 - 2026")</f>
        <v>621 - 2026</v>
      </c>
      <c r="G186" s="495"/>
      <c r="H186" s="495"/>
      <c r="I186" s="495"/>
      <c r="J186" s="495" t="str">
        <f>IFERROR(__xludf.DUMMYFUNCTION("""COMPUTED_VALUE"""),"Campus Educación Continua - CEC")</f>
        <v>Campus Educación Continua - CEC</v>
      </c>
      <c r="K186" s="495" t="str">
        <f>IFERROR(__xludf.DUMMYFUNCTION("""COMPUTED_VALUE"""),"01")</f>
        <v>01</v>
      </c>
      <c r="L186" s="495" t="str">
        <f>IFERROR(__xludf.DUMMYFUNCTION("""COMPUTED_VALUE"""),"Gyg servicios spa.")</f>
        <v>Gyg servicios spa.</v>
      </c>
      <c r="M186" s="495" t="str">
        <f>IFERROR(__xludf.DUMMYFUNCTION("""COMPUTED_VALUE"""),"77.215.624-3")</f>
        <v>77.215.624-3</v>
      </c>
      <c r="N186" s="495" t="str">
        <f>IFERROR(__xludf.DUMMYFUNCTION("""COMPUTED_VALUE"""),"Gustavo Fuentes - Supervisor técnico")</f>
        <v>Gustavo Fuentes - Supervisor técnico</v>
      </c>
      <c r="O186" s="495" t="str">
        <f>IFERROR(__xludf.DUMMYFUNCTION("""COMPUTED_VALUE"""),"Mantenciones")</f>
        <v>Mantenciones</v>
      </c>
      <c r="P186" s="495" t="str">
        <f>IFERROR(__xludf.DUMMYFUNCTION("""COMPUTED_VALUE"""),"Instalaciones Eléctricas")</f>
        <v>Instalaciones Eléctricas</v>
      </c>
      <c r="Q186" s="495"/>
      <c r="R186" s="495"/>
      <c r="S186" s="495"/>
      <c r="T186" s="495"/>
      <c r="U186" s="495"/>
      <c r="V186" s="495" t="str">
        <f>IFERROR(__xludf.DUMMYFUNCTION("""COMPUTED_VALUE"""),"Instalación eléctrica")</f>
        <v>Instalación eléctrica</v>
      </c>
      <c r="W186" s="495"/>
      <c r="X186" s="499" t="str">
        <f>IFERROR(__xludf.DUMMYFUNCTION("""COMPUTED_VALUE"""),"https://drive.google.com/open?id=1Ug5ZzegXIyMSySWrRkazj_7YMgALYcwm")</f>
        <v>https://drive.google.com/open?id=1Ug5ZzegXIyMSySWrRkazj_7YMgALYcwm</v>
      </c>
      <c r="Y186" s="495" t="str">
        <f>IFERROR(__xludf.DUMMYFUNCTION("""COMPUTED_VALUE"""),"contacto@gygtecnologias.com")</f>
        <v>contacto@gygtecnologias.com</v>
      </c>
      <c r="Z186" s="498">
        <f>IFERROR(__xludf.DUMMYFUNCTION("""COMPUTED_VALUE"""),631890.0)</f>
        <v>631890</v>
      </c>
      <c r="AA186" s="495"/>
      <c r="AB186" s="495"/>
      <c r="AC186" s="495"/>
      <c r="AD186" s="495" t="str">
        <f>IFERROR(__xludf.DUMMYFUNCTION("""COMPUTED_VALUE"""),"RC-163_26")</f>
        <v>RC-163_26</v>
      </c>
    </row>
    <row r="187">
      <c r="A187" s="495" t="str">
        <f t="shared" si="1"/>
        <v>RC-153</v>
      </c>
      <c r="B187" s="497">
        <f>IFERROR(__xludf.DUMMYFUNCTION("""COMPUTED_VALUE"""),46009.73074675926)</f>
        <v>46009.73075</v>
      </c>
      <c r="C187" s="495" t="str">
        <f>IFERROR(__xludf.DUMMYFUNCTION("""COMPUTED_VALUE"""),"")</f>
        <v/>
      </c>
      <c r="D187" s="495" t="str">
        <f>IFERROR(__xludf.DUMMYFUNCTION("""COMPUTED_VALUE"""),"Juan Ignacio Solís de Ovando")</f>
        <v>Juan Ignacio Solís de Ovando</v>
      </c>
      <c r="E187" s="495"/>
      <c r="F187" s="496" t="str">
        <f>IFERROR(__xludf.DUMMYFUNCTION("""COMPUTED_VALUE"""),"13112-2025")</f>
        <v>13112-2025</v>
      </c>
      <c r="G187" s="495"/>
      <c r="H187" s="495"/>
      <c r="I187" s="495"/>
      <c r="J187" s="495" t="str">
        <f>IFERROR(__xludf.DUMMYFUNCTION("""COMPUTED_VALUE"""),"Campus Dr. Luis Rivas del Canto - CRC")</f>
        <v>Campus Dr. Luis Rivas del Canto - CRC</v>
      </c>
      <c r="K187" s="495">
        <f>IFERROR(__xludf.DUMMYFUNCTION("""COMPUTED_VALUE"""),10.0)</f>
        <v>10</v>
      </c>
      <c r="L187" s="495" t="str">
        <f>IFERROR(__xludf.DUMMYFUNCTION("""COMPUTED_VALUE"""),"Sociedad Comercial Espacio Muebles Ltda")</f>
        <v>Sociedad Comercial Espacio Muebles Ltda</v>
      </c>
      <c r="M187" s="495" t="str">
        <f>IFERROR(__xludf.DUMMYFUNCTION("""COMPUTED_VALUE"""),"77544225-5")</f>
        <v>77544225-5</v>
      </c>
      <c r="N187" s="495" t="str">
        <f>IFERROR(__xludf.DUMMYFUNCTION("""COMPUTED_VALUE"""),"Luis Emilio Aburto Leiva")</f>
        <v>Luis Emilio Aburto Leiva</v>
      </c>
      <c r="O187" s="495" t="str">
        <f>IFERROR(__xludf.DUMMYFUNCTION("""COMPUTED_VALUE"""),"Obras y Especialidades")</f>
        <v>Obras y Especialidades</v>
      </c>
      <c r="P187" s="495"/>
      <c r="Q187" s="495"/>
      <c r="R187" s="495" t="str">
        <f>IFERROR(__xludf.DUMMYFUNCTION("""COMPUTED_VALUE"""),"Especialidades")</f>
        <v>Especialidades</v>
      </c>
      <c r="S187" s="495" t="str">
        <f>IFERROR(__xludf.DUMMYFUNCTION("""COMPUTED_VALUE"""),"Estado de Pago - EP")</f>
        <v>Estado de Pago - EP</v>
      </c>
      <c r="T187" s="495" t="str">
        <f>IFERROR(__xludf.DUMMYFUNCTION("""COMPUTED_VALUE"""),"0 (Anticipo)")</f>
        <v>0 (Anticipo)</v>
      </c>
      <c r="U187" s="498">
        <f>IFERROR(__xludf.DUMMYFUNCTION("""COMPUTED_VALUE"""),5566820.0)</f>
        <v>5566820</v>
      </c>
      <c r="V187" s="495" t="str">
        <f>IFERROR(__xludf.DUMMYFUNCTION("""COMPUTED_VALUE"""),"Armado e instalación de mobiliario")</f>
        <v>Armado e instalación de mobiliario</v>
      </c>
      <c r="W187" s="495"/>
      <c r="X187" s="499" t="str">
        <f>IFERROR(__xludf.DUMMYFUNCTION("""COMPUTED_VALUE"""),"https://drive.google.com/open?id=1cdVNMs-o5I4bgJhKBltGh9ejgMt4HKa0")</f>
        <v>https://drive.google.com/open?id=1cdVNMs-o5I4bgJhKBltGh9ejgMt4HKa0</v>
      </c>
      <c r="Y187" s="495" t="str">
        <f>IFERROR(__xludf.DUMMYFUNCTION("""COMPUTED_VALUE"""),"contacto.espaciomuebles@gmail.com")</f>
        <v>contacto.espaciomuebles@gmail.com</v>
      </c>
      <c r="Z187" s="495"/>
      <c r="AA187" s="495"/>
      <c r="AB187" s="495"/>
      <c r="AC187" s="495"/>
      <c r="AD187" s="495" t="str">
        <f>IFERROR(__xludf.DUMMYFUNCTION("""COMPUTED_VALUE"""),"RC-153")</f>
        <v>RC-153</v>
      </c>
    </row>
    <row r="188">
      <c r="A188" s="495" t="str">
        <f t="shared" si="1"/>
        <v>RC-162_26</v>
      </c>
      <c r="B188" s="497">
        <f>IFERROR(__xludf.DUMMYFUNCTION("""COMPUTED_VALUE"""),46153.56555277778)</f>
        <v>46153.56555</v>
      </c>
      <c r="C188" s="495" t="str">
        <f>IFERROR(__xludf.DUMMYFUNCTION("""COMPUTED_VALUE"""),"")</f>
        <v/>
      </c>
      <c r="D188" s="495" t="str">
        <f>IFERROR(__xludf.DUMMYFUNCTION("""COMPUTED_VALUE"""),"Mauricio Zurita Aldea")</f>
        <v>Mauricio Zurita Aldea</v>
      </c>
      <c r="E188" s="495"/>
      <c r="F188" s="496" t="str">
        <f>IFERROR(__xludf.DUMMYFUNCTION("""COMPUTED_VALUE"""),"3387-2026")</f>
        <v>3387-2026</v>
      </c>
      <c r="G188" s="495"/>
      <c r="H188" s="495"/>
      <c r="I188" s="495"/>
      <c r="J188" s="495" t="str">
        <f>IFERROR(__xludf.DUMMYFUNCTION("""COMPUTED_VALUE"""),"Campus Pillanlelbun - CPL")</f>
        <v>Campus Pillanlelbun - CPL</v>
      </c>
      <c r="K188" s="495" t="str">
        <f>IFERROR(__xludf.DUMMYFUNCTION("""COMPUTED_VALUE"""),"Exterior")</f>
        <v>Exterior</v>
      </c>
      <c r="L188" s="495" t="str">
        <f>IFERROR(__xludf.DUMMYFUNCTION("""COMPUTED_VALUE"""),"GATICAR SPA")</f>
        <v>GATICAR SPA</v>
      </c>
      <c r="M188" s="495" t="str">
        <f>IFERROR(__xludf.DUMMYFUNCTION("""COMPUTED_VALUE"""),"77.578.487-3")</f>
        <v>77.578.487-3</v>
      </c>
      <c r="N188" s="495" t="str">
        <f>IFERROR(__xludf.DUMMYFUNCTION("""COMPUTED_VALUE"""),"HECTOR GATICA")</f>
        <v>HECTOR GATICA</v>
      </c>
      <c r="O188" s="495" t="str">
        <f>IFERROR(__xludf.DUMMYFUNCTION("""COMPUTED_VALUE"""),"Mantenciones")</f>
        <v>Mantenciones</v>
      </c>
      <c r="P188" s="495" t="str">
        <f>IFERROR(__xludf.DUMMYFUNCTION("""COMPUTED_VALUE"""),"Instalaciones Eléctricas")</f>
        <v>Instalaciones Eléctricas</v>
      </c>
      <c r="Q188" s="495"/>
      <c r="R188" s="495"/>
      <c r="S188" s="495"/>
      <c r="T188" s="495"/>
      <c r="U188" s="495"/>
      <c r="V188" s="495" t="str">
        <f>IFERROR(__xludf.DUMMYFUNCTION("""COMPUTED_VALUE"""),"INSTALACION AEREA DE ALIMENTADOR DE GENERADOR ELECTRICIO PREDIO PILLANLELBUN")</f>
        <v>INSTALACION AEREA DE ALIMENTADOR DE GENERADOR ELECTRICIO PREDIO PILLANLELBUN</v>
      </c>
      <c r="W188" s="495"/>
      <c r="X188" s="495" t="str">
        <f>IFERROR(__xludf.DUMMYFUNCTION("""COMPUTED_VALUE"""),"https://drive.google.com/open?id=1TS44dbJmSx_cT6L0G-MvJx2cLSk5zi57, https://drive.google.com/open?id=1zyu7hRMGIB8DFRA6RKtdvtpItxtlcExQ, https://drive.google.com/open?id=1wyMetNDdhQS4Ye23aexzpaDbiHV-Yieh")</f>
        <v>https://drive.google.com/open?id=1TS44dbJmSx_cT6L0G-MvJx2cLSk5zi57, https://drive.google.com/open?id=1zyu7hRMGIB8DFRA6RKtdvtpItxtlcExQ, https://drive.google.com/open?id=1wyMetNDdhQS4Ye23aexzpaDbiHV-Yieh</v>
      </c>
      <c r="Y188" s="495" t="str">
        <f>IFERROR(__xludf.DUMMYFUNCTION("""COMPUTED_VALUE"""),"gaticavaleria.h@gmail.com")</f>
        <v>gaticavaleria.h@gmail.com</v>
      </c>
      <c r="Z188" s="498">
        <f>IFERROR(__xludf.DUMMYFUNCTION("""COMPUTED_VALUE"""),797300.0)</f>
        <v>797300</v>
      </c>
      <c r="AA188" s="495"/>
      <c r="AB188" s="495"/>
      <c r="AC188" s="495"/>
      <c r="AD188" s="495" t="str">
        <f>IFERROR(__xludf.DUMMYFUNCTION("""COMPUTED_VALUE"""),"RC-162_26")</f>
        <v>RC-162_26</v>
      </c>
    </row>
    <row r="189">
      <c r="A189" s="495" t="str">
        <f t="shared" si="1"/>
        <v>RC-155</v>
      </c>
      <c r="B189" s="497">
        <f>IFERROR(__xludf.DUMMYFUNCTION("""COMPUTED_VALUE"""),46010.545977685186)</f>
        <v>46010.54598</v>
      </c>
      <c r="C189" s="495" t="str">
        <f>IFERROR(__xludf.DUMMYFUNCTION("""COMPUTED_VALUE"""),"")</f>
        <v/>
      </c>
      <c r="D189" s="495" t="str">
        <f>IFERROR(__xludf.DUMMYFUNCTION("""COMPUTED_VALUE"""),"Felipe Anselme Grandón")</f>
        <v>Felipe Anselme Grandón</v>
      </c>
      <c r="E189" s="495"/>
      <c r="F189" s="496">
        <f>IFERROR(__xludf.DUMMYFUNCTION("""COMPUTED_VALUE"""),13102.0)</f>
        <v>13102</v>
      </c>
      <c r="G189" s="495"/>
      <c r="H189" s="495"/>
      <c r="I189" s="495"/>
      <c r="J189" s="495" t="str">
        <f>IFERROR(__xludf.DUMMYFUNCTION("""COMPUTED_VALUE"""),"Campus El Bosque - CBQ")</f>
        <v>Campus El Bosque - CBQ</v>
      </c>
      <c r="K189" s="495" t="str">
        <f>IFERROR(__xludf.DUMMYFUNCTION("""COMPUTED_VALUE"""),"Exterior")</f>
        <v>Exterior</v>
      </c>
      <c r="L189" s="495" t="str">
        <f>IFERROR(__xludf.DUMMYFUNCTION("""COMPUTED_VALUE"""),"Esteban Melo Quiroz")</f>
        <v>Esteban Melo Quiroz</v>
      </c>
      <c r="M189" s="495" t="str">
        <f>IFERROR(__xludf.DUMMYFUNCTION("""COMPUTED_VALUE"""),"15.177.579-9")</f>
        <v>15.177.579-9</v>
      </c>
      <c r="N189" s="495" t="str">
        <f>IFERROR(__xludf.DUMMYFUNCTION("""COMPUTED_VALUE"""),"Esteban Melo")</f>
        <v>Esteban Melo</v>
      </c>
      <c r="O189" s="495" t="str">
        <f>IFERROR(__xludf.DUMMYFUNCTION("""COMPUTED_VALUE"""),"Obras y Especialidades")</f>
        <v>Obras y Especialidades</v>
      </c>
      <c r="P189" s="495"/>
      <c r="Q189" s="495"/>
      <c r="R189" s="495" t="str">
        <f>IFERROR(__xludf.DUMMYFUNCTION("""COMPUTED_VALUE"""),"Exteriores")</f>
        <v>Exteriores</v>
      </c>
      <c r="S189" s="495" t="str">
        <f>IFERROR(__xludf.DUMMYFUNCTION("""COMPUTED_VALUE"""),"Recepción de Obra - RC")</f>
        <v>Recepción de Obra - RC</v>
      </c>
      <c r="T189" s="495"/>
      <c r="U189" s="495"/>
      <c r="V189" s="495" t="str">
        <f>IFERROR(__xludf.DUMMYFUNCTION("""COMPUTED_VALUE"""),"Demarcación y señalización")</f>
        <v>Demarcación y señalización</v>
      </c>
      <c r="W189" s="495"/>
      <c r="X189" s="499" t="str">
        <f>IFERROR(__xludf.DUMMYFUNCTION("""COMPUTED_VALUE"""),"https://drive.google.com/open?id=15R9mdHYLH_jd-on_akkQUHLRkc8dLkK6")</f>
        <v>https://drive.google.com/open?id=15R9mdHYLH_jd-on_akkQUHLRkc8dLkK6</v>
      </c>
      <c r="Y189" s="495" t="str">
        <f>IFERROR(__xludf.DUMMYFUNCTION("""COMPUTED_VALUE"""),"esteban.tco@gmail.com")</f>
        <v>esteban.tco@gmail.com</v>
      </c>
      <c r="Z189" s="495"/>
      <c r="AA189" s="495"/>
      <c r="AB189" s="495"/>
      <c r="AC189" s="495"/>
      <c r="AD189" s="495" t="str">
        <f>IFERROR(__xludf.DUMMYFUNCTION("""COMPUTED_VALUE"""),"RC-155")</f>
        <v>RC-155</v>
      </c>
    </row>
    <row r="190">
      <c r="A190" s="495" t="str">
        <f t="shared" si="1"/>
        <v>RC-161_26</v>
      </c>
      <c r="B190" s="497">
        <f>IFERROR(__xludf.DUMMYFUNCTION("""COMPUTED_VALUE"""),46153.48110527778)</f>
        <v>46153.48111</v>
      </c>
      <c r="C190" s="495" t="str">
        <f>IFERROR(__xludf.DUMMYFUNCTION("""COMPUTED_VALUE"""),"")</f>
        <v/>
      </c>
      <c r="D190" s="495" t="str">
        <f>IFERROR(__xludf.DUMMYFUNCTION("""COMPUTED_VALUE"""),"Mauricio Zurita Aldea")</f>
        <v>Mauricio Zurita Aldea</v>
      </c>
      <c r="E190" s="495"/>
      <c r="F190" s="496" t="str">
        <f>IFERROR(__xludf.DUMMYFUNCTION("""COMPUTED_VALUE"""),"12772-2025")</f>
        <v>12772-2025</v>
      </c>
      <c r="G190" s="495"/>
      <c r="H190" s="495"/>
      <c r="I190" s="495"/>
      <c r="J190" s="495" t="str">
        <f>IFERROR(__xludf.DUMMYFUNCTION("""COMPUTED_VALUE"""),"Campus San Francisco - CSF")</f>
        <v>Campus San Francisco - CSF</v>
      </c>
      <c r="K190" s="495">
        <f>IFERROR(__xludf.DUMMYFUNCTION("""COMPUTED_VALUE"""),21.0)</f>
        <v>21</v>
      </c>
      <c r="L190" s="495" t="str">
        <f>IFERROR(__xludf.DUMMYFUNCTION("""COMPUTED_VALUE"""),"INGENIERIA Y CONSTRUCCIONES ELEKTRICA SPA")</f>
        <v>INGENIERIA Y CONSTRUCCIONES ELEKTRICA SPA</v>
      </c>
      <c r="M190" s="495" t="str">
        <f>IFERROR(__xludf.DUMMYFUNCTION("""COMPUTED_VALUE"""),"76.884.395-3")</f>
        <v>76.884.395-3</v>
      </c>
      <c r="N190" s="495" t="str">
        <f>IFERROR(__xludf.DUMMYFUNCTION("""COMPUTED_VALUE"""),"Marco Paine Salgado-Gerente")</f>
        <v>Marco Paine Salgado-Gerente</v>
      </c>
      <c r="O190" s="495" t="str">
        <f>IFERROR(__xludf.DUMMYFUNCTION("""COMPUTED_VALUE"""),"Mantenciones")</f>
        <v>Mantenciones</v>
      </c>
      <c r="P190" s="495" t="str">
        <f>IFERROR(__xludf.DUMMYFUNCTION("""COMPUTED_VALUE"""),"Instalaciones Eléctricas")</f>
        <v>Instalaciones Eléctricas</v>
      </c>
      <c r="Q190" s="495"/>
      <c r="R190" s="495"/>
      <c r="S190" s="495"/>
      <c r="T190" s="495"/>
      <c r="U190" s="495"/>
      <c r="V190" s="495" t="str">
        <f>IFERROR(__xludf.DUMMYFUNCTION("""COMPUTED_VALUE"""),"EEPP#2 y final por 50% de obra: REMODELACION DE INSTALACIONES ELECTRICAS DE SALA CSF21_230 PARA LABORATORIO CARRERA TUINF., Realizado el mes de FEBRERO 2026")</f>
        <v>EEPP#2 y final por 50% de obra: REMODELACION DE INSTALACIONES ELECTRICAS DE SALA CSF21_230 PARA LABORATORIO CARRERA TUINF., Realizado el mes de FEBRERO 2026</v>
      </c>
      <c r="W190" s="495"/>
      <c r="X190" s="495" t="str">
        <f>IFERROR(__xludf.DUMMYFUNCTION("""COMPUTED_VALUE"""),"https://drive.google.com/open?id=1OxxDrlaNxLGls7vI92Uw9-84qK9Zfv4W, https://drive.google.com/open?id=1n3tX76I6wA2_AGrZwv6DvH6QB5c279Eg, https://drive.google.com/open?id=1OG9-WBp_KsYQ7JaSnXqqB_ubIgd7HXrD, https://drive.google.com/open?id=1jMyTWPvCFGHUOfktJ"&amp;"nsFkdpKXvuhqaix, https://drive.google.com/open?id=10aKi7yEU-XhmTrzjs0nbbU_PMOrmiOwR")</f>
        <v>https://drive.google.com/open?id=1OxxDrlaNxLGls7vI92Uw9-84qK9Zfv4W, https://drive.google.com/open?id=1n3tX76I6wA2_AGrZwv6DvH6QB5c279Eg, https://drive.google.com/open?id=1OG9-WBp_KsYQ7JaSnXqqB_ubIgd7HXrD, https://drive.google.com/open?id=1jMyTWPvCFGHUOfktJnsFkdpKXvuhqaix, https://drive.google.com/open?id=10aKi7yEU-XhmTrzjs0nbbU_PMOrmiOwR</v>
      </c>
      <c r="Y190" s="495" t="str">
        <f>IFERROR(__xludf.DUMMYFUNCTION("""COMPUTED_VALUE"""),"marcopaine@gmail.com")</f>
        <v>marcopaine@gmail.com</v>
      </c>
      <c r="Z190" s="498">
        <f>IFERROR(__xludf.DUMMYFUNCTION("""COMPUTED_VALUE"""),6811133.0)</f>
        <v>6811133</v>
      </c>
      <c r="AA190" s="495"/>
      <c r="AB190" s="495"/>
      <c r="AC190" s="495"/>
      <c r="AD190" s="495" t="str">
        <f>IFERROR(__xludf.DUMMYFUNCTION("""COMPUTED_VALUE"""),"RC-161_26")</f>
        <v>RC-161_26</v>
      </c>
    </row>
    <row r="191">
      <c r="A191" s="495" t="str">
        <f t="shared" si="1"/>
        <v>RC-160_26</v>
      </c>
      <c r="B191" s="497">
        <f>IFERROR(__xludf.DUMMYFUNCTION("""COMPUTED_VALUE"""),46149.71472542824)</f>
        <v>46149.71473</v>
      </c>
      <c r="C191" s="495" t="str">
        <f>IFERROR(__xludf.DUMMYFUNCTION("""COMPUTED_VALUE"""),"")</f>
        <v/>
      </c>
      <c r="D191" s="495" t="str">
        <f>IFERROR(__xludf.DUMMYFUNCTION("""COMPUTED_VALUE"""),"Felipe Anselme Grandón")</f>
        <v>Felipe Anselme Grandón</v>
      </c>
      <c r="E191" s="495"/>
      <c r="F191" s="496" t="str">
        <f>IFERROR(__xludf.DUMMYFUNCTION("""COMPUTED_VALUE"""),"3395 - 2026")</f>
        <v>3395 - 2026</v>
      </c>
      <c r="G191" s="495"/>
      <c r="H191" s="495"/>
      <c r="I191" s="495"/>
      <c r="J191" s="495" t="str">
        <f>IFERROR(__xludf.DUMMYFUNCTION("""COMPUTED_VALUE"""),"Campus San Francisco - CSF")</f>
        <v>Campus San Francisco - CSF</v>
      </c>
      <c r="K191" s="495" t="str">
        <f>IFERROR(__xludf.DUMMYFUNCTION("""COMPUTED_VALUE"""),"09")</f>
        <v>09</v>
      </c>
      <c r="L191" s="495" t="str">
        <f>IFERROR(__xludf.DUMMYFUNCTION("""COMPUTED_VALUE"""),"Empresa Constructora IGECE Ltda.")</f>
        <v>Empresa Constructora IGECE Ltda.</v>
      </c>
      <c r="M191" s="495" t="str">
        <f>IFERROR(__xludf.DUMMYFUNCTION("""COMPUTED_VALUE"""),"76.878.824-3")</f>
        <v>76.878.824-3</v>
      </c>
      <c r="N191" s="495" t="str">
        <f>IFERROR(__xludf.DUMMYFUNCTION("""COMPUTED_VALUE"""),"Carlos Troncoso - Gerente General ")</f>
        <v>Carlos Troncoso - Gerente General </v>
      </c>
      <c r="O191" s="495" t="str">
        <f>IFERROR(__xludf.DUMMYFUNCTION("""COMPUTED_VALUE"""),"Mantenciones")</f>
        <v>Mantenciones</v>
      </c>
      <c r="P191" s="495" t="str">
        <f>IFERROR(__xludf.DUMMYFUNCTION("""COMPUTED_VALUE"""),"Cubiertas")</f>
        <v>Cubiertas</v>
      </c>
      <c r="Q191" s="495"/>
      <c r="R191" s="495"/>
      <c r="S191" s="495"/>
      <c r="T191" s="495"/>
      <c r="U191" s="495"/>
      <c r="V191" s="495" t="str">
        <f>IFERROR(__xludf.DUMMYFUNCTION("""COMPUTED_VALUE"""),"Reparación Filtración: Retiro planchas policarbonato en encuentro pilares,
reinstalación planchas policarbonato y sello poliuretano en encuentro
pilares.")</f>
        <v>Reparación Filtración: Retiro planchas policarbonato en encuentro pilares,
reinstalación planchas policarbonato y sello poliuretano en encuentro
pilares.</v>
      </c>
      <c r="W191" s="495"/>
      <c r="X191" s="495" t="str">
        <f>IFERROR(__xludf.DUMMYFUNCTION("""COMPUTED_VALUE"""),"https://drive.google.com/open?id=13JZF1ahjVEsMRSDuMpWjOLCI6E0lhGCa, https://drive.google.com/open?id=1Uhvv7sCV-f-HxeEg78lCODyprX2_L30v, https://drive.google.com/open?id=1NZulYh8nwW8XM4y_UKVoYlwyvN2aNupS")</f>
        <v>https://drive.google.com/open?id=13JZF1ahjVEsMRSDuMpWjOLCI6E0lhGCa, https://drive.google.com/open?id=1Uhvv7sCV-f-HxeEg78lCODyprX2_L30v, https://drive.google.com/open?id=1NZulYh8nwW8XM4y_UKVoYlwyvN2aNupS</v>
      </c>
      <c r="Y191" s="495" t="str">
        <f>IFERROR(__xludf.DUMMYFUNCTION("""COMPUTED_VALUE"""),"fabian.i.burgos.s@gmail.com")</f>
        <v>fabian.i.burgos.s@gmail.com</v>
      </c>
      <c r="Z191" s="498">
        <f>IFERROR(__xludf.DUMMYFUNCTION("""COMPUTED_VALUE"""),145226.0)</f>
        <v>145226</v>
      </c>
      <c r="AA191" s="495"/>
      <c r="AB191" s="495"/>
      <c r="AC191" s="495"/>
      <c r="AD191" s="495" t="str">
        <f>IFERROR(__xludf.DUMMYFUNCTION("""COMPUTED_VALUE"""),"RC-160_26")</f>
        <v>RC-160_26</v>
      </c>
    </row>
    <row r="192">
      <c r="A192" s="495" t="str">
        <f t="shared" si="1"/>
        <v>RC-154_26</v>
      </c>
      <c r="B192" s="497">
        <f>IFERROR(__xludf.DUMMYFUNCTION("""COMPUTED_VALUE"""),46149.42290746528)</f>
        <v>46149.42291</v>
      </c>
      <c r="C192" s="495" t="str">
        <f>IFERROR(__xludf.DUMMYFUNCTION("""COMPUTED_VALUE"""),"")</f>
        <v/>
      </c>
      <c r="D192" s="495" t="str">
        <f>IFERROR(__xludf.DUMMYFUNCTION("""COMPUTED_VALUE"""),"Mauricio Zurita Aldea")</f>
        <v>Mauricio Zurita Aldea</v>
      </c>
      <c r="E192" s="495"/>
      <c r="F192" s="496" t="str">
        <f>IFERROR(__xludf.DUMMYFUNCTION("""COMPUTED_VALUE"""),"2641 - 2026")</f>
        <v>2641 - 2026</v>
      </c>
      <c r="G192" s="495"/>
      <c r="H192" s="495"/>
      <c r="I192" s="495"/>
      <c r="J192" s="495" t="str">
        <f>IFERROR(__xludf.DUMMYFUNCTION("""COMPUTED_VALUE"""),"Campus San Francisco - CSF")</f>
        <v>Campus San Francisco - CSF</v>
      </c>
      <c r="K192" s="495" t="str">
        <f>IFERROR(__xludf.DUMMYFUNCTION("""COMPUTED_VALUE"""),"01")</f>
        <v>01</v>
      </c>
      <c r="L192" s="495" t="str">
        <f>IFERROR(__xludf.DUMMYFUNCTION("""COMPUTED_VALUE"""),"Gyg servicios spa")</f>
        <v>Gyg servicios spa</v>
      </c>
      <c r="M192" s="495" t="str">
        <f>IFERROR(__xludf.DUMMYFUNCTION("""COMPUTED_VALUE"""),"77.215.624-3")</f>
        <v>77.215.624-3</v>
      </c>
      <c r="N192" s="495" t="str">
        <f>IFERROR(__xludf.DUMMYFUNCTION("""COMPUTED_VALUE"""),"Gustavo Fuentes - Supervisor Técnico")</f>
        <v>Gustavo Fuentes - Supervisor Técnico</v>
      </c>
      <c r="O192" s="495" t="str">
        <f>IFERROR(__xludf.DUMMYFUNCTION("""COMPUTED_VALUE"""),"Mantenciones")</f>
        <v>Mantenciones</v>
      </c>
      <c r="P192" s="495" t="str">
        <f>IFERROR(__xludf.DUMMYFUNCTION("""COMPUTED_VALUE"""),"Instalaciones Eléctricas")</f>
        <v>Instalaciones Eléctricas</v>
      </c>
      <c r="Q192" s="495"/>
      <c r="R192" s="495"/>
      <c r="S192" s="495"/>
      <c r="T192" s="495"/>
      <c r="U192" s="495"/>
      <c r="V192" s="495" t="str">
        <f>IFERROR(__xludf.DUMMYFUNCTION("""COMPUTED_VALUE"""),"Instalacion de citófono con chapa eléctrica")</f>
        <v>Instalacion de citófono con chapa eléctrica</v>
      </c>
      <c r="W192" s="495"/>
      <c r="X192" s="495" t="str">
        <f>IFERROR(__xludf.DUMMYFUNCTION("""COMPUTED_VALUE"""),"https://drive.google.com/open?id=1cvZ72N5PQODJsgN41-P1nyFXITDwbpwY, https://drive.google.com/open?id=1jz6P6f_poRqO_Zj7PMXzCCn7xVcOxsPl, https://drive.google.com/open?id=1COokLXj4anJggW9IXX0MASwgyRLPZyry")</f>
        <v>https://drive.google.com/open?id=1cvZ72N5PQODJsgN41-P1nyFXITDwbpwY, https://drive.google.com/open?id=1jz6P6f_poRqO_Zj7PMXzCCn7xVcOxsPl, https://drive.google.com/open?id=1COokLXj4anJggW9IXX0MASwgyRLPZyry</v>
      </c>
      <c r="Y192" s="495" t="str">
        <f>IFERROR(__xludf.DUMMYFUNCTION("""COMPUTED_VALUE"""),"contacto@gygtecnologias.com")</f>
        <v>contacto@gygtecnologias.com</v>
      </c>
      <c r="Z192" s="498">
        <f>IFERROR(__xludf.DUMMYFUNCTION("""COMPUTED_VALUE"""),799680.0)</f>
        <v>799680</v>
      </c>
      <c r="AA192" s="495"/>
      <c r="AB192" s="495"/>
      <c r="AC192" s="495"/>
      <c r="AD192" s="495" t="str">
        <f>IFERROR(__xludf.DUMMYFUNCTION("""COMPUTED_VALUE"""),"RC-154_26")</f>
        <v>RC-154_26</v>
      </c>
    </row>
    <row r="193">
      <c r="A193" s="495" t="str">
        <f t="shared" si="1"/>
        <v>RC-153_26</v>
      </c>
      <c r="B193" s="497">
        <f>IFERROR(__xludf.DUMMYFUNCTION("""COMPUTED_VALUE"""),46149.40046524306)</f>
        <v>46149.40047</v>
      </c>
      <c r="C193" s="495" t="str">
        <f>IFERROR(__xludf.DUMMYFUNCTION("""COMPUTED_VALUE"""),"")</f>
        <v/>
      </c>
      <c r="D193" s="495" t="str">
        <f>IFERROR(__xludf.DUMMYFUNCTION("""COMPUTED_VALUE"""),"Mauricio Matus Belmar")</f>
        <v>Mauricio Matus Belmar</v>
      </c>
      <c r="E193" s="495"/>
      <c r="F193" s="496" t="str">
        <f>IFERROR(__xludf.DUMMYFUNCTION("""COMPUTED_VALUE"""),"2257-2026")</f>
        <v>2257-2026</v>
      </c>
      <c r="G193" s="495"/>
      <c r="H193" s="495"/>
      <c r="I193" s="495"/>
      <c r="J193" s="495" t="str">
        <f>IFERROR(__xludf.DUMMYFUNCTION("""COMPUTED_VALUE"""),"Campus San Francisco - CSF")</f>
        <v>Campus San Francisco - CSF</v>
      </c>
      <c r="K193" s="495" t="str">
        <f>IFERROR(__xludf.DUMMYFUNCTION("""COMPUTED_VALUE"""),"07")</f>
        <v>07</v>
      </c>
      <c r="L193" s="495" t="str">
        <f>IFERROR(__xludf.DUMMYFUNCTION("""COMPUTED_VALUE"""),"MR ELECTROCLIMA SPA")</f>
        <v>MR ELECTROCLIMA SPA</v>
      </c>
      <c r="M193" s="495" t="str">
        <f>IFERROR(__xludf.DUMMYFUNCTION("""COMPUTED_VALUE"""),"77.773.634-5")</f>
        <v>77.773.634-5</v>
      </c>
      <c r="N193" s="495" t="str">
        <f>IFERROR(__xludf.DUMMYFUNCTION("""COMPUTED_VALUE"""),"Patricio Manriquez Riffo")</f>
        <v>Patricio Manriquez Riffo</v>
      </c>
      <c r="O193" s="495" t="str">
        <f>IFERROR(__xludf.DUMMYFUNCTION("""COMPUTED_VALUE"""),"Mantenciones")</f>
        <v>Mantenciones</v>
      </c>
      <c r="P193" s="495" t="str">
        <f>IFERROR(__xludf.DUMMYFUNCTION("""COMPUTED_VALUE"""),"Ventilacion")</f>
        <v>Ventilacion</v>
      </c>
      <c r="Q193" s="495"/>
      <c r="R193" s="495"/>
      <c r="S193" s="495"/>
      <c r="T193" s="495"/>
      <c r="U193" s="495"/>
      <c r="V193" s="495" t="str">
        <f>IFERROR(__xludf.DUMMYFUNCTION("""COMPUTED_VALUE"""),"Mantenimiento preventivo equipos aire acondicionado tipo Fan Coil, incluye equipos de edificio 5, 7 y 10. Limpieza y desinfección, revisión eléctrica y revisión mecánica.")</f>
        <v>Mantenimiento preventivo equipos aire acondicionado tipo Fan Coil, incluye equipos de edificio 5, 7 y 10. Limpieza y desinfección, revisión eléctrica y revisión mecánica.</v>
      </c>
      <c r="W193" s="495" t="str">
        <f>IFERROR(__xludf.DUMMYFUNCTION("""COMPUTED_VALUE"""),"Aumentar periodo de Mantenimiento preventivo a 180 días.")</f>
        <v>Aumentar periodo de Mantenimiento preventivo a 180 días.</v>
      </c>
      <c r="X193" s="495" t="str">
        <f>IFERROR(__xludf.DUMMYFUNCTION("""COMPUTED_VALUE"""),"https://drive.google.com/open?id=1fmZ14REjeEl7dFEHFgK6xBJMAfFre_og, https://drive.google.com/open?id=1IYP5D-imb8af-Wt6Xp64uYIYn9kLM-yA, https://drive.google.com/open?id=1kW6qPuAF5IGtn68VLLVMgx9FOaAw6hwU, https://drive.google.com/open?id=11VgEhQssgNZL8JF43"&amp;"bGhFRtbzVshhsYp, https://drive.google.com/open?id=1--m8Mks8IQTkAGCYejLyP2WaAdetD6EA")</f>
        <v>https://drive.google.com/open?id=1fmZ14REjeEl7dFEHFgK6xBJMAfFre_og, https://drive.google.com/open?id=1IYP5D-imb8af-Wt6Xp64uYIYn9kLM-yA, https://drive.google.com/open?id=1kW6qPuAF5IGtn68VLLVMgx9FOaAw6hwU, https://drive.google.com/open?id=11VgEhQssgNZL8JF43bGhFRtbzVshhsYp, https://drive.google.com/open?id=1--m8Mks8IQTkAGCYejLyP2WaAdetD6EA</v>
      </c>
      <c r="Y193" s="495" t="str">
        <f>IFERROR(__xludf.DUMMYFUNCTION("""COMPUTED_VALUE"""),"luismanriquez555@gmail.com")</f>
        <v>luismanriquez555@gmail.com</v>
      </c>
      <c r="Z193" s="498">
        <f>IFERROR(__xludf.DUMMYFUNCTION("""COMPUTED_VALUE"""),1607809.0)</f>
        <v>1607809</v>
      </c>
      <c r="AA193" s="495"/>
      <c r="AB193" s="495"/>
      <c r="AC193" s="495"/>
      <c r="AD193" s="495" t="str">
        <f>IFERROR(__xludf.DUMMYFUNCTION("""COMPUTED_VALUE"""),"RC-153_26")</f>
        <v>RC-153_26</v>
      </c>
    </row>
    <row r="194">
      <c r="A194" s="495" t="str">
        <f t="shared" si="1"/>
        <v>RC-151_26</v>
      </c>
      <c r="B194" s="497">
        <f>IFERROR(__xludf.DUMMYFUNCTION("""COMPUTED_VALUE"""),46148.41239459491)</f>
        <v>46148.41239</v>
      </c>
      <c r="C194" s="495" t="str">
        <f>IFERROR(__xludf.DUMMYFUNCTION("""COMPUTED_VALUE"""),"")</f>
        <v/>
      </c>
      <c r="D194" s="495" t="str">
        <f>IFERROR(__xludf.DUMMYFUNCTION("""COMPUTED_VALUE"""),"Mauricio Matus Belmar")</f>
        <v>Mauricio Matus Belmar</v>
      </c>
      <c r="E194" s="495"/>
      <c r="F194" s="496" t="str">
        <f>IFERROR(__xludf.DUMMYFUNCTION("""COMPUTED_VALUE"""),"3084 - 2026")</f>
        <v>3084 - 2026</v>
      </c>
      <c r="G194" s="495"/>
      <c r="H194" s="495"/>
      <c r="I194" s="495"/>
      <c r="J194" s="495" t="str">
        <f>IFERROR(__xludf.DUMMYFUNCTION("""COMPUTED_VALUE"""),"Campus San Juan Pablo II - CJP")</f>
        <v>Campus San Juan Pablo II - CJP</v>
      </c>
      <c r="K194" s="495">
        <f>IFERROR(__xludf.DUMMYFUNCTION("""COMPUTED_VALUE"""),10.0)</f>
        <v>10</v>
      </c>
      <c r="L194" s="495" t="str">
        <f>IFERROR(__xludf.DUMMYFUNCTION("""COMPUTED_VALUE"""),"Empresa Constructora Igece Ltda.")</f>
        <v>Empresa Constructora Igece Ltda.</v>
      </c>
      <c r="M194" s="495" t="str">
        <f>IFERROR(__xludf.DUMMYFUNCTION("""COMPUTED_VALUE"""),"76.878.824-3")</f>
        <v>76.878.824-3</v>
      </c>
      <c r="N194" s="495" t="str">
        <f>IFERROR(__xludf.DUMMYFUNCTION("""COMPUTED_VALUE"""),"Carlos Troncoso - Gerente General ")</f>
        <v>Carlos Troncoso - Gerente General </v>
      </c>
      <c r="O194" s="495" t="str">
        <f>IFERROR(__xludf.DUMMYFUNCTION("""COMPUTED_VALUE"""),"Mantenciones")</f>
        <v>Mantenciones</v>
      </c>
      <c r="P194" s="495" t="str">
        <f>IFERROR(__xludf.DUMMYFUNCTION("""COMPUTED_VALUE"""),"Terminaciones Interiores")</f>
        <v>Terminaciones Interiores</v>
      </c>
      <c r="Q194" s="495"/>
      <c r="R194" s="495"/>
      <c r="S194" s="495"/>
      <c r="T194" s="495"/>
      <c r="U194" s="495"/>
      <c r="V194" s="495" t="str">
        <f>IFERROR(__xludf.DUMMYFUNCTION("""COMPUTED_VALUE"""),"Retiro 45 m2 piso flotante dañado - Retiro 12 m2 alfombra - Selección y traslado piso Vinílico - Instalación 45 m2 Piso Vinílico - Instalación 12 m2 alfombra nueva")</f>
        <v>Retiro 45 m2 piso flotante dañado - Retiro 12 m2 alfombra - Selección y traslado piso Vinílico - Instalación 45 m2 Piso Vinílico - Instalación 12 m2 alfombra nueva</v>
      </c>
      <c r="W194" s="495"/>
      <c r="X194" s="495" t="str">
        <f>IFERROR(__xludf.DUMMYFUNCTION("""COMPUTED_VALUE"""),"https://drive.google.com/open?id=1gd_1B3RVmol3yzbzS1TLE-CLRBuuXa27, https://drive.google.com/open?id=1wZerH2FGQ9FX6ymQ0vXHww8wKfGSCMVV, https://drive.google.com/open?id=1HlvvRhANOjGRCFta3ihzHZfk6x85ECX_, https://drive.google.com/open?id=1wbySVGSHKLN6PZkIx"&amp;"1EIdd7FYyz98Z6W, https://drive.google.com/open?id=16vbc4MM8O0gWYPaKJqy0bJxg-dLuYcIK, https://drive.google.com/open?id=19Dx3IXOOluuxARfVqMpCYAxl3KtQM9Lk, https://drive.google.com/open?id=1mAH1MT7q-h_LF_wo-9K8bbqm7jjTPZOB, https://drive.google.com/open?id=1"&amp;"J5m06I4oUvm5r0XLwIDD512PRQhfpoml, https://drive.google.com/open?id=1J760N6bBMOUAy71NR537jjr3Iihq8SGl")</f>
        <v>https://drive.google.com/open?id=1gd_1B3RVmol3yzbzS1TLE-CLRBuuXa27, https://drive.google.com/open?id=1wZerH2FGQ9FX6ymQ0vXHww8wKfGSCMVV, https://drive.google.com/open?id=1HlvvRhANOjGRCFta3ihzHZfk6x85ECX_, https://drive.google.com/open?id=1wbySVGSHKLN6PZkIx1EIdd7FYyz98Z6W, https://drive.google.com/open?id=16vbc4MM8O0gWYPaKJqy0bJxg-dLuYcIK, https://drive.google.com/open?id=19Dx3IXOOluuxARfVqMpCYAxl3KtQM9Lk, https://drive.google.com/open?id=1mAH1MT7q-h_LF_wo-9K8bbqm7jjTPZOB, https://drive.google.com/open?id=1J5m06I4oUvm5r0XLwIDD512PRQhfpoml, https://drive.google.com/open?id=1J760N6bBMOUAy71NR537jjr3Iihq8SGl</v>
      </c>
      <c r="Y194" s="495" t="str">
        <f>IFERROR(__xludf.DUMMYFUNCTION("""COMPUTED_VALUE"""),"fabian.i.burgos.s@gmil.com")</f>
        <v>fabian.i.burgos.s@gmil.com</v>
      </c>
      <c r="Z194" s="498">
        <f>IFERROR(__xludf.DUMMYFUNCTION("""COMPUTED_VALUE"""),1421544.0)</f>
        <v>1421544</v>
      </c>
      <c r="AA194" s="495"/>
      <c r="AB194" s="495"/>
      <c r="AC194" s="495"/>
      <c r="AD194" s="495" t="str">
        <f>IFERROR(__xludf.DUMMYFUNCTION("""COMPUTED_VALUE"""),"RC-151_26")</f>
        <v>RC-151_26</v>
      </c>
    </row>
    <row r="195">
      <c r="A195" s="495" t="str">
        <f t="shared" si="1"/>
        <v>RC-149_26</v>
      </c>
      <c r="B195" s="497">
        <f>IFERROR(__xludf.DUMMYFUNCTION("""COMPUTED_VALUE"""),46147.75376798611)</f>
        <v>46147.75377</v>
      </c>
      <c r="C195" s="495" t="str">
        <f>IFERROR(__xludf.DUMMYFUNCTION("""COMPUTED_VALUE"""),"")</f>
        <v/>
      </c>
      <c r="D195" s="495" t="str">
        <f>IFERROR(__xludf.DUMMYFUNCTION("""COMPUTED_VALUE"""),"Mauricio Matus Belmar")</f>
        <v>Mauricio Matus Belmar</v>
      </c>
      <c r="E195" s="495"/>
      <c r="F195" s="496" t="str">
        <f>IFERROR(__xludf.DUMMYFUNCTION("""COMPUTED_VALUE"""),"2725-2026")</f>
        <v>2725-2026</v>
      </c>
      <c r="G195" s="495"/>
      <c r="H195" s="495"/>
      <c r="I195" s="495"/>
      <c r="J195" s="495" t="str">
        <f>IFERROR(__xludf.DUMMYFUNCTION("""COMPUTED_VALUE"""),"Campus Pillanlelbun - CPL")</f>
        <v>Campus Pillanlelbun - CPL</v>
      </c>
      <c r="K195" s="495" t="str">
        <f>IFERROR(__xludf.DUMMYFUNCTION("""COMPUTED_VALUE"""),"Exterior")</f>
        <v>Exterior</v>
      </c>
      <c r="L195" s="495" t="str">
        <f>IFERROR(__xludf.DUMMYFUNCTION("""COMPUTED_VALUE"""),"GATICAR SPA")</f>
        <v>GATICAR SPA</v>
      </c>
      <c r="M195" s="495" t="str">
        <f>IFERROR(__xludf.DUMMYFUNCTION("""COMPUTED_VALUE"""),"77.578.487-3")</f>
        <v>77.578.487-3</v>
      </c>
      <c r="N195" s="495" t="str">
        <f>IFERROR(__xludf.DUMMYFUNCTION("""COMPUTED_VALUE"""),"HECTOR GATICA ")</f>
        <v>HECTOR GATICA </v>
      </c>
      <c r="O195" s="495" t="str">
        <f>IFERROR(__xludf.DUMMYFUNCTION("""COMPUTED_VALUE"""),"Mantenciones")</f>
        <v>Mantenciones</v>
      </c>
      <c r="P195" s="495" t="str">
        <f>IFERROR(__xludf.DUMMYFUNCTION("""COMPUTED_VALUE"""),"Instalaciones de Agua Potable")</f>
        <v>Instalaciones de Agua Potable</v>
      </c>
      <c r="Q195" s="495"/>
      <c r="R195" s="495"/>
      <c r="S195" s="495"/>
      <c r="T195" s="495"/>
      <c r="U195" s="495"/>
      <c r="V195" s="495" t="str">
        <f>IFERROR(__xludf.DUMMYFUNCTION("""COMPUTED_VALUE"""),"MANTENCION DE BOMBAS DEL PREDIO DE PILLANLELBUN")</f>
        <v>MANTENCION DE BOMBAS DEL PREDIO DE PILLANLELBUN</v>
      </c>
      <c r="W195" s="495"/>
      <c r="X195" s="495" t="str">
        <f>IFERROR(__xludf.DUMMYFUNCTION("""COMPUTED_VALUE"""),"https://drive.google.com/open?id=1P7Mbm4UpyBzMQiTvDQ-kcBJzsc8ZW4YL, https://drive.google.com/open?id=1Eoq2SZGWg0wWxfN-qOKfGjeNIYE9UL-b, https://drive.google.com/open?id=1GY8BszfGN1yUgfH4Cg6UyYYnHkpr1zR8")</f>
        <v>https://drive.google.com/open?id=1P7Mbm4UpyBzMQiTvDQ-kcBJzsc8ZW4YL, https://drive.google.com/open?id=1Eoq2SZGWg0wWxfN-qOKfGjeNIYE9UL-b, https://drive.google.com/open?id=1GY8BszfGN1yUgfH4Cg6UyYYnHkpr1zR8</v>
      </c>
      <c r="Y195" s="495" t="str">
        <f>IFERROR(__xludf.DUMMYFUNCTION("""COMPUTED_VALUE"""),"serviciogaticar@gmail.com")</f>
        <v>serviciogaticar@gmail.com</v>
      </c>
      <c r="Z195" s="498">
        <f>IFERROR(__xludf.DUMMYFUNCTION("""COMPUTED_VALUE"""),785400.0)</f>
        <v>785400</v>
      </c>
      <c r="AA195" s="495"/>
      <c r="AB195" s="495"/>
      <c r="AC195" s="495"/>
      <c r="AD195" s="495" t="str">
        <f>IFERROR(__xludf.DUMMYFUNCTION("""COMPUTED_VALUE"""),"RC-149_26")</f>
        <v>RC-149_26</v>
      </c>
    </row>
    <row r="196">
      <c r="A196" s="495" t="str">
        <f t="shared" si="1"/>
        <v>RC-148_26</v>
      </c>
      <c r="B196" s="497">
        <f>IFERROR(__xludf.DUMMYFUNCTION("""COMPUTED_VALUE"""),46147.75036002314)</f>
        <v>46147.75036</v>
      </c>
      <c r="C196" s="495" t="str">
        <f>IFERROR(__xludf.DUMMYFUNCTION("""COMPUTED_VALUE"""),"")</f>
        <v/>
      </c>
      <c r="D196" s="495" t="str">
        <f>IFERROR(__xludf.DUMMYFUNCTION("""COMPUTED_VALUE"""),"Mauricio Matus Belmar")</f>
        <v>Mauricio Matus Belmar</v>
      </c>
      <c r="E196" s="495"/>
      <c r="F196" s="496" t="str">
        <f>IFERROR(__xludf.DUMMYFUNCTION("""COMPUTED_VALUE"""),"3140-2026")</f>
        <v>3140-2026</v>
      </c>
      <c r="G196" s="495"/>
      <c r="H196" s="495"/>
      <c r="I196" s="495"/>
      <c r="J196" s="495" t="str">
        <f>IFERROR(__xludf.DUMMYFUNCTION("""COMPUTED_VALUE"""),"Campus Dr. Luis Rivas del Canto - CRC")</f>
        <v>Campus Dr. Luis Rivas del Canto - CRC</v>
      </c>
      <c r="K196" s="495" t="str">
        <f>IFERROR(__xludf.DUMMYFUNCTION("""COMPUTED_VALUE"""),"Exterior")</f>
        <v>Exterior</v>
      </c>
      <c r="L196" s="495" t="str">
        <f>IFERROR(__xludf.DUMMYFUNCTION("""COMPUTED_VALUE"""),"GATICAR")</f>
        <v>GATICAR</v>
      </c>
      <c r="M196" s="495" t="str">
        <f>IFERROR(__xludf.DUMMYFUNCTION("""COMPUTED_VALUE"""),"77.578.487-3")</f>
        <v>77.578.487-3</v>
      </c>
      <c r="N196" s="495" t="str">
        <f>IFERROR(__xludf.DUMMYFUNCTION("""COMPUTED_VALUE"""),"HECTOR GATICA")</f>
        <v>HECTOR GATICA</v>
      </c>
      <c r="O196" s="495" t="str">
        <f>IFERROR(__xludf.DUMMYFUNCTION("""COMPUTED_VALUE"""),"Mantenciones")</f>
        <v>Mantenciones</v>
      </c>
      <c r="P196" s="495" t="str">
        <f>IFERROR(__xludf.DUMMYFUNCTION("""COMPUTED_VALUE"""),"Instalaciones Eléctricas")</f>
        <v>Instalaciones Eléctricas</v>
      </c>
      <c r="Q196" s="495"/>
      <c r="R196" s="495"/>
      <c r="S196" s="495"/>
      <c r="T196" s="495"/>
      <c r="U196" s="495"/>
      <c r="V196" s="495" t="str">
        <f>IFERROR(__xludf.DUMMYFUNCTION("""COMPUTED_VALUE"""),"REPARACION DE SISTEMA ELECTRICO TABLERO 1 PISO ED. VETERINARIA")</f>
        <v>REPARACION DE SISTEMA ELECTRICO TABLERO 1 PISO ED. VETERINARIA</v>
      </c>
      <c r="W196" s="495"/>
      <c r="X196" s="495" t="str">
        <f>IFERROR(__xludf.DUMMYFUNCTION("""COMPUTED_VALUE"""),"https://drive.google.com/open?id=1KqHNT03nf8cstAZiHUt5Q4tC72eOAKTh, https://drive.google.com/open?id=1Tfqy7pTecdFRDpK76voP-mXlPeu1uzG9")</f>
        <v>https://drive.google.com/open?id=1KqHNT03nf8cstAZiHUt5Q4tC72eOAKTh, https://drive.google.com/open?id=1Tfqy7pTecdFRDpK76voP-mXlPeu1uzG9</v>
      </c>
      <c r="Y196" s="495" t="str">
        <f>IFERROR(__xludf.DUMMYFUNCTION("""COMPUTED_VALUE"""),"serviciogaticar@gmail.com")</f>
        <v>serviciogaticar@gmail.com</v>
      </c>
      <c r="Z196" s="498">
        <f>IFERROR(__xludf.DUMMYFUNCTION("""COMPUTED_VALUE"""),571200.0)</f>
        <v>571200</v>
      </c>
      <c r="AA196" s="495"/>
      <c r="AB196" s="495"/>
      <c r="AC196" s="495"/>
      <c r="AD196" s="495" t="str">
        <f>IFERROR(__xludf.DUMMYFUNCTION("""COMPUTED_VALUE"""),"RC-148_26")</f>
        <v>RC-148_26</v>
      </c>
    </row>
    <row r="197">
      <c r="A197" s="495" t="str">
        <f t="shared" si="1"/>
        <v>RC-146_26</v>
      </c>
      <c r="B197" s="497">
        <f>IFERROR(__xludf.DUMMYFUNCTION("""COMPUTED_VALUE"""),46147.53920665509)</f>
        <v>46147.53921</v>
      </c>
      <c r="C197" s="495" t="str">
        <f>IFERROR(__xludf.DUMMYFUNCTION("""COMPUTED_VALUE"""),"")</f>
        <v/>
      </c>
      <c r="D197" s="495" t="str">
        <f>IFERROR(__xludf.DUMMYFUNCTION("""COMPUTED_VALUE"""),"Felipe Anselme Grandón")</f>
        <v>Felipe Anselme Grandón</v>
      </c>
      <c r="E197" s="495"/>
      <c r="F197" s="496" t="str">
        <f>IFERROR(__xludf.DUMMYFUNCTION("""COMPUTED_VALUE"""),"2549 - 2026")</f>
        <v>2549 - 2026</v>
      </c>
      <c r="G197" s="495"/>
      <c r="H197" s="495"/>
      <c r="I197" s="495"/>
      <c r="J197" s="495" t="str">
        <f>IFERROR(__xludf.DUMMYFUNCTION("""COMPUTED_VALUE"""),"Campus San Francisco - CSF")</f>
        <v>Campus San Francisco - CSF</v>
      </c>
      <c r="K197" s="495" t="str">
        <f>IFERROR(__xludf.DUMMYFUNCTION("""COMPUTED_VALUE"""),"09")</f>
        <v>09</v>
      </c>
      <c r="L197" s="495" t="str">
        <f>IFERROR(__xludf.DUMMYFUNCTION("""COMPUTED_VALUE"""),"Empresa Constructora Igece Ltda.")</f>
        <v>Empresa Constructora Igece Ltda.</v>
      </c>
      <c r="M197" s="495" t="str">
        <f>IFERROR(__xludf.DUMMYFUNCTION("""COMPUTED_VALUE"""),"76.878.824-3")</f>
        <v>76.878.824-3</v>
      </c>
      <c r="N197" s="495" t="str">
        <f>IFERROR(__xludf.DUMMYFUNCTION("""COMPUTED_VALUE"""),"Carlos Troncoso - Gerente General ")</f>
        <v>Carlos Troncoso - Gerente General </v>
      </c>
      <c r="O197" s="495" t="str">
        <f>IFERROR(__xludf.DUMMYFUNCTION("""COMPUTED_VALUE"""),"Mantenciones")</f>
        <v>Mantenciones</v>
      </c>
      <c r="P197" s="495" t="str">
        <f>IFERROR(__xludf.DUMMYFUNCTION("""COMPUTED_VALUE"""),"Cubiertas")</f>
        <v>Cubiertas</v>
      </c>
      <c r="Q197" s="495"/>
      <c r="R197" s="495"/>
      <c r="S197" s="495"/>
      <c r="T197" s="495"/>
      <c r="U197" s="495"/>
      <c r="V197" s="495" t="str">
        <f>IFERROR(__xludf.DUMMYFUNCTION("""COMPUTED_VALUE"""),"Reparación Filtración: Retiro hojalatería existente, levantar borde
membrana impermeable, instalación 30 ml nueva hojalatería que cumpla
con traslapes para evitar filtración por rebalse, uniones y sellos con pate
poliuretano.
Orden - Aseo - Retiro Excede"&amp;"ntes: Se Realiza aseo general y retiro de
todo residuo generado por los trabajos, dejando todo en perfectas
condiciones.")</f>
        <v>Reparación Filtración: Retiro hojalatería existente, levantar borde
membrana impermeable, instalación 30 ml nueva hojalatería que cumpla
con traslapes para evitar filtración por rebalse, uniones y sellos con pate
poliuretano.
Orden - Aseo - Retiro Excedentes: Se Realiza aseo general y retiro de
todo residuo generado por los trabajos, dejando todo en perfectas
condiciones.</v>
      </c>
      <c r="W197" s="495"/>
      <c r="X197" s="495" t="str">
        <f>IFERROR(__xludf.DUMMYFUNCTION("""COMPUTED_VALUE"""),"https://drive.google.com/open?id=1CKQ166iH5_xU7omHNsPUVBS9pOaozkTK, https://drive.google.com/open?id=1zf0DQn1FUYUY6bDhcy-BEGRGZMHTCFDP, https://drive.google.com/open?id=10fiL-GKnJcLjT9QihIfQOP0Vy2NM0SPz, https://drive.google.com/open?id=1U4NOXdKTuRZ0yuo7Z"&amp;"iO6buYCG5O0ubRx")</f>
        <v>https://drive.google.com/open?id=1CKQ166iH5_xU7omHNsPUVBS9pOaozkTK, https://drive.google.com/open?id=1zf0DQn1FUYUY6bDhcy-BEGRGZMHTCFDP, https://drive.google.com/open?id=10fiL-GKnJcLjT9QihIfQOP0Vy2NM0SPz, https://drive.google.com/open?id=1U4NOXdKTuRZ0yuo7ZiO6buYCG5O0ubRx</v>
      </c>
      <c r="Y197" s="495" t="str">
        <f>IFERROR(__xludf.DUMMYFUNCTION("""COMPUTED_VALUE"""),"carlostroncosom@hotmail.com")</f>
        <v>carlostroncosom@hotmail.com</v>
      </c>
      <c r="Z197" s="498">
        <f>IFERROR(__xludf.DUMMYFUNCTION("""COMPUTED_VALUE"""),602730.0)</f>
        <v>602730</v>
      </c>
      <c r="AA197" s="495"/>
      <c r="AB197" s="495"/>
      <c r="AC197" s="495"/>
      <c r="AD197" s="495" t="str">
        <f>IFERROR(__xludf.DUMMYFUNCTION("""COMPUTED_VALUE"""),"RC-146_26")</f>
        <v>RC-146_26</v>
      </c>
    </row>
    <row r="198">
      <c r="A198" s="495" t="str">
        <f t="shared" si="1"/>
        <v/>
      </c>
      <c r="B198" s="497">
        <f>IFERROR(__xludf.DUMMYFUNCTION("""COMPUTED_VALUE"""),46013.717813449075)</f>
        <v>46013.71781</v>
      </c>
      <c r="C198" s="495" t="str">
        <f>IFERROR(__xludf.DUMMYFUNCTION("""COMPUTED_VALUE"""),"")</f>
        <v/>
      </c>
      <c r="D198" s="495" t="str">
        <f>IFERROR(__xludf.DUMMYFUNCTION("""COMPUTED_VALUE"""),"Arturo Meza Vega")</f>
        <v>Arturo Meza Vega</v>
      </c>
      <c r="E198" s="495"/>
      <c r="F198" s="496" t="str">
        <f>IFERROR(__xludf.DUMMYFUNCTION("""COMPUTED_VALUE"""),"12319 - 2025")</f>
        <v>12319 - 2025</v>
      </c>
      <c r="G198" s="495"/>
      <c r="H198" s="495"/>
      <c r="I198" s="495"/>
      <c r="J198" s="495" t="str">
        <f>IFERROR(__xludf.DUMMYFUNCTION("""COMPUTED_VALUE"""),"Campus San Francisco - CSF")</f>
        <v>Campus San Francisco - CSF</v>
      </c>
      <c r="K198" s="495" t="str">
        <f>IFERROR(__xludf.DUMMYFUNCTION("""COMPUTED_VALUE"""),"Sin número")</f>
        <v>Sin número</v>
      </c>
      <c r="L198" s="495" t="str">
        <f>IFERROR(__xludf.DUMMYFUNCTION("""COMPUTED_VALUE"""),"Servicios de ingeniería Voltius Ltda")</f>
        <v>Servicios de ingeniería Voltius Ltda</v>
      </c>
      <c r="M198" s="495" t="str">
        <f>IFERROR(__xludf.DUMMYFUNCTION("""COMPUTED_VALUE"""),"77.193.583-4")</f>
        <v>77.193.583-4</v>
      </c>
      <c r="N198" s="495" t="str">
        <f>IFERROR(__xludf.DUMMYFUNCTION("""COMPUTED_VALUE"""),"Jose Espinoza Encargado de proyectos")</f>
        <v>Jose Espinoza Encargado de proyectos</v>
      </c>
      <c r="O198" s="495" t="str">
        <f>IFERROR(__xludf.DUMMYFUNCTION("""COMPUTED_VALUE"""),"Obras y Especialidades")</f>
        <v>Obras y Especialidades</v>
      </c>
      <c r="P198" s="495"/>
      <c r="Q198" s="495"/>
      <c r="R198" s="495" t="str">
        <f>IFERROR(__xludf.DUMMYFUNCTION("""COMPUTED_VALUE"""),"Especialidades")</f>
        <v>Especialidades</v>
      </c>
      <c r="S198" s="495" t="str">
        <f>IFERROR(__xludf.DUMMYFUNCTION("""COMPUTED_VALUE"""),"Estado de Pago - EP")</f>
        <v>Estado de Pago - EP</v>
      </c>
      <c r="T198" s="495">
        <f>IFERROR(__xludf.DUMMYFUNCTION("""COMPUTED_VALUE"""),1.0)</f>
        <v>1</v>
      </c>
      <c r="U198" s="498">
        <f>IFERROR(__xludf.DUMMYFUNCTION("""COMPUTED_VALUE"""),9339239.0)</f>
        <v>9339239</v>
      </c>
      <c r="V198" s="495" t="str">
        <f>IFERROR(__xludf.DUMMYFUNCTION("""COMPUTED_VALUE"""),"Mantenimiento de tableros eléctricos")</f>
        <v>Mantenimiento de tableros eléctricos</v>
      </c>
      <c r="W198" s="495" t="str">
        <f>IFERROR(__xludf.DUMMYFUNCTION("""COMPUTED_VALUE"""),"Adjuntas en informes individuales")</f>
        <v>Adjuntas en informes individuales</v>
      </c>
      <c r="X198" s="495" t="str">
        <f>IFERROR(__xludf.DUMMYFUNCTION("""COMPUTED_VALUE"""),"https://drive.google.com/open?id=1j2qzF2E4t8JcGl3txJbH-_ZR5KRilo4c, https://drive.google.com/open?id=1giM6NLrUjbm_yAMez6_nBXWNYmBJaRYg, https://drive.google.com/open?id=10IEHdLv67ulsXbCBq8bWSK84-vw-vF58, https://drive.google.com/open?id=1htkIEo80Qw25ahU3F"&amp;"tHb139mkxnYwoYo, https://drive.google.com/open?id=1otAjKVa29b2bY-EnlEW-f9KjgFF7kahZ")</f>
        <v>https://drive.google.com/open?id=1j2qzF2E4t8JcGl3txJbH-_ZR5KRilo4c, https://drive.google.com/open?id=1giM6NLrUjbm_yAMez6_nBXWNYmBJaRYg, https://drive.google.com/open?id=10IEHdLv67ulsXbCBq8bWSK84-vw-vF58, https://drive.google.com/open?id=1htkIEo80Qw25ahU3FtHb139mkxnYwoYo, https://drive.google.com/open?id=1otAjKVa29b2bY-EnlEW-f9KjgFF7kahZ</v>
      </c>
      <c r="Y198" s="495" t="str">
        <f>IFERROR(__xludf.DUMMYFUNCTION("""COMPUTED_VALUE"""),"espinoza.aguilera01@gmail.com")</f>
        <v>espinoza.aguilera01@gmail.com</v>
      </c>
      <c r="Z198" s="495"/>
      <c r="AA198" s="495"/>
      <c r="AB198" s="495"/>
      <c r="AC198" s="495"/>
      <c r="AD198" s="495"/>
    </row>
    <row r="199">
      <c r="A199" s="495" t="str">
        <f t="shared" si="1"/>
        <v/>
      </c>
      <c r="B199" s="497">
        <f>IFERROR(__xludf.DUMMYFUNCTION("""COMPUTED_VALUE"""),46014.56736572916)</f>
        <v>46014.56737</v>
      </c>
      <c r="C199" s="495" t="str">
        <f>IFERROR(__xludf.DUMMYFUNCTION("""COMPUTED_VALUE"""),"")</f>
        <v/>
      </c>
      <c r="D199" s="495" t="str">
        <f>IFERROR(__xludf.DUMMYFUNCTION("""COMPUTED_VALUE"""),"Felipe Anselme Grandón")</f>
        <v>Felipe Anselme Grandón</v>
      </c>
      <c r="E199" s="495"/>
      <c r="F199" s="496" t="str">
        <f>IFERROR(__xludf.DUMMYFUNCTION("""COMPUTED_VALUE"""),"13310-2025")</f>
        <v>13310-2025</v>
      </c>
      <c r="G199" s="495"/>
      <c r="H199" s="495"/>
      <c r="I199" s="495"/>
      <c r="J199" s="495" t="str">
        <f>IFERROR(__xludf.DUMMYFUNCTION("""COMPUTED_VALUE"""),"Campus San Nicolás (Curacautín) - CSN")</f>
        <v>Campus San Nicolás (Curacautín) - CSN</v>
      </c>
      <c r="K199" s="495" t="str">
        <f>IFERROR(__xludf.DUMMYFUNCTION("""COMPUTED_VALUE"""),"Sin número")</f>
        <v>Sin número</v>
      </c>
      <c r="L199" s="495" t="str">
        <f>IFERROR(__xludf.DUMMYFUNCTION("""COMPUTED_VALUE"""),"CORTINAJE DECOIDEAS TEMUCO PABLO
ANDRES TAPIA MORA E.I.R.L.")</f>
        <v>CORTINAJE DECOIDEAS TEMUCO PABLO
ANDRES TAPIA MORA E.I.R.L.</v>
      </c>
      <c r="M199" s="495" t="str">
        <f>IFERROR(__xludf.DUMMYFUNCTION("""COMPUTED_VALUE"""),"77.815.707-1")</f>
        <v>77.815.707-1</v>
      </c>
      <c r="N199" s="495" t="str">
        <f>IFERROR(__xludf.DUMMYFUNCTION("""COMPUTED_VALUE"""),"Propietario")</f>
        <v>Propietario</v>
      </c>
      <c r="O199" s="495" t="str">
        <f>IFERROR(__xludf.DUMMYFUNCTION("""COMPUTED_VALUE"""),"Obras y Especialidades")</f>
        <v>Obras y Especialidades</v>
      </c>
      <c r="P199" s="495"/>
      <c r="Q199" s="495"/>
      <c r="R199" s="495" t="str">
        <f>IFERROR(__xludf.DUMMYFUNCTION("""COMPUTED_VALUE"""),"Especialidades")</f>
        <v>Especialidades</v>
      </c>
      <c r="S199" s="495" t="str">
        <f>IFERROR(__xludf.DUMMYFUNCTION("""COMPUTED_VALUE"""),"Estado de Pago - EP")</f>
        <v>Estado de Pago - EP</v>
      </c>
      <c r="T199" s="495" t="str">
        <f>IFERROR(__xludf.DUMMYFUNCTION("""COMPUTED_VALUE"""),"0 (Anticipo)")</f>
        <v>0 (Anticipo)</v>
      </c>
      <c r="U199" s="498">
        <f>IFERROR(__xludf.DUMMYFUNCTION("""COMPUTED_VALUE"""),1428000.0)</f>
        <v>1428000</v>
      </c>
      <c r="V199" s="495" t="str">
        <f>IFERROR(__xludf.DUMMYFUNCTION("""COMPUTED_VALUE"""),"confecciones e instalaciones de cortinas en cabañas de complejo recreacional Curacautín ")</f>
        <v>confecciones e instalaciones de cortinas en cabañas de complejo recreacional Curacautín </v>
      </c>
      <c r="W199" s="495"/>
      <c r="X199" s="499" t="str">
        <f>IFERROR(__xludf.DUMMYFUNCTION("""COMPUTED_VALUE"""),"https://drive.google.com/open?id=13NA8tXOqaUlVBjrVF0UDwflJ7FlOIfHm")</f>
        <v>https://drive.google.com/open?id=13NA8tXOqaUlVBjrVF0UDwflJ7FlOIfHm</v>
      </c>
      <c r="Y199" s="495" t="str">
        <f>IFERROR(__xludf.DUMMYFUNCTION("""COMPUTED_VALUE"""),"p.tapiamora07@gmail.com")</f>
        <v>p.tapiamora07@gmail.com</v>
      </c>
      <c r="Z199" s="495"/>
      <c r="AA199" s="495"/>
      <c r="AB199" s="495"/>
      <c r="AC199" s="495"/>
      <c r="AD199" s="495"/>
    </row>
    <row r="200">
      <c r="A200" s="495" t="str">
        <f t="shared" si="1"/>
        <v>RC-145_26</v>
      </c>
      <c r="B200" s="497">
        <f>IFERROR(__xludf.DUMMYFUNCTION("""COMPUTED_VALUE"""),46147.53565898148)</f>
        <v>46147.53566</v>
      </c>
      <c r="C200" s="495" t="str">
        <f>IFERROR(__xludf.DUMMYFUNCTION("""COMPUTED_VALUE"""),"")</f>
        <v/>
      </c>
      <c r="D200" s="495" t="str">
        <f>IFERROR(__xludf.DUMMYFUNCTION("""COMPUTED_VALUE"""),"Mauricio Matus Belmar")</f>
        <v>Mauricio Matus Belmar</v>
      </c>
      <c r="E200" s="495"/>
      <c r="F200" s="496" t="str">
        <f>IFERROR(__xludf.DUMMYFUNCTION("""COMPUTED_VALUE"""),"2948 -2026")</f>
        <v>2948 -2026</v>
      </c>
      <c r="G200" s="495"/>
      <c r="H200" s="495"/>
      <c r="I200" s="495"/>
      <c r="J200" s="495" t="str">
        <f>IFERROR(__xludf.DUMMYFUNCTION("""COMPUTED_VALUE"""),"Campus Dr. Luis Rivas del Canto - CRC")</f>
        <v>Campus Dr. Luis Rivas del Canto - CRC</v>
      </c>
      <c r="K200" s="495" t="str">
        <f>IFERROR(__xludf.DUMMYFUNCTION("""COMPUTED_VALUE"""),"05")</f>
        <v>05</v>
      </c>
      <c r="L200" s="495" t="str">
        <f>IFERROR(__xludf.DUMMYFUNCTION("""COMPUTED_VALUE"""),"Empresa Constructora Igece Ltda.")</f>
        <v>Empresa Constructora Igece Ltda.</v>
      </c>
      <c r="M200" s="495" t="str">
        <f>IFERROR(__xludf.DUMMYFUNCTION("""COMPUTED_VALUE"""),"76.878.824-3")</f>
        <v>76.878.824-3</v>
      </c>
      <c r="N200" s="495" t="str">
        <f>IFERROR(__xludf.DUMMYFUNCTION("""COMPUTED_VALUE"""),"Carlos Troncoso - Gerente General ")</f>
        <v>Carlos Troncoso - Gerente General </v>
      </c>
      <c r="O200" s="495" t="str">
        <f>IFERROR(__xludf.DUMMYFUNCTION("""COMPUTED_VALUE"""),"Mantenciones")</f>
        <v>Mantenciones</v>
      </c>
      <c r="P200" s="495" t="str">
        <f>IFERROR(__xludf.DUMMYFUNCTION("""COMPUTED_VALUE"""),"Instalaciones Eléctricas")</f>
        <v>Instalaciones Eléctricas</v>
      </c>
      <c r="Q200" s="495"/>
      <c r="R200" s="495"/>
      <c r="S200" s="495"/>
      <c r="T200" s="495"/>
      <c r="U200" s="495"/>
      <c r="V200" s="495" t="str">
        <f>IFERROR(__xludf.DUMMYFUNCTION("""COMPUTED_VALUE"""),"Cambio 2 Extractores: Según lo solicitado y visto en terreno, se
realizara el cambio de 2 extractoras, un es el modelo Extractor De
Aire En Línea Para Ducto Td-500/150 3v Mixvent y el otro
Extractor De Aire 5 Pulgadas Cuadrado 140m3 220v 50(Hz) Drl.")</f>
        <v>Cambio 2 Extractores: Según lo solicitado y visto en terreno, se
realizara el cambio de 2 extractoras, un es el modelo Extractor De
Aire En Línea Para Ducto Td-500/150 3v Mixvent y el otro
Extractor De Aire 5 Pulgadas Cuadrado 140m3 220v 50(Hz) Drl.</v>
      </c>
      <c r="W200" s="495"/>
      <c r="X200" s="495" t="str">
        <f>IFERROR(__xludf.DUMMYFUNCTION("""COMPUTED_VALUE"""),"https://drive.google.com/open?id=1WgBOTtIB4_BhOAV6PFB-SuO2v9BdCCOo, https://drive.google.com/open?id=1_5X9GoQYAs0vBRkb-xDMuCL_utHv3qx1")</f>
        <v>https://drive.google.com/open?id=1WgBOTtIB4_BhOAV6PFB-SuO2v9BdCCOo, https://drive.google.com/open?id=1_5X9GoQYAs0vBRkb-xDMuCL_utHv3qx1</v>
      </c>
      <c r="Y200" s="495" t="str">
        <f>IFERROR(__xludf.DUMMYFUNCTION("""COMPUTED_VALUE"""),"carlostroncosom@hotmail.com")</f>
        <v>carlostroncosom@hotmail.com</v>
      </c>
      <c r="Z200" s="498">
        <f>IFERROR(__xludf.DUMMYFUNCTION("""COMPUTED_VALUE"""),648550.0)</f>
        <v>648550</v>
      </c>
      <c r="AA200" s="495"/>
      <c r="AB200" s="495"/>
      <c r="AC200" s="495"/>
      <c r="AD200" s="495" t="str">
        <f>IFERROR(__xludf.DUMMYFUNCTION("""COMPUTED_VALUE"""),"RC-145_26")</f>
        <v>RC-145_26</v>
      </c>
    </row>
    <row r="201">
      <c r="A201" s="495" t="str">
        <f t="shared" si="1"/>
        <v>RC-143_26</v>
      </c>
      <c r="B201" s="497">
        <f>IFERROR(__xludf.DUMMYFUNCTION("""COMPUTED_VALUE"""),46146.767693807866)</f>
        <v>46146.76769</v>
      </c>
      <c r="C201" s="495" t="str">
        <f>IFERROR(__xludf.DUMMYFUNCTION("""COMPUTED_VALUE"""),"")</f>
        <v/>
      </c>
      <c r="D201" s="495" t="str">
        <f>IFERROR(__xludf.DUMMYFUNCTION("""COMPUTED_VALUE"""),"Mauricio Matus Belmar")</f>
        <v>Mauricio Matus Belmar</v>
      </c>
      <c r="E201" s="495"/>
      <c r="F201" s="496" t="str">
        <f>IFERROR(__xludf.DUMMYFUNCTION("""COMPUTED_VALUE"""),"2242-2026")</f>
        <v>2242-2026</v>
      </c>
      <c r="G201" s="495"/>
      <c r="H201" s="495"/>
      <c r="I201" s="495"/>
      <c r="J201" s="495" t="str">
        <f>IFERROR(__xludf.DUMMYFUNCTION("""COMPUTED_VALUE"""),"Campus Dr. Luis Rivas del Canto - CRC")</f>
        <v>Campus Dr. Luis Rivas del Canto - CRC</v>
      </c>
      <c r="K201" s="495" t="str">
        <f>IFERROR(__xludf.DUMMYFUNCTION("""COMPUTED_VALUE"""),"08")</f>
        <v>08</v>
      </c>
      <c r="L201" s="495" t="str">
        <f>IFERROR(__xludf.DUMMYFUNCTION("""COMPUTED_VALUE"""),"MR ELECTROCLIMA SPA")</f>
        <v>MR ELECTROCLIMA SPA</v>
      </c>
      <c r="M201" s="495" t="str">
        <f>IFERROR(__xludf.DUMMYFUNCTION("""COMPUTED_VALUE"""),"77.773.436-5")</f>
        <v>77.773.436-5</v>
      </c>
      <c r="N201" s="495" t="str">
        <f>IFERROR(__xludf.DUMMYFUNCTION("""COMPUTED_VALUE"""),"Patricio Manriquez Riffo")</f>
        <v>Patricio Manriquez Riffo</v>
      </c>
      <c r="O201" s="495" t="str">
        <f>IFERROR(__xludf.DUMMYFUNCTION("""COMPUTED_VALUE"""),"Mantenciones")</f>
        <v>Mantenciones</v>
      </c>
      <c r="P201" s="495" t="str">
        <f>IFERROR(__xludf.DUMMYFUNCTION("""COMPUTED_VALUE"""),"Ventilacion")</f>
        <v>Ventilacion</v>
      </c>
      <c r="Q201" s="495"/>
      <c r="R201" s="495"/>
      <c r="S201" s="495"/>
      <c r="T201" s="495"/>
      <c r="U201" s="495"/>
      <c r="V201" s="495" t="str">
        <f>IFERROR(__xludf.DUMMYFUNCTION("""COMPUTED_VALUE"""),"Reemplazo tarjeta Electrónica equipo aire acondicionado Multiexplid, evalución de falla de equipo, levantamiento de repuestos, adquisición repuesto y reemplazo de este.")</f>
        <v>Reemplazo tarjeta Electrónica equipo aire acondicionado Multiexplid, evalución de falla de equipo, levantamiento de repuestos, adquisición repuesto y reemplazo de este.</v>
      </c>
      <c r="W201" s="495" t="str">
        <f>IFERROR(__xludf.DUMMYFUNCTION("""COMPUTED_VALUE"""),"Post reemplazo de repuesto tarjeta electrónica equipo mantiene sus funcionamiento correctamente en parametros normales.")</f>
        <v>Post reemplazo de repuesto tarjeta electrónica equipo mantiene sus funcionamiento correctamente en parametros normales.</v>
      </c>
      <c r="X201" s="495" t="str">
        <f>IFERROR(__xludf.DUMMYFUNCTION("""COMPUTED_VALUE"""),"https://drive.google.com/open?id=1P4hBJMODZz5QE2LMsibIV6SFp4FbMHTp, https://drive.google.com/open?id=1DVnP6rCV3SY2J_7n7OsddXY0pIZQjHJd, https://drive.google.com/open?id=1n3UiaSD_jX0egIed8M6lnsH7F0k2OaRR, https://drive.google.com/open?id=1Sn1PLBPIi-j7YKFfo"&amp;"wXlPK4fqh78jXhZ, https://drive.google.com/open?id=1vKZ-s_rC4-4YHbbx8xUqKveZjnLjqCZN")</f>
        <v>https://drive.google.com/open?id=1P4hBJMODZz5QE2LMsibIV6SFp4FbMHTp, https://drive.google.com/open?id=1DVnP6rCV3SY2J_7n7OsddXY0pIZQjHJd, https://drive.google.com/open?id=1n3UiaSD_jX0egIed8M6lnsH7F0k2OaRR, https://drive.google.com/open?id=1Sn1PLBPIi-j7YKFfowXlPK4fqh78jXhZ, https://drive.google.com/open?id=1vKZ-s_rC4-4YHbbx8xUqKveZjnLjqCZN</v>
      </c>
      <c r="Y201" s="495" t="str">
        <f>IFERROR(__xludf.DUMMYFUNCTION("""COMPUTED_VALUE"""),"luismanriquez555@gmail.com")</f>
        <v>luismanriquez555@gmail.com</v>
      </c>
      <c r="Z201" s="498">
        <f>IFERROR(__xludf.DUMMYFUNCTION("""COMPUTED_VALUE"""),1047200.0)</f>
        <v>1047200</v>
      </c>
      <c r="AA201" s="495"/>
      <c r="AB201" s="495"/>
      <c r="AC201" s="495"/>
      <c r="AD201" s="495" t="str">
        <f>IFERROR(__xludf.DUMMYFUNCTION("""COMPUTED_VALUE"""),"RC-143_26")</f>
        <v>RC-143_26</v>
      </c>
    </row>
    <row r="202">
      <c r="A202" s="495" t="str">
        <f t="shared" si="1"/>
        <v>RC-142_26</v>
      </c>
      <c r="B202" s="497">
        <f>IFERROR(__xludf.DUMMYFUNCTION("""COMPUTED_VALUE"""),46142.517030856485)</f>
        <v>46142.51703</v>
      </c>
      <c r="C202" s="495" t="str">
        <f>IFERROR(__xludf.DUMMYFUNCTION("""COMPUTED_VALUE"""),"")</f>
        <v/>
      </c>
      <c r="D202" s="495" t="str">
        <f>IFERROR(__xludf.DUMMYFUNCTION("""COMPUTED_VALUE"""),"Mauricio Matus Belmar")</f>
        <v>Mauricio Matus Belmar</v>
      </c>
      <c r="E202" s="495"/>
      <c r="F202" s="496" t="str">
        <f>IFERROR(__xludf.DUMMYFUNCTION("""COMPUTED_VALUE"""),"2725-2026")</f>
        <v>2725-2026</v>
      </c>
      <c r="G202" s="495"/>
      <c r="H202" s="495"/>
      <c r="I202" s="495"/>
      <c r="J202" s="495" t="str">
        <f>IFERROR(__xludf.DUMMYFUNCTION("""COMPUTED_VALUE"""),"Campus Pillanlelbun - CPL")</f>
        <v>Campus Pillanlelbun - CPL</v>
      </c>
      <c r="K202" s="495" t="str">
        <f>IFERROR(__xludf.DUMMYFUNCTION("""COMPUTED_VALUE"""),"Exterior")</f>
        <v>Exterior</v>
      </c>
      <c r="L202" s="495" t="str">
        <f>IFERROR(__xludf.DUMMYFUNCTION("""COMPUTED_VALUE"""),"gaticar spa")</f>
        <v>gaticar spa</v>
      </c>
      <c r="M202" s="495" t="str">
        <f>IFERROR(__xludf.DUMMYFUNCTION("""COMPUTED_VALUE"""),"77.578.487-3")</f>
        <v>77.578.487-3</v>
      </c>
      <c r="N202" s="495" t="str">
        <f>IFERROR(__xludf.DUMMYFUNCTION("""COMPUTED_VALUE"""),"hector gatica")</f>
        <v>hector gatica</v>
      </c>
      <c r="O202" s="495" t="str">
        <f>IFERROR(__xludf.DUMMYFUNCTION("""COMPUTED_VALUE"""),"Mantenciones")</f>
        <v>Mantenciones</v>
      </c>
      <c r="P202" s="495" t="str">
        <f>IFERROR(__xludf.DUMMYFUNCTION("""COMPUTED_VALUE"""),"Requerimientos Emergentes e Imprevistos")</f>
        <v>Requerimientos Emergentes e Imprevistos</v>
      </c>
      <c r="Q202" s="495"/>
      <c r="R202" s="495"/>
      <c r="S202" s="495"/>
      <c r="T202" s="495"/>
      <c r="U202" s="495"/>
      <c r="V202" s="495" t="str">
        <f>IFERROR(__xludf.DUMMYFUNCTION("""COMPUTED_VALUE"""),"MANTENCION DE BOMBAS DEL PREDIO DE PILLANLELBUN")</f>
        <v>MANTENCION DE BOMBAS DEL PREDIO DE PILLANLELBUN</v>
      </c>
      <c r="W202" s="495"/>
      <c r="X202" s="495" t="str">
        <f>IFERROR(__xludf.DUMMYFUNCTION("""COMPUTED_VALUE"""),"https://drive.google.com/open?id=1tzBdXKV-qbkysdMSCNk4Gf7PPGTA_Yfp, https://drive.google.com/open?id=1qS30PwDiTz9Z4ukPAV5-r1opMxGVybto, https://drive.google.com/open?id=1N8KAdWSNTX2wd0UhEDhQajcROGOkQ2ZF")</f>
        <v>https://drive.google.com/open?id=1tzBdXKV-qbkysdMSCNk4Gf7PPGTA_Yfp, https://drive.google.com/open?id=1qS30PwDiTz9Z4ukPAV5-r1opMxGVybto, https://drive.google.com/open?id=1N8KAdWSNTX2wd0UhEDhQajcROGOkQ2ZF</v>
      </c>
      <c r="Y202" s="495" t="str">
        <f>IFERROR(__xludf.DUMMYFUNCTION("""COMPUTED_VALUE"""),"serviciogaticar@gmail.com")</f>
        <v>serviciogaticar@gmail.com</v>
      </c>
      <c r="Z202" s="498">
        <f>IFERROR(__xludf.DUMMYFUNCTION("""COMPUTED_VALUE"""),785400.0)</f>
        <v>785400</v>
      </c>
      <c r="AA202" s="495"/>
      <c r="AB202" s="495"/>
      <c r="AC202" s="495"/>
      <c r="AD202" s="495" t="str">
        <f>IFERROR(__xludf.DUMMYFUNCTION("""COMPUTED_VALUE"""),"RC-142_26")</f>
        <v>RC-142_26</v>
      </c>
    </row>
    <row r="203">
      <c r="A203" s="495" t="str">
        <f t="shared" si="1"/>
        <v>RC-141_26</v>
      </c>
      <c r="B203" s="497">
        <f>IFERROR(__xludf.DUMMYFUNCTION("""COMPUTED_VALUE"""),46142.510305601856)</f>
        <v>46142.51031</v>
      </c>
      <c r="C203" s="495" t="str">
        <f>IFERROR(__xludf.DUMMYFUNCTION("""COMPUTED_VALUE"""),"")</f>
        <v/>
      </c>
      <c r="D203" s="495" t="str">
        <f>IFERROR(__xludf.DUMMYFUNCTION("""COMPUTED_VALUE"""),"Mauricio Matus Belmar")</f>
        <v>Mauricio Matus Belmar</v>
      </c>
      <c r="E203" s="495"/>
      <c r="F203" s="496" t="str">
        <f>IFERROR(__xludf.DUMMYFUNCTION("""COMPUTED_VALUE"""),"3104-2026")</f>
        <v>3104-2026</v>
      </c>
      <c r="G203" s="495"/>
      <c r="H203" s="495"/>
      <c r="I203" s="495"/>
      <c r="J203" s="495" t="str">
        <f>IFERROR(__xludf.DUMMYFUNCTION("""COMPUTED_VALUE"""),"Campus Dr. Luis Rivas del Canto - CRC")</f>
        <v>Campus Dr. Luis Rivas del Canto - CRC</v>
      </c>
      <c r="K203" s="495" t="str">
        <f>IFERROR(__xludf.DUMMYFUNCTION("""COMPUTED_VALUE"""),"Exterior")</f>
        <v>Exterior</v>
      </c>
      <c r="L203" s="495" t="str">
        <f>IFERROR(__xludf.DUMMYFUNCTION("""COMPUTED_VALUE"""),"gaticar spa")</f>
        <v>gaticar spa</v>
      </c>
      <c r="M203" s="495" t="str">
        <f>IFERROR(__xludf.DUMMYFUNCTION("""COMPUTED_VALUE"""),"77.578.487-3")</f>
        <v>77.578.487-3</v>
      </c>
      <c r="N203" s="495" t="str">
        <f>IFERROR(__xludf.DUMMYFUNCTION("""COMPUTED_VALUE"""),"hector gatica")</f>
        <v>hector gatica</v>
      </c>
      <c r="O203" s="495" t="str">
        <f>IFERROR(__xludf.DUMMYFUNCTION("""COMPUTED_VALUE"""),"Mantenciones")</f>
        <v>Mantenciones</v>
      </c>
      <c r="P203" s="495" t="str">
        <f>IFERROR(__xludf.DUMMYFUNCTION("""COMPUTED_VALUE"""),"Requerimientos Emergentes e Imprevistos")</f>
        <v>Requerimientos Emergentes e Imprevistos</v>
      </c>
      <c r="Q203" s="495"/>
      <c r="R203" s="495"/>
      <c r="S203" s="495"/>
      <c r="T203" s="495"/>
      <c r="U203" s="495"/>
      <c r="V203" s="495" t="str">
        <f>IFERROR(__xludf.DUMMYFUNCTION("""COMPUTED_VALUE"""),"REPARACION DE SISTEMA ELECTRICO TABLERO 1 PISO ED. VETERINARIA,")</f>
        <v>REPARACION DE SISTEMA ELECTRICO TABLERO 1 PISO ED. VETERINARIA,</v>
      </c>
      <c r="W203" s="495"/>
      <c r="X203" s="495" t="str">
        <f>IFERROR(__xludf.DUMMYFUNCTION("""COMPUTED_VALUE"""),"https://drive.google.com/open?id=1d3cR6Ul7Ee5kSJd1xpjBw22yPSZPRXCL, https://drive.google.com/open?id=1c4Fu4cjyopKnKYz82By_OUMk5cnebGc0, https://drive.google.com/open?id=1JQmnTl738Qctaqov3Nn4Om7z31yZApc1, https://drive.google.com/open?id=1QiCZ6hho9_2CIsdvZ"&amp;"u63FiwsD5A_6QxH")</f>
        <v>https://drive.google.com/open?id=1d3cR6Ul7Ee5kSJd1xpjBw22yPSZPRXCL, https://drive.google.com/open?id=1c4Fu4cjyopKnKYz82By_OUMk5cnebGc0, https://drive.google.com/open?id=1JQmnTl738Qctaqov3Nn4Om7z31yZApc1, https://drive.google.com/open?id=1QiCZ6hho9_2CIsdvZu63FiwsD5A_6QxH</v>
      </c>
      <c r="Y203" s="495" t="str">
        <f>IFERROR(__xludf.DUMMYFUNCTION("""COMPUTED_VALUE"""),"serviciogaticar@gmail.com")</f>
        <v>serviciogaticar@gmail.com</v>
      </c>
      <c r="Z203" s="498">
        <f>IFERROR(__xludf.DUMMYFUNCTION("""COMPUTED_VALUE"""),571200.0)</f>
        <v>571200</v>
      </c>
      <c r="AA203" s="495"/>
      <c r="AB203" s="495"/>
      <c r="AC203" s="495"/>
      <c r="AD203" s="495" t="str">
        <f>IFERROR(__xludf.DUMMYFUNCTION("""COMPUTED_VALUE"""),"RC-141_26")</f>
        <v>RC-141_26</v>
      </c>
    </row>
    <row r="204">
      <c r="A204" s="495" t="str">
        <f t="shared" si="1"/>
        <v>RC-138_26</v>
      </c>
      <c r="B204" s="497">
        <f>IFERROR(__xludf.DUMMYFUNCTION("""COMPUTED_VALUE"""),46140.77136368056)</f>
        <v>46140.77136</v>
      </c>
      <c r="C204" s="495" t="str">
        <f>IFERROR(__xludf.DUMMYFUNCTION("""COMPUTED_VALUE"""),"")</f>
        <v/>
      </c>
      <c r="D204" s="495" t="str">
        <f>IFERROR(__xludf.DUMMYFUNCTION("""COMPUTED_VALUE"""),"Mauricio Matus Belmar")</f>
        <v>Mauricio Matus Belmar</v>
      </c>
      <c r="E204" s="495"/>
      <c r="F204" s="496" t="str">
        <f>IFERROR(__xludf.DUMMYFUNCTION("""COMPUTED_VALUE"""),"3054 - 2026")</f>
        <v>3054 - 2026</v>
      </c>
      <c r="G204" s="495"/>
      <c r="H204" s="495"/>
      <c r="I204" s="495"/>
      <c r="J204" s="495" t="str">
        <f>IFERROR(__xludf.DUMMYFUNCTION("""COMPUTED_VALUE"""),"Campus Dr. Luis Rivas del Canto - CRC")</f>
        <v>Campus Dr. Luis Rivas del Canto - CRC</v>
      </c>
      <c r="K204" s="495" t="str">
        <f>IFERROR(__xludf.DUMMYFUNCTION("""COMPUTED_VALUE"""),"01")</f>
        <v>01</v>
      </c>
      <c r="L204" s="495" t="str">
        <f>IFERROR(__xludf.DUMMYFUNCTION("""COMPUTED_VALUE"""),"SOC.GONZALEZ GAJARDO Y CIA.LTDA")</f>
        <v>SOC.GONZALEZ GAJARDO Y CIA.LTDA</v>
      </c>
      <c r="M204" s="495" t="str">
        <f>IFERROR(__xludf.DUMMYFUNCTION("""COMPUTED_VALUE"""),"76.265.749-K")</f>
        <v>76.265.749-K</v>
      </c>
      <c r="N204" s="495" t="str">
        <f>IFERROR(__xludf.DUMMYFUNCTION("""COMPUTED_VALUE"""),"MARCELO GONZALEZ - SUPERVISOR")</f>
        <v>MARCELO GONZALEZ - SUPERVISOR</v>
      </c>
      <c r="O204" s="495" t="str">
        <f>IFERROR(__xludf.DUMMYFUNCTION("""COMPUTED_VALUE"""),"Mantenciones")</f>
        <v>Mantenciones</v>
      </c>
      <c r="P204" s="495" t="str">
        <f>IFERROR(__xludf.DUMMYFUNCTION("""COMPUTED_VALUE"""),"Instalaciones de Agua Potable")</f>
        <v>Instalaciones de Agua Potable</v>
      </c>
      <c r="Q204" s="495"/>
      <c r="R204" s="495"/>
      <c r="S204" s="495"/>
      <c r="T204" s="495"/>
      <c r="U204" s="495"/>
      <c r="V204" s="495" t="str">
        <f>IFERROR(__xludf.DUMMYFUNCTION("""COMPUTED_VALUE"""),"INSTALACION DE FLOTADORES PORTA PASTILLAS DE CLORO PARA LA TOMAS DE MUESTRAS SALA DE BOMBAS Y ESTANQUES, SEGUN PRESUPUESTO NRO. 2098. (MAURICIO MATUS).")</f>
        <v>INSTALACION DE FLOTADORES PORTA PASTILLAS DE CLORO PARA LA TOMAS DE MUESTRAS SALA DE BOMBAS Y ESTANQUES, SEGUN PRESUPUESTO NRO. 2098. (MAURICIO MATUS).</v>
      </c>
      <c r="W204" s="495" t="str">
        <f>IFERROR(__xludf.DUMMYFUNCTION("""COMPUTED_VALUE"""),"PONER PASTILLAS DE CLORO EN FLOTADORES SEGUN REQUERIMIENTO")</f>
        <v>PONER PASTILLAS DE CLORO EN FLOTADORES SEGUN REQUERIMIENTO</v>
      </c>
      <c r="X204" s="495" t="str">
        <f>IFERROR(__xludf.DUMMYFUNCTION("""COMPUTED_VALUE"""),"https://drive.google.com/open?id=1mXBFvsfedI096Kei9PdV1_OZHhddMo08, https://drive.google.com/open?id=1-ESSaDXI758rkbF9-XUzoWySsW1RGNkG, https://drive.google.com/open?id=1yXQ7t8vsGSrQK0Dq6VvzQvZFYvpPw-3G")</f>
        <v>https://drive.google.com/open?id=1mXBFvsfedI096Kei9PdV1_OZHhddMo08, https://drive.google.com/open?id=1-ESSaDXI758rkbF9-XUzoWySsW1RGNkG, https://drive.google.com/open?id=1yXQ7t8vsGSrQK0Dq6VvzQvZFYvpPw-3G</v>
      </c>
      <c r="Y204" s="495" t="str">
        <f>IFERROR(__xludf.DUMMYFUNCTION("""COMPUTED_VALUE"""),"operaciones@tecfull.cl")</f>
        <v>operaciones@tecfull.cl</v>
      </c>
      <c r="Z204" s="498">
        <f>IFERROR(__xludf.DUMMYFUNCTION("""COMPUTED_VALUE"""),172431.0)</f>
        <v>172431</v>
      </c>
      <c r="AA204" s="495"/>
      <c r="AB204" s="495"/>
      <c r="AC204" s="495"/>
      <c r="AD204" s="495" t="str">
        <f>IFERROR(__xludf.DUMMYFUNCTION("""COMPUTED_VALUE"""),"RC-138_26")</f>
        <v>RC-138_26</v>
      </c>
    </row>
    <row r="205">
      <c r="A205" s="495" t="str">
        <f t="shared" si="1"/>
        <v>RC-137_26</v>
      </c>
      <c r="B205" s="497">
        <f>IFERROR(__xludf.DUMMYFUNCTION("""COMPUTED_VALUE"""),46140.77081912037)</f>
        <v>46140.77082</v>
      </c>
      <c r="C205" s="495" t="str">
        <f>IFERROR(__xludf.DUMMYFUNCTION("""COMPUTED_VALUE"""),"")</f>
        <v/>
      </c>
      <c r="D205" s="495" t="str">
        <f>IFERROR(__xludf.DUMMYFUNCTION("""COMPUTED_VALUE"""),"Mauricio Matus Belmar")</f>
        <v>Mauricio Matus Belmar</v>
      </c>
      <c r="E205" s="495"/>
      <c r="F205" s="496" t="str">
        <f>IFERROR(__xludf.DUMMYFUNCTION("""COMPUTED_VALUE"""),"3057 - 2026")</f>
        <v>3057 - 2026</v>
      </c>
      <c r="G205" s="495"/>
      <c r="H205" s="495"/>
      <c r="I205" s="495"/>
      <c r="J205" s="495" t="str">
        <f>IFERROR(__xludf.DUMMYFUNCTION("""COMPUTED_VALUE"""),"Campus Dr. Luis Rivas del Canto - CRC")</f>
        <v>Campus Dr. Luis Rivas del Canto - CRC</v>
      </c>
      <c r="K205" s="495" t="str">
        <f>IFERROR(__xludf.DUMMYFUNCTION("""COMPUTED_VALUE"""),"01")</f>
        <v>01</v>
      </c>
      <c r="L205" s="495" t="str">
        <f>IFERROR(__xludf.DUMMYFUNCTION("""COMPUTED_VALUE"""),"Flavia Oyarzun Soto")</f>
        <v>Flavia Oyarzun Soto</v>
      </c>
      <c r="M205" s="495" t="str">
        <f>IFERROR(__xludf.DUMMYFUNCTION("""COMPUTED_VALUE"""),"5.503.590-3")</f>
        <v>5.503.590-3</v>
      </c>
      <c r="N205" s="495" t="str">
        <f>IFERROR(__xludf.DUMMYFUNCTION("""COMPUTED_VALUE"""),"Roberto Lassalle Prado")</f>
        <v>Roberto Lassalle Prado</v>
      </c>
      <c r="O205" s="495" t="str">
        <f>IFERROR(__xludf.DUMMYFUNCTION("""COMPUTED_VALUE"""),"Mantenciones")</f>
        <v>Mantenciones</v>
      </c>
      <c r="P205" s="495" t="str">
        <f>IFERROR(__xludf.DUMMYFUNCTION("""COMPUTED_VALUE"""),"Cubiertas")</f>
        <v>Cubiertas</v>
      </c>
      <c r="Q205" s="495"/>
      <c r="R205" s="495"/>
      <c r="S205" s="495"/>
      <c r="T205" s="495"/>
      <c r="U205" s="495"/>
      <c r="V205" s="495" t="str">
        <f>IFERROR(__xludf.DUMMYFUNCTION("""COMPUTED_VALUE"""),"Cambio de tornillos autoperforantes y parchar hoyos dejados por los tornillos")</f>
        <v>Cambio de tornillos autoperforantes y parchar hoyos dejados por los tornillos</v>
      </c>
      <c r="W205" s="495" t="str">
        <f>IFERROR(__xludf.DUMMYFUNCTION("""COMPUTED_VALUE"""),"no hay ")</f>
        <v>no hay </v>
      </c>
      <c r="X205" s="495" t="str">
        <f>IFERROR(__xludf.DUMMYFUNCTION("""COMPUTED_VALUE"""),"https://drive.google.com/open?id=1Gv6v648mcW0y2s0sGRPBGa2hBIZqyo6C, https://drive.google.com/open?id=164gO8nXJi08tX5Je2ZIMnHb45s-GoD7t, https://drive.google.com/open?id=1K-DlRjU-PqVM3bgJCaqx17Gp3Jwsgrh1")</f>
        <v>https://drive.google.com/open?id=1Gv6v648mcW0y2s0sGRPBGa2hBIZqyo6C, https://drive.google.com/open?id=164gO8nXJi08tX5Je2ZIMnHb45s-GoD7t, https://drive.google.com/open?id=1K-DlRjU-PqVM3bgJCaqx17Gp3Jwsgrh1</v>
      </c>
      <c r="Y205" s="495" t="str">
        <f>IFERROR(__xludf.DUMMYFUNCTION("""COMPUTED_VALUE"""),"roberto.lassalle@gmail.com")</f>
        <v>roberto.lassalle@gmail.com</v>
      </c>
      <c r="Z205" s="498">
        <f>IFERROR(__xludf.DUMMYFUNCTION("""COMPUTED_VALUE"""),410550.0)</f>
        <v>410550</v>
      </c>
      <c r="AA205" s="495"/>
      <c r="AB205" s="495"/>
      <c r="AC205" s="495"/>
      <c r="AD205" s="495" t="str">
        <f>IFERROR(__xludf.DUMMYFUNCTION("""COMPUTED_VALUE"""),"RC-137_26")</f>
        <v>RC-137_26</v>
      </c>
    </row>
    <row r="206">
      <c r="A206" s="495" t="str">
        <f t="shared" si="1"/>
        <v>RC-136_26</v>
      </c>
      <c r="B206" s="497">
        <f>IFERROR(__xludf.DUMMYFUNCTION("""COMPUTED_VALUE"""),46140.76258181713)</f>
        <v>46140.76258</v>
      </c>
      <c r="C206" s="495" t="str">
        <f>IFERROR(__xludf.DUMMYFUNCTION("""COMPUTED_VALUE"""),"")</f>
        <v/>
      </c>
      <c r="D206" s="495" t="str">
        <f>IFERROR(__xludf.DUMMYFUNCTION("""COMPUTED_VALUE"""),"Mauricio Matus Belmar")</f>
        <v>Mauricio Matus Belmar</v>
      </c>
      <c r="E206" s="495"/>
      <c r="F206" s="496" t="str">
        <f>IFERROR(__xludf.DUMMYFUNCTION("""COMPUTED_VALUE"""),"1981 -2026")</f>
        <v>1981 -2026</v>
      </c>
      <c r="G206" s="495"/>
      <c r="H206" s="495"/>
      <c r="I206" s="495"/>
      <c r="J206" s="495" t="str">
        <f>IFERROR(__xludf.DUMMYFUNCTION("""COMPUTED_VALUE"""),"Campus Dr. Luis Rivas del Canto - CRC")</f>
        <v>Campus Dr. Luis Rivas del Canto - CRC</v>
      </c>
      <c r="K206" s="495" t="str">
        <f>IFERROR(__xludf.DUMMYFUNCTION("""COMPUTED_VALUE"""),"09")</f>
        <v>09</v>
      </c>
      <c r="L206" s="495" t="str">
        <f>IFERROR(__xludf.DUMMYFUNCTION("""COMPUTED_VALUE"""),"Flavia Oyarzun Soto")</f>
        <v>Flavia Oyarzun Soto</v>
      </c>
      <c r="M206" s="495" t="str">
        <f>IFERROR(__xludf.DUMMYFUNCTION("""COMPUTED_VALUE"""),"5.503.590-3")</f>
        <v>5.503.590-3</v>
      </c>
      <c r="N206" s="495" t="str">
        <f>IFERROR(__xludf.DUMMYFUNCTION("""COMPUTED_VALUE"""),"Roberto Lassalle Prado")</f>
        <v>Roberto Lassalle Prado</v>
      </c>
      <c r="O206" s="495" t="str">
        <f>IFERROR(__xludf.DUMMYFUNCTION("""COMPUTED_VALUE"""),"Mantenciones")</f>
        <v>Mantenciones</v>
      </c>
      <c r="P206" s="495" t="str">
        <f>IFERROR(__xludf.DUMMYFUNCTION("""COMPUTED_VALUE"""),"Terminaciones Interiores")</f>
        <v>Terminaciones Interiores</v>
      </c>
      <c r="Q206" s="495"/>
      <c r="R206" s="495"/>
      <c r="S206" s="495"/>
      <c r="T206" s="495"/>
      <c r="U206" s="495"/>
      <c r="V206" s="495" t="str">
        <f>IFERROR(__xludf.DUMMYFUNCTION("""COMPUTED_VALUE"""),"Pintura caja escala y reparación de techumbre edif 09 ")</f>
        <v>Pintura caja escala y reparación de techumbre edif 09 </v>
      </c>
      <c r="W206" s="495" t="str">
        <f>IFERROR(__xludf.DUMMYFUNCTION("""COMPUTED_VALUE"""),"no hay")</f>
        <v>no hay</v>
      </c>
      <c r="X206" s="495" t="str">
        <f>IFERROR(__xludf.DUMMYFUNCTION("""COMPUTED_VALUE"""),"https://drive.google.com/open?id=1bnvlIAkm8qG3gz5MuVOnemN2fm3tCvAY, https://drive.google.com/open?id=1JbkGieiTFItXRk9N1xgma3XjrIC48oqH, https://drive.google.com/open?id=1gz62KIeUDIhNMWOF4ziM1Jk6lKtm_3Qh, https://drive.google.com/open?id=1AOPTgqWOD9w5yyGR8"&amp;"rjgRQGuBntzNnAe")</f>
        <v>https://drive.google.com/open?id=1bnvlIAkm8qG3gz5MuVOnemN2fm3tCvAY, https://drive.google.com/open?id=1JbkGieiTFItXRk9N1xgma3XjrIC48oqH, https://drive.google.com/open?id=1gz62KIeUDIhNMWOF4ziM1Jk6lKtm_3Qh, https://drive.google.com/open?id=1AOPTgqWOD9w5yyGR8rjgRQGuBntzNnAe</v>
      </c>
      <c r="Y206" s="495" t="str">
        <f>IFERROR(__xludf.DUMMYFUNCTION("""COMPUTED_VALUE"""),"roberto.lassalle@gmail.com")</f>
        <v>roberto.lassalle@gmail.com</v>
      </c>
      <c r="Z206" s="498">
        <f>IFERROR(__xludf.DUMMYFUNCTION("""COMPUTED_VALUE"""),777827.0)</f>
        <v>777827</v>
      </c>
      <c r="AA206" s="495"/>
      <c r="AB206" s="495"/>
      <c r="AC206" s="495"/>
      <c r="AD206" s="495" t="str">
        <f>IFERROR(__xludf.DUMMYFUNCTION("""COMPUTED_VALUE"""),"RC-136_26")</f>
        <v>RC-136_26</v>
      </c>
    </row>
    <row r="207">
      <c r="A207" s="495" t="str">
        <f t="shared" si="1"/>
        <v>RC-128_26</v>
      </c>
      <c r="B207" s="497">
        <f>IFERROR(__xludf.DUMMYFUNCTION("""COMPUTED_VALUE"""),46140.53124650463)</f>
        <v>46140.53125</v>
      </c>
      <c r="C207" s="495" t="str">
        <f>IFERROR(__xludf.DUMMYFUNCTION("""COMPUTED_VALUE"""),"")</f>
        <v/>
      </c>
      <c r="D207" s="495" t="str">
        <f>IFERROR(__xludf.DUMMYFUNCTION("""COMPUTED_VALUE"""),"Carol Huenchual Chañilao")</f>
        <v>Carol Huenchual Chañilao</v>
      </c>
      <c r="E207" s="495"/>
      <c r="F207" s="496" t="str">
        <f>IFERROR(__xludf.DUMMYFUNCTION("""COMPUTED_VALUE"""),"12782-2025")</f>
        <v>12782-2025</v>
      </c>
      <c r="G207" s="495"/>
      <c r="H207" s="495"/>
      <c r="I207" s="495"/>
      <c r="J207" s="495" t="str">
        <f>IFERROR(__xludf.DUMMYFUNCTION("""COMPUTED_VALUE"""),"Campus San Francisco - CSF")</f>
        <v>Campus San Francisco - CSF</v>
      </c>
      <c r="K207" s="495">
        <f>IFERROR(__xludf.DUMMYFUNCTION("""COMPUTED_VALUE"""),14.0)</f>
        <v>14</v>
      </c>
      <c r="L207" s="495" t="str">
        <f>IFERROR(__xludf.DUMMYFUNCTION("""COMPUTED_VALUE"""),"SERVICIOS INTEGRALES CRITICOS SPA")</f>
        <v>SERVICIOS INTEGRALES CRITICOS SPA</v>
      </c>
      <c r="M207" s="495" t="str">
        <f>IFERROR(__xludf.DUMMYFUNCTION("""COMPUTED_VALUE"""),"77.248.719-3")</f>
        <v>77.248.719-3</v>
      </c>
      <c r="N207" s="495" t="str">
        <f>IFERROR(__xludf.DUMMYFUNCTION("""COMPUTED_VALUE"""),"ROBERTO FUENTES RIFFO    INGENIERO MECANICO")</f>
        <v>ROBERTO FUENTES RIFFO    INGENIERO MECANICO</v>
      </c>
      <c r="O207" s="495" t="str">
        <f>IFERROR(__xludf.DUMMYFUNCTION("""COMPUTED_VALUE"""),"Mantenciones")</f>
        <v>Mantenciones</v>
      </c>
      <c r="P207" s="495" t="str">
        <f>IFERROR(__xludf.DUMMYFUNCTION("""COMPUTED_VALUE"""),"Requerimientos Emergentes e Imprevistos")</f>
        <v>Requerimientos Emergentes e Imprevistos</v>
      </c>
      <c r="Q207" s="495"/>
      <c r="R207" s="495"/>
      <c r="S207" s="495"/>
      <c r="T207" s="495"/>
      <c r="U207" s="495"/>
      <c r="V207" s="495" t="str">
        <f>IFERROR(__xludf.DUMMYFUNCTION("""COMPUTED_VALUE"""),"SE REALIZAN PRUEBAS  PARA CERTIFICAR  AUTOCLAVE REGISTRO  264 ANTE SEREMI DE SALUD Y SE RECHAZA POR NO CUMPLIR CON DECRETO SUPREMO 10")</f>
        <v>SE REALIZAN PRUEBAS  PARA CERTIFICAR  AUTOCLAVE REGISTRO  264 ANTE SEREMI DE SALUD Y SE RECHAZA POR NO CUMPLIR CON DECRETO SUPREMO 10</v>
      </c>
      <c r="W207" s="495" t="str">
        <f>IFERROR(__xludf.DUMMYFUNCTION("""COMPUTED_VALUE"""),"SE DEBE REALIZAR MANTENCION A LA VALVULA DE SEGURIDAD")</f>
        <v>SE DEBE REALIZAR MANTENCION A LA VALVULA DE SEGURIDAD</v>
      </c>
      <c r="X207" s="495" t="str">
        <f>IFERROR(__xludf.DUMMYFUNCTION("""COMPUTED_VALUE"""),"https://drive.google.com/open?id=1i8Xv6YVWQw6BVA6nHkWZE-SiwPcBLkuq, https://drive.google.com/open?id=1ugbPwKxiyfyEQntPQFrY6fEoldaWU5a8, https://drive.google.com/open?id=1hLq4-U8Y0_8D1tzDS9l19sMVDTfI2hFE, https://drive.google.com/open?id=1DmOKUaKK6Zq4gbd3n"&amp;"_WHcSNihdEBsZz-, https://drive.google.com/open?id=10tdsxzTjS1FFp39acx2v72AbRCHKQJu0")</f>
        <v>https://drive.google.com/open?id=1i8Xv6YVWQw6BVA6nHkWZE-SiwPcBLkuq, https://drive.google.com/open?id=1ugbPwKxiyfyEQntPQFrY6fEoldaWU5a8, https://drive.google.com/open?id=1hLq4-U8Y0_8D1tzDS9l19sMVDTfI2hFE, https://drive.google.com/open?id=1DmOKUaKK6Zq4gbd3n_WHcSNihdEBsZz-, https://drive.google.com/open?id=10tdsxzTjS1FFp39acx2v72AbRCHKQJu0</v>
      </c>
      <c r="Y207" s="495" t="str">
        <f>IFERROR(__xludf.DUMMYFUNCTION("""COMPUTED_VALUE"""),"fuentes.roberto1@gmail.com")</f>
        <v>fuentes.roberto1@gmail.com</v>
      </c>
      <c r="Z207" s="498">
        <f>IFERROR(__xludf.DUMMYFUNCTION("""COMPUTED_VALUE"""),393890.0)</f>
        <v>393890</v>
      </c>
      <c r="AA207" s="495"/>
      <c r="AB207" s="495"/>
      <c r="AC207" s="495"/>
      <c r="AD207" s="495" t="str">
        <f>IFERROR(__xludf.DUMMYFUNCTION("""COMPUTED_VALUE"""),"RC-128_26")</f>
        <v>RC-128_26</v>
      </c>
    </row>
    <row r="208">
      <c r="A208" s="495" t="str">
        <f t="shared" si="1"/>
        <v/>
      </c>
      <c r="B208" s="497">
        <f>IFERROR(__xludf.DUMMYFUNCTION("""COMPUTED_VALUE"""),46015.383200324075)</f>
        <v>46015.3832</v>
      </c>
      <c r="C208" s="495" t="str">
        <f>IFERROR(__xludf.DUMMYFUNCTION("""COMPUTED_VALUE"""),"")</f>
        <v/>
      </c>
      <c r="D208" s="495" t="str">
        <f>IFERROR(__xludf.DUMMYFUNCTION("""COMPUTED_VALUE"""),"Juan Ignacio Solís de Ovando")</f>
        <v>Juan Ignacio Solís de Ovando</v>
      </c>
      <c r="E208" s="495"/>
      <c r="F208" s="496" t="str">
        <f>IFERROR(__xludf.DUMMYFUNCTION("""COMPUTED_VALUE"""),"8022-2024")</f>
        <v>8022-2024</v>
      </c>
      <c r="G208" s="495"/>
      <c r="H208" s="495"/>
      <c r="I208" s="495"/>
      <c r="J208" s="495" t="str">
        <f>IFERROR(__xludf.DUMMYFUNCTION("""COMPUTED_VALUE"""),"Campus Dr. Luis Rivas del Canto - CRC")</f>
        <v>Campus Dr. Luis Rivas del Canto - CRC</v>
      </c>
      <c r="K208" s="495" t="str">
        <f>IFERROR(__xludf.DUMMYFUNCTION("""COMPUTED_VALUE"""),"Sin número")</f>
        <v>Sin número</v>
      </c>
      <c r="L208" s="495" t="str">
        <f>IFERROR(__xludf.DUMMYFUNCTION("""COMPUTED_VALUE"""),"LSA INGENIERIA Y CONSTRUCCION EIRL")</f>
        <v>LSA INGENIERIA Y CONSTRUCCION EIRL</v>
      </c>
      <c r="M208" s="495" t="str">
        <f>IFERROR(__xludf.DUMMYFUNCTION("""COMPUTED_VALUE"""),"76.219.281-0")</f>
        <v>76.219.281-0</v>
      </c>
      <c r="N208" s="495" t="str">
        <f>IFERROR(__xludf.DUMMYFUNCTION("""COMPUTED_VALUE"""),"CLAUDIA SANZANA, ADMINISTRADOR DE OBRA")</f>
        <v>CLAUDIA SANZANA, ADMINISTRADOR DE OBRA</v>
      </c>
      <c r="O208" s="495" t="str">
        <f>IFERROR(__xludf.DUMMYFUNCTION("""COMPUTED_VALUE"""),"Obras y Especialidades")</f>
        <v>Obras y Especialidades</v>
      </c>
      <c r="P208" s="495"/>
      <c r="Q208" s="495"/>
      <c r="R208" s="495" t="str">
        <f>IFERROR(__xludf.DUMMYFUNCTION("""COMPUTED_VALUE"""),"Nuevo Edificio")</f>
        <v>Nuevo Edificio</v>
      </c>
      <c r="S208" s="495" t="str">
        <f>IFERROR(__xludf.DUMMYFUNCTION("""COMPUTED_VALUE"""),"Estado de Pago - EP")</f>
        <v>Estado de Pago - EP</v>
      </c>
      <c r="T208" s="495">
        <f>IFERROR(__xludf.DUMMYFUNCTION("""COMPUTED_VALUE"""),17.0)</f>
        <v>17</v>
      </c>
      <c r="U208" s="498">
        <f>IFERROR(__xludf.DUMMYFUNCTION("""COMPUTED_VALUE"""),1.70139342E8)</f>
        <v>170139342</v>
      </c>
      <c r="V208" s="495" t="str">
        <f>IFERROR(__xludf.DUMMYFUNCTION("""COMPUTED_VALUE"""),"Avance de trabajos contratados")</f>
        <v>Avance de trabajos contratados</v>
      </c>
      <c r="W208" s="495"/>
      <c r="X208" s="495" t="str">
        <f>IFERROR(__xludf.DUMMYFUNCTION("""COMPUTED_VALUE"""),"https://drive.google.com/open?id=1tlHDjNzysKdssi-01gTFJ5zWTtFHicaO, https://drive.google.com/open?id=1S60Ky2wjQTGVZe9j-1PYrd1mR7sqgULs, https://drive.google.com/open?id=15rQQ6HtzS-mxom4WYAZ-0y5gZf19UeCL, https://drive.google.com/open?id=15Qql94_OXFVk4yygE"&amp;"xXPrXR-ams6qRv1, https://drive.google.com/open?id=1NhGxMP4ByFeJO9wwBm0vPNnSEH3NXozN")</f>
        <v>https://drive.google.com/open?id=1tlHDjNzysKdssi-01gTFJ5zWTtFHicaO, https://drive.google.com/open?id=1S60Ky2wjQTGVZe9j-1PYrd1mR7sqgULs, https://drive.google.com/open?id=15rQQ6HtzS-mxom4WYAZ-0y5gZf19UeCL, https://drive.google.com/open?id=15Qql94_OXFVk4yygExXPrXR-ams6qRv1, https://drive.google.com/open?id=1NhGxMP4ByFeJO9wwBm0vPNnSEH3NXozN</v>
      </c>
      <c r="Y208" s="495" t="str">
        <f>IFERROR(__xludf.DUMMYFUNCTION("""COMPUTED_VALUE"""),"claudiasanzana@Lsaingenieria.cl")</f>
        <v>claudiasanzana@Lsaingenieria.cl</v>
      </c>
      <c r="Z208" s="495"/>
      <c r="AA208" s="495"/>
      <c r="AB208" s="495"/>
      <c r="AC208" s="495"/>
      <c r="AD208" s="495"/>
    </row>
    <row r="209">
      <c r="A209" s="495" t="str">
        <f t="shared" si="1"/>
        <v/>
      </c>
      <c r="B209" s="497">
        <f>IFERROR(__xludf.DUMMYFUNCTION("""COMPUTED_VALUE"""),46015.38500880787)</f>
        <v>46015.38501</v>
      </c>
      <c r="C209" s="495" t="str">
        <f>IFERROR(__xludf.DUMMYFUNCTION("""COMPUTED_VALUE"""),"")</f>
        <v/>
      </c>
      <c r="D209" s="495" t="str">
        <f>IFERROR(__xludf.DUMMYFUNCTION("""COMPUTED_VALUE"""),"Juan Ignacio Solís de Ovando")</f>
        <v>Juan Ignacio Solís de Ovando</v>
      </c>
      <c r="E209" s="495"/>
      <c r="F209" s="496" t="str">
        <f>IFERROR(__xludf.DUMMYFUNCTION("""COMPUTED_VALUE"""),"9031-2025")</f>
        <v>9031-2025</v>
      </c>
      <c r="G209" s="495"/>
      <c r="H209" s="495"/>
      <c r="I209" s="495"/>
      <c r="J209" s="495" t="str">
        <f>IFERROR(__xludf.DUMMYFUNCTION("""COMPUTED_VALUE"""),"Campus Dr. Luis Rivas del Canto - CRC")</f>
        <v>Campus Dr. Luis Rivas del Canto - CRC</v>
      </c>
      <c r="K209" s="495" t="str">
        <f>IFERROR(__xludf.DUMMYFUNCTION("""COMPUTED_VALUE"""),"Sin número")</f>
        <v>Sin número</v>
      </c>
      <c r="L209" s="495" t="str">
        <f>IFERROR(__xludf.DUMMYFUNCTION("""COMPUTED_VALUE"""),"LSA INGENIERIA Y CONSTRUCCION EIRL")</f>
        <v>LSA INGENIERIA Y CONSTRUCCION EIRL</v>
      </c>
      <c r="M209" s="495" t="str">
        <f>IFERROR(__xludf.DUMMYFUNCTION("""COMPUTED_VALUE"""),"76.219.281-0")</f>
        <v>76.219.281-0</v>
      </c>
      <c r="N209" s="495" t="str">
        <f>IFERROR(__xludf.DUMMYFUNCTION("""COMPUTED_VALUE"""),"CLAUDIA SANZANA, ADMINISTRADOR DE OBRA")</f>
        <v>CLAUDIA SANZANA, ADMINISTRADOR DE OBRA</v>
      </c>
      <c r="O209" s="495" t="str">
        <f>IFERROR(__xludf.DUMMYFUNCTION("""COMPUTED_VALUE"""),"Obras y Especialidades")</f>
        <v>Obras y Especialidades</v>
      </c>
      <c r="P209" s="495"/>
      <c r="Q209" s="495"/>
      <c r="R209" s="495" t="str">
        <f>IFERROR(__xludf.DUMMYFUNCTION("""COMPUTED_VALUE"""),"Nuevo Edificio")</f>
        <v>Nuevo Edificio</v>
      </c>
      <c r="S209" s="495" t="str">
        <f>IFERROR(__xludf.DUMMYFUNCTION("""COMPUTED_VALUE"""),"Estado de Pago - EP")</f>
        <v>Estado de Pago - EP</v>
      </c>
      <c r="T209" s="495">
        <f>IFERROR(__xludf.DUMMYFUNCTION("""COMPUTED_VALUE"""),4.0)</f>
        <v>4</v>
      </c>
      <c r="U209" s="498">
        <f>IFERROR(__xludf.DUMMYFUNCTION("""COMPUTED_VALUE"""),1.10752237E8)</f>
        <v>110752237</v>
      </c>
      <c r="V209" s="495" t="str">
        <f>IFERROR(__xludf.DUMMYFUNCTION("""COMPUTED_VALUE"""),"Termino de trabajos de modificaciones y aumentos detallados en Adicional N°1")</f>
        <v>Termino de trabajos de modificaciones y aumentos detallados en Adicional N°1</v>
      </c>
      <c r="W209" s="495"/>
      <c r="X209" s="495" t="str">
        <f>IFERROR(__xludf.DUMMYFUNCTION("""COMPUTED_VALUE"""),"https://drive.google.com/open?id=1F600pSlfYr_22kDDIYkRecsDRk3E833B, https://drive.google.com/open?id=1vUsWXYcNDL7s3fKm2MbeUPvoQhQE4Zq_, https://drive.google.com/open?id=1rMJKD9sg71idKN_Kc3Uggn1dmOoD83CJ, https://drive.google.com/open?id=1WkdeQ-TPfaz2eEc2p"&amp;"RuIGOynXDV9rtt-, https://drive.google.com/open?id=142vzbmcIstO9qCuKXusM9fNFq3WeqZJg")</f>
        <v>https://drive.google.com/open?id=1F600pSlfYr_22kDDIYkRecsDRk3E833B, https://drive.google.com/open?id=1vUsWXYcNDL7s3fKm2MbeUPvoQhQE4Zq_, https://drive.google.com/open?id=1rMJKD9sg71idKN_Kc3Uggn1dmOoD83CJ, https://drive.google.com/open?id=1WkdeQ-TPfaz2eEc2pRuIGOynXDV9rtt-, https://drive.google.com/open?id=142vzbmcIstO9qCuKXusM9fNFq3WeqZJg</v>
      </c>
      <c r="Y209" s="495" t="str">
        <f>IFERROR(__xludf.DUMMYFUNCTION("""COMPUTED_VALUE"""),"claudiasanzana@Lsaingenieria.cl")</f>
        <v>claudiasanzana@Lsaingenieria.cl</v>
      </c>
      <c r="Z209" s="495"/>
      <c r="AA209" s="495"/>
      <c r="AB209" s="495"/>
      <c r="AC209" s="495"/>
      <c r="AD209" s="495"/>
    </row>
    <row r="210">
      <c r="A210" s="495" t="str">
        <f t="shared" si="1"/>
        <v>RC-125_26</v>
      </c>
      <c r="B210" s="497">
        <f>IFERROR(__xludf.DUMMYFUNCTION("""COMPUTED_VALUE"""),46140.44328759259)</f>
        <v>46140.44329</v>
      </c>
      <c r="C210" s="495" t="str">
        <f>IFERROR(__xludf.DUMMYFUNCTION("""COMPUTED_VALUE"""),"")</f>
        <v/>
      </c>
      <c r="D210" s="495" t="str">
        <f>IFERROR(__xludf.DUMMYFUNCTION("""COMPUTED_VALUE"""),"Mauricio Zurita Aldea")</f>
        <v>Mauricio Zurita Aldea</v>
      </c>
      <c r="E210" s="495"/>
      <c r="F210" s="496" t="str">
        <f>IFERROR(__xludf.DUMMYFUNCTION("""COMPUTED_VALUE"""),"2674 - 2026")</f>
        <v>2674 - 2026</v>
      </c>
      <c r="G210" s="495"/>
      <c r="H210" s="495"/>
      <c r="I210" s="495"/>
      <c r="J210" s="495" t="str">
        <f>IFERROR(__xludf.DUMMYFUNCTION("""COMPUTED_VALUE"""),"Campus Phillippi - CPH")</f>
        <v>Campus Phillippi - CPH</v>
      </c>
      <c r="K210" s="495" t="str">
        <f>IFERROR(__xludf.DUMMYFUNCTION("""COMPUTED_VALUE"""),"01")</f>
        <v>01</v>
      </c>
      <c r="L210" s="495" t="str">
        <f>IFERROR(__xludf.DUMMYFUNCTION("""COMPUTED_VALUE"""),"Gyg Servicios spa.")</f>
        <v>Gyg Servicios spa.</v>
      </c>
      <c r="M210" s="495" t="str">
        <f>IFERROR(__xludf.DUMMYFUNCTION("""COMPUTED_VALUE"""),"77.215.624-3")</f>
        <v>77.215.624-3</v>
      </c>
      <c r="N210" s="495" t="str">
        <f>IFERROR(__xludf.DUMMYFUNCTION("""COMPUTED_VALUE"""),"Gustavo Fuentes - Supervisor Técnico")</f>
        <v>Gustavo Fuentes - Supervisor Técnico</v>
      </c>
      <c r="O210" s="495" t="str">
        <f>IFERROR(__xludf.DUMMYFUNCTION("""COMPUTED_VALUE"""),"Mantenciones")</f>
        <v>Mantenciones</v>
      </c>
      <c r="P210" s="495" t="str">
        <f>IFERROR(__xludf.DUMMYFUNCTION("""COMPUTED_VALUE"""),"Ventilacion")</f>
        <v>Ventilacion</v>
      </c>
      <c r="Q210" s="495"/>
      <c r="R210" s="495"/>
      <c r="S210" s="495"/>
      <c r="T210" s="495"/>
      <c r="U210" s="495"/>
      <c r="V210" s="495" t="str">
        <f>IFERROR(__xludf.DUMMYFUNCTION("""COMPUTED_VALUE"""),"Instalación de Aire acondicionado ")</f>
        <v>Instalación de Aire acondicionado </v>
      </c>
      <c r="W210" s="495"/>
      <c r="X210" s="495" t="str">
        <f>IFERROR(__xludf.DUMMYFUNCTION("""COMPUTED_VALUE"""),"https://drive.google.com/open?id=1OWZ6kByjGRpnUCfRk6JHDB6BWoNzY9_z, https://drive.google.com/open?id=1NdMF-GePng4Ogg6N7-PjwDarw-C0npHm")</f>
        <v>https://drive.google.com/open?id=1OWZ6kByjGRpnUCfRk6JHDB6BWoNzY9_z, https://drive.google.com/open?id=1NdMF-GePng4Ogg6N7-PjwDarw-C0npHm</v>
      </c>
      <c r="Y210" s="495" t="str">
        <f>IFERROR(__xludf.DUMMYFUNCTION("""COMPUTED_VALUE"""),"contacto@gygtecnologias.com")</f>
        <v>contacto@gygtecnologias.com</v>
      </c>
      <c r="Z210" s="498">
        <f>IFERROR(__xludf.DUMMYFUNCTION("""COMPUTED_VALUE"""),679490.0)</f>
        <v>679490</v>
      </c>
      <c r="AA210" s="495"/>
      <c r="AB210" s="495"/>
      <c r="AC210" s="495"/>
      <c r="AD210" s="495" t="str">
        <f>IFERROR(__xludf.DUMMYFUNCTION("""COMPUTED_VALUE"""),"RC-125_26")</f>
        <v>RC-125_26</v>
      </c>
    </row>
    <row r="211">
      <c r="A211" s="495" t="str">
        <f t="shared" si="1"/>
        <v>RC-124_26</v>
      </c>
      <c r="B211" s="497">
        <f>IFERROR(__xludf.DUMMYFUNCTION("""COMPUTED_VALUE"""),46139.92342420139)</f>
        <v>46139.92342</v>
      </c>
      <c r="C211" s="495" t="str">
        <f>IFERROR(__xludf.DUMMYFUNCTION("""COMPUTED_VALUE"""),"")</f>
        <v/>
      </c>
      <c r="D211" s="495" t="str">
        <f>IFERROR(__xludf.DUMMYFUNCTION("""COMPUTED_VALUE"""),"Mauricio Zurita Aldea")</f>
        <v>Mauricio Zurita Aldea</v>
      </c>
      <c r="E211" s="495"/>
      <c r="F211" s="496" t="str">
        <f>IFERROR(__xludf.DUMMYFUNCTION("""COMPUTED_VALUE"""),"3011-2026")</f>
        <v>3011-2026</v>
      </c>
      <c r="G211" s="495"/>
      <c r="H211" s="495"/>
      <c r="I211" s="495"/>
      <c r="J211" s="495" t="str">
        <f>IFERROR(__xludf.DUMMYFUNCTION("""COMPUTED_VALUE"""),"Campus San Francisco - CSF")</f>
        <v>Campus San Francisco - CSF</v>
      </c>
      <c r="K211" s="495" t="str">
        <f>IFERROR(__xludf.DUMMYFUNCTION("""COMPUTED_VALUE"""),"02")</f>
        <v>02</v>
      </c>
      <c r="L211" s="495" t="str">
        <f>IFERROR(__xludf.DUMMYFUNCTION("""COMPUTED_VALUE"""),"INGENIERIA Y CONSTRUCCIONES ELEKTRICA SPA")</f>
        <v>INGENIERIA Y CONSTRUCCIONES ELEKTRICA SPA</v>
      </c>
      <c r="M211" s="495" t="str">
        <f>IFERROR(__xludf.DUMMYFUNCTION("""COMPUTED_VALUE"""),"76.884.395-3")</f>
        <v>76.884.395-3</v>
      </c>
      <c r="N211" s="495" t="str">
        <f>IFERROR(__xludf.DUMMYFUNCTION("""COMPUTED_VALUE"""),"Marco Paine - Gerente")</f>
        <v>Marco Paine - Gerente</v>
      </c>
      <c r="O211" s="495" t="str">
        <f>IFERROR(__xludf.DUMMYFUNCTION("""COMPUTED_VALUE"""),"Mantenciones")</f>
        <v>Mantenciones</v>
      </c>
      <c r="P211" s="495" t="str">
        <f>IFERROR(__xludf.DUMMYFUNCTION("""COMPUTED_VALUE"""),"Instalaciones Eléctricas")</f>
        <v>Instalaciones Eléctricas</v>
      </c>
      <c r="Q211" s="495"/>
      <c r="R211" s="495"/>
      <c r="S211" s="495"/>
      <c r="T211" s="495"/>
      <c r="U211" s="495"/>
      <c r="V211" s="495" t="str">
        <f>IFERROR(__xludf.DUMMYFUNCTION("""COMPUTED_VALUE"""),"AUMENTO DE OBRA OC.869/2026 REMODELACIÓN PROYECTO ELÉCTRICO ETAPA 2 Y 3 LABORATORIO DE COMPUTACIÓN ED. BIBLIOTECA CAMPUS SAN FRANCISCO
Traslados de equipos, reparación de fallas, mantenciones en general.")</f>
        <v>AUMENTO DE OBRA OC.869/2026 REMODELACIÓN PROYECTO ELÉCTRICO ETAPA 2 Y 3 LABORATORIO DE COMPUTACIÓN ED. BIBLIOTECA CAMPUS SAN FRANCISCO
Traslados de equipos, reparación de fallas, mantenciones en general.</v>
      </c>
      <c r="W211" s="495"/>
      <c r="X211" s="495" t="str">
        <f>IFERROR(__xludf.DUMMYFUNCTION("""COMPUTED_VALUE"""),"https://drive.google.com/open?id=1vdtqESnyZJSkLPVusYgIvqjkWbx2-VWj, https://drive.google.com/open?id=1x2i568sU8OOyBgk_a3cWtqjitQTuLMFT, https://drive.google.com/open?id=1coDrHPQ1MNo_J5GCLL9kmiB_40JQZ4Sm, https://drive.google.com/open?id=1IMPQMhycWofsmvSzw"&amp;"d9YkN6k9tmfwFDk, https://drive.google.com/open?id=1tUU2IoweL7uhxmiIYKY9xzPkJX7t_dkG")</f>
        <v>https://drive.google.com/open?id=1vdtqESnyZJSkLPVusYgIvqjkWbx2-VWj, https://drive.google.com/open?id=1x2i568sU8OOyBgk_a3cWtqjitQTuLMFT, https://drive.google.com/open?id=1coDrHPQ1MNo_J5GCLL9kmiB_40JQZ4Sm, https://drive.google.com/open?id=1IMPQMhycWofsmvSzwd9YkN6k9tmfwFDk, https://drive.google.com/open?id=1tUU2IoweL7uhxmiIYKY9xzPkJX7t_dkG</v>
      </c>
      <c r="Y211" s="495" t="str">
        <f>IFERROR(__xludf.DUMMYFUNCTION("""COMPUTED_VALUE"""),"marcopaine@gmail.com")</f>
        <v>marcopaine@gmail.com</v>
      </c>
      <c r="Z211" s="498">
        <f>IFERROR(__xludf.DUMMYFUNCTION("""COMPUTED_VALUE"""),8315145.0)</f>
        <v>8315145</v>
      </c>
      <c r="AA211" s="495"/>
      <c r="AB211" s="495"/>
      <c r="AC211" s="495"/>
      <c r="AD211" s="495" t="str">
        <f>IFERROR(__xludf.DUMMYFUNCTION("""COMPUTED_VALUE"""),"RC-124_26")</f>
        <v>RC-124_26</v>
      </c>
    </row>
    <row r="212">
      <c r="A212" s="495" t="str">
        <f t="shared" si="1"/>
        <v>RC-123_26</v>
      </c>
      <c r="B212" s="497">
        <f>IFERROR(__xludf.DUMMYFUNCTION("""COMPUTED_VALUE"""),46139.68000158565)</f>
        <v>46139.68</v>
      </c>
      <c r="C212" s="495" t="str">
        <f>IFERROR(__xludf.DUMMYFUNCTION("""COMPUTED_VALUE"""),"")</f>
        <v/>
      </c>
      <c r="D212" s="495" t="str">
        <f>IFERROR(__xludf.DUMMYFUNCTION("""COMPUTED_VALUE"""),"Mauricio Zurita Aldea")</f>
        <v>Mauricio Zurita Aldea</v>
      </c>
      <c r="E212" s="495"/>
      <c r="F212" s="496" t="str">
        <f>IFERROR(__xludf.DUMMYFUNCTION("""COMPUTED_VALUE"""),"2929-2026")</f>
        <v>2929-2026</v>
      </c>
      <c r="G212" s="495"/>
      <c r="H212" s="495"/>
      <c r="I212" s="495"/>
      <c r="J212" s="495" t="str">
        <f>IFERROR(__xludf.DUMMYFUNCTION("""COMPUTED_VALUE"""),"Campus Pillanlelbun - CPL")</f>
        <v>Campus Pillanlelbun - CPL</v>
      </c>
      <c r="K212" s="495" t="str">
        <f>IFERROR(__xludf.DUMMYFUNCTION("""COMPUTED_VALUE"""),"Exterior")</f>
        <v>Exterior</v>
      </c>
      <c r="L212" s="495" t="str">
        <f>IFERROR(__xludf.DUMMYFUNCTION("""COMPUTED_VALUE"""),"GATICAR SPA")</f>
        <v>GATICAR SPA</v>
      </c>
      <c r="M212" s="495" t="str">
        <f>IFERROR(__xludf.DUMMYFUNCTION("""COMPUTED_VALUE"""),"77.578.487-3")</f>
        <v>77.578.487-3</v>
      </c>
      <c r="N212" s="495" t="str">
        <f>IFERROR(__xludf.DUMMYFUNCTION("""COMPUTED_VALUE"""),"HECTOR GATICA")</f>
        <v>HECTOR GATICA</v>
      </c>
      <c r="O212" s="495" t="str">
        <f>IFERROR(__xludf.DUMMYFUNCTION("""COMPUTED_VALUE"""),"Mantenciones")</f>
        <v>Mantenciones</v>
      </c>
      <c r="P212" s="495" t="str">
        <f>IFERROR(__xludf.DUMMYFUNCTION("""COMPUTED_VALUE"""),"Requerimientos Emergentes e Imprevistos")</f>
        <v>Requerimientos Emergentes e Imprevistos</v>
      </c>
      <c r="Q212" s="495"/>
      <c r="R212" s="495"/>
      <c r="S212" s="495"/>
      <c r="T212" s="495"/>
      <c r="U212" s="495"/>
      <c r="V212" s="495" t="str">
        <f>IFERROR(__xludf.DUMMYFUNCTION("""COMPUTED_VALUE"""),"REPARACIÓN DEL ALTERNADOR Y REVISIÓN DE SISTEMA DE CARGA GRUPO ELECTRÓGENO")</f>
        <v>REPARACIÓN DEL ALTERNADOR Y REVISIÓN DE SISTEMA DE CARGA GRUPO ELECTRÓGENO</v>
      </c>
      <c r="W212" s="495"/>
      <c r="X212" s="495" t="str">
        <f>IFERROR(__xludf.DUMMYFUNCTION("""COMPUTED_VALUE"""),"https://drive.google.com/open?id=1xSgjkwJcC50dX-ko1yyami1O3hx0v3vT, https://drive.google.com/open?id=1klQ7avZlkAbQN7rKmPoitGokUVssALX6")</f>
        <v>https://drive.google.com/open?id=1xSgjkwJcC50dX-ko1yyami1O3hx0v3vT, https://drive.google.com/open?id=1klQ7avZlkAbQN7rKmPoitGokUVssALX6</v>
      </c>
      <c r="Y212" s="495" t="str">
        <f>IFERROR(__xludf.DUMMYFUNCTION("""COMPUTED_VALUE"""),"serviciogaticar@gmail.com")</f>
        <v>serviciogaticar@gmail.com</v>
      </c>
      <c r="Z212" s="498">
        <f>IFERROR(__xludf.DUMMYFUNCTION("""COMPUTED_VALUE"""),725900.0)</f>
        <v>725900</v>
      </c>
      <c r="AA212" s="495"/>
      <c r="AB212" s="495"/>
      <c r="AC212" s="495"/>
      <c r="AD212" s="495" t="str">
        <f>IFERROR(__xludf.DUMMYFUNCTION("""COMPUTED_VALUE"""),"RC-123_26")</f>
        <v>RC-123_26</v>
      </c>
    </row>
    <row r="213">
      <c r="A213" s="495" t="str">
        <f t="shared" si="1"/>
        <v>RC-122_26</v>
      </c>
      <c r="B213" s="497">
        <f>IFERROR(__xludf.DUMMYFUNCTION("""COMPUTED_VALUE"""),46139.67319599537)</f>
        <v>46139.6732</v>
      </c>
      <c r="C213" s="495" t="str">
        <f>IFERROR(__xludf.DUMMYFUNCTION("""COMPUTED_VALUE"""),"")</f>
        <v/>
      </c>
      <c r="D213" s="495" t="str">
        <f>IFERROR(__xludf.DUMMYFUNCTION("""COMPUTED_VALUE"""),"Felipe Anselme Grandón")</f>
        <v>Felipe Anselme Grandón</v>
      </c>
      <c r="E213" s="495"/>
      <c r="F213" s="496" t="str">
        <f>IFERROR(__xludf.DUMMYFUNCTION("""COMPUTED_VALUE"""),"1889-2026")</f>
        <v>1889-2026</v>
      </c>
      <c r="G213" s="495"/>
      <c r="H213" s="495"/>
      <c r="I213" s="495"/>
      <c r="J213" s="495" t="str">
        <f>IFERROR(__xludf.DUMMYFUNCTION("""COMPUTED_VALUE"""),"Campus San Juan Pablo II - CJP")</f>
        <v>Campus San Juan Pablo II - CJP</v>
      </c>
      <c r="K213" s="495" t="str">
        <f>IFERROR(__xludf.DUMMYFUNCTION("""COMPUTED_VALUE"""),"05")</f>
        <v>05</v>
      </c>
      <c r="L213" s="495" t="str">
        <f>IFERROR(__xludf.DUMMYFUNCTION("""COMPUTED_VALUE"""),"MR Electroclima SPA")</f>
        <v>MR Electroclima SPA</v>
      </c>
      <c r="M213" s="495" t="str">
        <f>IFERROR(__xludf.DUMMYFUNCTION("""COMPUTED_VALUE"""),"77.773.634-5")</f>
        <v>77.773.634-5</v>
      </c>
      <c r="N213" s="495" t="str">
        <f>IFERROR(__xludf.DUMMYFUNCTION("""COMPUTED_VALUE"""),"Patricio Manríquez Riffo")</f>
        <v>Patricio Manríquez Riffo</v>
      </c>
      <c r="O213" s="495" t="str">
        <f>IFERROR(__xludf.DUMMYFUNCTION("""COMPUTED_VALUE"""),"Mantenciones")</f>
        <v>Mantenciones</v>
      </c>
      <c r="P213" s="495" t="str">
        <f>IFERROR(__xludf.DUMMYFUNCTION("""COMPUTED_VALUE"""),"Requerimientos Emergentes e Imprevistos")</f>
        <v>Requerimientos Emergentes e Imprevistos</v>
      </c>
      <c r="Q213" s="495"/>
      <c r="R213" s="495"/>
      <c r="S213" s="495"/>
      <c r="T213" s="495"/>
      <c r="U213" s="495"/>
      <c r="V213" s="495" t="str">
        <f>IFERROR(__xludf.DUMMYFUNCTION("""COMPUTED_VALUE"""),"Reparación cámara congelados casino, limpieza de unidad condensadora satura por polvo evitando transferencia de calor.")</f>
        <v>Reparación cámara congelados casino, limpieza de unidad condensadora satura por polvo evitando transferencia de calor.</v>
      </c>
      <c r="W213" s="495" t="str">
        <f>IFERROR(__xludf.DUMMYFUNCTION("""COMPUTED_VALUE"""),"Generar mantenimiento preventivo cada 180 días, para evitar fallas por polución.")</f>
        <v>Generar mantenimiento preventivo cada 180 días, para evitar fallas por polución.</v>
      </c>
      <c r="X213" s="495" t="str">
        <f>IFERROR(__xludf.DUMMYFUNCTION("""COMPUTED_VALUE"""),"https://drive.google.com/open?id=1dD9te0Czf1_EqjEZfb6mbN_H1NU-gyTY, https://drive.google.com/open?id=1TuvboqjHLKON4FfZge34uIir2t-S-hCZ, https://drive.google.com/open?id=1B4HS0B5PMxaOHVCpgD0O3jHBbmcZzd0N, https://drive.google.com/open?id=11U0HXDmV2CyICfeSt"&amp;"DNBsoDrtzOAiZoE, https://drive.google.com/open?id=1ht5lHrxqBwoEvi5cpwVH296W-33fK12V")</f>
        <v>https://drive.google.com/open?id=1dD9te0Czf1_EqjEZfb6mbN_H1NU-gyTY, https://drive.google.com/open?id=1TuvboqjHLKON4FfZge34uIir2t-S-hCZ, https://drive.google.com/open?id=1B4HS0B5PMxaOHVCpgD0O3jHBbmcZzd0N, https://drive.google.com/open?id=11U0HXDmV2CyICfeStDNBsoDrtzOAiZoE, https://drive.google.com/open?id=1ht5lHrxqBwoEvi5cpwVH296W-33fK12V</v>
      </c>
      <c r="Y213" s="495" t="str">
        <f>IFERROR(__xludf.DUMMYFUNCTION("""COMPUTED_VALUE"""),"luismanriquez555@gmail.com")</f>
        <v>luismanriquez555@gmail.com</v>
      </c>
      <c r="Z213" s="498">
        <f>IFERROR(__xludf.DUMMYFUNCTION("""COMPUTED_VALUE"""),95200.0)</f>
        <v>95200</v>
      </c>
      <c r="AA213" s="495"/>
      <c r="AB213" s="495"/>
      <c r="AC213" s="495"/>
      <c r="AD213" s="495" t="str">
        <f>IFERROR(__xludf.DUMMYFUNCTION("""COMPUTED_VALUE"""),"RC-122_26")</f>
        <v>RC-122_26</v>
      </c>
    </row>
    <row r="214">
      <c r="A214" s="495" t="str">
        <f t="shared" si="1"/>
        <v>RC-121_26</v>
      </c>
      <c r="B214" s="497">
        <f>IFERROR(__xludf.DUMMYFUNCTION("""COMPUTED_VALUE"""),46139.610836481486)</f>
        <v>46139.61084</v>
      </c>
      <c r="C214" s="495" t="str">
        <f>IFERROR(__xludf.DUMMYFUNCTION("""COMPUTED_VALUE"""),"")</f>
        <v/>
      </c>
      <c r="D214" s="495" t="str">
        <f>IFERROR(__xludf.DUMMYFUNCTION("""COMPUTED_VALUE"""),"Mauricio Zurita Aldea")</f>
        <v>Mauricio Zurita Aldea</v>
      </c>
      <c r="E214" s="495"/>
      <c r="F214" s="496" t="str">
        <f>IFERROR(__xludf.DUMMYFUNCTION("""COMPUTED_VALUE"""),"2927-2026")</f>
        <v>2927-2026</v>
      </c>
      <c r="G214" s="495"/>
      <c r="H214" s="495"/>
      <c r="I214" s="495"/>
      <c r="J214" s="495" t="str">
        <f>IFERROR(__xludf.DUMMYFUNCTION("""COMPUTED_VALUE"""),"Campus Pillanlelbun - CPL")</f>
        <v>Campus Pillanlelbun - CPL</v>
      </c>
      <c r="K214" s="495" t="str">
        <f>IFERROR(__xludf.DUMMYFUNCTION("""COMPUTED_VALUE"""),"Exterior")</f>
        <v>Exterior</v>
      </c>
      <c r="L214" s="495" t="str">
        <f>IFERROR(__xludf.DUMMYFUNCTION("""COMPUTED_VALUE"""),"GATICAR SPA")</f>
        <v>GATICAR SPA</v>
      </c>
      <c r="M214" s="495" t="str">
        <f>IFERROR(__xludf.DUMMYFUNCTION("""COMPUTED_VALUE"""),"77.578.487-3")</f>
        <v>77.578.487-3</v>
      </c>
      <c r="N214" s="495" t="str">
        <f>IFERROR(__xludf.DUMMYFUNCTION("""COMPUTED_VALUE"""),"HECTOR GATICA")</f>
        <v>HECTOR GATICA</v>
      </c>
      <c r="O214" s="495" t="str">
        <f>IFERROR(__xludf.DUMMYFUNCTION("""COMPUTED_VALUE"""),"Mantenciones")</f>
        <v>Mantenciones</v>
      </c>
      <c r="P214" s="495" t="str">
        <f>IFERROR(__xludf.DUMMYFUNCTION("""COMPUTED_VALUE"""),"Requerimientos Emergentes e Imprevistos")</f>
        <v>Requerimientos Emergentes e Imprevistos</v>
      </c>
      <c r="Q214" s="495"/>
      <c r="R214" s="495"/>
      <c r="S214" s="495"/>
      <c r="T214" s="495"/>
      <c r="U214" s="495"/>
      <c r="V214" s="495" t="str">
        <f>IFERROR(__xludf.DUMMYFUNCTION("""COMPUTED_VALUE"""),"REPARACIÓN DE SISTEMA MECÁNICO DE ACOPLE ENTRE MOTOR Y GENERADOR")</f>
        <v>REPARACIÓN DE SISTEMA MECÁNICO DE ACOPLE ENTRE MOTOR Y GENERADOR</v>
      </c>
      <c r="W214" s="495"/>
      <c r="X214" s="495" t="str">
        <f>IFERROR(__xludf.DUMMYFUNCTION("""COMPUTED_VALUE"""),"https://drive.google.com/open?id=1kRoFJEIecW-zQFHrff9T-7woBwR5uGgz, https://drive.google.com/open?id=19BGlX7yf0t1ful4lWsq6wZS__3fT-m0A, https://drive.google.com/open?id=1w9nIsdrLXV4ZGUpiIpmvTNNtrCEbsX_b")</f>
        <v>https://drive.google.com/open?id=1kRoFJEIecW-zQFHrff9T-7woBwR5uGgz, https://drive.google.com/open?id=19BGlX7yf0t1ful4lWsq6wZS__3fT-m0A, https://drive.google.com/open?id=1w9nIsdrLXV4ZGUpiIpmvTNNtrCEbsX_b</v>
      </c>
      <c r="Y214" s="495" t="str">
        <f>IFERROR(__xludf.DUMMYFUNCTION("""COMPUTED_VALUE"""),"serviciogaticar@gmail.com")</f>
        <v>serviciogaticar@gmail.com</v>
      </c>
      <c r="Z214" s="498">
        <f>IFERROR(__xludf.DUMMYFUNCTION("""COMPUTED_VALUE"""),794920.0)</f>
        <v>794920</v>
      </c>
      <c r="AA214" s="495"/>
      <c r="AB214" s="495"/>
      <c r="AC214" s="495"/>
      <c r="AD214" s="495" t="str">
        <f>IFERROR(__xludf.DUMMYFUNCTION("""COMPUTED_VALUE"""),"RC-121_26")</f>
        <v>RC-121_26</v>
      </c>
    </row>
    <row r="215">
      <c r="A215" s="495" t="str">
        <f t="shared" si="1"/>
        <v>RC-120_26</v>
      </c>
      <c r="B215" s="497">
        <f>IFERROR(__xludf.DUMMYFUNCTION("""COMPUTED_VALUE"""),46139.60672271991)</f>
        <v>46139.60672</v>
      </c>
      <c r="C215" s="495" t="str">
        <f>IFERROR(__xludf.DUMMYFUNCTION("""COMPUTED_VALUE"""),"")</f>
        <v/>
      </c>
      <c r="D215" s="495" t="str">
        <f>IFERROR(__xludf.DUMMYFUNCTION("""COMPUTED_VALUE"""),"Mauricio Zurita Aldea")</f>
        <v>Mauricio Zurita Aldea</v>
      </c>
      <c r="E215" s="495"/>
      <c r="F215" s="496" t="str">
        <f>IFERROR(__xludf.DUMMYFUNCTION("""COMPUTED_VALUE"""),"2926-2026")</f>
        <v>2926-2026</v>
      </c>
      <c r="G215" s="495"/>
      <c r="H215" s="495"/>
      <c r="I215" s="495"/>
      <c r="J215" s="495" t="str">
        <f>IFERROR(__xludf.DUMMYFUNCTION("""COMPUTED_VALUE"""),"Campus Pillanlelbun - CPL")</f>
        <v>Campus Pillanlelbun - CPL</v>
      </c>
      <c r="K215" s="495" t="str">
        <f>IFERROR(__xludf.DUMMYFUNCTION("""COMPUTED_VALUE"""),"Exterior")</f>
        <v>Exterior</v>
      </c>
      <c r="L215" s="495" t="str">
        <f>IFERROR(__xludf.DUMMYFUNCTION("""COMPUTED_VALUE"""),"GATICAR SPA")</f>
        <v>GATICAR SPA</v>
      </c>
      <c r="M215" s="495" t="str">
        <f>IFERROR(__xludf.DUMMYFUNCTION("""COMPUTED_VALUE"""),"77.578.487-3")</f>
        <v>77.578.487-3</v>
      </c>
      <c r="N215" s="495" t="str">
        <f>IFERROR(__xludf.DUMMYFUNCTION("""COMPUTED_VALUE"""),"HECTOR GATICA")</f>
        <v>HECTOR GATICA</v>
      </c>
      <c r="O215" s="495" t="str">
        <f>IFERROR(__xludf.DUMMYFUNCTION("""COMPUTED_VALUE"""),"Mantenciones")</f>
        <v>Mantenciones</v>
      </c>
      <c r="P215" s="495" t="str">
        <f>IFERROR(__xludf.DUMMYFUNCTION("""COMPUTED_VALUE"""),"Requerimientos Emergentes e Imprevistos")</f>
        <v>Requerimientos Emergentes e Imprevistos</v>
      </c>
      <c r="Q215" s="495"/>
      <c r="R215" s="495"/>
      <c r="S215" s="495"/>
      <c r="T215" s="495"/>
      <c r="U215" s="495"/>
      <c r="V215" s="495" t="str">
        <f>IFERROR(__xludf.DUMMYFUNCTION("""COMPUTED_VALUE"""),"REPARACIÓN DEL ALTERNADOR Y REVISIÓN DE SISTEMA DE CARGA GRUPO ELECTRÓGENO")</f>
        <v>REPARACIÓN DEL ALTERNADOR Y REVISIÓN DE SISTEMA DE CARGA GRUPO ELECTRÓGENO</v>
      </c>
      <c r="W215" s="495"/>
      <c r="X215" s="499" t="str">
        <f>IFERROR(__xludf.DUMMYFUNCTION("""COMPUTED_VALUE"""),"https://drive.google.com/open?id=1mZnYixX-M9oLlD3MmKtL0zbaKgpsef8y")</f>
        <v>https://drive.google.com/open?id=1mZnYixX-M9oLlD3MmKtL0zbaKgpsef8y</v>
      </c>
      <c r="Y215" s="495" t="str">
        <f>IFERROR(__xludf.DUMMYFUNCTION("""COMPUTED_VALUE"""),"serviciogaticar@gmail.com")</f>
        <v>serviciogaticar@gmail.com</v>
      </c>
      <c r="Z215" s="498">
        <f>IFERROR(__xludf.DUMMYFUNCTION("""COMPUTED_VALUE"""),725900.0)</f>
        <v>725900</v>
      </c>
      <c r="AA215" s="495"/>
      <c r="AB215" s="495"/>
      <c r="AC215" s="495"/>
      <c r="AD215" s="495" t="str">
        <f>IFERROR(__xludf.DUMMYFUNCTION("""COMPUTED_VALUE"""),"RC-120_26")</f>
        <v>RC-120_26</v>
      </c>
    </row>
    <row r="216">
      <c r="A216" s="495" t="str">
        <f t="shared" si="1"/>
        <v>RC-119_26</v>
      </c>
      <c r="B216" s="497">
        <f>IFERROR(__xludf.DUMMYFUNCTION("""COMPUTED_VALUE"""),46139.47575841435)</f>
        <v>46139.47576</v>
      </c>
      <c r="C216" s="495" t="str">
        <f>IFERROR(__xludf.DUMMYFUNCTION("""COMPUTED_VALUE"""),"")</f>
        <v/>
      </c>
      <c r="D216" s="495" t="str">
        <f>IFERROR(__xludf.DUMMYFUNCTION("""COMPUTED_VALUE"""),"David Silva Roco")</f>
        <v>David Silva Roco</v>
      </c>
      <c r="E216" s="495"/>
      <c r="F216" s="496" t="str">
        <f>IFERROR(__xludf.DUMMYFUNCTION("""COMPUTED_VALUE"""),"859 - 2026")</f>
        <v>859 - 2026</v>
      </c>
      <c r="G216" s="495"/>
      <c r="H216" s="495"/>
      <c r="I216" s="495"/>
      <c r="J216" s="495" t="str">
        <f>IFERROR(__xludf.DUMMYFUNCTION("""COMPUTED_VALUE"""),"Campus Dr. Luis Rivas del Canto - CRC")</f>
        <v>Campus Dr. Luis Rivas del Canto - CRC</v>
      </c>
      <c r="K216" s="495" t="str">
        <f>IFERROR(__xludf.DUMMYFUNCTION("""COMPUTED_VALUE"""),"05")</f>
        <v>05</v>
      </c>
      <c r="L216" s="495" t="str">
        <f>IFERROR(__xludf.DUMMYFUNCTION("""COMPUTED_VALUE"""),"Empresa Constructora IGECE Ltda.")</f>
        <v>Empresa Constructora IGECE Ltda.</v>
      </c>
      <c r="M216" s="495" t="str">
        <f>IFERROR(__xludf.DUMMYFUNCTION("""COMPUTED_VALUE"""),"76.878.824-3")</f>
        <v>76.878.824-3</v>
      </c>
      <c r="N216" s="495" t="str">
        <f>IFERROR(__xludf.DUMMYFUNCTION("""COMPUTED_VALUE"""),"Carlos Troncoso - Gerente General ")</f>
        <v>Carlos Troncoso - Gerente General </v>
      </c>
      <c r="O216" s="495" t="str">
        <f>IFERROR(__xludf.DUMMYFUNCTION("""COMPUTED_VALUE"""),"Mantenciones")</f>
        <v>Mantenciones</v>
      </c>
      <c r="P216" s="495" t="str">
        <f>IFERROR(__xludf.DUMMYFUNCTION("""COMPUTED_VALUE"""),"Cubiertas")</f>
        <v>Cubiertas</v>
      </c>
      <c r="Q216" s="495"/>
      <c r="R216" s="495"/>
      <c r="S216" s="495"/>
      <c r="T216" s="495"/>
      <c r="U216" s="495"/>
      <c r="V216" s="495" t="str">
        <f>IFERROR(__xludf.DUMMYFUNCTION("""COMPUTED_VALUE"""),"Retiro 6 estructuras metálicas cubierta:  Se realiza retiro estructuras metálicas sobre cubierta. 
Retiro Planchas PV4 Cubierta: Se realizara el retiro completo de plancha PV4 para realizar trabajos, cambio de materiales y retiros de materiales solicitado"&amp;"s.
Retiro Aislación Existente: Se realiza retiro de planchas de poliestireno expandido de 100 mm espesor.
Instalación lana de vidrio 150 mm: Se realiza cambio de poliestireno expandido por lana de vidrio de 150 mm espesor en la totalidad de la cubierta.
i"&amp;"nstalación maderas para uniones de osb donde no coincide con las costaneras 
Instalación encamisado OSB 11 mm: Se aplicar un encamisado de placa Osb de 11 mm de espesor.
Instalación Membrana Hidrofuga: Sobre el encamisado de osb se instalara un capa de me"&amp;"mbrana hidrofuga tipo tyvek, como barrera de humedad.
Reinstalación Planchas PV4 Cubierta: Se realiza reinstalación plancha pV4, realizando cambio de tornillos y aplicando sellos de poliuretano donde corresponda para evitar filtraciones.
Cambio planchas P"&amp;"V4 policarbonato: Se realiza el cambio de 10 planchas de policarbonato tipo PV4 debido a daños y quemaduras por el sol.
Instalación ventas termo panel 4 unidades: Se cambiaran las 4 ventas del segundo nivel, por ventanas tipo termo panel .   ( considera v"&amp;"entanales de extremos , en los 2 frontones )                       
Instalación interior EIFS + pintura Látex: En los muros exteriores, según lo visto en terreno, se realizara sistema EIFS, para dar un mejor y mayor envolvente térmico, cabe señalar que la"&amp;" terminación será con la pasta lisa y su posterior aplicación de pintura tipo látex extra cubriente blanco.  considera laboratorio piso 2 lado norte 
Reinstalación de hojalaterías y cambio de hojalaterías en mal estado 
Orden, aseo y retiro de excedentes:"&amp;" Se Realiza aseo general y retiro de todo residuo generado por los trabajos, dejando todo en perfectas condiciones.
")</f>
        <v>Retiro 6 estructuras metálicas cubierta:  Se realiza retiro estructuras metálicas sobre cubierta. 
Retiro Planchas PV4 Cubierta: Se realizara el retiro completo de plancha PV4 para realizar trabajos, cambio de materiales y retiros de materiales solicitados.
Retiro Aislación Existente: Se realiza retiro de planchas de poliestireno expandido de 100 mm espesor.
Instalación lana de vidrio 150 mm: Se realiza cambio de poliestireno expandido por lana de vidrio de 150 mm espesor en la totalidad de la cubierta.
instalación maderas para uniones de osb donde no coincide con las costaneras 
Instalación encamisado OSB 11 mm: Se aplicar un encamisado de placa Osb de 11 mm de espesor.
Instalación Membrana Hidrofuga: Sobre el encamisado de osb se instalara un capa de membrana hidrofuga tipo tyvek, como barrera de humedad.
Reinstalación Planchas PV4 Cubierta: Se realiza reinstalación plancha pV4, realizando cambio de tornillos y aplicando sellos de poliuretano donde corresponda para evitar filtraciones.
Cambio planchas PV4 policarbonato: Se realiza el cambio de 10 planchas de policarbonato tipo PV4 debido a daños y quemaduras por el sol.
Instalación ventas termo panel 4 unidades: Se cambiaran las 4 ventas del segundo nivel, por ventanas tipo termo panel .   ( considera ventanales de extremos , en los 2 frontones )                       
Instalación interior EIFS + pintura Látex: En los muros exteriores, según lo visto en terreno, se realizara sistema EIFS, para dar un mejor y mayor envolvente térmico, cabe señalar que la terminación será con la pasta lisa y su posterior aplicación de pintura tipo látex extra cubriente blanco.  considera laboratorio piso 2 lado norte 
Reinstalación de hojalaterías y cambio de hojalaterías en mal estado 
Orden, aseo y retiro de excedentes: Se Realiza aseo general y retiro de todo residuo generado por los trabajos, dejando todo en perfectas condiciones.
</v>
      </c>
      <c r="W216" s="495"/>
      <c r="X216" s="495" t="str">
        <f>IFERROR(__xludf.DUMMYFUNCTION("""COMPUTED_VALUE"""),"https://drive.google.com/open?id=1-a_73g6xVbxGG1sTigtkdAJuJPCHQknH, https://drive.google.com/open?id=1MUmxNdmG1Nn95_q8fDqu5cUyUeBBBmLv, https://drive.google.com/open?id=18PFsGi-b0wHqsfG3kSif13g6JT74fM53, https://drive.google.com/open?id=1cygQqzorbiFncoYNv"&amp;"JQ3E0nhNuLjaVir, https://drive.google.com/open?id=1TnQV6TdZMD-5WZft03VmuO-vDOL4H0NM, https://drive.google.com/open?id=1CyRnjvi4fQMTqAEXTNhS8PovGyPs35ez, https://drive.google.com/open?id=14c4iKpYo_Wtivh6GAc9lZskmLq8QQRK1, https://drive.google.com/open?id=1"&amp;"_Y8RTjF3VgZ4V1dgfP0rKRhLQME7plnS, https://drive.google.com/open?id=1Vv3RY0I3DkdTLN1csuN4FX1VDY_pEW-s, https://drive.google.com/open?id=1vqehUEtb0okBVaWSTneE6oJtun2hSeC5")</f>
        <v>https://drive.google.com/open?id=1-a_73g6xVbxGG1sTigtkdAJuJPCHQknH, https://drive.google.com/open?id=1MUmxNdmG1Nn95_q8fDqu5cUyUeBBBmLv, https://drive.google.com/open?id=18PFsGi-b0wHqsfG3kSif13g6JT74fM53, https://drive.google.com/open?id=1cygQqzorbiFncoYNvJQ3E0nhNuLjaVir, https://drive.google.com/open?id=1TnQV6TdZMD-5WZft03VmuO-vDOL4H0NM, https://drive.google.com/open?id=1CyRnjvi4fQMTqAEXTNhS8PovGyPs35ez, https://drive.google.com/open?id=14c4iKpYo_Wtivh6GAc9lZskmLq8QQRK1, https://drive.google.com/open?id=1_Y8RTjF3VgZ4V1dgfP0rKRhLQME7plnS, https://drive.google.com/open?id=1Vv3RY0I3DkdTLN1csuN4FX1VDY_pEW-s, https://drive.google.com/open?id=1vqehUEtb0okBVaWSTneE6oJtun2hSeC5</v>
      </c>
      <c r="Y216" s="495" t="str">
        <f>IFERROR(__xludf.DUMMYFUNCTION("""COMPUTED_VALUE"""),"carlostroncosom@hotmail.com")</f>
        <v>carlostroncosom@hotmail.com</v>
      </c>
      <c r="Z216" s="498">
        <f>IFERROR(__xludf.DUMMYFUNCTION("""COMPUTED_VALUE"""),4486405.0)</f>
        <v>4486405</v>
      </c>
      <c r="AA216" s="495"/>
      <c r="AB216" s="495"/>
      <c r="AC216" s="495"/>
      <c r="AD216" s="495" t="str">
        <f>IFERROR(__xludf.DUMMYFUNCTION("""COMPUTED_VALUE"""),"RC-119_26")</f>
        <v>RC-119_26</v>
      </c>
    </row>
    <row r="217">
      <c r="A217" s="495" t="str">
        <f t="shared" si="1"/>
        <v/>
      </c>
      <c r="B217" s="497">
        <f>IFERROR(__xludf.DUMMYFUNCTION("""COMPUTED_VALUE"""),46027.49791320602)</f>
        <v>46027.49791</v>
      </c>
      <c r="C217" s="495" t="str">
        <f>IFERROR(__xludf.DUMMYFUNCTION("""COMPUTED_VALUE"""),"")</f>
        <v/>
      </c>
      <c r="D217" s="495" t="str">
        <f>IFERROR(__xludf.DUMMYFUNCTION("""COMPUTED_VALUE"""),"Cristóbal Correa del Río")</f>
        <v>Cristóbal Correa del Río</v>
      </c>
      <c r="E217" s="495"/>
      <c r="F217" s="496" t="str">
        <f>IFERROR(__xludf.DUMMYFUNCTION("""COMPUTED_VALUE"""),"8337 - 2025")</f>
        <v>8337 - 2025</v>
      </c>
      <c r="G217" s="495"/>
      <c r="H217" s="495"/>
      <c r="I217" s="495"/>
      <c r="J217" s="495" t="str">
        <f>IFERROR(__xludf.DUMMYFUNCTION("""COMPUTED_VALUE"""),"Campus San Nicolás (Curacautín) - CSN")</f>
        <v>Campus San Nicolás (Curacautín) - CSN</v>
      </c>
      <c r="K217" s="495" t="str">
        <f>IFERROR(__xludf.DUMMYFUNCTION("""COMPUTED_VALUE"""),"Sin número")</f>
        <v>Sin número</v>
      </c>
      <c r="L217" s="495" t="str">
        <f>IFERROR(__xludf.DUMMYFUNCTION("""COMPUTED_VALUE"""),"TRECAN SPA")</f>
        <v>TRECAN SPA</v>
      </c>
      <c r="M217" s="495" t="str">
        <f>IFERROR(__xludf.DUMMYFUNCTION("""COMPUTED_VALUE"""),"78.077.589-0")</f>
        <v>78.077.589-0</v>
      </c>
      <c r="N217" s="495" t="str">
        <f>IFERROR(__xludf.DUMMYFUNCTION("""COMPUTED_VALUE"""),"RODRIGO ALEJANDRO TRECAN BELTRAN")</f>
        <v>RODRIGO ALEJANDRO TRECAN BELTRAN</v>
      </c>
      <c r="O217" s="495" t="str">
        <f>IFERROR(__xludf.DUMMYFUNCTION("""COMPUTED_VALUE"""),"Obras y Especialidades")</f>
        <v>Obras y Especialidades</v>
      </c>
      <c r="P217" s="495"/>
      <c r="Q217" s="495"/>
      <c r="R217" s="495" t="str">
        <f>IFERROR(__xludf.DUMMYFUNCTION("""COMPUTED_VALUE"""),"Nuevo Edificio")</f>
        <v>Nuevo Edificio</v>
      </c>
      <c r="S217" s="495" t="str">
        <f>IFERROR(__xludf.DUMMYFUNCTION("""COMPUTED_VALUE"""),"Estado de Pago - EP")</f>
        <v>Estado de Pago - EP</v>
      </c>
      <c r="T217" s="495">
        <f>IFERROR(__xludf.DUMMYFUNCTION("""COMPUTED_VALUE"""),3.0)</f>
        <v>3</v>
      </c>
      <c r="U217" s="498">
        <f>IFERROR(__xludf.DUMMYFUNCTION("""COMPUTED_VALUE"""),1.083171E7)</f>
        <v>10831710</v>
      </c>
      <c r="V217" s="495" t="str">
        <f>IFERROR(__xludf.DUMMYFUNCTION("""COMPUTED_VALUE"""),"* Carpintería: Trazado, Envigado maestro y de piso, Montaje de paneles, Montaje de casetones, Instalación de cubierta, Aislación de piso, Instalación de puertas, ventanas y terminaciones de carpintería.
* Instalación eléctrica: Instalación de circuito alu"&amp;"mbrado,  Instalación de circuito de enchufes, Tablero ( incluye 4 aut. de 16 amp , 3 aut. De 10 amp, 3 diferenciales) y Conexión a empalme. 
* Instalación de agua potable y alcantarillado (solo trabajos interiores): Instalación agua potable ( pprr), Llave"&amp;"s de pasos para agua fría y caliente para cada baño y cocina, Instalación de alcantarillado en pvc (solo interior), Instalación de artefactos (salas de baño, lavaplatos), conexión a Fosa Séptica (incluye cámara desgrasadora y tubos de ventilación), conexi"&amp;"ón a empalme de agua, Vanitorios + WC STRETTO, Cabina de ducha SENSEI DAQUA, Columna ducha SENSEi DAQUA, Receptáculo, Lavaplatos,  Cabina para calefont, Cilindro + Regulador, Termo eléctrico de 100 lts,  Termo solar vendido.
* Instalación de gas: Alimenta"&amp;"ción 1 cocina a gas (cañería de cobre L de 1/2 pulg), (No considera cilindros, reguladores)
Instalación artefacto calefont y cocina (no considera caseta )
* Cerámicos ( 2 baños y cocina) (solo considera mano de obra): instalación de Porcelanato en muros c"&amp;"ocina, instalación de Porcelanato en muros baño.
* Pinturas no incluye materiales
* Instalación de Pisos: instalación de piso vinílico o flotante
")</f>
        <v>* Carpintería: Trazado, Envigado maestro y de piso, Montaje de paneles, Montaje de casetones, Instalación de cubierta, Aislación de piso, Instalación de puertas, ventanas y terminaciones de carpintería.
* Instalación eléctrica: Instalación de circuito alumbrado,  Instalación de circuito de enchufes, Tablero ( incluye 4 aut. de 16 amp , 3 aut. De 10 amp, 3 diferenciales) y Conexión a empalme. 
* Instalación de agua potable y alcantarillado (solo trabajos interiores): Instalación agua potable ( pprr), Llaves de pasos para agua fría y caliente para cada baño y cocina, Instalación de alcantarillado en pvc (solo interior), Instalación de artefactos (salas de baño, lavaplatos), conexión a Fosa Séptica (incluye cámara desgrasadora y tubos de ventilación), conexión a empalme de agua, Vanitorios + WC STRETTO, Cabina de ducha SENSEI DAQUA, Columna ducha SENSEi DAQUA, Receptáculo, Lavaplatos,  Cabina para calefont, Cilindro + Regulador, Termo eléctrico de 100 lts,  Termo solar vendido.
* Instalación de gas: Alimentación 1 cocina a gas (cañería de cobre L de 1/2 pulg), (No considera cilindros, reguladores)
Instalación artefacto calefont y cocina (no considera caseta )
* Cerámicos ( 2 baños y cocina) (solo considera mano de obra): instalación de Porcelanato en muros cocina, instalación de Porcelanato en muros baño.
* Pinturas no incluye materiales
* Instalación de Pisos: instalación de piso vinílico o flotante
</v>
      </c>
      <c r="W217" s="495"/>
      <c r="X217" s="495" t="str">
        <f>IFERROR(__xludf.DUMMYFUNCTION("""COMPUTED_VALUE"""),"https://drive.google.com/open?id=1kIbKrbPuMROoRB2tm9WYJzkG81vBjQwK, https://drive.google.com/open?id=1MeMOy_dpJVDDFwg3MW7Mg_nvLi9ljQdC, https://drive.google.com/open?id=1KxrQruTJH279QbEAcjxuLdCN5ETHypOe, https://drive.google.com/open?id=1sUip2bQqDDQAMw8BV"&amp;"ziJie_h38eRnKho, https://drive.google.com/open?id=1ZviiAJY7Cyra9KWh1J4atrJAkkyh07Ss, https://drive.google.com/open?id=1gGP73-0U4-aMFxuDzZ0I2RjoRipgS-40, https://drive.google.com/open?id=10wWjJ1LBE0ETvkMcBSHwEJ4grDjWFyPW, https://drive.google.com/open?id=1"&amp;"qJ1sdUSHxngtF_VLNgAFu7VxL3BlMe5a, https://drive.google.com/open?id=1ab75NLX8mhfEDeX6loHJLxYiUR2g70-y, https://drive.google.com/open?id=1_gW3x3gTYi-2XcQsGEYQ7Y2D8Qn4RSun")</f>
        <v>https://drive.google.com/open?id=1kIbKrbPuMROoRB2tm9WYJzkG81vBjQwK, https://drive.google.com/open?id=1MeMOy_dpJVDDFwg3MW7Mg_nvLi9ljQdC, https://drive.google.com/open?id=1KxrQruTJH279QbEAcjxuLdCN5ETHypOe, https://drive.google.com/open?id=1sUip2bQqDDQAMw8BVziJie_h38eRnKho, https://drive.google.com/open?id=1ZviiAJY7Cyra9KWh1J4atrJAkkyh07Ss, https://drive.google.com/open?id=1gGP73-0U4-aMFxuDzZ0I2RjoRipgS-40, https://drive.google.com/open?id=10wWjJ1LBE0ETvkMcBSHwEJ4grDjWFyPW, https://drive.google.com/open?id=1qJ1sdUSHxngtF_VLNgAFu7VxL3BlMe5a, https://drive.google.com/open?id=1ab75NLX8mhfEDeX6loHJLxYiUR2g70-y, https://drive.google.com/open?id=1_gW3x3gTYi-2XcQsGEYQ7Y2D8Qn4RSun</v>
      </c>
      <c r="Y217" s="495" t="str">
        <f>IFERROR(__xludf.DUMMYFUNCTION("""COMPUTED_VALUE"""),"tributaria@lyaconsultores.cl")</f>
        <v>tributaria@lyaconsultores.cl</v>
      </c>
      <c r="Z217" s="495"/>
      <c r="AA217" s="495"/>
      <c r="AB217" s="495"/>
      <c r="AC217" s="495"/>
      <c r="AD217" s="495"/>
    </row>
    <row r="218">
      <c r="A218" s="495" t="str">
        <f t="shared" si="1"/>
        <v/>
      </c>
      <c r="B218" s="497">
        <f>IFERROR(__xludf.DUMMYFUNCTION("""COMPUTED_VALUE"""),46027.73795921296)</f>
        <v>46027.73796</v>
      </c>
      <c r="C218" s="495" t="str">
        <f>IFERROR(__xludf.DUMMYFUNCTION("""COMPUTED_VALUE"""),"")</f>
        <v/>
      </c>
      <c r="D218" s="495" t="str">
        <f>IFERROR(__xludf.DUMMYFUNCTION("""COMPUTED_VALUE"""),"Mauricio Zurita Aldea")</f>
        <v>Mauricio Zurita Aldea</v>
      </c>
      <c r="E218" s="495"/>
      <c r="F218" s="496" t="str">
        <f>IFERROR(__xludf.DUMMYFUNCTION("""COMPUTED_VALUE"""),"12311-2025 / 12321-2025 / 12329-2025/")</f>
        <v>12311-2025 / 12321-2025 / 12329-2025/</v>
      </c>
      <c r="G218" s="495"/>
      <c r="H218" s="495"/>
      <c r="I218" s="495"/>
      <c r="J218" s="495" t="str">
        <f>IFERROR(__xludf.DUMMYFUNCTION("""COMPUTED_VALUE"""),"Campus San Juan Pablo II - CJP")</f>
        <v>Campus San Juan Pablo II - CJP</v>
      </c>
      <c r="K218" s="495" t="str">
        <f>IFERROR(__xludf.DUMMYFUNCTION("""COMPUTED_VALUE"""),"07")</f>
        <v>07</v>
      </c>
      <c r="L218" s="495" t="str">
        <f>IFERROR(__xludf.DUMMYFUNCTION("""COMPUTED_VALUE"""),"TECHNOLOGY INVESTMENT GYO SPA")</f>
        <v>TECHNOLOGY INVESTMENT GYO SPA</v>
      </c>
      <c r="M218" s="495" t="str">
        <f>IFERROR(__xludf.DUMMYFUNCTION("""COMPUTED_VALUE"""),"78.097.456-7")</f>
        <v>78.097.456-7</v>
      </c>
      <c r="N218" s="495" t="str">
        <f>IFERROR(__xludf.DUMMYFUNCTION("""COMPUTED_VALUE"""),"FELIPE OPORTO ROA, DIRECTOR DE OPERACIONES")</f>
        <v>FELIPE OPORTO ROA, DIRECTOR DE OPERACIONES</v>
      </c>
      <c r="O218" s="495" t="str">
        <f>IFERROR(__xludf.DUMMYFUNCTION("""COMPUTED_VALUE"""),"Operación")</f>
        <v>Operación</v>
      </c>
      <c r="P218" s="495"/>
      <c r="Q218" s="495" t="str">
        <f>IFERROR(__xludf.DUMMYFUNCTION("""COMPUTED_VALUE"""),"Sala de Bombas y Sistema de Riego")</f>
        <v>Sala de Bombas y Sistema de Riego</v>
      </c>
      <c r="R218" s="495"/>
      <c r="S218" s="495"/>
      <c r="T218" s="495"/>
      <c r="U218" s="495"/>
      <c r="V218" s="495" t="str">
        <f>IFERROR(__xludf.DUMMYFUNCTION("""COMPUTED_VALUE""")," Se realizo proceso de evaluación de integración entre un flujómetro electromagnético modelo LDG-B Series y una plataforma de telemetría ,  basado en equipo Teltonika (FMC125), utilizando el protocolo Modbus RTU sobre interfaz RS485.
El objetivo de este "&amp;"documento es dejar constancia técnica formal de que se realizaron todas las pruebas necesarias, utilizando metodologías estándar de la industria, antes de concluir la inviabilidad de la comunicación Modbus en el equipo evaluado.
2. OBJETIVO DEL TRABAJO
"&amp;"
• Evaluar la factibilidad técnica de comunicación Modbus RTU entre el flujómetro LDG-B Series y dispositivos Teltonika.
• Determinar si el flujómetro responde correctamente a solicitudes Modbus estándar.
• Verificar configuraciones eléctricas, lógicas y "&amp;"de protocolo.
• Documentar evidencias técnicas que sustenten la conclusión final.
• Definir una alternativa técnica viable para la adquisición de caudal.
3. ALCANCE DE LAS PRUEBAS
Las pruebas realizadas incluyeron:
• Verificación de parámetros internos"&amp;" del flujómetro.
• Pruebas de comunicación RS485 directa con PC.
• Pruebas de comunicación indirecta mediante Teltonika FMC125.
• Análisis de tramas crudas recibidas en servidor.
• Evaluación de documentación del fabricante.
• Ensayos con diferentes confi"&amp;"guraciones de hardware y software.
• Confección de interrogadores en Python .
4. EQUIPAMIENTO Y HERRAMIENTAS UTILIZADAS
4.1 Equipos:
• Flujómetro electromagnético LDG-B Series.
• Teltonika FMC125.
• PC de pruebas con sistema operativo Windows.
• Adap"&amp;"tador USB a RS485 industrial.
4.2 Software:
• qModMaster (Maestro Modbus RTU).
• Hércules.
• Herramientas de monitoreo serial.
• Servidor TCP personalizado local para recepción de datos Teltonika.
• Plataforma G&amp;O para observación de tramas entrantes.
"&amp;"• Terminal.exe
5. CONFIGURACIÓN DEL FLUJÓMETRO
Se verificaron y ajustaron los siguientes parámetros directamente desde el menú del equipo:
• Dirección Modbus (Slave ID): 001.
• Baudrate: 9600 bps.
• Formato de trama: 8 bits de datos, sin paridad, 1 bit "&amp;"de parada (8N1).
• Interfaz física: RS485.
Adicionalmente, se revisaron parámetros operacionales como tamaño de sensor y detección de tubo vacío para descartar bloqueos de medición.
6. PRUEBAS DE COMUNICACIÓN Modbus DIRECTA (PC ↔ FLUJÓMETRO)
El flujóm"&amp;"etro fue conectado directamente a un PC mediante adaptador USB-RS485.
Se realizaron múltiples solicitudes Modbus RTU estándar:
• Function Code 03 – Read Holding Registers.
• Function Code 04 – Read Input Registers.
• Variación de direcciones iniciales y l"&amp;"ongitudes de lectura.
• Inversión de polaridad A/B.
• Repetición de pruebas con diferentes tiempos de espera.
Resultado:
En todos los escenarios, el software maestro reportó errores del tipo:
“The expected number of bytes has not been received”, evidenci"&amp;"ando ausencia total de respuesta desde el flujómetro.
7. PRUEBAS DE INTEGRACIÓN CON TELTONIKA FMC125
Se configuró el FMC125 en modo TCP/UDP Binary, verificando:
• Conectividad GPRS correcta.
• Envío de IMEI y datos AVL.
• Recepción y envío de comandos "&amp;"Codec12.
• Funcionamiento correcto del servidor de pruebas.
Se constató que:
• El FMC125 opera correctamente a nivel de protocolo.
• No se reciben tramas Modbus desde el flujómetro.
• No se observa información externa asociable a RS485.
• Se realizo prue"&amp;"ba con sistema RS485 similar para descarte, recibiendo correcta lectura.
8. ANÁLISIS DE TRAMAS Y LOGS
Se analizaron:
• Tramas crudas recibidas en servidor.
• Logs del FMC125.
• Respuestas del sistema G&amp;O
Las tramas corresponden exclusivamente a inform"&amp;"ación interna del dispositivo Teltonika, sin evidencia de payload Modbus RTU proveniente del flujómetro.
9. REVISIÓN DE DOCUMENTACIÓN DEL FABRICANTE
Se revisaron manuales técnicos del flujómetro LDG-B Series, observándose:
• Existencia de interfaz RS48"&amp;"5 física.
• Mención genérica de Modbus.
• Ausencia de mapa de registros detallado.
• Falta de ejemplos de tramas Modbus RTU.
• No se documenta habilitación explícita de Modbus.
Esto genera ambigüedad respecto a la real implementación del protocolo.
10."&amp;" DESCARTE DE CAUSAS COMUNES
A partir de las pruebas realizadas, se descartan:
• Error de cableado RS485.
• Error de polaridad.
• Error de baudrate o formato.
• Fallas del adaptador USB-RS485.
• Fallas del software maestro.
• Fallas del Teltonika FMC125.
"&amp;"
11. INFORMACION POR PULSOS
Posteriormente a las actividades de estudio de conectividad mediante protocolo Modbus, se realizaron pruebas de adquisición de datos a partir de la señal directa del flujómetro, utilizando la modalidad frecuencia/pulso. Estas "&amp;"pruebas se llevaron a cabo en las dependencias del Campus Norte, donde se efectuó la interconexión del equipo FMC125 con la interfaz del flujómetro, a través de la salida POUT.
Tras la configuración de los anchos de pulso y del espaciado correspondiente,"&amp;" fue posible obtener la información requerida para el registro correcto del caudal de agua medido por el flujómetro. Los datos adquiridos fueron recibidos y procesados por el software del sistema, permitiendo la generación y entrega de los valores solicit"&amp;"ados por el usuario final.
12. CONCLUSIÓN TÉCNICA FINAL
Se concluye que el flujómetro LDG-B Series, si bien dispone de una interfaz física RS485, no presenta una implementación funcional y/o estable de Modbus RTU en el equipo evaluado.
Esto puede deber"&amp;"se a:
• Modbus deshabilitado por firmware.
• Funcionalidad no incluida en esta versión.
• Uso de RS485 para protocolos propietarios.
La comunicación Modbus RTU se considera técnicamente inviable para este proyecto.
La conectividad si es viable, mediante"&amp;" el sistema de lectura de pulsos / frecuencia.
")</f>
        <v> Se realizo proceso de evaluación de integración entre un flujómetro electromagnético modelo LDG-B Series y una plataforma de telemetría ,  basado en equipo Teltonika (FMC125), utilizando el protocolo Modbus RTU sobre interfaz RS485.
El objetivo de este documento es dejar constancia técnica formal de que se realizaron todas las pruebas necesarias, utilizando metodologías estándar de la industria, antes de concluir la inviabilidad de la comunicación Modbus en el equipo evaluado.
2. OBJETIVO DEL TRABAJO
• Evaluar la factibilidad técnica de comunicación Modbus RTU entre el flujómetro LDG-B Series y dispositivos Teltonika.
• Determinar si el flujómetro responde correctamente a solicitudes Modbus estándar.
• Verificar configuraciones eléctricas, lógicas y de protocolo.
• Documentar evidencias técnicas que sustenten la conclusión final.
• Definir una alternativa técnica viable para la adquisición de caudal.
3. ALCANCE DE LAS PRUEBAS
Las pruebas realizadas incluyeron:
• Verificación de parámetros internos del flujómetro.
• Pruebas de comunicación RS485 directa con PC.
• Pruebas de comunicación indirecta mediante Teltonika FMC125.
• Análisis de tramas crudas recibidas en servidor.
• Evaluación de documentación del fabricante.
• Ensayos con diferentes configuraciones de hardware y software.
• Confección de interrogadores en Python .
4. EQUIPAMIENTO Y HERRAMIENTAS UTILIZADAS
4.1 Equipos:
• Flujómetro electromagnético LDG-B Series.
• Teltonika FMC125.
• PC de pruebas con sistema operativo Windows.
• Adaptador USB a RS485 industrial.
4.2 Software:
• qModMaster (Maestro Modbus RTU).
• Hércules.
• Herramientas de monitoreo serial.
• Servidor TCP personalizado local para recepción de datos Teltonika.
• Plataforma G&amp;O para observación de tramas entrantes.
• Terminal.exe
5. CONFIGURACIÓN DEL FLUJÓMETRO
Se verificaron y ajustaron los siguientes parámetros directamente desde el menú del equipo:
• Dirección Modbus (Slave ID): 001.
• Baudrate: 9600 bps.
• Formato de trama: 8 bits de datos, sin paridad, 1 bit de parada (8N1).
• Interfaz física: RS485.
Adicionalmente, se revisaron parámetros operacionales como tamaño de sensor y detección de tubo vacío para descartar bloqueos de medición.
6. PRUEBAS DE COMUNICACIÓN Modbus DIRECTA (PC ↔ FLUJÓMETRO)
El flujómetro fue conectado directamente a un PC mediante adaptador USB-RS485.
Se realizaron múltiples solicitudes Modbus RTU estándar:
• Function Code 03 – Read Holding Registers.
• Function Code 04 – Read Input Registers.
• Variación de direcciones iniciales y longitudes de lectura.
• Inversión de polaridad A/B.
• Repetición de pruebas con diferentes tiempos de espera.
Resultado:
En todos los escenarios, el software maestro reportó errores del tipo:
“The expected number of bytes has not been received”, evidenciando ausencia total de respuesta desde el flujómetro.
7. PRUEBAS DE INTEGRACIÓN CON TELTONIKA FMC125
Se configuró el FMC125 en modo TCP/UDP Binary, verificando:
• Conectividad GPRS correcta.
• Envío de IMEI y datos AVL.
• Recepción y envío de comandos Codec12.
• Funcionamiento correcto del servidor de pruebas.
Se constató que:
• El FMC125 opera correctamente a nivel de protocolo.
• No se reciben tramas Modbus desde el flujómetro.
• No se observa información externa asociable a RS485.
• Se realizo prueba con sistema RS485 similar para descarte, recibiendo correcta lectura.
8. ANÁLISIS DE TRAMAS Y LOGS
Se analizaron:
• Tramas crudas recibidas en servidor.
• Logs del FMC125.
• Respuestas del sistema G&amp;O
Las tramas corresponden exclusivamente a información interna del dispositivo Teltonika, sin evidencia de payload Modbus RTU proveniente del flujómetro.
9. REVISIÓN DE DOCUMENTACIÓN DEL FABRICANTE
Se revisaron manuales técnicos del flujómetro LDG-B Series, observándose:
• Existencia de interfaz RS485 física.
• Mención genérica de Modbus.
• Ausencia de mapa de registros detallado.
• Falta de ejemplos de tramas Modbus RTU.
• No se documenta habilitación explícita de Modbus.
Esto genera ambigüedad respecto a la real implementación del protocolo.
10. DESCARTE DE CAUSAS COMUNES
A partir de las pruebas realizadas, se descartan:
• Error de cableado RS485.
• Error de polaridad.
• Error de baudrate o formato.
• Fallas del adaptador USB-RS485.
• Fallas del software maestro.
• Fallas del Teltonika FMC125.
11. INFORMACION POR PULSOS
Posteriormente a las actividades de estudio de conectividad mediante protocolo Modbus, se realizaron pruebas de adquisición de datos a partir de la señal directa del flujómetro, utilizando la modalidad frecuencia/pulso. Estas pruebas se llevaron a cabo en las dependencias del Campus Norte, donde se efectuó la interconexión del equipo FMC125 con la interfaz del flujómetro, a través de la salida POUT.
Tras la configuración de los anchos de pulso y del espaciado correspondiente, fue posible obtener la información requerida para el registro correcto del caudal de agua medido por el flujómetro. Los datos adquiridos fueron recibidos y procesados por el software del sistema, permitiendo la generación y entrega de los valores solicitados por el usuario final.
12. CONCLUSIÓN TÉCNICA FINAL
Se concluye que el flujómetro LDG-B Series, si bien dispone de una interfaz física RS485, no presenta una implementación funcional y/o estable de Modbus RTU en el equipo evaluado.
Esto puede deberse a:
• Modbus deshabilitado por firmware.
• Funcionalidad no incluida en esta versión.
• Uso de RS485 para protocolos propietarios.
La comunicación Modbus RTU se considera técnicamente inviable para este proyecto.
La conectividad si es viable, mediante el sistema de lectura de pulsos / frecuencia.
</v>
      </c>
      <c r="W218" s="495" t="str">
        <f>IFERROR(__xludf.DUMMYFUNCTION("""COMPUTED_VALUE"""),"Toma de pulsos para obtener información de flujómetros según las pruebas realizadas, solicitar asesorías al momento de adquirir, para realizar pruebas previas de funcionalidad antes de la implementación final.")</f>
        <v>Toma de pulsos para obtener información de flujómetros según las pruebas realizadas, solicitar asesorías al momento de adquirir, para realizar pruebas previas de funcionalidad antes de la implementación final.</v>
      </c>
      <c r="X218" s="495" t="str">
        <f>IFERROR(__xludf.DUMMYFUNCTION("""COMPUTED_VALUE"""),"https://drive.google.com/open?id=1wobSVzM-W_A7OF0wIA8jBe4_AUi1g6Pv, https://drive.google.com/open?id=1uhsj0jozj0x0dqFFGnsJmq-brLzD1e50, https://drive.google.com/open?id=1dCaYBWKnnC30JXwaIzUE-rso4U1q9P5z, https://drive.google.com/open?id=1A9_EgCdmiT5NOFmrj"&amp;"D8FzNY4guQoyfj4")</f>
        <v>https://drive.google.com/open?id=1wobSVzM-W_A7OF0wIA8jBe4_AUi1g6Pv, https://drive.google.com/open?id=1uhsj0jozj0x0dqFFGnsJmq-brLzD1e50, https://drive.google.com/open?id=1dCaYBWKnnC30JXwaIzUE-rso4U1q9P5z, https://drive.google.com/open?id=1A9_EgCdmiT5NOFmrjD8FzNY4guQoyfj4</v>
      </c>
      <c r="Y218" s="495" t="str">
        <f>IFERROR(__xludf.DUMMYFUNCTION("""COMPUTED_VALUE"""),"contacto@gyotechnologies.com")</f>
        <v>contacto@gyotechnologies.com</v>
      </c>
      <c r="Z218" s="495"/>
      <c r="AA218" s="495"/>
      <c r="AB218" s="495"/>
      <c r="AC218" s="495"/>
      <c r="AD218" s="495"/>
    </row>
    <row r="219">
      <c r="A219" s="495" t="str">
        <f t="shared" si="1"/>
        <v>RC-117_26</v>
      </c>
      <c r="B219" s="497">
        <f>IFERROR(__xludf.DUMMYFUNCTION("""COMPUTED_VALUE"""),46136.66016196759)</f>
        <v>46136.66016</v>
      </c>
      <c r="C219" s="495" t="str">
        <f>IFERROR(__xludf.DUMMYFUNCTION("""COMPUTED_VALUE"""),"")</f>
        <v/>
      </c>
      <c r="D219" s="495" t="str">
        <f>IFERROR(__xludf.DUMMYFUNCTION("""COMPUTED_VALUE"""),"Juan Ignacio Solís de Ovando")</f>
        <v>Juan Ignacio Solís de Ovando</v>
      </c>
      <c r="E219" s="495"/>
      <c r="F219" s="496">
        <f>IFERROR(__xludf.DUMMYFUNCTION("""COMPUTED_VALUE"""),2954.0)</f>
        <v>2954</v>
      </c>
      <c r="G219" s="495"/>
      <c r="H219" s="495"/>
      <c r="I219" s="495"/>
      <c r="J219" s="495" t="str">
        <f>IFERROR(__xludf.DUMMYFUNCTION("""COMPUTED_VALUE"""),"Campus Dr. Luis Rivas del Canto - CRC")</f>
        <v>Campus Dr. Luis Rivas del Canto - CRC</v>
      </c>
      <c r="K219" s="495">
        <f>IFERROR(__xludf.DUMMYFUNCTION("""COMPUTED_VALUE"""),10.0)</f>
        <v>10</v>
      </c>
      <c r="L219" s="495" t="str">
        <f>IFERROR(__xludf.DUMMYFUNCTION("""COMPUTED_VALUE"""),"Comercializadora art. Ferreteria SERVICIOS PERSONALES DE PUBLICIDAD")</f>
        <v>Comercializadora art. Ferreteria SERVICIOS PERSONALES DE PUBLICIDAD</v>
      </c>
      <c r="M219" s="495" t="str">
        <f>IFERROR(__xludf.DUMMYFUNCTION("""COMPUTED_VALUE"""),"76.707.485-9")</f>
        <v>76.707.485-9</v>
      </c>
      <c r="N219" s="495" t="str">
        <f>IFERROR(__xludf.DUMMYFUNCTION("""COMPUTED_VALUE"""),"Juan Ignacio")</f>
        <v>Juan Ignacio</v>
      </c>
      <c r="O219" s="495" t="str">
        <f>IFERROR(__xludf.DUMMYFUNCTION("""COMPUTED_VALUE"""),"Mantenciones")</f>
        <v>Mantenciones</v>
      </c>
      <c r="P219" s="495" t="str">
        <f>IFERROR(__xludf.DUMMYFUNCTION("""COMPUTED_VALUE"""),"Terminaciones Interiores")</f>
        <v>Terminaciones Interiores</v>
      </c>
      <c r="Q219" s="495"/>
      <c r="R219" s="495"/>
      <c r="S219" s="495"/>
      <c r="T219" s="495"/>
      <c r="U219" s="495"/>
      <c r="V219" s="495" t="str">
        <f>IFERROR(__xludf.DUMMYFUNCTION("""COMPUTED_VALUE"""),"instalación números adhesivos ")</f>
        <v>instalación números adhesivos </v>
      </c>
      <c r="W219" s="495"/>
      <c r="X219" s="499" t="str">
        <f>IFERROR(__xludf.DUMMYFUNCTION("""COMPUTED_VALUE"""),"https://drive.google.com/open?id=1Jtj2SjRiahJWk1SCFQRPAJPCrYk1rc2m")</f>
        <v>https://drive.google.com/open?id=1Jtj2SjRiahJWk1SCFQRPAJPCrYk1rc2m</v>
      </c>
      <c r="Y219" s="495" t="str">
        <f>IFERROR(__xludf.DUMMYFUNCTION("""COMPUTED_VALUE"""),"danielaarriagadacaba@hotmail.com")</f>
        <v>danielaarriagadacaba@hotmail.com</v>
      </c>
      <c r="Z219" s="498">
        <f>IFERROR(__xludf.DUMMYFUNCTION("""COMPUTED_VALUE"""),312730.0)</f>
        <v>312730</v>
      </c>
      <c r="AA219" s="495"/>
      <c r="AB219" s="495"/>
      <c r="AC219" s="495"/>
      <c r="AD219" s="495" t="str">
        <f>IFERROR(__xludf.DUMMYFUNCTION("""COMPUTED_VALUE"""),"RC-117_26")</f>
        <v>RC-117_26</v>
      </c>
    </row>
    <row r="220">
      <c r="A220" s="495" t="str">
        <f t="shared" si="1"/>
        <v/>
      </c>
      <c r="B220" s="497">
        <f>IFERROR(__xludf.DUMMYFUNCTION("""COMPUTED_VALUE"""),46028.087440358795)</f>
        <v>46028.08744</v>
      </c>
      <c r="C220" s="495" t="str">
        <f>IFERROR(__xludf.DUMMYFUNCTION("""COMPUTED_VALUE"""),"")</f>
        <v/>
      </c>
      <c r="D220" s="495" t="str">
        <f>IFERROR(__xludf.DUMMYFUNCTION("""COMPUTED_VALUE"""),"Leonor Ríos Morales")</f>
        <v>Leonor Ríos Morales</v>
      </c>
      <c r="E220" s="495"/>
      <c r="F220" s="496">
        <f>IFERROR(__xludf.DUMMYFUNCTION("""COMPUTED_VALUE"""),13574.0)</f>
        <v>13574</v>
      </c>
      <c r="G220" s="495"/>
      <c r="H220" s="495"/>
      <c r="I220" s="495"/>
      <c r="J220" s="495" t="str">
        <f>IFERROR(__xludf.DUMMYFUNCTION("""COMPUTED_VALUE"""),"Campus Monseñor Sergio Contreras Navia - CSC")</f>
        <v>Campus Monseñor Sergio Contreras Navia - CSC</v>
      </c>
      <c r="K220" s="495" t="str">
        <f>IFERROR(__xludf.DUMMYFUNCTION("""COMPUTED_VALUE"""),"01")</f>
        <v>01</v>
      </c>
      <c r="L220" s="495" t="str">
        <f>IFERROR(__xludf.DUMMYFUNCTION("""COMPUTED_VALUE"""),"dsiete spa")</f>
        <v>dsiete spa</v>
      </c>
      <c r="M220" s="495" t="str">
        <f>IFERROR(__xludf.DUMMYFUNCTION("""COMPUTED_VALUE"""),"77.964.311-5")</f>
        <v>77.964.311-5</v>
      </c>
      <c r="N220" s="495" t="str">
        <f>IFERROR(__xludf.DUMMYFUNCTION("""COMPUTED_VALUE"""),"Daniella Vidal  / gerente de proyectos")</f>
        <v>Daniella Vidal  / gerente de proyectos</v>
      </c>
      <c r="O220" s="495" t="str">
        <f>IFERROR(__xludf.DUMMYFUNCTION("""COMPUTED_VALUE"""),"Obras y Especialidades")</f>
        <v>Obras y Especialidades</v>
      </c>
      <c r="P220" s="495"/>
      <c r="Q220" s="495"/>
      <c r="R220" s="495" t="str">
        <f>IFERROR(__xludf.DUMMYFUNCTION("""COMPUTED_VALUE"""),"Especialidades")</f>
        <v>Especialidades</v>
      </c>
      <c r="S220" s="495" t="str">
        <f>IFERROR(__xludf.DUMMYFUNCTION("""COMPUTED_VALUE"""),"Recepción de Obra - RC")</f>
        <v>Recepción de Obra - RC</v>
      </c>
      <c r="T220" s="495"/>
      <c r="U220" s="495"/>
      <c r="V220" s="495" t="str">
        <f>IFERROR(__xludf.DUMMYFUNCTION("""COMPUTED_VALUE"""),"instalacion y fabricacion de señaletica tipo aerea ")</f>
        <v>instalacion y fabricacion de señaletica tipo aerea </v>
      </c>
      <c r="W220" s="495" t="str">
        <f>IFERROR(__xludf.DUMMYFUNCTION("""COMPUTED_VALUE"""),"no se requiere seguimiento")</f>
        <v>no se requiere seguimiento</v>
      </c>
      <c r="X220" s="499" t="str">
        <f>IFERROR(__xludf.DUMMYFUNCTION("""COMPUTED_VALUE"""),"https://drive.google.com/open?id=1NEJ1f4mTivZkFX0l8zCxUVRf8YG7qC_H")</f>
        <v>https://drive.google.com/open?id=1NEJ1f4mTivZkFX0l8zCxUVRf8YG7qC_H</v>
      </c>
      <c r="Y220" s="495" t="str">
        <f>IFERROR(__xludf.DUMMYFUNCTION("""COMPUTED_VALUE"""),"dsiete.design@gmail.com")</f>
        <v>dsiete.design@gmail.com</v>
      </c>
      <c r="Z220" s="495"/>
      <c r="AA220" s="495"/>
      <c r="AB220" s="495"/>
      <c r="AC220" s="495"/>
      <c r="AD220" s="495"/>
    </row>
    <row r="221">
      <c r="A221" s="495" t="str">
        <f t="shared" si="1"/>
        <v>RC-113_26</v>
      </c>
      <c r="B221" s="497">
        <f>IFERROR(__xludf.DUMMYFUNCTION("""COMPUTED_VALUE"""),46135.568128252315)</f>
        <v>46135.56813</v>
      </c>
      <c r="C221" s="495" t="str">
        <f>IFERROR(__xludf.DUMMYFUNCTION("""COMPUTED_VALUE"""),"")</f>
        <v/>
      </c>
      <c r="D221" s="495" t="str">
        <f>IFERROR(__xludf.DUMMYFUNCTION("""COMPUTED_VALUE"""),"Felipe Anselme Grandón")</f>
        <v>Felipe Anselme Grandón</v>
      </c>
      <c r="E221" s="495"/>
      <c r="F221" s="496" t="str">
        <f>IFERROR(__xludf.DUMMYFUNCTION("""COMPUTED_VALUE"""),"2871-2026")</f>
        <v>2871-2026</v>
      </c>
      <c r="G221" s="495"/>
      <c r="H221" s="495"/>
      <c r="I221" s="495"/>
      <c r="J221" s="495" t="str">
        <f>IFERROR(__xludf.DUMMYFUNCTION("""COMPUTED_VALUE"""),"Campus San Juan Pablo II - CJP")</f>
        <v>Campus San Juan Pablo II - CJP</v>
      </c>
      <c r="K221" s="495" t="str">
        <f>IFERROR(__xludf.DUMMYFUNCTION("""COMPUTED_VALUE"""),"Sin número")</f>
        <v>Sin número</v>
      </c>
      <c r="L221" s="495" t="str">
        <f>IFERROR(__xludf.DUMMYFUNCTION("""COMPUTED_VALUE"""),"Constructora y Servicios S-Tec SPA")</f>
        <v>Constructora y Servicios S-Tec SPA</v>
      </c>
      <c r="M221" s="495" t="str">
        <f>IFERROR(__xludf.DUMMYFUNCTION("""COMPUTED_VALUE"""),"78.270.109-6")</f>
        <v>78.270.109-6</v>
      </c>
      <c r="N221" s="495" t="str">
        <f>IFERROR(__xludf.DUMMYFUNCTION("""COMPUTED_VALUE"""),"Miguel Pino")</f>
        <v>Miguel Pino</v>
      </c>
      <c r="O221" s="495" t="str">
        <f>IFERROR(__xludf.DUMMYFUNCTION("""COMPUTED_VALUE"""),"Mantenciones")</f>
        <v>Mantenciones</v>
      </c>
      <c r="P221" s="495" t="str">
        <f>IFERROR(__xludf.DUMMYFUNCTION("""COMPUTED_VALUE"""),"Terminaciones Interiores")</f>
        <v>Terminaciones Interiores</v>
      </c>
      <c r="Q221" s="495"/>
      <c r="R221" s="495"/>
      <c r="S221" s="495"/>
      <c r="T221" s="495"/>
      <c r="U221" s="495"/>
      <c r="V221" s="495" t="str">
        <f>IFERROR(__xludf.DUMMYFUNCTION("""COMPUTED_VALUE"""),"TRABAJOS DE PINTURA INTERIOR DISTINTOS ESPACIOS UNIVERSITARIOS.")</f>
        <v>TRABAJOS DE PINTURA INTERIOR DISTINTOS ESPACIOS UNIVERSITARIOS.</v>
      </c>
      <c r="W221" s="495"/>
      <c r="X221" s="495" t="str">
        <f>IFERROR(__xludf.DUMMYFUNCTION("""COMPUTED_VALUE"""),"https://drive.google.com/open?id=1lUxIX9tT0zEXaq5s7elgSsW3FFVhKwzK, https://drive.google.com/open?id=1q5trQjQuQvk0LsFJOsVWW0KYR8yd1g5S, https://drive.google.com/open?id=1lblKXWSr94fEfstWVglKeG_TtVWl3lab, https://drive.google.com/open?id=1rpjFx4rRTJb1sLmaD"&amp;"6DvAlTQcPNeobnY, https://drive.google.com/open?id=1z-rvPFTJmje6jXQYjckJtwF3sUYAGvwm, https://drive.google.com/open?id=1VyKcJoUOsti9m-4MVIjmaaDvVWxAt-WF, https://drive.google.com/open?id=1DeDfRm7mJVa7oH2AqQ7jKrSAdVxPAxrp")</f>
        <v>https://drive.google.com/open?id=1lUxIX9tT0zEXaq5s7elgSsW3FFVhKwzK, https://drive.google.com/open?id=1q5trQjQuQvk0LsFJOsVWW0KYR8yd1g5S, https://drive.google.com/open?id=1lblKXWSr94fEfstWVglKeG_TtVWl3lab, https://drive.google.com/open?id=1rpjFx4rRTJb1sLmaD6DvAlTQcPNeobnY, https://drive.google.com/open?id=1z-rvPFTJmje6jXQYjckJtwF3sUYAGvwm, https://drive.google.com/open?id=1VyKcJoUOsti9m-4MVIjmaaDvVWxAt-WF, https://drive.google.com/open?id=1DeDfRm7mJVa7oH2AqQ7jKrSAdVxPAxrp</v>
      </c>
      <c r="Y221" s="495" t="str">
        <f>IFERROR(__xludf.DUMMYFUNCTION("""COMPUTED_VALUE"""),"miguelptorres@gmail.com")</f>
        <v>miguelptorres@gmail.com</v>
      </c>
      <c r="Z221" s="498">
        <f>IFERROR(__xludf.DUMMYFUNCTION("""COMPUTED_VALUE"""),8955880.0)</f>
        <v>8955880</v>
      </c>
      <c r="AA221" s="495"/>
      <c r="AB221" s="495"/>
      <c r="AC221" s="495"/>
      <c r="AD221" s="495" t="str">
        <f>IFERROR(__xludf.DUMMYFUNCTION("""COMPUTED_VALUE"""),"RC-113_26")</f>
        <v>RC-113_26</v>
      </c>
    </row>
    <row r="222">
      <c r="A222" s="495" t="str">
        <f t="shared" si="1"/>
        <v/>
      </c>
      <c r="B222" s="497">
        <f>IFERROR(__xludf.DUMMYFUNCTION("""COMPUTED_VALUE"""),46028.78461938657)</f>
        <v>46028.78462</v>
      </c>
      <c r="C222" s="495" t="str">
        <f>IFERROR(__xludf.DUMMYFUNCTION("""COMPUTED_VALUE"""),"")</f>
        <v/>
      </c>
      <c r="D222" s="495" t="str">
        <f>IFERROR(__xludf.DUMMYFUNCTION("""COMPUTED_VALUE"""),"Cristóbal Correa del Río")</f>
        <v>Cristóbal Correa del Río</v>
      </c>
      <c r="E222" s="495"/>
      <c r="F222" s="496" t="str">
        <f>IFERROR(__xludf.DUMMYFUNCTION("""COMPUTED_VALUE"""),"10415-2025")</f>
        <v>10415-2025</v>
      </c>
      <c r="G222" s="495"/>
      <c r="H222" s="495"/>
      <c r="I222" s="495"/>
      <c r="J222" s="495" t="str">
        <f>IFERROR(__xludf.DUMMYFUNCTION("""COMPUTED_VALUE"""),"Campus San Nicolás (Curacautín) - CSN")</f>
        <v>Campus San Nicolás (Curacautín) - CSN</v>
      </c>
      <c r="K222" s="495" t="str">
        <f>IFERROR(__xludf.DUMMYFUNCTION("""COMPUTED_VALUE"""),"Exterior")</f>
        <v>Exterior</v>
      </c>
      <c r="L222" s="495" t="str">
        <f>IFERROR(__xludf.DUMMYFUNCTION("""COMPUTED_VALUE"""),"Constructoravitro SPA")</f>
        <v>Constructoravitro SPA</v>
      </c>
      <c r="M222" s="495" t="str">
        <f>IFERROR(__xludf.DUMMYFUNCTION("""COMPUTED_VALUE"""),"77631876-0 ")</f>
        <v>77631876-0 </v>
      </c>
      <c r="N222" s="495" t="str">
        <f>IFERROR(__xludf.DUMMYFUNCTION("""COMPUTED_VALUE"""),"Cristobal Correa ")</f>
        <v>Cristobal Correa </v>
      </c>
      <c r="O222" s="495" t="str">
        <f>IFERROR(__xludf.DUMMYFUNCTION("""COMPUTED_VALUE"""),"Obras y Especialidades")</f>
        <v>Obras y Especialidades</v>
      </c>
      <c r="P222" s="495"/>
      <c r="Q222" s="495"/>
      <c r="R222" s="495" t="str">
        <f>IFERROR(__xludf.DUMMYFUNCTION("""COMPUTED_VALUE"""),"Exteriores")</f>
        <v>Exteriores</v>
      </c>
      <c r="S222" s="495" t="str">
        <f>IFERROR(__xludf.DUMMYFUNCTION("""COMPUTED_VALUE"""),"Recepción de Obra - RC")</f>
        <v>Recepción de Obra - RC</v>
      </c>
      <c r="T222" s="495"/>
      <c r="U222" s="495"/>
      <c r="V222" s="495" t="str">
        <f>IFERROR(__xludf.DUMMYFUNCTION("""COMPUTED_VALUE"""),"Construcción Techos Camping,Centro Recreación Curacautin")</f>
        <v>Construcción Techos Camping,Centro Recreación Curacautin</v>
      </c>
      <c r="W222" s="495" t="str">
        <f>IFERROR(__xludf.DUMMYFUNCTION("""COMPUTED_VALUE"""),"No Aplica")</f>
        <v>No Aplica</v>
      </c>
      <c r="X222" s="495" t="str">
        <f>IFERROR(__xludf.DUMMYFUNCTION("""COMPUTED_VALUE"""),"https://drive.google.com/open?id=19TKOYa9Y9bGjxtap66uo8Z8RsgBrPtPS, https://drive.google.com/open?id=1tmcbXHWkJTrKIf6ckNfXk7G2TDUC9eLx, https://drive.google.com/open?id=1DFgzDrQz7FK2s_6fQG1dbAylG6byoLiM")</f>
        <v>https://drive.google.com/open?id=19TKOYa9Y9bGjxtap66uo8Z8RsgBrPtPS, https://drive.google.com/open?id=1tmcbXHWkJTrKIf6ckNfXk7G2TDUC9eLx, https://drive.google.com/open?id=1DFgzDrQz7FK2s_6fQG1dbAylG6byoLiM</v>
      </c>
      <c r="Y222" s="495" t="str">
        <f>IFERROR(__xludf.DUMMYFUNCTION("""COMPUTED_VALUE"""),"constructora.vitro@gmail.com")</f>
        <v>constructora.vitro@gmail.com</v>
      </c>
      <c r="Z222" s="495"/>
      <c r="AA222" s="495"/>
      <c r="AB222" s="495"/>
      <c r="AC222" s="495"/>
      <c r="AD222" s="495"/>
    </row>
    <row r="223">
      <c r="A223" s="495" t="str">
        <f t="shared" si="1"/>
        <v/>
      </c>
      <c r="B223" s="497">
        <f>IFERROR(__xludf.DUMMYFUNCTION("""COMPUTED_VALUE"""),46029.01380502315)</f>
        <v>46029.01381</v>
      </c>
      <c r="C223" s="495" t="str">
        <f>IFERROR(__xludf.DUMMYFUNCTION("""COMPUTED_VALUE"""),"")</f>
        <v/>
      </c>
      <c r="D223" s="495" t="str">
        <f>IFERROR(__xludf.DUMMYFUNCTION("""COMPUTED_VALUE"""),"Juan Ignacio Solís de Ovando")</f>
        <v>Juan Ignacio Solís de Ovando</v>
      </c>
      <c r="E223" s="495"/>
      <c r="F223" s="496" t="str">
        <f>IFERROR(__xludf.DUMMYFUNCTION("""COMPUTED_VALUE"""),"11202 - 2025")</f>
        <v>11202 - 2025</v>
      </c>
      <c r="G223" s="495"/>
      <c r="H223" s="495"/>
      <c r="I223" s="495"/>
      <c r="J223" s="495" t="str">
        <f>IFERROR(__xludf.DUMMYFUNCTION("""COMPUTED_VALUE"""),"Campus Dr. Luis Rivas del Canto - CRC")</f>
        <v>Campus Dr. Luis Rivas del Canto - CRC</v>
      </c>
      <c r="K223" s="495" t="str">
        <f>IFERROR(__xludf.DUMMYFUNCTION("""COMPUTED_VALUE"""),"Sin número")</f>
        <v>Sin número</v>
      </c>
      <c r="L223" s="495" t="str">
        <f>IFERROR(__xludf.DUMMYFUNCTION("""COMPUTED_VALUE"""),"CONSTRUCTORA ALPLAS SPA")</f>
        <v>CONSTRUCTORA ALPLAS SPA</v>
      </c>
      <c r="M223" s="495" t="str">
        <f>IFERROR(__xludf.DUMMYFUNCTION("""COMPUTED_VALUE"""),"77.190.049-6")</f>
        <v>77.190.049-6</v>
      </c>
      <c r="N223" s="495" t="str">
        <f>IFERROR(__xludf.DUMMYFUNCTION("""COMPUTED_VALUE"""),"Camila Obando - Ing. Civil")</f>
        <v>Camila Obando - Ing. Civil</v>
      </c>
      <c r="O223" s="495" t="str">
        <f>IFERROR(__xludf.DUMMYFUNCTION("""COMPUTED_VALUE"""),"Obras y Especialidades")</f>
        <v>Obras y Especialidades</v>
      </c>
      <c r="P223" s="495"/>
      <c r="Q223" s="495"/>
      <c r="R223" s="495" t="str">
        <f>IFERROR(__xludf.DUMMYFUNCTION("""COMPUTED_VALUE"""),"Remodelación")</f>
        <v>Remodelación</v>
      </c>
      <c r="S223" s="495" t="str">
        <f>IFERROR(__xludf.DUMMYFUNCTION("""COMPUTED_VALUE"""),"Estado de Pago - EP")</f>
        <v>Estado de Pago - EP</v>
      </c>
      <c r="T223" s="495">
        <f>IFERROR(__xludf.DUMMYFUNCTION("""COMPUTED_VALUE"""),1.0)</f>
        <v>1</v>
      </c>
      <c r="U223" s="498">
        <f>IFERROR(__xludf.DUMMYFUNCTION("""COMPUTED_VALUE"""),5123228.0)</f>
        <v>5123228</v>
      </c>
      <c r="V223" s="495" t="str">
        <f>IFERROR(__xludf.DUMMYFUNCTION("""COMPUTED_VALUE"""),"RECAMBIO DE ARTEFACTOS BAÑOS CAMPUS RIVAS DEL CANTO")</f>
        <v>RECAMBIO DE ARTEFACTOS BAÑOS CAMPUS RIVAS DEL CANTO</v>
      </c>
      <c r="W223" s="495"/>
      <c r="X223" s="495" t="str">
        <f>IFERROR(__xludf.DUMMYFUNCTION("""COMPUTED_VALUE"""),"https://drive.google.com/open?id=17_vjqmFa66iszbb0vhFGEVEy4KrleQ4L, https://drive.google.com/open?id=1kEpK8P0RBNkOZ83N57SdZbLggT28k-RY, https://drive.google.com/open?id=106P2WS2rP8xjGZWn7phAnlBdaUIam5Mw, https://drive.google.com/open?id=1CoveoTf3M86xxteg-"&amp;"BQJZc4t7CX2PDmH, https://drive.google.com/open?id=1a8Y7TmIbGoJLaE8AHgNq7UdN7sbpr9C_")</f>
        <v>https://drive.google.com/open?id=17_vjqmFa66iszbb0vhFGEVEy4KrleQ4L, https://drive.google.com/open?id=1kEpK8P0RBNkOZ83N57SdZbLggT28k-RY, https://drive.google.com/open?id=106P2WS2rP8xjGZWn7phAnlBdaUIam5Mw, https://drive.google.com/open?id=1CoveoTf3M86xxteg-BQJZc4t7CX2PDmH, https://drive.google.com/open?id=1a8Y7TmIbGoJLaE8AHgNq7UdN7sbpr9C_</v>
      </c>
      <c r="Y223" s="495" t="str">
        <f>IFERROR(__xludf.DUMMYFUNCTION("""COMPUTED_VALUE"""),"ventas@alplas.cl")</f>
        <v>ventas@alplas.cl</v>
      </c>
      <c r="Z223" s="495"/>
      <c r="AA223" s="495"/>
      <c r="AB223" s="495"/>
      <c r="AC223" s="495"/>
      <c r="AD223" s="495"/>
    </row>
    <row r="224">
      <c r="A224" s="495" t="str">
        <f t="shared" si="1"/>
        <v>RC-111_26</v>
      </c>
      <c r="B224" s="497">
        <f>IFERROR(__xludf.DUMMYFUNCTION("""COMPUTED_VALUE"""),46135.44370116898)</f>
        <v>46135.4437</v>
      </c>
      <c r="C224" s="495" t="str">
        <f>IFERROR(__xludf.DUMMYFUNCTION("""COMPUTED_VALUE"""),"")</f>
        <v/>
      </c>
      <c r="D224" s="495" t="str">
        <f>IFERROR(__xludf.DUMMYFUNCTION("""COMPUTED_VALUE"""),"Mauricio Zurita Aldea")</f>
        <v>Mauricio Zurita Aldea</v>
      </c>
      <c r="E224" s="495"/>
      <c r="F224" s="496" t="str">
        <f>IFERROR(__xludf.DUMMYFUNCTION("""COMPUTED_VALUE"""),"12132 2025")</f>
        <v>12132 2025</v>
      </c>
      <c r="G224" s="495"/>
      <c r="H224" s="495"/>
      <c r="I224" s="495"/>
      <c r="J224" s="495" t="str">
        <f>IFERROR(__xludf.DUMMYFUNCTION("""COMPUTED_VALUE"""),"Campus San Juan Pablo II - CJP")</f>
        <v>Campus San Juan Pablo II - CJP</v>
      </c>
      <c r="K224" s="495" t="str">
        <f>IFERROR(__xludf.DUMMYFUNCTION("""COMPUTED_VALUE"""),"09")</f>
        <v>09</v>
      </c>
      <c r="L224" s="495" t="str">
        <f>IFERROR(__xludf.DUMMYFUNCTION("""COMPUTED_VALUE"""),"Ingertemuco Ingeniería Spa ")</f>
        <v>Ingertemuco Ingeniería Spa </v>
      </c>
      <c r="M224" s="495" t="str">
        <f>IFERROR(__xludf.DUMMYFUNCTION("""COMPUTED_VALUE"""),"77.369.471-0")</f>
        <v>77.369.471-0</v>
      </c>
      <c r="N224" s="495" t="str">
        <f>IFERROR(__xludf.DUMMYFUNCTION("""COMPUTED_VALUE"""),"Juan Colipe ")</f>
        <v>Juan Colipe </v>
      </c>
      <c r="O224" s="495" t="str">
        <f>IFERROR(__xludf.DUMMYFUNCTION("""COMPUTED_VALUE"""),"Mantenciones")</f>
        <v>Mantenciones</v>
      </c>
      <c r="P224" s="495" t="str">
        <f>IFERROR(__xludf.DUMMYFUNCTION("""COMPUTED_VALUE"""),"Instalaciones Eléctricas")</f>
        <v>Instalaciones Eléctricas</v>
      </c>
      <c r="Q224" s="495"/>
      <c r="R224" s="495"/>
      <c r="S224" s="495"/>
      <c r="T224" s="495"/>
      <c r="U224" s="495"/>
      <c r="V224" s="495" t="str">
        <f>IFERROR(__xludf.DUMMYFUNCTION("""COMPUTED_VALUE"""),"Instalación de tablero eléctrico ")</f>
        <v>Instalación de tablero eléctrico </v>
      </c>
      <c r="W224" s="495"/>
      <c r="X224" s="495" t="str">
        <f>IFERROR(__xludf.DUMMYFUNCTION("""COMPUTED_VALUE"""),"https://drive.google.com/open?id=1hoZ_sbEzM3Ni4cDOXs11ghI8v_8Q7pj5, https://drive.google.com/open?id=1Px3jqjaYHNb8c6H3lXe7HeH9vwBt8hDE, https://drive.google.com/open?id=1qOAeSzUpnuaDha3paOvfHEIp3Gm-wseD, https://drive.google.com/open?id=1j5n6kPo1A5KmRA8s9"&amp;"EuyFyyMHPvnmzt7")</f>
        <v>https://drive.google.com/open?id=1hoZ_sbEzM3Ni4cDOXs11ghI8v_8Q7pj5, https://drive.google.com/open?id=1Px3jqjaYHNb8c6H3lXe7HeH9vwBt8hDE, https://drive.google.com/open?id=1qOAeSzUpnuaDha3paOvfHEIp3Gm-wseD, https://drive.google.com/open?id=1j5n6kPo1A5KmRA8s9EuyFyyMHPvnmzt7</v>
      </c>
      <c r="Y224" s="495" t="str">
        <f>IFERROR(__xludf.DUMMYFUNCTION("""COMPUTED_VALUE"""),"comercialingertemuco@gmail.com")</f>
        <v>comercialingertemuco@gmail.com</v>
      </c>
      <c r="Z224" s="498">
        <f>IFERROR(__xludf.DUMMYFUNCTION("""COMPUTED_VALUE"""),2587473.0)</f>
        <v>2587473</v>
      </c>
      <c r="AA224" s="495"/>
      <c r="AB224" s="495"/>
      <c r="AC224" s="495"/>
      <c r="AD224" s="495" t="str">
        <f>IFERROR(__xludf.DUMMYFUNCTION("""COMPUTED_VALUE"""),"RC-111_26")</f>
        <v>RC-111_26</v>
      </c>
    </row>
    <row r="225">
      <c r="A225" s="495" t="str">
        <f t="shared" si="1"/>
        <v>RC-110_26</v>
      </c>
      <c r="B225" s="497">
        <f>IFERROR(__xludf.DUMMYFUNCTION("""COMPUTED_VALUE"""),46133.83293532407)</f>
        <v>46133.83294</v>
      </c>
      <c r="C225" s="495" t="str">
        <f>IFERROR(__xludf.DUMMYFUNCTION("""COMPUTED_VALUE"""),"")</f>
        <v/>
      </c>
      <c r="D225" s="495" t="str">
        <f>IFERROR(__xludf.DUMMYFUNCTION("""COMPUTED_VALUE"""),"Carol Huenchual Chañilao")</f>
        <v>Carol Huenchual Chañilao</v>
      </c>
      <c r="E225" s="495"/>
      <c r="F225" s="496">
        <f>IFERROR(__xludf.DUMMYFUNCTION("""COMPUTED_VALUE"""),2405.0)</f>
        <v>2405</v>
      </c>
      <c r="G225" s="495"/>
      <c r="H225" s="495"/>
      <c r="I225" s="495"/>
      <c r="J225" s="495" t="str">
        <f>IFERROR(__xludf.DUMMYFUNCTION("""COMPUTED_VALUE"""),"Campus San Francisco - CSF")</f>
        <v>Campus San Francisco - CSF</v>
      </c>
      <c r="K225" s="495">
        <f>IFERROR(__xludf.DUMMYFUNCTION("""COMPUTED_VALUE"""),11.0)</f>
        <v>11</v>
      </c>
      <c r="L225" s="495" t="str">
        <f>IFERROR(__xludf.DUMMYFUNCTION("""COMPUTED_VALUE"""),"FCM Ingeniería Spa")</f>
        <v>FCM Ingeniería Spa</v>
      </c>
      <c r="M225" s="495" t="str">
        <f>IFERROR(__xludf.DUMMYFUNCTION("""COMPUTED_VALUE"""),"76.881.945-9")</f>
        <v>76.881.945-9</v>
      </c>
      <c r="N225" s="495" t="str">
        <f>IFERROR(__xludf.DUMMYFUNCTION("""COMPUTED_VALUE"""),"Marcelo Cruces Araneda / Ingeniero Mecánico")</f>
        <v>Marcelo Cruces Araneda / Ingeniero Mecánico</v>
      </c>
      <c r="O225" s="495" t="str">
        <f>IFERROR(__xludf.DUMMYFUNCTION("""COMPUTED_VALUE"""),"Mantenciones")</f>
        <v>Mantenciones</v>
      </c>
      <c r="P225" s="495" t="str">
        <f>IFERROR(__xludf.DUMMYFUNCTION("""COMPUTED_VALUE"""),"Requerimientos Emergentes e Imprevistos")</f>
        <v>Requerimientos Emergentes e Imprevistos</v>
      </c>
      <c r="Q225" s="495"/>
      <c r="R225" s="495"/>
      <c r="S225" s="495"/>
      <c r="T225" s="495"/>
      <c r="U225" s="495"/>
      <c r="V225" s="495" t="str">
        <f>IFERROR(__xludf.DUMMYFUNCTION("""COMPUTED_VALUE"""),"Detección y reparación de fugas de agua, instalación de desagües y sifones, instalación de lavafondos.")</f>
        <v>Detección y reparación de fugas de agua, instalación de desagües y sifones, instalación de lavafondos.</v>
      </c>
      <c r="W225" s="495" t="str">
        <f>IFERROR(__xludf.DUMMYFUNCTION("""COMPUTED_VALUE"""),"Se sugiere la limpieza permanente de los sifones de los lavafondos y no sobrecargar los lavafondos")</f>
        <v>Se sugiere la limpieza permanente de los sifones de los lavafondos y no sobrecargar los lavafondos</v>
      </c>
      <c r="X225" s="495" t="str">
        <f>IFERROR(__xludf.DUMMYFUNCTION("""COMPUTED_VALUE"""),"https://drive.google.com/open?id=1-xRgSFeZ55cQt4cRwn0thQunOHFC3yke, https://drive.google.com/open?id=1B4LYrroaZXy593PbUdfybq7NC_IMCZKx, https://drive.google.com/open?id=1hJ3nWS2BW0KhvP9qttRfw67Swm06H3j5, https://drive.google.com/open?id=1mdQsoaOVU3sIoKMK_"&amp;"pEI4u3rmC9uF02s, https://drive.google.com/open?id=1HIGb9ZwFRrHe3UQI_KyvWKW_dowlVRLA, https://drive.google.com/open?id=1_2xXowQhO4Iqy7ILyVuDjKtjtWr-glNt")</f>
        <v>https://drive.google.com/open?id=1-xRgSFeZ55cQt4cRwn0thQunOHFC3yke, https://drive.google.com/open?id=1B4LYrroaZXy593PbUdfybq7NC_IMCZKx, https://drive.google.com/open?id=1hJ3nWS2BW0KhvP9qttRfw67Swm06H3j5, https://drive.google.com/open?id=1mdQsoaOVU3sIoKMK_pEI4u3rmC9uF02s, https://drive.google.com/open?id=1HIGb9ZwFRrHe3UQI_KyvWKW_dowlVRLA, https://drive.google.com/open?id=1_2xXowQhO4Iqy7ILyVuDjKtjtWr-glNt</v>
      </c>
      <c r="Y225" s="495" t="str">
        <f>IFERROR(__xludf.DUMMYFUNCTION("""COMPUTED_VALUE"""),"marcelocruces@fcmingenieria.cl")</f>
        <v>marcelocruces@fcmingenieria.cl</v>
      </c>
      <c r="Z225" s="498">
        <f>IFERROR(__xludf.DUMMYFUNCTION("""COMPUTED_VALUE"""),4244730.0)</f>
        <v>4244730</v>
      </c>
      <c r="AA225" s="495"/>
      <c r="AB225" s="495"/>
      <c r="AC225" s="495"/>
      <c r="AD225" s="495" t="str">
        <f>IFERROR(__xludf.DUMMYFUNCTION("""COMPUTED_VALUE"""),"RC-110_26")</f>
        <v>RC-110_26</v>
      </c>
    </row>
    <row r="226">
      <c r="A226" s="495" t="str">
        <f t="shared" si="1"/>
        <v/>
      </c>
      <c r="B226" s="497">
        <f>IFERROR(__xludf.DUMMYFUNCTION("""COMPUTED_VALUE"""),46029.67127342593)</f>
        <v>46029.67127</v>
      </c>
      <c r="C226" s="495" t="str">
        <f>IFERROR(__xludf.DUMMYFUNCTION("""COMPUTED_VALUE"""),"")</f>
        <v/>
      </c>
      <c r="D226" s="495" t="str">
        <f>IFERROR(__xludf.DUMMYFUNCTION("""COMPUTED_VALUE"""),"Leonor Ríos Morales")</f>
        <v>Leonor Ríos Morales</v>
      </c>
      <c r="E226" s="495"/>
      <c r="F226" s="496" t="str">
        <f>IFERROR(__xludf.DUMMYFUNCTION("""COMPUTED_VALUE"""),"13108-2025")</f>
        <v>13108-2025</v>
      </c>
      <c r="G226" s="495"/>
      <c r="H226" s="495"/>
      <c r="I226" s="495"/>
      <c r="J226" s="495" t="str">
        <f>IFERROR(__xludf.DUMMYFUNCTION("""COMPUTED_VALUE"""),"Campus San Francisco - CSF")</f>
        <v>Campus San Francisco - CSF</v>
      </c>
      <c r="K226" s="495" t="str">
        <f>IFERROR(__xludf.DUMMYFUNCTION("""COMPUTED_VALUE"""),"Sin número")</f>
        <v>Sin número</v>
      </c>
      <c r="L226" s="495" t="str">
        <f>IFERROR(__xludf.DUMMYFUNCTION("""COMPUTED_VALUE"""),"PUA DISENO SPA")</f>
        <v>PUA DISENO SPA</v>
      </c>
      <c r="M226" s="495" t="str">
        <f>IFERROR(__xludf.DUMMYFUNCTION("""COMPUTED_VALUE"""),"76.962.330-2")</f>
        <v>76.962.330-2</v>
      </c>
      <c r="N226" s="495" t="str">
        <f>IFERROR(__xludf.DUMMYFUNCTION("""COMPUTED_VALUE"""),"MAXIMILIANO IBANEZ LEON - GERENTE GRAL")</f>
        <v>MAXIMILIANO IBANEZ LEON - GERENTE GRAL</v>
      </c>
      <c r="O226" s="495" t="str">
        <f>IFERROR(__xludf.DUMMYFUNCTION("""COMPUTED_VALUE"""),"Obras y Especialidades")</f>
        <v>Obras y Especialidades</v>
      </c>
      <c r="P226" s="495"/>
      <c r="Q226" s="495"/>
      <c r="R226" s="495" t="str">
        <f>IFERROR(__xludf.DUMMYFUNCTION("""COMPUTED_VALUE"""),"Especialidades")</f>
        <v>Especialidades</v>
      </c>
      <c r="S226" s="495" t="str">
        <f>IFERROR(__xludf.DUMMYFUNCTION("""COMPUTED_VALUE"""),"Estado de Pago - EP")</f>
        <v>Estado de Pago - EP</v>
      </c>
      <c r="T226" s="495" t="str">
        <f>IFERROR(__xludf.DUMMYFUNCTION("""COMPUTED_VALUE"""),"0 (Anticipo)")</f>
        <v>0 (Anticipo)</v>
      </c>
      <c r="U226" s="498">
        <f>IFERROR(__xludf.DUMMYFUNCTION("""COMPUTED_VALUE"""),7812874.0)</f>
        <v>7812874</v>
      </c>
      <c r="V226" s="495" t="str">
        <f>IFERROR(__xludf.DUMMYFUNCTION("""COMPUTED_VALUE"""),"MANTENCION Y REPARACIONES- EDIFICIO FID CJP11, EDIFICIO A CSF16, EDIFICIO B CSF14, EDIFICIO FAC CIENCI, EDIFICIO C CSF12, EDIFICIO H CSF09, EDIFICIO E CSF03")</f>
        <v>MANTENCION Y REPARACIONES- EDIFICIO FID CJP11, EDIFICIO A CSF16, EDIFICIO B CSF14, EDIFICIO FAC CIENCI, EDIFICIO C CSF12, EDIFICIO H CSF09, EDIFICIO E CSF03</v>
      </c>
      <c r="W226" s="495"/>
      <c r="X226" s="499" t="str">
        <f>IFERROR(__xludf.DUMMYFUNCTION("""COMPUTED_VALUE"""),"https://drive.google.com/open?id=12jgoJe31N-rhqiEoVsM4K6NDDYKMtuaA")</f>
        <v>https://drive.google.com/open?id=12jgoJe31N-rhqiEoVsM4K6NDDYKMtuaA</v>
      </c>
      <c r="Y226" s="495" t="str">
        <f>IFERROR(__xludf.DUMMYFUNCTION("""COMPUTED_VALUE"""),"info@pua.cl")</f>
        <v>info@pua.cl</v>
      </c>
      <c r="Z226" s="495"/>
      <c r="AA226" s="495"/>
      <c r="AB226" s="495"/>
      <c r="AC226" s="495"/>
      <c r="AD226" s="495"/>
    </row>
    <row r="227">
      <c r="A227" s="495" t="str">
        <f t="shared" si="1"/>
        <v>RC-108_26</v>
      </c>
      <c r="B227" s="497">
        <f>IFERROR(__xludf.DUMMYFUNCTION("""COMPUTED_VALUE"""),46132.770915)</f>
        <v>46132.77092</v>
      </c>
      <c r="C227" s="495" t="str">
        <f>IFERROR(__xludf.DUMMYFUNCTION("""COMPUTED_VALUE"""),"")</f>
        <v/>
      </c>
      <c r="D227" s="495" t="str">
        <f>IFERROR(__xludf.DUMMYFUNCTION("""COMPUTED_VALUE"""),"Felipe Anselme Grandón")</f>
        <v>Felipe Anselme Grandón</v>
      </c>
      <c r="E227" s="495"/>
      <c r="F227" s="496" t="str">
        <f>IFERROR(__xludf.DUMMYFUNCTION("""COMPUTED_VALUE"""),"2582-2026")</f>
        <v>2582-2026</v>
      </c>
      <c r="G227" s="495"/>
      <c r="H227" s="495"/>
      <c r="I227" s="495"/>
      <c r="J227" s="495" t="str">
        <f>IFERROR(__xludf.DUMMYFUNCTION("""COMPUTED_VALUE"""),"Campus San Juan Pablo II - CJP")</f>
        <v>Campus San Juan Pablo II - CJP</v>
      </c>
      <c r="K227" s="495">
        <f>IFERROR(__xludf.DUMMYFUNCTION("""COMPUTED_VALUE"""),12.0)</f>
        <v>12</v>
      </c>
      <c r="L227" s="495" t="str">
        <f>IFERROR(__xludf.DUMMYFUNCTION("""COMPUTED_VALUE"""),"Constructora y Servicios S-Tec SPA ")</f>
        <v>Constructora y Servicios S-Tec SPA </v>
      </c>
      <c r="M227" s="495" t="str">
        <f>IFERROR(__xludf.DUMMYFUNCTION("""COMPUTED_VALUE"""),"78.270.109-6")</f>
        <v>78.270.109-6</v>
      </c>
      <c r="N227" s="495" t="str">
        <f>IFERROR(__xludf.DUMMYFUNCTION("""COMPUTED_VALUE"""),"Miguel Pino")</f>
        <v>Miguel Pino</v>
      </c>
      <c r="O227" s="495" t="str">
        <f>IFERROR(__xludf.DUMMYFUNCTION("""COMPUTED_VALUE"""),"Mantenciones")</f>
        <v>Mantenciones</v>
      </c>
      <c r="P227" s="495" t="str">
        <f>IFERROR(__xludf.DUMMYFUNCTION("""COMPUTED_VALUE"""),"Cubiertas")</f>
        <v>Cubiertas</v>
      </c>
      <c r="Q227" s="495"/>
      <c r="R227" s="495"/>
      <c r="S227" s="495"/>
      <c r="T227" s="495"/>
      <c r="U227" s="495"/>
      <c r="V227" s="495" t="str">
        <f>IFERROR(__xludf.DUMMYFUNCTION("""COMPUTED_VALUE"""),"Reparación de cubierta del edificio CJP12, considera limpieza de canalas de 
aguas lluvias del sector, sellado de fisuras en canalas con Sika flex de poliuretano, sellado y fijación de cubierta de PV4 en conección con canalas y limahoyas del area con Sika"&amp;" flex de poliuretano. Extención de hojalaterias bajo 
planchas de policarbonato. Reparación de cielos y muros dañados por filtración, considera cambio de 03 planchas de yeso carton RH de 12mm, emsesado y pintado de area afectada.
")</f>
        <v>Reparación de cubierta del edificio CJP12, considera limpieza de canalas de 
aguas lluvias del sector, sellado de fisuras en canalas con Sika flex de poliuretano, sellado y fijación de cubierta de PV4 en conección con canalas y limahoyas del area con Sika flex de poliuretano. Extención de hojalaterias bajo 
planchas de policarbonato. Reparación de cielos y muros dañados por filtración, considera cambio de 03 planchas de yeso carton RH de 12mm, emsesado y pintado de area afectada.
</v>
      </c>
      <c r="W227" s="495"/>
      <c r="X227" s="495" t="str">
        <f>IFERROR(__xludf.DUMMYFUNCTION("""COMPUTED_VALUE"""),"https://drive.google.com/open?id=1w94NV9qrXJ3tx9yDBcuXNi34q_Qfqp5G, https://drive.google.com/open?id=1DitTeXn9qLVyNlghmA8QAr_q3iOYTBe3, https://drive.google.com/open?id=1AIl8JZa2Jv3uwy4KGhiu1vO21rdPrjc4, https://drive.google.com/open?id=1hzqEAGiRvBIcF8ahD"&amp;"ItMaWEnMhlnbrrc, https://drive.google.com/open?id=1coErwxzl3CUd8Xlaat5mZ0yX_NY_mXrY, https://drive.google.com/open?id=1Kp2J0-bMnr_Qv74yLiZ244Lwz-kbQjYm, https://drive.google.com/open?id=15Diw2hd_bVVG1u_ClcmzIBDAkDQYeJgC, https://drive.google.com/open?id=1"&amp;"aY_HVbqoGdW-XNPppkPNrsrVNGtwzvzr")</f>
        <v>https://drive.google.com/open?id=1w94NV9qrXJ3tx9yDBcuXNi34q_Qfqp5G, https://drive.google.com/open?id=1DitTeXn9qLVyNlghmA8QAr_q3iOYTBe3, https://drive.google.com/open?id=1AIl8JZa2Jv3uwy4KGhiu1vO21rdPrjc4, https://drive.google.com/open?id=1hzqEAGiRvBIcF8ahDItMaWEnMhlnbrrc, https://drive.google.com/open?id=1coErwxzl3CUd8Xlaat5mZ0yX_NY_mXrY, https://drive.google.com/open?id=1Kp2J0-bMnr_Qv74yLiZ244Lwz-kbQjYm, https://drive.google.com/open?id=15Diw2hd_bVVG1u_ClcmzIBDAkDQYeJgC, https://drive.google.com/open?id=1aY_HVbqoGdW-XNPppkPNrsrVNGtwzvzr</v>
      </c>
      <c r="Y227" s="495" t="str">
        <f>IFERROR(__xludf.DUMMYFUNCTION("""COMPUTED_VALUE"""),"miguelptorres@gmail.com")</f>
        <v>miguelptorres@gmail.com</v>
      </c>
      <c r="Z227" s="498">
        <f>IFERROR(__xludf.DUMMYFUNCTION("""COMPUTED_VALUE"""),783865.0)</f>
        <v>783865</v>
      </c>
      <c r="AA227" s="495"/>
      <c r="AB227" s="495"/>
      <c r="AC227" s="495"/>
      <c r="AD227" s="495" t="str">
        <f>IFERROR(__xludf.DUMMYFUNCTION("""COMPUTED_VALUE"""),"RC-108_26")</f>
        <v>RC-108_26</v>
      </c>
    </row>
    <row r="228">
      <c r="A228" s="495" t="str">
        <f t="shared" si="1"/>
        <v>RC-107_26</v>
      </c>
      <c r="B228" s="497">
        <f>IFERROR(__xludf.DUMMYFUNCTION("""COMPUTED_VALUE"""),46132.765663796294)</f>
        <v>46132.76566</v>
      </c>
      <c r="C228" s="495" t="str">
        <f>IFERROR(__xludf.DUMMYFUNCTION("""COMPUTED_VALUE"""),"")</f>
        <v/>
      </c>
      <c r="D228" s="495" t="str">
        <f>IFERROR(__xludf.DUMMYFUNCTION("""COMPUTED_VALUE"""),"Felipe Anselme Grandón")</f>
        <v>Felipe Anselme Grandón</v>
      </c>
      <c r="E228" s="495"/>
      <c r="F228" s="496" t="str">
        <f>IFERROR(__xludf.DUMMYFUNCTION("""COMPUTED_VALUE"""),"2544-2026")</f>
        <v>2544-2026</v>
      </c>
      <c r="G228" s="495"/>
      <c r="H228" s="495"/>
      <c r="I228" s="495"/>
      <c r="J228" s="495" t="str">
        <f>IFERROR(__xludf.DUMMYFUNCTION("""COMPUTED_VALUE"""),"Campus San Juan Pablo II - CJP")</f>
        <v>Campus San Juan Pablo II - CJP</v>
      </c>
      <c r="K228" s="495" t="str">
        <f>IFERROR(__xludf.DUMMYFUNCTION("""COMPUTED_VALUE"""),"08")</f>
        <v>08</v>
      </c>
      <c r="L228" s="495" t="str">
        <f>IFERROR(__xludf.DUMMYFUNCTION("""COMPUTED_VALUE"""),"Constructora y Servicios S-Tec SPA ")</f>
        <v>Constructora y Servicios S-Tec SPA </v>
      </c>
      <c r="M228" s="495" t="str">
        <f>IFERROR(__xludf.DUMMYFUNCTION("""COMPUTED_VALUE"""),"78.270.109-6")</f>
        <v>78.270.109-6</v>
      </c>
      <c r="N228" s="495" t="str">
        <f>IFERROR(__xludf.DUMMYFUNCTION("""COMPUTED_VALUE"""),"Miguel Pino")</f>
        <v>Miguel Pino</v>
      </c>
      <c r="O228" s="495" t="str">
        <f>IFERROR(__xludf.DUMMYFUNCTION("""COMPUTED_VALUE"""),"Mantenciones")</f>
        <v>Mantenciones</v>
      </c>
      <c r="P228" s="495" t="str">
        <f>IFERROR(__xludf.DUMMYFUNCTION("""COMPUTED_VALUE"""),"Terminaciones Interiores")</f>
        <v>Terminaciones Interiores</v>
      </c>
      <c r="Q228" s="495"/>
      <c r="R228" s="495"/>
      <c r="S228" s="495"/>
      <c r="T228" s="495"/>
      <c r="U228" s="495"/>
      <c r="V228" s="495" t="str">
        <f>IFERROR(__xludf.DUMMYFUNCTION("""COMPUTED_VALUE"""),"Cambio de cielo dañado por filtraciones de aguas lluvias en oficina CJP CT436. 
Considera retiro de revestimiento de cielo y lana de vidrio existente, instalación de lana de vidrio de 100mm con 1 cara de papel kraft, instalación  de revestimiento de cielo"&amp;" con planchas de yeso carton RH, enyesado de uniones y pintura con latex antihongos extracubriente.")</f>
        <v>Cambio de cielo dañado por filtraciones de aguas lluvias en oficina CJP CT436. 
Considera retiro de revestimiento de cielo y lana de vidrio existente, instalación de lana de vidrio de 100mm con 1 cara de papel kraft, instalación  de revestimiento de cielo con planchas de yeso carton RH, enyesado de uniones y pintura con latex antihongos extracubriente.</v>
      </c>
      <c r="W228" s="495"/>
      <c r="X228" s="495" t="str">
        <f>IFERROR(__xludf.DUMMYFUNCTION("""COMPUTED_VALUE"""),"https://drive.google.com/open?id=1k2B9b41KwgRIKZw9SHDbjf1ll1kZSbzX, https://drive.google.com/open?id=1ehoxG_pyryNgXwEMCWEV0UFFn7PTApnM, https://drive.google.com/open?id=1cHoArBIcqqXy3pq_WQqJlxZZ2r2hcvdD, https://drive.google.com/open?id=1fEwmeDv27W2gDZ-Qp"&amp;"CZK7VWoABki5KSH, https://drive.google.com/open?id=1yswfqoVv9CVEyEo3SNFNSv25cVK_9A8j")</f>
        <v>https://drive.google.com/open?id=1k2B9b41KwgRIKZw9SHDbjf1ll1kZSbzX, https://drive.google.com/open?id=1ehoxG_pyryNgXwEMCWEV0UFFn7PTApnM, https://drive.google.com/open?id=1cHoArBIcqqXy3pq_WQqJlxZZ2r2hcvdD, https://drive.google.com/open?id=1fEwmeDv27W2gDZ-QpCZK7VWoABki5KSH, https://drive.google.com/open?id=1yswfqoVv9CVEyEo3SNFNSv25cVK_9A8j</v>
      </c>
      <c r="Y228" s="495" t="str">
        <f>IFERROR(__xludf.DUMMYFUNCTION("""COMPUTED_VALUE"""),"miguelptorres@gmail.com")</f>
        <v>miguelptorres@gmail.com</v>
      </c>
      <c r="Z228" s="498">
        <f>IFERROR(__xludf.DUMMYFUNCTION("""COMPUTED_VALUE"""),712858.0)</f>
        <v>712858</v>
      </c>
      <c r="AA228" s="495"/>
      <c r="AB228" s="495"/>
      <c r="AC228" s="495"/>
      <c r="AD228" s="495" t="str">
        <f>IFERROR(__xludf.DUMMYFUNCTION("""COMPUTED_VALUE"""),"RC-107_26")</f>
        <v>RC-107_26</v>
      </c>
    </row>
    <row r="229">
      <c r="A229" s="495" t="str">
        <f t="shared" si="1"/>
        <v>RC-106_26</v>
      </c>
      <c r="B229" s="497">
        <f>IFERROR(__xludf.DUMMYFUNCTION("""COMPUTED_VALUE"""),46132.65642513889)</f>
        <v>46132.65643</v>
      </c>
      <c r="C229" s="495" t="str">
        <f>IFERROR(__xludf.DUMMYFUNCTION("""COMPUTED_VALUE"""),"")</f>
        <v/>
      </c>
      <c r="D229" s="495" t="str">
        <f>IFERROR(__xludf.DUMMYFUNCTION("""COMPUTED_VALUE"""),"Mauricio Matus Belmar")</f>
        <v>Mauricio Matus Belmar</v>
      </c>
      <c r="E229" s="495"/>
      <c r="F229" s="496" t="str">
        <f>IFERROR(__xludf.DUMMYFUNCTION("""COMPUTED_VALUE"""),"2260 - 2026")</f>
        <v>2260 - 2026</v>
      </c>
      <c r="G229" s="495"/>
      <c r="H229" s="495"/>
      <c r="I229" s="495"/>
      <c r="J229" s="495" t="str">
        <f>IFERROR(__xludf.DUMMYFUNCTION("""COMPUTED_VALUE"""),"Campus San Juan Pablo II - CJP")</f>
        <v>Campus San Juan Pablo II - CJP</v>
      </c>
      <c r="K229" s="495">
        <f>IFERROR(__xludf.DUMMYFUNCTION("""COMPUTED_VALUE"""),13.0)</f>
        <v>13</v>
      </c>
      <c r="L229" s="495" t="str">
        <f>IFERROR(__xludf.DUMMYFUNCTION("""COMPUTED_VALUE"""),"Flavia Oyarzun Soto")</f>
        <v>Flavia Oyarzun Soto</v>
      </c>
      <c r="M229" s="495" t="str">
        <f>IFERROR(__xludf.DUMMYFUNCTION("""COMPUTED_VALUE"""),"5.503.590-3")</f>
        <v>5.503.590-3</v>
      </c>
      <c r="N229" s="495" t="str">
        <f>IFERROR(__xludf.DUMMYFUNCTION("""COMPUTED_VALUE"""),"Roberto Lassalle Prado Supervisor ")</f>
        <v>Roberto Lassalle Prado Supervisor </v>
      </c>
      <c r="O229" s="495" t="str">
        <f>IFERROR(__xludf.DUMMYFUNCTION("""COMPUTED_VALUE"""),"Mantenciones")</f>
        <v>Mantenciones</v>
      </c>
      <c r="P229" s="495" t="str">
        <f>IFERROR(__xludf.DUMMYFUNCTION("""COMPUTED_VALUE"""),"Requerimientos Emergentes e Imprevistos")</f>
        <v>Requerimientos Emergentes e Imprevistos</v>
      </c>
      <c r="Q229" s="495"/>
      <c r="R229" s="495"/>
      <c r="S229" s="495"/>
      <c r="T229" s="495"/>
      <c r="U229" s="495"/>
      <c r="V229" s="495" t="str">
        <f>IFERROR(__xludf.DUMMYFUNCTION("""COMPUTED_VALUE"""),"Provisión e instalacion Protecciones de pantallas del gimnasio")</f>
        <v>Provisión e instalacion Protecciones de pantallas del gimnasio</v>
      </c>
      <c r="W229" s="495" t="str">
        <f>IFERROR(__xludf.DUMMYFUNCTION("""COMPUTED_VALUE"""),"no hay")</f>
        <v>no hay</v>
      </c>
      <c r="X229" s="495" t="str">
        <f>IFERROR(__xludf.DUMMYFUNCTION("""COMPUTED_VALUE"""),"https://drive.google.com/open?id=1yQfqONfSPUz1XjLJPrO2a02JRfXcsTfe, https://drive.google.com/open?id=1fHMeWXSpzcFwDp8PhroH5rxGNOeQZR6o, https://drive.google.com/open?id=1XVfW2LbT6gjEg5YydYXu67BcAxeJQ5lQ")</f>
        <v>https://drive.google.com/open?id=1yQfqONfSPUz1XjLJPrO2a02JRfXcsTfe, https://drive.google.com/open?id=1fHMeWXSpzcFwDp8PhroH5rxGNOeQZR6o, https://drive.google.com/open?id=1XVfW2LbT6gjEg5YydYXu67BcAxeJQ5lQ</v>
      </c>
      <c r="Y229" s="495" t="str">
        <f>IFERROR(__xludf.DUMMYFUNCTION("""COMPUTED_VALUE"""),"roberto.lassalle@gmail.com")</f>
        <v>roberto.lassalle@gmail.com</v>
      </c>
      <c r="Z229" s="498">
        <f>IFERROR(__xludf.DUMMYFUNCTION("""COMPUTED_VALUE"""),560000.0)</f>
        <v>560000</v>
      </c>
      <c r="AA229" s="495"/>
      <c r="AB229" s="495"/>
      <c r="AC229" s="495"/>
      <c r="AD229" s="495" t="str">
        <f>IFERROR(__xludf.DUMMYFUNCTION("""COMPUTED_VALUE"""),"RC-106_26")</f>
        <v>RC-106_26</v>
      </c>
    </row>
    <row r="230">
      <c r="A230" s="495" t="str">
        <f t="shared" si="1"/>
        <v>RC-104_26</v>
      </c>
      <c r="B230" s="497">
        <f>IFERROR(__xludf.DUMMYFUNCTION("""COMPUTED_VALUE"""),46132.6412241088)</f>
        <v>46132.64122</v>
      </c>
      <c r="C230" s="495" t="str">
        <f>IFERROR(__xludf.DUMMYFUNCTION("""COMPUTED_VALUE"""),"")</f>
        <v/>
      </c>
      <c r="D230" s="495" t="str">
        <f>IFERROR(__xludf.DUMMYFUNCTION("""COMPUTED_VALUE"""),"Carol Huenchual Chañilao")</f>
        <v>Carol Huenchual Chañilao</v>
      </c>
      <c r="E230" s="495"/>
      <c r="F230" s="496" t="str">
        <f>IFERROR(__xludf.DUMMYFUNCTION("""COMPUTED_VALUE"""),"2405-2026")</f>
        <v>2405-2026</v>
      </c>
      <c r="G230" s="495"/>
      <c r="H230" s="495"/>
      <c r="I230" s="495"/>
      <c r="J230" s="495" t="str">
        <f>IFERROR(__xludf.DUMMYFUNCTION("""COMPUTED_VALUE"""),"Campus San Francisco - CSF")</f>
        <v>Campus San Francisco - CSF</v>
      </c>
      <c r="K230" s="495">
        <f>IFERROR(__xludf.DUMMYFUNCTION("""COMPUTED_VALUE"""),11.0)</f>
        <v>11</v>
      </c>
      <c r="L230" s="495" t="str">
        <f>IFERROR(__xludf.DUMMYFUNCTION("""COMPUTED_VALUE"""),"FCM INGENIERÍA SPA")</f>
        <v>FCM INGENIERÍA SPA</v>
      </c>
      <c r="M230" s="495" t="str">
        <f>IFERROR(__xludf.DUMMYFUNCTION("""COMPUTED_VALUE"""),"76.881.945-9")</f>
        <v>76.881.945-9</v>
      </c>
      <c r="N230" s="495" t="str">
        <f>IFERROR(__xludf.DUMMYFUNCTION("""COMPUTED_VALUE"""),"Marcelo Cruces")</f>
        <v>Marcelo Cruces</v>
      </c>
      <c r="O230" s="495" t="str">
        <f>IFERROR(__xludf.DUMMYFUNCTION("""COMPUTED_VALUE"""),"Mantenciones")</f>
        <v>Mantenciones</v>
      </c>
      <c r="P230" s="495" t="str">
        <f>IFERROR(__xludf.DUMMYFUNCTION("""COMPUTED_VALUE"""),"Instalaciones de Agua Potable")</f>
        <v>Instalaciones de Agua Potable</v>
      </c>
      <c r="Q230" s="495"/>
      <c r="R230" s="495"/>
      <c r="S230" s="495"/>
      <c r="T230" s="495"/>
      <c r="U230" s="495"/>
      <c r="V230" s="495" t="str">
        <f>IFERROR(__xludf.DUMMYFUNCTION("""COMPUTED_VALUE"""),"Mantención y reparación infraestructura. Reparaciones
de fuga en instalaciones sanitarias casino campus San
Francisco.")</f>
        <v>Mantención y reparación infraestructura. Reparaciones
de fuga en instalaciones sanitarias casino campus San
Francisco.</v>
      </c>
      <c r="W230" s="495" t="str">
        <f>IFERROR(__xludf.DUMMYFUNCTION("""COMPUTED_VALUE"""),"Seguimiento ")</f>
        <v>Seguimiento </v>
      </c>
      <c r="X230" s="495" t="str">
        <f>IFERROR(__xludf.DUMMYFUNCTION("""COMPUTED_VALUE"""),"https://drive.google.com/open?id=1_7KHwHv2o8h6GLkjKX6YJl0snxx21YIA, https://drive.google.com/open?id=1Ugv6Tw-XnfwOCOUeiS3CbDX_y_9jOCLm, https://drive.google.com/open?id=1HnpIe_wFpO60IzqN1XIa1HqSQvPyHorh")</f>
        <v>https://drive.google.com/open?id=1_7KHwHv2o8h6GLkjKX6YJl0snxx21YIA, https://drive.google.com/open?id=1Ugv6Tw-XnfwOCOUeiS3CbDX_y_9jOCLm, https://drive.google.com/open?id=1HnpIe_wFpO60IzqN1XIa1HqSQvPyHorh</v>
      </c>
      <c r="Y230" s="495" t="str">
        <f>IFERROR(__xludf.DUMMYFUNCTION("""COMPUTED_VALUE"""),"chuenchual@uct.cl")</f>
        <v>chuenchual@uct.cl</v>
      </c>
      <c r="Z230" s="498">
        <f>IFERROR(__xludf.DUMMYFUNCTION("""COMPUTED_VALUE"""),1273419.0)</f>
        <v>1273419</v>
      </c>
      <c r="AA230" s="495"/>
      <c r="AB230" s="495"/>
      <c r="AC230" s="495"/>
      <c r="AD230" s="495" t="str">
        <f>IFERROR(__xludf.DUMMYFUNCTION("""COMPUTED_VALUE"""),"RC-104_26")</f>
        <v>RC-104_26</v>
      </c>
    </row>
    <row r="231">
      <c r="A231" s="495" t="str">
        <f t="shared" si="1"/>
        <v/>
      </c>
      <c r="B231" s="497">
        <f>IFERROR(__xludf.DUMMYFUNCTION("""COMPUTED_VALUE"""),46030.48369603009)</f>
        <v>46030.4837</v>
      </c>
      <c r="C231" s="495" t="str">
        <f>IFERROR(__xludf.DUMMYFUNCTION("""COMPUTED_VALUE"""),"")</f>
        <v/>
      </c>
      <c r="D231" s="495" t="str">
        <f>IFERROR(__xludf.DUMMYFUNCTION("""COMPUTED_VALUE"""),"Cristóbal Correa del Río")</f>
        <v>Cristóbal Correa del Río</v>
      </c>
      <c r="E231" s="495"/>
      <c r="F231" s="496" t="str">
        <f>IFERROR(__xludf.DUMMYFUNCTION("""COMPUTED_VALUE"""),"9006 - 2025")</f>
        <v>9006 - 2025</v>
      </c>
      <c r="G231" s="495"/>
      <c r="H231" s="495"/>
      <c r="I231" s="495"/>
      <c r="J231" s="495" t="str">
        <f>IFERROR(__xludf.DUMMYFUNCTION("""COMPUTED_VALUE"""),"Campus San Francisco - CSF")</f>
        <v>Campus San Francisco - CSF</v>
      </c>
      <c r="K231" s="495">
        <f>IFERROR(__xludf.DUMMYFUNCTION("""COMPUTED_VALUE"""),21.0)</f>
        <v>21</v>
      </c>
      <c r="L231" s="495" t="str">
        <f>IFERROR(__xludf.DUMMYFUNCTION("""COMPUTED_VALUE"""),"SOCIEDAD CONSTRUCTORA KOYAM LIMITADA")</f>
        <v>SOCIEDAD CONSTRUCTORA KOYAM LIMITADA</v>
      </c>
      <c r="M231" s="495" t="str">
        <f>IFERROR(__xludf.DUMMYFUNCTION("""COMPUTED_VALUE"""),"76.256.065-8")</f>
        <v>76.256.065-8</v>
      </c>
      <c r="N231" s="495" t="str">
        <f>IFERROR(__xludf.DUMMYFUNCTION("""COMPUTED_VALUE"""),"JUAN PABLO MUÑOZ")</f>
        <v>JUAN PABLO MUÑOZ</v>
      </c>
      <c r="O231" s="495" t="str">
        <f>IFERROR(__xludf.DUMMYFUNCTION("""COMPUTED_VALUE"""),"Obras y Especialidades")</f>
        <v>Obras y Especialidades</v>
      </c>
      <c r="P231" s="495"/>
      <c r="Q231" s="495"/>
      <c r="R231" s="495" t="str">
        <f>IFERROR(__xludf.DUMMYFUNCTION("""COMPUTED_VALUE"""),"Exteriores")</f>
        <v>Exteriores</v>
      </c>
      <c r="S231" s="495" t="str">
        <f>IFERROR(__xludf.DUMMYFUNCTION("""COMPUTED_VALUE"""),"Recepción de Obra - RC")</f>
        <v>Recepción de Obra - RC</v>
      </c>
      <c r="T231" s="495"/>
      <c r="U231" s="495"/>
      <c r="V231" s="495" t="str">
        <f>IFERROR(__xludf.DUMMYFUNCTION("""COMPUTED_VALUE"""),"instalacion codos en 2 camaras drenaje aguas lluvia pasaje el bosque, mas limpieza y tapa sist alc. y all sector exterior entre CSF21 y CSF02")</f>
        <v>instalacion codos en 2 camaras drenaje aguas lluvia pasaje el bosque, mas limpieza y tapa sist alc. y all sector exterior entre CSF21 y CSF02</v>
      </c>
      <c r="W231" s="495" t="str">
        <f>IFERROR(__xludf.DUMMYFUNCTION("""COMPUTED_VALUE"""),"no aplica, quedó operativo")</f>
        <v>no aplica, quedó operativo</v>
      </c>
      <c r="X231" s="495" t="str">
        <f>IFERROR(__xludf.DUMMYFUNCTION("""COMPUTED_VALUE"""),"https://drive.google.com/open?id=1EKw3KwIxjQHj23cHwq5eEouQoOmqaFYb, https://drive.google.com/open?id=1d80Tb9tMBfFRXlvLM6beBh4mi2ChuCdm, https://drive.google.com/open?id=130LGXnL11txrn15X66w2KFH4OxtdwCYw")</f>
        <v>https://drive.google.com/open?id=1EKw3KwIxjQHj23cHwq5eEouQoOmqaFYb, https://drive.google.com/open?id=1d80Tb9tMBfFRXlvLM6beBh4mi2ChuCdm, https://drive.google.com/open?id=130LGXnL11txrn15X66w2KFH4OxtdwCYw</v>
      </c>
      <c r="Y231" s="495" t="str">
        <f>IFERROR(__xludf.DUMMYFUNCTION("""COMPUTED_VALUE"""),"pablompasmino@gmail.com")</f>
        <v>pablompasmino@gmail.com</v>
      </c>
      <c r="Z231" s="495"/>
      <c r="AA231" s="495"/>
      <c r="AB231" s="495"/>
      <c r="AC231" s="495"/>
      <c r="AD231" s="495"/>
    </row>
    <row r="232">
      <c r="A232" s="495" t="str">
        <f t="shared" si="1"/>
        <v/>
      </c>
      <c r="B232" s="497">
        <f>IFERROR(__xludf.DUMMYFUNCTION("""COMPUTED_VALUE"""),46030.5197765162)</f>
        <v>46030.51978</v>
      </c>
      <c r="C232" s="495" t="str">
        <f>IFERROR(__xludf.DUMMYFUNCTION("""COMPUTED_VALUE"""),"")</f>
        <v/>
      </c>
      <c r="D232" s="495" t="str">
        <f>IFERROR(__xludf.DUMMYFUNCTION("""COMPUTED_VALUE"""),"Cristóbal Correa del Río")</f>
        <v>Cristóbal Correa del Río</v>
      </c>
      <c r="E232" s="495"/>
      <c r="F232" s="496" t="str">
        <f>IFERROR(__xludf.DUMMYFUNCTION("""COMPUTED_VALUE"""),"9072-2025")</f>
        <v>9072-2025</v>
      </c>
      <c r="G232" s="495"/>
      <c r="H232" s="495"/>
      <c r="I232" s="495"/>
      <c r="J232" s="495" t="str">
        <f>IFERROR(__xludf.DUMMYFUNCTION("""COMPUTED_VALUE"""),"Campus San Francisco - CSF")</f>
        <v>Campus San Francisco - CSF</v>
      </c>
      <c r="K232" s="495" t="str">
        <f>IFERROR(__xludf.DUMMYFUNCTION("""COMPUTED_VALUE"""),"02")</f>
        <v>02</v>
      </c>
      <c r="L232" s="495" t="str">
        <f>IFERROR(__xludf.DUMMYFUNCTION("""COMPUTED_VALUE"""),"SOCIEDAD CONSTRUCTORA KOYAM LIMITADA")</f>
        <v>SOCIEDAD CONSTRUCTORA KOYAM LIMITADA</v>
      </c>
      <c r="M232" s="495" t="str">
        <f>IFERROR(__xludf.DUMMYFUNCTION("""COMPUTED_VALUE"""),"76.256.065-8")</f>
        <v>76.256.065-8</v>
      </c>
      <c r="N232" s="495" t="str">
        <f>IFERROR(__xludf.DUMMYFUNCTION("""COMPUTED_VALUE"""),"JUAN PABLO MUÑOZ")</f>
        <v>JUAN PABLO MUÑOZ</v>
      </c>
      <c r="O232" s="495" t="str">
        <f>IFERROR(__xludf.DUMMYFUNCTION("""COMPUTED_VALUE"""),"Obras y Especialidades")</f>
        <v>Obras y Especialidades</v>
      </c>
      <c r="P232" s="495"/>
      <c r="Q232" s="495"/>
      <c r="R232" s="495" t="str">
        <f>IFERROR(__xludf.DUMMYFUNCTION("""COMPUTED_VALUE"""),"Exteriores")</f>
        <v>Exteriores</v>
      </c>
      <c r="S232" s="495" t="str">
        <f>IFERROR(__xludf.DUMMYFUNCTION("""COMPUTED_VALUE"""),"Recepción de Obra - RC")</f>
        <v>Recepción de Obra - RC</v>
      </c>
      <c r="T232" s="495"/>
      <c r="U232" s="495"/>
      <c r="V232" s="495" t="str">
        <f>IFERROR(__xludf.DUMMYFUNCTION("""COMPUTED_VALUE"""),"instalacion camara drenaje de aguas lluvias en patio ingles de edificios CSF02 y CSF03")</f>
        <v>instalacion camara drenaje de aguas lluvias en patio ingles de edificios CSF02 y CSF03</v>
      </c>
      <c r="W232" s="495" t="str">
        <f>IFERROR(__xludf.DUMMYFUNCTION("""COMPUTED_VALUE"""),"realizar limpieza periódica de la cámara, para evitar obstrucciones en dren. (una vez al año o cada 2 años)")</f>
        <v>realizar limpieza periódica de la cámara, para evitar obstrucciones en dren. (una vez al año o cada 2 años)</v>
      </c>
      <c r="X232" s="499" t="str">
        <f>IFERROR(__xludf.DUMMYFUNCTION("""COMPUTED_VALUE"""),"https://drive.google.com/open?id=14tjq2NECtRUcvVJK2v0PS-epTcHnGgQ6")</f>
        <v>https://drive.google.com/open?id=14tjq2NECtRUcvVJK2v0PS-epTcHnGgQ6</v>
      </c>
      <c r="Y232" s="495" t="str">
        <f>IFERROR(__xludf.DUMMYFUNCTION("""COMPUTED_VALUE"""),"pablompasmino@gmail.com")</f>
        <v>pablompasmino@gmail.com</v>
      </c>
      <c r="Z232" s="495"/>
      <c r="AA232" s="495"/>
      <c r="AB232" s="495"/>
      <c r="AC232" s="495"/>
      <c r="AD232" s="495"/>
    </row>
    <row r="233">
      <c r="A233" s="495" t="str">
        <f t="shared" si="1"/>
        <v/>
      </c>
      <c r="B233" s="497">
        <f>IFERROR(__xludf.DUMMYFUNCTION("""COMPUTED_VALUE"""),46030.80448795139)</f>
        <v>46030.80449</v>
      </c>
      <c r="C233" s="495" t="str">
        <f>IFERROR(__xludf.DUMMYFUNCTION("""COMPUTED_VALUE"""),"")</f>
        <v/>
      </c>
      <c r="D233" s="495" t="str">
        <f>IFERROR(__xludf.DUMMYFUNCTION("""COMPUTED_VALUE"""),"Cristóbal Correa del Río")</f>
        <v>Cristóbal Correa del Río</v>
      </c>
      <c r="E233" s="495"/>
      <c r="F233" s="496" t="str">
        <f>IFERROR(__xludf.DUMMYFUNCTION("""COMPUTED_VALUE"""),"1754-2023")</f>
        <v>1754-2023</v>
      </c>
      <c r="G233" s="495"/>
      <c r="H233" s="495"/>
      <c r="I233" s="495"/>
      <c r="J233" s="495" t="str">
        <f>IFERROR(__xludf.DUMMYFUNCTION("""COMPUTED_VALUE"""),"Campus Prieto Norte - CHS")</f>
        <v>Campus Prieto Norte - CHS</v>
      </c>
      <c r="K233" s="495" t="str">
        <f>IFERROR(__xludf.DUMMYFUNCTION("""COMPUTED_VALUE"""),"Sin número")</f>
        <v>Sin número</v>
      </c>
      <c r="L233" s="495" t="str">
        <f>IFERROR(__xludf.DUMMYFUNCTION("""COMPUTED_VALUE"""),"88 ARQUITECTOS LIMITADA")</f>
        <v>88 ARQUITECTOS LIMITADA</v>
      </c>
      <c r="M233" s="495" t="str">
        <f>IFERROR(__xludf.DUMMYFUNCTION("""COMPUTED_VALUE"""),"76.108.094-6")</f>
        <v>76.108.094-6</v>
      </c>
      <c r="N233" s="495" t="str">
        <f>IFERROR(__xludf.DUMMYFUNCTION("""COMPUTED_VALUE"""),"Mauricio Ramírez Molina / Socio")</f>
        <v>Mauricio Ramírez Molina / Socio</v>
      </c>
      <c r="O233" s="495" t="str">
        <f>IFERROR(__xludf.DUMMYFUNCTION("""COMPUTED_VALUE"""),"Obras y Especialidades")</f>
        <v>Obras y Especialidades</v>
      </c>
      <c r="P233" s="495"/>
      <c r="Q233" s="495"/>
      <c r="R233" s="495" t="str">
        <f>IFERROR(__xludf.DUMMYFUNCTION("""COMPUTED_VALUE"""),"Especialidades")</f>
        <v>Especialidades</v>
      </c>
      <c r="S233" s="495" t="str">
        <f>IFERROR(__xludf.DUMMYFUNCTION("""COMPUTED_VALUE"""),"Estado de Pago - EP")</f>
        <v>Estado de Pago - EP</v>
      </c>
      <c r="T233" s="495">
        <f>IFERROR(__xludf.DUMMYFUNCTION("""COMPUTED_VALUE"""),2.0)</f>
        <v>2</v>
      </c>
      <c r="U233" s="498">
        <f>IFERROR(__xludf.DUMMYFUNCTION("""COMPUTED_VALUE"""),7426964.0)</f>
        <v>7426964</v>
      </c>
      <c r="V233" s="495" t="str">
        <f>IFERROR(__xludf.DUMMYFUNCTION("""COMPUTED_VALUE"""),"Asesoría Certificación Edificio Sustentable Hospital Simulación Clínica UCT")</f>
        <v>Asesoría Certificación Edificio Sustentable Hospital Simulación Clínica UCT</v>
      </c>
      <c r="W233" s="495" t="str">
        <f>IFERROR(__xludf.DUMMYFUNCTION("""COMPUTED_VALUE"""),"Activación del proceso de Pre-certificación. Envío de documentos a la Entidad Evaluadora CES para obtener Pre-Certificación. Posteriormente, se activará Certificación.")</f>
        <v>Activación del proceso de Pre-certificación. Envío de documentos a la Entidad Evaluadora CES para obtener Pre-Certificación. Posteriormente, se activará Certificación.</v>
      </c>
      <c r="X233" s="499" t="str">
        <f>IFERROR(__xludf.DUMMYFUNCTION("""COMPUTED_VALUE"""),"https://drive.google.com/open?id=1Sn5HrsTzaw-UKjlnF3EyhFB9-k76musr")</f>
        <v>https://drive.google.com/open?id=1Sn5HrsTzaw-UKjlnF3EyhFB9-k76musr</v>
      </c>
      <c r="Y233" s="495" t="str">
        <f>IFERROR(__xludf.DUMMYFUNCTION("""COMPUTED_VALUE"""),"mauricio@88limitada.cl")</f>
        <v>mauricio@88limitada.cl</v>
      </c>
      <c r="Z233" s="495"/>
      <c r="AA233" s="495"/>
      <c r="AB233" s="495"/>
      <c r="AC233" s="495"/>
      <c r="AD233" s="495"/>
    </row>
    <row r="234">
      <c r="A234" s="495" t="str">
        <f t="shared" si="1"/>
        <v/>
      </c>
      <c r="B234" s="497">
        <f>IFERROR(__xludf.DUMMYFUNCTION("""COMPUTED_VALUE"""),46030.81109829861)</f>
        <v>46030.8111</v>
      </c>
      <c r="C234" s="495" t="str">
        <f>IFERROR(__xludf.DUMMYFUNCTION("""COMPUTED_VALUE"""),"")</f>
        <v/>
      </c>
      <c r="D234" s="495" t="str">
        <f>IFERROR(__xludf.DUMMYFUNCTION("""COMPUTED_VALUE"""),"Cristóbal Correa del Río")</f>
        <v>Cristóbal Correa del Río</v>
      </c>
      <c r="E234" s="495"/>
      <c r="F234" s="496" t="str">
        <f>IFERROR(__xludf.DUMMYFUNCTION("""COMPUTED_VALUE"""),"1155 - 2023")</f>
        <v>1155 - 2023</v>
      </c>
      <c r="G234" s="495"/>
      <c r="H234" s="495"/>
      <c r="I234" s="495"/>
      <c r="J234" s="495" t="str">
        <f>IFERROR(__xludf.DUMMYFUNCTION("""COMPUTED_VALUE"""),"Campus San Francisco - CSF")</f>
        <v>Campus San Francisco - CSF</v>
      </c>
      <c r="K234" s="495" t="str">
        <f>IFERROR(__xludf.DUMMYFUNCTION("""COMPUTED_VALUE"""),"Sin número")</f>
        <v>Sin número</v>
      </c>
      <c r="L234" s="495" t="str">
        <f>IFERROR(__xludf.DUMMYFUNCTION("""COMPUTED_VALUE"""),"88 Arquitectos Limitada")</f>
        <v>88 Arquitectos Limitada</v>
      </c>
      <c r="M234" s="495" t="str">
        <f>IFERROR(__xludf.DUMMYFUNCTION("""COMPUTED_VALUE"""),"76.108.094-6")</f>
        <v>76.108.094-6</v>
      </c>
      <c r="N234" s="495" t="str">
        <f>IFERROR(__xludf.DUMMYFUNCTION("""COMPUTED_VALUE"""),"Mauricio Ramírez Molina / Socio")</f>
        <v>Mauricio Ramírez Molina / Socio</v>
      </c>
      <c r="O234" s="495" t="str">
        <f>IFERROR(__xludf.DUMMYFUNCTION("""COMPUTED_VALUE"""),"Obras y Especialidades")</f>
        <v>Obras y Especialidades</v>
      </c>
      <c r="P234" s="495"/>
      <c r="Q234" s="495"/>
      <c r="R234" s="495" t="str">
        <f>IFERROR(__xludf.DUMMYFUNCTION("""COMPUTED_VALUE"""),"Especialidades")</f>
        <v>Especialidades</v>
      </c>
      <c r="S234" s="495" t="str">
        <f>IFERROR(__xludf.DUMMYFUNCTION("""COMPUTED_VALUE"""),"Estado de Pago - EP")</f>
        <v>Estado de Pago - EP</v>
      </c>
      <c r="T234" s="495">
        <f>IFERROR(__xludf.DUMMYFUNCTION("""COMPUTED_VALUE"""),2.0)</f>
        <v>2</v>
      </c>
      <c r="U234" s="498">
        <f>IFERROR(__xludf.DUMMYFUNCTION("""COMPUTED_VALUE"""),5443815.0)</f>
        <v>5443815</v>
      </c>
      <c r="V234" s="495" t="str">
        <f>IFERROR(__xludf.DUMMYFUNCTION("""COMPUTED_VALUE"""),"Asesoría Certificación Edificio Sustentable Edificio Pabellón DocenteUCT")</f>
        <v>Asesoría Certificación Edificio Sustentable Edificio Pabellón DocenteUCT</v>
      </c>
      <c r="W234" s="495" t="str">
        <f>IFERROR(__xludf.DUMMYFUNCTION("""COMPUTED_VALUE"""),"Activación del proceso de Pre-certificación. Envío de documentos a la Entidad Evaluadora CES para obtener Pre-Certificación. Posteriormente, se activará Certificación.")</f>
        <v>Activación del proceso de Pre-certificación. Envío de documentos a la Entidad Evaluadora CES para obtener Pre-Certificación. Posteriormente, se activará Certificación.</v>
      </c>
      <c r="X234" s="499" t="str">
        <f>IFERROR(__xludf.DUMMYFUNCTION("""COMPUTED_VALUE"""),"https://drive.google.com/open?id=1Ss-f3ELq-QrHKyx56VGrKAPpH9gyU0vy")</f>
        <v>https://drive.google.com/open?id=1Ss-f3ELq-QrHKyx56VGrKAPpH9gyU0vy</v>
      </c>
      <c r="Y234" s="495" t="str">
        <f>IFERROR(__xludf.DUMMYFUNCTION("""COMPUTED_VALUE"""),"mauricio@88limitada.cl")</f>
        <v>mauricio@88limitada.cl</v>
      </c>
      <c r="Z234" s="495"/>
      <c r="AA234" s="495"/>
      <c r="AB234" s="495"/>
      <c r="AC234" s="495"/>
      <c r="AD234" s="495"/>
    </row>
    <row r="235">
      <c r="A235" s="495" t="str">
        <f t="shared" si="1"/>
        <v>RC-103_26</v>
      </c>
      <c r="B235" s="497">
        <f>IFERROR(__xludf.DUMMYFUNCTION("""COMPUTED_VALUE"""),46132.63927209491)</f>
        <v>46132.63927</v>
      </c>
      <c r="C235" s="495" t="str">
        <f>IFERROR(__xludf.DUMMYFUNCTION("""COMPUTED_VALUE"""),"")</f>
        <v/>
      </c>
      <c r="D235" s="495" t="str">
        <f>IFERROR(__xludf.DUMMYFUNCTION("""COMPUTED_VALUE"""),"Carol Huenchual Chañilao")</f>
        <v>Carol Huenchual Chañilao</v>
      </c>
      <c r="E235" s="495"/>
      <c r="F235" s="496" t="str">
        <f>IFERROR(__xludf.DUMMYFUNCTION("""COMPUTED_VALUE"""),"1594 - 2026")</f>
        <v>1594 - 2026</v>
      </c>
      <c r="G235" s="495"/>
      <c r="H235" s="495"/>
      <c r="I235" s="495"/>
      <c r="J235" s="495" t="str">
        <f>IFERROR(__xludf.DUMMYFUNCTION("""COMPUTED_VALUE"""),"Campus San Francisco - CSF")</f>
        <v>Campus San Francisco - CSF</v>
      </c>
      <c r="K235" s="495" t="str">
        <f>IFERROR(__xludf.DUMMYFUNCTION("""COMPUTED_VALUE"""),"Exterior")</f>
        <v>Exterior</v>
      </c>
      <c r="L235" s="495" t="str">
        <f>IFERROR(__xludf.DUMMYFUNCTION("""COMPUTED_VALUE"""),"RIOL MOISES BASCUR JARA")</f>
        <v>RIOL MOISES BASCUR JARA</v>
      </c>
      <c r="M235" s="495" t="str">
        <f>IFERROR(__xludf.DUMMYFUNCTION("""COMPUTED_VALUE"""),"11.811.450-7")</f>
        <v>11.811.450-7</v>
      </c>
      <c r="N235" s="495" t="str">
        <f>IFERROR(__xludf.DUMMYFUNCTION("""COMPUTED_VALUE"""),"RIOL MOISES BASCUR JARA")</f>
        <v>RIOL MOISES BASCUR JARA</v>
      </c>
      <c r="O235" s="495" t="str">
        <f>IFERROR(__xludf.DUMMYFUNCTION("""COMPUTED_VALUE"""),"Mantenciones")</f>
        <v>Mantenciones</v>
      </c>
      <c r="P235" s="495" t="str">
        <f>IFERROR(__xludf.DUMMYFUNCTION("""COMPUTED_VALUE"""),"Alcantarillado")</f>
        <v>Alcantarillado</v>
      </c>
      <c r="Q235" s="495"/>
      <c r="R235" s="495"/>
      <c r="S235" s="495"/>
      <c r="T235" s="495"/>
      <c r="U235" s="495"/>
      <c r="V235" s="495" t="str">
        <f>IFERROR(__xludf.DUMMYFUNCTION("""COMPUTED_VALUE"""),"LIMPIEZA DE FOSAS DE GRASA Y CAMARAS DE REGISTRO ? CAMPUS SAN JUAN PABLO II, SEGUN COTIZACION NRO. 110326.")</f>
        <v>LIMPIEZA DE FOSAS DE GRASA Y CAMARAS DE REGISTRO ? CAMPUS SAN JUAN PABLO II, SEGUN COTIZACION NRO. 110326.</v>
      </c>
      <c r="W235" s="495" t="str">
        <f>IFERROR(__xludf.DUMMYFUNCTION("""COMPUTED_VALUE"""),"Ninguna")</f>
        <v>Ninguna</v>
      </c>
      <c r="X235" s="499" t="str">
        <f>IFERROR(__xludf.DUMMYFUNCTION("""COMPUTED_VALUE"""),"https://drive.google.com/open?id=1KT8Dq_vFpb0EpJZdwwOBhH_HF1NxpRxH")</f>
        <v>https://drive.google.com/open?id=1KT8Dq_vFpb0EpJZdwwOBhH_HF1NxpRxH</v>
      </c>
      <c r="Y235" s="495" t="str">
        <f>IFERROR(__xludf.DUMMYFUNCTION("""COMPUTED_VALUE"""),"chuenchual@uct.cl")</f>
        <v>chuenchual@uct.cl</v>
      </c>
      <c r="Z235" s="498">
        <f>IFERROR(__xludf.DUMMYFUNCTION("""COMPUTED_VALUE"""),654500.0)</f>
        <v>654500</v>
      </c>
      <c r="AA235" s="495"/>
      <c r="AB235" s="495"/>
      <c r="AC235" s="495"/>
      <c r="AD235" s="495" t="str">
        <f>IFERROR(__xludf.DUMMYFUNCTION("""COMPUTED_VALUE"""),"RC-103_26")</f>
        <v>RC-103_26</v>
      </c>
    </row>
    <row r="236">
      <c r="A236" s="495" t="str">
        <f t="shared" si="1"/>
        <v>RC-102_26</v>
      </c>
      <c r="B236" s="497">
        <f>IFERROR(__xludf.DUMMYFUNCTION("""COMPUTED_VALUE"""),46132.63342387731)</f>
        <v>46132.63342</v>
      </c>
      <c r="C236" s="495" t="str">
        <f>IFERROR(__xludf.DUMMYFUNCTION("""COMPUTED_VALUE"""),"")</f>
        <v/>
      </c>
      <c r="D236" s="495" t="str">
        <f>IFERROR(__xludf.DUMMYFUNCTION("""COMPUTED_VALUE"""),"Carol Huenchual Chañilao")</f>
        <v>Carol Huenchual Chañilao</v>
      </c>
      <c r="E236" s="495"/>
      <c r="F236" s="496" t="str">
        <f>IFERROR(__xludf.DUMMYFUNCTION("""COMPUTED_VALUE"""),"1593 - 2026")</f>
        <v>1593 - 2026</v>
      </c>
      <c r="G236" s="495"/>
      <c r="H236" s="495"/>
      <c r="I236" s="495"/>
      <c r="J236" s="495" t="str">
        <f>IFERROR(__xludf.DUMMYFUNCTION("""COMPUTED_VALUE"""),"Campus San Francisco - CSF")</f>
        <v>Campus San Francisco - CSF</v>
      </c>
      <c r="K236" s="495" t="str">
        <f>IFERROR(__xludf.DUMMYFUNCTION("""COMPUTED_VALUE"""),"Exterior")</f>
        <v>Exterior</v>
      </c>
      <c r="L236" s="495" t="str">
        <f>IFERROR(__xludf.DUMMYFUNCTION("""COMPUTED_VALUE"""),"RIOL MOISES BASCUR JARA")</f>
        <v>RIOL MOISES BASCUR JARA</v>
      </c>
      <c r="M236" s="495" t="str">
        <f>IFERROR(__xludf.DUMMYFUNCTION("""COMPUTED_VALUE"""),"11.811.450-7")</f>
        <v>11.811.450-7</v>
      </c>
      <c r="N236" s="495" t="str">
        <f>IFERROR(__xludf.DUMMYFUNCTION("""COMPUTED_VALUE"""),"RIOL MOISES BASCUR JARA")</f>
        <v>RIOL MOISES BASCUR JARA</v>
      </c>
      <c r="O236" s="495" t="str">
        <f>IFERROR(__xludf.DUMMYFUNCTION("""COMPUTED_VALUE"""),"Mantenciones")</f>
        <v>Mantenciones</v>
      </c>
      <c r="P236" s="495" t="str">
        <f>IFERROR(__xludf.DUMMYFUNCTION("""COMPUTED_VALUE"""),"Alcantarillado")</f>
        <v>Alcantarillado</v>
      </c>
      <c r="Q236" s="495"/>
      <c r="R236" s="495"/>
      <c r="S236" s="495"/>
      <c r="T236" s="495"/>
      <c r="U236" s="495"/>
      <c r="V236" s="495" t="str">
        <f>IFERROR(__xludf.DUMMYFUNCTION("""COMPUTED_VALUE"""),"LIMPIEZA DE FOSAS DE GRASA Y CAMARAS DE REGISTRO - CAMPUS SAN FRANCISCO, SEGUN COTIZACION NRO. 110326.")</f>
        <v>LIMPIEZA DE FOSAS DE GRASA Y CAMARAS DE REGISTRO - CAMPUS SAN FRANCISCO, SEGUN COTIZACION NRO. 110326.</v>
      </c>
      <c r="W236" s="495" t="str">
        <f>IFERROR(__xludf.DUMMYFUNCTION("""COMPUTED_VALUE"""),"Ninguna ")</f>
        <v>Ninguna </v>
      </c>
      <c r="X236" s="499" t="str">
        <f>IFERROR(__xludf.DUMMYFUNCTION("""COMPUTED_VALUE"""),"https://drive.google.com/open?id=1LYTvHg03419ofYJncTd6Ol8ZvU0r7Vuh")</f>
        <v>https://drive.google.com/open?id=1LYTvHg03419ofYJncTd6Ol8ZvU0r7Vuh</v>
      </c>
      <c r="Y236" s="495" t="str">
        <f>IFERROR(__xludf.DUMMYFUNCTION("""COMPUTED_VALUE"""),"chuenchual@uct.cl")</f>
        <v>chuenchual@uct.cl</v>
      </c>
      <c r="Z236" s="498">
        <f>IFERROR(__xludf.DUMMYFUNCTION("""COMPUTED_VALUE"""),654500.0)</f>
        <v>654500</v>
      </c>
      <c r="AA236" s="495"/>
      <c r="AB236" s="495"/>
      <c r="AC236" s="495"/>
      <c r="AD236" s="495" t="str">
        <f>IFERROR(__xludf.DUMMYFUNCTION("""COMPUTED_VALUE"""),"RC-102_26")</f>
        <v>RC-102_26</v>
      </c>
    </row>
    <row r="237">
      <c r="A237" s="495" t="str">
        <f t="shared" si="1"/>
        <v/>
      </c>
      <c r="B237" s="497">
        <f>IFERROR(__xludf.DUMMYFUNCTION("""COMPUTED_VALUE"""),46031.458978333336)</f>
        <v>46031.45898</v>
      </c>
      <c r="C237" s="495" t="str">
        <f>IFERROR(__xludf.DUMMYFUNCTION("""COMPUTED_VALUE"""),"")</f>
        <v/>
      </c>
      <c r="D237" s="495" t="str">
        <f>IFERROR(__xludf.DUMMYFUNCTION("""COMPUTED_VALUE"""),"Juan Ignacio Solís de Ovando")</f>
        <v>Juan Ignacio Solís de Ovando</v>
      </c>
      <c r="E237" s="495"/>
      <c r="F237" s="496" t="str">
        <f>IFERROR(__xludf.DUMMYFUNCTION("""COMPUTED_VALUE"""),"11202-2025")</f>
        <v>11202-2025</v>
      </c>
      <c r="G237" s="495"/>
      <c r="H237" s="495"/>
      <c r="I237" s="495"/>
      <c r="J237" s="495" t="str">
        <f>IFERROR(__xludf.DUMMYFUNCTION("""COMPUTED_VALUE"""),"Campus Dr. Luis Rivas del Canto - CRC")</f>
        <v>Campus Dr. Luis Rivas del Canto - CRC</v>
      </c>
      <c r="K237" s="495" t="str">
        <f>IFERROR(__xludf.DUMMYFUNCTION("""COMPUTED_VALUE"""),"Exterior")</f>
        <v>Exterior</v>
      </c>
      <c r="L237" s="495" t="str">
        <f>IFERROR(__xludf.DUMMYFUNCTION("""COMPUTED_VALUE""")," CONSTRUCTORA ALPLAS SPA")</f>
        <v> CONSTRUCTORA ALPLAS SPA</v>
      </c>
      <c r="M237" s="495" t="str">
        <f>IFERROR(__xludf.DUMMYFUNCTION("""COMPUTED_VALUE"""),"77.190.049-6")</f>
        <v>77.190.049-6</v>
      </c>
      <c r="N237" s="495" t="str">
        <f>IFERROR(__xludf.DUMMYFUNCTION("""COMPUTED_VALUE"""),"camila obando jefe obra")</f>
        <v>camila obando jefe obra</v>
      </c>
      <c r="O237" s="495" t="str">
        <f>IFERROR(__xludf.DUMMYFUNCTION("""COMPUTED_VALUE"""),"Obras y Especialidades")</f>
        <v>Obras y Especialidades</v>
      </c>
      <c r="P237" s="495"/>
      <c r="Q237" s="495"/>
      <c r="R237" s="495" t="str">
        <f>IFERROR(__xludf.DUMMYFUNCTION("""COMPUTED_VALUE"""),"Remodelación")</f>
        <v>Remodelación</v>
      </c>
      <c r="S237" s="495" t="str">
        <f>IFERROR(__xludf.DUMMYFUNCTION("""COMPUTED_VALUE"""),"Estado de Pago - EP")</f>
        <v>Estado de Pago - EP</v>
      </c>
      <c r="T237" s="495">
        <f>IFERROR(__xludf.DUMMYFUNCTION("""COMPUTED_VALUE"""),1.0)</f>
        <v>1</v>
      </c>
      <c r="U237" s="498">
        <f>IFERROR(__xludf.DUMMYFUNCTION("""COMPUTED_VALUE"""),8367942.0)</f>
        <v>8367942</v>
      </c>
      <c r="V237" s="495" t="str">
        <f>IFERROR(__xludf.DUMMYFUNCTION("""COMPUTED_VALUE"""),"Recambio de Artefactos sanitarios campus Luis Rivas del Canto")</f>
        <v>Recambio de Artefactos sanitarios campus Luis Rivas del Canto</v>
      </c>
      <c r="W237" s="495"/>
      <c r="X237" s="499" t="str">
        <f>IFERROR(__xludf.DUMMYFUNCTION("""COMPUTED_VALUE"""),"https://drive.google.com/open?id=19kOVmbMVYYAhWfngp5DKE772ETa7njCJ")</f>
        <v>https://drive.google.com/open?id=19kOVmbMVYYAhWfngp5DKE772ETa7njCJ</v>
      </c>
      <c r="Y237" s="495" t="str">
        <f>IFERROR(__xludf.DUMMYFUNCTION("""COMPUTED_VALUE"""),"ventas@alplas.cl")</f>
        <v>ventas@alplas.cl</v>
      </c>
      <c r="Z237" s="495"/>
      <c r="AA237" s="495"/>
      <c r="AB237" s="495"/>
      <c r="AC237" s="495"/>
      <c r="AD237" s="495"/>
    </row>
    <row r="238">
      <c r="A238" s="495" t="str">
        <f t="shared" si="1"/>
        <v/>
      </c>
      <c r="B238" s="497">
        <f>IFERROR(__xludf.DUMMYFUNCTION("""COMPUTED_VALUE"""),46031.49943841435)</f>
        <v>46031.49944</v>
      </c>
      <c r="C238" s="495" t="str">
        <f>IFERROR(__xludf.DUMMYFUNCTION("""COMPUTED_VALUE"""),"")</f>
        <v/>
      </c>
      <c r="D238" s="495" t="str">
        <f>IFERROR(__xludf.DUMMYFUNCTION("""COMPUTED_VALUE"""),"Juan Ignacio Solís de Ovando")</f>
        <v>Juan Ignacio Solís de Ovando</v>
      </c>
      <c r="E238" s="495"/>
      <c r="F238" s="496" t="str">
        <f>IFERROR(__xludf.DUMMYFUNCTION("""COMPUTED_VALUE"""),"8022-2024")</f>
        <v>8022-2024</v>
      </c>
      <c r="G238" s="495"/>
      <c r="H238" s="495"/>
      <c r="I238" s="495"/>
      <c r="J238" s="495" t="str">
        <f>IFERROR(__xludf.DUMMYFUNCTION("""COMPUTED_VALUE"""),"Campus Dr. Luis Rivas del Canto - CRC")</f>
        <v>Campus Dr. Luis Rivas del Canto - CRC</v>
      </c>
      <c r="K238" s="495" t="str">
        <f>IFERROR(__xludf.DUMMYFUNCTION("""COMPUTED_VALUE"""),"Sin número")</f>
        <v>Sin número</v>
      </c>
      <c r="L238" s="495" t="str">
        <f>IFERROR(__xludf.DUMMYFUNCTION("""COMPUTED_VALUE"""),"LUIS SAEZ ALLENDES INGENIERIA Y CONSTRUCCION E.I.R.L.")</f>
        <v>LUIS SAEZ ALLENDES INGENIERIA Y CONSTRUCCION E.I.R.L.</v>
      </c>
      <c r="M238" s="495" t="str">
        <f>IFERROR(__xludf.DUMMYFUNCTION("""COMPUTED_VALUE"""),"76.219.281-0")</f>
        <v>76.219.281-0</v>
      </c>
      <c r="N238" s="495" t="str">
        <f>IFERROR(__xludf.DUMMYFUNCTION("""COMPUTED_VALUE"""),"CLAUDIA SANZANA")</f>
        <v>CLAUDIA SANZANA</v>
      </c>
      <c r="O238" s="495" t="str">
        <f>IFERROR(__xludf.DUMMYFUNCTION("""COMPUTED_VALUE"""),"Obras y Especialidades")</f>
        <v>Obras y Especialidades</v>
      </c>
      <c r="P238" s="495"/>
      <c r="Q238" s="495"/>
      <c r="R238" s="495" t="str">
        <f>IFERROR(__xludf.DUMMYFUNCTION("""COMPUTED_VALUE"""),"Nuevo Edificio")</f>
        <v>Nuevo Edificio</v>
      </c>
      <c r="S238" s="495" t="str">
        <f>IFERROR(__xludf.DUMMYFUNCTION("""COMPUTED_VALUE"""),"Estado de Pago - EP")</f>
        <v>Estado de Pago - EP</v>
      </c>
      <c r="T238" s="495">
        <f>IFERROR(__xludf.DUMMYFUNCTION("""COMPUTED_VALUE"""),18.0)</f>
        <v>18</v>
      </c>
      <c r="U238" s="498">
        <f>IFERROR(__xludf.DUMMYFUNCTION("""COMPUTED_VALUE"""),2.14827912E8)</f>
        <v>214827912</v>
      </c>
      <c r="V238" s="495" t="str">
        <f>IFERROR(__xludf.DUMMYFUNCTION("""COMPUTED_VALUE"""),"AVANCE DE CONSTRUCCION DE EDIFICIO")</f>
        <v>AVANCE DE CONSTRUCCION DE EDIFICIO</v>
      </c>
      <c r="W238" s="495"/>
      <c r="X238" s="495" t="str">
        <f>IFERROR(__xludf.DUMMYFUNCTION("""COMPUTED_VALUE"""),"https://drive.google.com/open?id=1ysetNk7Q95Kez7v5l8F9LsSmLrCLH5ip, https://drive.google.com/open?id=1Ox7we4aWbJv9WrSBtFgdPXDFvn293B7f, https://drive.google.com/open?id=1PTNMbsqJZHGkkQRPoogW4JMsgP-UeBzy, https://drive.google.com/open?id=1o2qrCSDxhYPZ8Yixl"&amp;"g_n1Er00kaoDBQC, https://drive.google.com/open?id=1gdyBWIFQzMv9q37mbwzDJSx8xO9GWK5S")</f>
        <v>https://drive.google.com/open?id=1ysetNk7Q95Kez7v5l8F9LsSmLrCLH5ip, https://drive.google.com/open?id=1Ox7we4aWbJv9WrSBtFgdPXDFvn293B7f, https://drive.google.com/open?id=1PTNMbsqJZHGkkQRPoogW4JMsgP-UeBzy, https://drive.google.com/open?id=1o2qrCSDxhYPZ8Yixlg_n1Er00kaoDBQC, https://drive.google.com/open?id=1gdyBWIFQzMv9q37mbwzDJSx8xO9GWK5S</v>
      </c>
      <c r="Y238" s="495" t="str">
        <f>IFERROR(__xludf.DUMMYFUNCTION("""COMPUTED_VALUE"""),"claudiasanzana@Lsaingenieria.cl")</f>
        <v>claudiasanzana@Lsaingenieria.cl</v>
      </c>
      <c r="Z238" s="495"/>
      <c r="AA238" s="495"/>
      <c r="AB238" s="495"/>
      <c r="AC238" s="495"/>
      <c r="AD238" s="495"/>
    </row>
    <row r="239">
      <c r="A239" s="495" t="str">
        <f t="shared" si="1"/>
        <v/>
      </c>
      <c r="B239" s="497">
        <f>IFERROR(__xludf.DUMMYFUNCTION("""COMPUTED_VALUE"""),46031.51046207176)</f>
        <v>46031.51046</v>
      </c>
      <c r="C239" s="495" t="str">
        <f>IFERROR(__xludf.DUMMYFUNCTION("""COMPUTED_VALUE"""),"")</f>
        <v/>
      </c>
      <c r="D239" s="495" t="str">
        <f>IFERROR(__xludf.DUMMYFUNCTION("""COMPUTED_VALUE"""),"Juan Ignacio Solís de Ovando")</f>
        <v>Juan Ignacio Solís de Ovando</v>
      </c>
      <c r="E239" s="495"/>
      <c r="F239" s="496" t="str">
        <f>IFERROR(__xludf.DUMMYFUNCTION("""COMPUTED_VALUE"""),"66-2026")</f>
        <v>66-2026</v>
      </c>
      <c r="G239" s="495"/>
      <c r="H239" s="495"/>
      <c r="I239" s="495"/>
      <c r="J239" s="495" t="str">
        <f>IFERROR(__xludf.DUMMYFUNCTION("""COMPUTED_VALUE"""),"Campus Dr. Luis Rivas del Canto - CRC")</f>
        <v>Campus Dr. Luis Rivas del Canto - CRC</v>
      </c>
      <c r="K239" s="495" t="str">
        <f>IFERROR(__xludf.DUMMYFUNCTION("""COMPUTED_VALUE"""),"Sin número")</f>
        <v>Sin número</v>
      </c>
      <c r="L239" s="495" t="str">
        <f>IFERROR(__xludf.DUMMYFUNCTION("""COMPUTED_VALUE"""),"LUIS SAEZ ALLENDES INGENIERIA Y CONSTRUCCION E.I.R.L.")</f>
        <v>LUIS SAEZ ALLENDES INGENIERIA Y CONSTRUCCION E.I.R.L.</v>
      </c>
      <c r="M239" s="495" t="str">
        <f>IFERROR(__xludf.DUMMYFUNCTION("""COMPUTED_VALUE"""),"76.219.281-0")</f>
        <v>76.219.281-0</v>
      </c>
      <c r="N239" s="495" t="str">
        <f>IFERROR(__xludf.DUMMYFUNCTION("""COMPUTED_VALUE"""),"CLAUDIA SANZANA")</f>
        <v>CLAUDIA SANZANA</v>
      </c>
      <c r="O239" s="495" t="str">
        <f>IFERROR(__xludf.DUMMYFUNCTION("""COMPUTED_VALUE"""),"Obras y Especialidades")</f>
        <v>Obras y Especialidades</v>
      </c>
      <c r="P239" s="495"/>
      <c r="Q239" s="495"/>
      <c r="R239" s="495" t="str">
        <f>IFERROR(__xludf.DUMMYFUNCTION("""COMPUTED_VALUE"""),"Nuevo Edificio")</f>
        <v>Nuevo Edificio</v>
      </c>
      <c r="S239" s="495" t="str">
        <f>IFERROR(__xludf.DUMMYFUNCTION("""COMPUTED_VALUE"""),"Estado de Pago - EP")</f>
        <v>Estado de Pago - EP</v>
      </c>
      <c r="T239" s="495">
        <f>IFERROR(__xludf.DUMMYFUNCTION("""COMPUTED_VALUE"""),1.0)</f>
        <v>1</v>
      </c>
      <c r="U239" s="498">
        <f>IFERROR(__xludf.DUMMYFUNCTION("""COMPUTED_VALUE"""),1.86646382E8)</f>
        <v>186646382</v>
      </c>
      <c r="V239" s="495" t="str">
        <f>IFERROR(__xludf.DUMMYFUNCTION("""COMPUTED_VALUE"""),"AVANCE DE TRABAJOS DE CAMBIOS DETALLADOS EN ADICIONAL N°2")</f>
        <v>AVANCE DE TRABAJOS DE CAMBIOS DETALLADOS EN ADICIONAL N°2</v>
      </c>
      <c r="W239" s="495"/>
      <c r="X239" s="495" t="str">
        <f>IFERROR(__xludf.DUMMYFUNCTION("""COMPUTED_VALUE"""),"https://drive.google.com/open?id=1id1yJfqGJT47IA-Yim_5XFX1QJym1iVZ, https://drive.google.com/open?id=1bUnDqKny9V2LFkNMAABByeZBcsjHuhm7, https://drive.google.com/open?id=1mkYkzqckNaPtfAwYF3h0TG2p5cu5Hpln, https://drive.google.com/open?id=169rMHXiYvNXTHz2Ct"&amp;"0amcNNQJ8SbIKJL, https://drive.google.com/open?id=1ksZvBO8PSUt5zjBQgEgQFcAorNgNYLOu")</f>
        <v>https://drive.google.com/open?id=1id1yJfqGJT47IA-Yim_5XFX1QJym1iVZ, https://drive.google.com/open?id=1bUnDqKny9V2LFkNMAABByeZBcsjHuhm7, https://drive.google.com/open?id=1mkYkzqckNaPtfAwYF3h0TG2p5cu5Hpln, https://drive.google.com/open?id=169rMHXiYvNXTHz2Ct0amcNNQJ8SbIKJL, https://drive.google.com/open?id=1ksZvBO8PSUt5zjBQgEgQFcAorNgNYLOu</v>
      </c>
      <c r="Y239" s="495" t="str">
        <f>IFERROR(__xludf.DUMMYFUNCTION("""COMPUTED_VALUE"""),"claudiasanzana@Lsaingenieria.cl")</f>
        <v>claudiasanzana@Lsaingenieria.cl</v>
      </c>
      <c r="Z239" s="495"/>
      <c r="AA239" s="495"/>
      <c r="AB239" s="495"/>
      <c r="AC239" s="495"/>
      <c r="AD239" s="495"/>
    </row>
    <row r="240">
      <c r="A240" s="495" t="str">
        <f t="shared" si="1"/>
        <v/>
      </c>
      <c r="B240" s="497">
        <f>IFERROR(__xludf.DUMMYFUNCTION("""COMPUTED_VALUE"""),46031.51268274305)</f>
        <v>46031.51268</v>
      </c>
      <c r="C240" s="495" t="str">
        <f>IFERROR(__xludf.DUMMYFUNCTION("""COMPUTED_VALUE"""),"")</f>
        <v/>
      </c>
      <c r="D240" s="495" t="str">
        <f>IFERROR(__xludf.DUMMYFUNCTION("""COMPUTED_VALUE"""),"Juan Ignacio Solís de Ovando")</f>
        <v>Juan Ignacio Solís de Ovando</v>
      </c>
      <c r="E240" s="495"/>
      <c r="F240" s="496" t="str">
        <f>IFERROR(__xludf.DUMMYFUNCTION("""COMPUTED_VALUE"""),"66-2026")</f>
        <v>66-2026</v>
      </c>
      <c r="G240" s="495"/>
      <c r="H240" s="495"/>
      <c r="I240" s="495"/>
      <c r="J240" s="495" t="str">
        <f>IFERROR(__xludf.DUMMYFUNCTION("""COMPUTED_VALUE"""),"Campus Dr. Luis Rivas del Canto - CRC")</f>
        <v>Campus Dr. Luis Rivas del Canto - CRC</v>
      </c>
      <c r="K240" s="495" t="str">
        <f>IFERROR(__xludf.DUMMYFUNCTION("""COMPUTED_VALUE"""),"Sin número")</f>
        <v>Sin número</v>
      </c>
      <c r="L240" s="495" t="str">
        <f>IFERROR(__xludf.DUMMYFUNCTION("""COMPUTED_VALUE"""),"LUIS SAEZ ALLENDES INGENIERIA Y CONSTRUCCION E.I.R.L.")</f>
        <v>LUIS SAEZ ALLENDES INGENIERIA Y CONSTRUCCION E.I.R.L.</v>
      </c>
      <c r="M240" s="495" t="str">
        <f>IFERROR(__xludf.DUMMYFUNCTION("""COMPUTED_VALUE"""),"76.219.281-0")</f>
        <v>76.219.281-0</v>
      </c>
      <c r="N240" s="495" t="str">
        <f>IFERROR(__xludf.DUMMYFUNCTION("""COMPUTED_VALUE"""),"CLAUDIA SANZANA")</f>
        <v>CLAUDIA SANZANA</v>
      </c>
      <c r="O240" s="495" t="str">
        <f>IFERROR(__xludf.DUMMYFUNCTION("""COMPUTED_VALUE"""),"Obras y Especialidades")</f>
        <v>Obras y Especialidades</v>
      </c>
      <c r="P240" s="495"/>
      <c r="Q240" s="495"/>
      <c r="R240" s="495" t="str">
        <f>IFERROR(__xludf.DUMMYFUNCTION("""COMPUTED_VALUE"""),"Nuevo Edificio")</f>
        <v>Nuevo Edificio</v>
      </c>
      <c r="S240" s="495" t="str">
        <f>IFERROR(__xludf.DUMMYFUNCTION("""COMPUTED_VALUE"""),"Estado de Pago - EP")</f>
        <v>Estado de Pago - EP</v>
      </c>
      <c r="T240" s="495">
        <f>IFERROR(__xludf.DUMMYFUNCTION("""COMPUTED_VALUE"""),2.0)</f>
        <v>2</v>
      </c>
      <c r="U240" s="498">
        <f>IFERROR(__xludf.DUMMYFUNCTION("""COMPUTED_VALUE"""),1.18263881E8)</f>
        <v>118263881</v>
      </c>
      <c r="V240" s="495" t="str">
        <f>IFERROR(__xludf.DUMMYFUNCTION("""COMPUTED_VALUE"""),"AVANCE DE TRABAJOS DETALLADOS EN ADICIONAL N°2")</f>
        <v>AVANCE DE TRABAJOS DETALLADOS EN ADICIONAL N°2</v>
      </c>
      <c r="W240" s="495"/>
      <c r="X240" s="495" t="str">
        <f>IFERROR(__xludf.DUMMYFUNCTION("""COMPUTED_VALUE"""),"https://drive.google.com/open?id=1b6Hh8IKWD9iYbNwb_0tZBcx87LREljra, https://drive.google.com/open?id=1Ybhgf0NoiUmUj7IgP1d7n5B9sr2bgn4X, https://drive.google.com/open?id=17S6LhZmAJX5b8RS_V5XU474f4mSNm3KU, https://drive.google.com/open?id=1tMp7sItIB0ADZ-4Hv"&amp;"WURAZt0xm3sK5p8, https://drive.google.com/open?id=13zI_tP_n5fRrbQHZTI0XT_f77E_k5HHC")</f>
        <v>https://drive.google.com/open?id=1b6Hh8IKWD9iYbNwb_0tZBcx87LREljra, https://drive.google.com/open?id=1Ybhgf0NoiUmUj7IgP1d7n5B9sr2bgn4X, https://drive.google.com/open?id=17S6LhZmAJX5b8RS_V5XU474f4mSNm3KU, https://drive.google.com/open?id=1tMp7sItIB0ADZ-4HvWURAZt0xm3sK5p8, https://drive.google.com/open?id=13zI_tP_n5fRrbQHZTI0XT_f77E_k5HHC</v>
      </c>
      <c r="Y240" s="495" t="str">
        <f>IFERROR(__xludf.DUMMYFUNCTION("""COMPUTED_VALUE"""),"claudiasanzana@Lsaingenieria.cl")</f>
        <v>claudiasanzana@Lsaingenieria.cl</v>
      </c>
      <c r="Z240" s="495"/>
      <c r="AA240" s="495"/>
      <c r="AB240" s="495"/>
      <c r="AC240" s="495"/>
      <c r="AD240" s="495"/>
    </row>
    <row r="241">
      <c r="A241" s="495" t="str">
        <f t="shared" si="1"/>
        <v/>
      </c>
      <c r="B241" s="497">
        <f>IFERROR(__xludf.DUMMYFUNCTION("""COMPUTED_VALUE"""),46031.51440359953)</f>
        <v>46031.5144</v>
      </c>
      <c r="C241" s="495" t="str">
        <f>IFERROR(__xludf.DUMMYFUNCTION("""COMPUTED_VALUE"""),"")</f>
        <v/>
      </c>
      <c r="D241" s="495" t="str">
        <f>IFERROR(__xludf.DUMMYFUNCTION("""COMPUTED_VALUE"""),"Juan Ignacio Solís de Ovando")</f>
        <v>Juan Ignacio Solís de Ovando</v>
      </c>
      <c r="E241" s="495"/>
      <c r="F241" s="496" t="str">
        <f>IFERROR(__xludf.DUMMYFUNCTION("""COMPUTED_VALUE"""),"66-2026")</f>
        <v>66-2026</v>
      </c>
      <c r="G241" s="495"/>
      <c r="H241" s="495"/>
      <c r="I241" s="495"/>
      <c r="J241" s="495" t="str">
        <f>IFERROR(__xludf.DUMMYFUNCTION("""COMPUTED_VALUE"""),"Campus Dr. Luis Rivas del Canto - CRC")</f>
        <v>Campus Dr. Luis Rivas del Canto - CRC</v>
      </c>
      <c r="K241" s="495" t="str">
        <f>IFERROR(__xludf.DUMMYFUNCTION("""COMPUTED_VALUE"""),"Sin número")</f>
        <v>Sin número</v>
      </c>
      <c r="L241" s="495" t="str">
        <f>IFERROR(__xludf.DUMMYFUNCTION("""COMPUTED_VALUE"""),"LUIS SAEZ ALLENDES INGENIERIA Y CONSTRUCCION E.I.R.L.")</f>
        <v>LUIS SAEZ ALLENDES INGENIERIA Y CONSTRUCCION E.I.R.L.</v>
      </c>
      <c r="M241" s="495" t="str">
        <f>IFERROR(__xludf.DUMMYFUNCTION("""COMPUTED_VALUE"""),"76.219.281-0")</f>
        <v>76.219.281-0</v>
      </c>
      <c r="N241" s="495" t="str">
        <f>IFERROR(__xludf.DUMMYFUNCTION("""COMPUTED_VALUE"""),"CLAUDIA SANZANA")</f>
        <v>CLAUDIA SANZANA</v>
      </c>
      <c r="O241" s="495" t="str">
        <f>IFERROR(__xludf.DUMMYFUNCTION("""COMPUTED_VALUE"""),"Obras y Especialidades")</f>
        <v>Obras y Especialidades</v>
      </c>
      <c r="P241" s="495"/>
      <c r="Q241" s="495"/>
      <c r="R241" s="495" t="str">
        <f>IFERROR(__xludf.DUMMYFUNCTION("""COMPUTED_VALUE"""),"Nuevo Edificio")</f>
        <v>Nuevo Edificio</v>
      </c>
      <c r="S241" s="495" t="str">
        <f>IFERROR(__xludf.DUMMYFUNCTION("""COMPUTED_VALUE"""),"Estado de Pago - EP")</f>
        <v>Estado de Pago - EP</v>
      </c>
      <c r="T241" s="495">
        <f>IFERROR(__xludf.DUMMYFUNCTION("""COMPUTED_VALUE"""),3.0)</f>
        <v>3</v>
      </c>
      <c r="U241" s="498">
        <f>IFERROR(__xludf.DUMMYFUNCTION("""COMPUTED_VALUE"""),1.32505939E8)</f>
        <v>132505939</v>
      </c>
      <c r="V241" s="495" t="str">
        <f>IFERROR(__xludf.DUMMYFUNCTION("""COMPUTED_VALUE"""),"AVANCE DE TRABAJOS DETALLADOS EN PPTO ADICIONAL N°2")</f>
        <v>AVANCE DE TRABAJOS DETALLADOS EN PPTO ADICIONAL N°2</v>
      </c>
      <c r="W241" s="495"/>
      <c r="X241" s="495" t="str">
        <f>IFERROR(__xludf.DUMMYFUNCTION("""COMPUTED_VALUE"""),"https://drive.google.com/open?id=1ArHLYf8WHvYhvF52zlk9TarYGlTrV8XA, https://drive.google.com/open?id=1BH4P6jf6Ms3wL45RQfko4uJPTHL5g3sX, https://drive.google.com/open?id=1coIetf8FZzQFxNwOygumpqZ8a-rk44tU, https://drive.google.com/open?id=1ibrWKMWBbuElgchqg"&amp;"O2wX7zLV7pXKJod, https://drive.google.com/open?id=1_Y1f2X-wLBHZknztnmJFWf6YobNHqBSa")</f>
        <v>https://drive.google.com/open?id=1ArHLYf8WHvYhvF52zlk9TarYGlTrV8XA, https://drive.google.com/open?id=1BH4P6jf6Ms3wL45RQfko4uJPTHL5g3sX, https://drive.google.com/open?id=1coIetf8FZzQFxNwOygumpqZ8a-rk44tU, https://drive.google.com/open?id=1ibrWKMWBbuElgchqgO2wX7zLV7pXKJod, https://drive.google.com/open?id=1_Y1f2X-wLBHZknztnmJFWf6YobNHqBSa</v>
      </c>
      <c r="Y241" s="495" t="str">
        <f>IFERROR(__xludf.DUMMYFUNCTION("""COMPUTED_VALUE"""),"claudiasanzana@Lsaingenieria.cl")</f>
        <v>claudiasanzana@Lsaingenieria.cl</v>
      </c>
      <c r="Z241" s="495"/>
      <c r="AA241" s="495"/>
      <c r="AB241" s="495"/>
      <c r="AC241" s="495"/>
      <c r="AD241" s="495"/>
    </row>
    <row r="242">
      <c r="A242" s="495" t="str">
        <f t="shared" si="1"/>
        <v/>
      </c>
      <c r="B242" s="497">
        <f>IFERROR(__xludf.DUMMYFUNCTION("""COMPUTED_VALUE"""),46031.55210659722)</f>
        <v>46031.55211</v>
      </c>
      <c r="C242" s="495" t="str">
        <f>IFERROR(__xludf.DUMMYFUNCTION("""COMPUTED_VALUE"""),"")</f>
        <v/>
      </c>
      <c r="D242" s="495" t="str">
        <f>IFERROR(__xludf.DUMMYFUNCTION("""COMPUTED_VALUE"""),"Carol Huenchual Chañilao")</f>
        <v>Carol Huenchual Chañilao</v>
      </c>
      <c r="E242" s="495"/>
      <c r="F242" s="496" t="str">
        <f>IFERROR(__xludf.DUMMYFUNCTION("""COMPUTED_VALUE"""),"13179-2025")</f>
        <v>13179-2025</v>
      </c>
      <c r="G242" s="495"/>
      <c r="H242" s="495"/>
      <c r="I242" s="495"/>
      <c r="J242" s="495" t="str">
        <f>IFERROR(__xludf.DUMMYFUNCTION("""COMPUTED_VALUE"""),"Campus San Juan Pablo II - CJP")</f>
        <v>Campus San Juan Pablo II - CJP</v>
      </c>
      <c r="K242" s="495" t="str">
        <f>IFERROR(__xludf.DUMMYFUNCTION("""COMPUTED_VALUE"""),"07")</f>
        <v>07</v>
      </c>
      <c r="L242" s="495" t="str">
        <f>IFERROR(__xludf.DUMMYFUNCTION("""COMPUTED_VALUE"""),"Servicio de climatización Gustavo Espinoza eirl")</f>
        <v>Servicio de climatización Gustavo Espinoza eirl</v>
      </c>
      <c r="M242" s="495" t="str">
        <f>IFERROR(__xludf.DUMMYFUNCTION("""COMPUTED_VALUE"""),"77506311-4")</f>
        <v>77506311-4</v>
      </c>
      <c r="N242" s="495" t="str">
        <f>IFERROR(__xludf.DUMMYFUNCTION("""COMPUTED_VALUE"""),"Gustavo Espinoza tropa dueño empresa ")</f>
        <v>Gustavo Espinoza tropa dueño empresa </v>
      </c>
      <c r="O242" s="495" t="str">
        <f>IFERROR(__xludf.DUMMYFUNCTION("""COMPUTED_VALUE"""),"Obras y Especialidades")</f>
        <v>Obras y Especialidades</v>
      </c>
      <c r="P242" s="495"/>
      <c r="Q242" s="495"/>
      <c r="R242" s="495" t="str">
        <f>IFERROR(__xludf.DUMMYFUNCTION("""COMPUTED_VALUE"""),"Especialidades")</f>
        <v>Especialidades</v>
      </c>
      <c r="S242" s="495" t="str">
        <f>IFERROR(__xludf.DUMMYFUNCTION("""COMPUTED_VALUE"""),"Recepción de Obra - RC")</f>
        <v>Recepción de Obra - RC</v>
      </c>
      <c r="T242" s="495"/>
      <c r="U242" s="495"/>
      <c r="V242" s="495" t="str">
        <f>IFERROR(__xludf.DUMMYFUNCTION("""COMPUTED_VALUE"""),"Recambio 8 equipo aires acondicionado ")</f>
        <v>Recambio 8 equipo aires acondicionado </v>
      </c>
      <c r="W242" s="495" t="str">
        <f>IFERROR(__xludf.DUMMYFUNCTION("""COMPUTED_VALUE"""),"Mantenimiento cada 6 meses ")</f>
        <v>Mantenimiento cada 6 meses </v>
      </c>
      <c r="X242" s="495" t="str">
        <f>IFERROR(__xludf.DUMMYFUNCTION("""COMPUTED_VALUE"""),"https://drive.google.com/open?id=1hmHqJm81BkLm_d-LlHdpOlIUXOAllS-z, https://drive.google.com/open?id=1X5Yofxop8RHVj4XDhRNZDczhUtyfDQuE, https://drive.google.com/open?id=1gXO8PsBkVki8be9UkVVd8GmBeU_Av0eu, https://drive.google.com/open?id=1OsPhMyLH4QZYDgx7k"&amp;"oDz5btybt2CrkKw, https://drive.google.com/open?id=1j1Wua3aaP32LTTEJJo680Us90D17gYb4")</f>
        <v>https://drive.google.com/open?id=1hmHqJm81BkLm_d-LlHdpOlIUXOAllS-z, https://drive.google.com/open?id=1X5Yofxop8RHVj4XDhRNZDczhUtyfDQuE, https://drive.google.com/open?id=1gXO8PsBkVki8be9UkVVd8GmBeU_Av0eu, https://drive.google.com/open?id=1OsPhMyLH4QZYDgx7koDz5btybt2CrkKw, https://drive.google.com/open?id=1j1Wua3aaP32LTTEJJo680Us90D17gYb4</v>
      </c>
      <c r="Y242" s="495" t="str">
        <f>IFERROR(__xludf.DUMMYFUNCTION("""COMPUTED_VALUE"""),"realclima22@hotmail.com")</f>
        <v>realclima22@hotmail.com</v>
      </c>
      <c r="Z242" s="495"/>
      <c r="AA242" s="495"/>
      <c r="AB242" s="495"/>
      <c r="AC242" s="495"/>
      <c r="AD242" s="495"/>
    </row>
    <row r="243">
      <c r="A243" s="495" t="str">
        <f t="shared" si="1"/>
        <v/>
      </c>
      <c r="B243" s="497">
        <f>IFERROR(__xludf.DUMMYFUNCTION("""COMPUTED_VALUE"""),46034.403098333336)</f>
        <v>46034.4031</v>
      </c>
      <c r="C243" s="495" t="str">
        <f>IFERROR(__xludf.DUMMYFUNCTION("""COMPUTED_VALUE"""),"")</f>
        <v/>
      </c>
      <c r="D243" s="495" t="str">
        <f>IFERROR(__xludf.DUMMYFUNCTION("""COMPUTED_VALUE"""),"Juan Ignacio Solís de Ovando")</f>
        <v>Juan Ignacio Solís de Ovando</v>
      </c>
      <c r="E243" s="495"/>
      <c r="F243" s="496" t="str">
        <f>IFERROR(__xludf.DUMMYFUNCTION("""COMPUTED_VALUE"""),"122-2026")</f>
        <v>122-2026</v>
      </c>
      <c r="G243" s="495"/>
      <c r="H243" s="495"/>
      <c r="I243" s="495"/>
      <c r="J243" s="495" t="str">
        <f>IFERROR(__xludf.DUMMYFUNCTION("""COMPUTED_VALUE"""),"Campus Pillanlelbun - CPL")</f>
        <v>Campus Pillanlelbun - CPL</v>
      </c>
      <c r="K243" s="495" t="str">
        <f>IFERROR(__xludf.DUMMYFUNCTION("""COMPUTED_VALUE"""),"Exterior")</f>
        <v>Exterior</v>
      </c>
      <c r="L243" s="495" t="str">
        <f>IFERROR(__xludf.DUMMYFUNCTION("""COMPUTED_VALUE"""),"CONSTRUCTORA ALPLAS SPA")</f>
        <v>CONSTRUCTORA ALPLAS SPA</v>
      </c>
      <c r="M243" s="495" t="str">
        <f>IFERROR(__xludf.DUMMYFUNCTION("""COMPUTED_VALUE"""),"77.190.049-6")</f>
        <v>77.190.049-6</v>
      </c>
      <c r="N243" s="495" t="str">
        <f>IFERROR(__xludf.DUMMYFUNCTION("""COMPUTED_VALUE"""),"camila obando jefe obra")</f>
        <v>camila obando jefe obra</v>
      </c>
      <c r="O243" s="495" t="str">
        <f>IFERROR(__xludf.DUMMYFUNCTION("""COMPUTED_VALUE"""),"Obras y Especialidades")</f>
        <v>Obras y Especialidades</v>
      </c>
      <c r="P243" s="495"/>
      <c r="Q243" s="495"/>
      <c r="R243" s="495" t="str">
        <f>IFERROR(__xludf.DUMMYFUNCTION("""COMPUTED_VALUE"""),"Remodelación")</f>
        <v>Remodelación</v>
      </c>
      <c r="S243" s="495" t="str">
        <f>IFERROR(__xludf.DUMMYFUNCTION("""COMPUTED_VALUE"""),"Recepción de Obra - RC")</f>
        <v>Recepción de Obra - RC</v>
      </c>
      <c r="T243" s="495"/>
      <c r="U243" s="495"/>
      <c r="V243" s="495" t="str">
        <f>IFERROR(__xludf.DUMMYFUNCTION("""COMPUTED_VALUE"""),"REFUERZO ESTRUCTURAL PISO MODULO OVINOS PREDIO PILLANLELBUN")</f>
        <v>REFUERZO ESTRUCTURAL PISO MODULO OVINOS PREDIO PILLANLELBUN</v>
      </c>
      <c r="W243" s="495"/>
      <c r="X243" s="499" t="str">
        <f>IFERROR(__xludf.DUMMYFUNCTION("""COMPUTED_VALUE"""),"https://drive.google.com/open?id=1JDyOLZBSaZT41BiGKZ0Zy7JF5fjGqcfD")</f>
        <v>https://drive.google.com/open?id=1JDyOLZBSaZT41BiGKZ0Zy7JF5fjGqcfD</v>
      </c>
      <c r="Y243" s="495" t="str">
        <f>IFERROR(__xludf.DUMMYFUNCTION("""COMPUTED_VALUE"""),"ventas@alplas.cl")</f>
        <v>ventas@alplas.cl</v>
      </c>
      <c r="Z243" s="495"/>
      <c r="AA243" s="495"/>
      <c r="AB243" s="495"/>
      <c r="AC243" s="495"/>
      <c r="AD243" s="495"/>
    </row>
    <row r="244">
      <c r="A244" s="495" t="str">
        <f t="shared" si="1"/>
        <v/>
      </c>
      <c r="B244" s="497">
        <f>IFERROR(__xludf.DUMMYFUNCTION("""COMPUTED_VALUE"""),46034.40979225695)</f>
        <v>46034.40979</v>
      </c>
      <c r="C244" s="495" t="str">
        <f>IFERROR(__xludf.DUMMYFUNCTION("""COMPUTED_VALUE"""),"")</f>
        <v/>
      </c>
      <c r="D244" s="495" t="str">
        <f>IFERROR(__xludf.DUMMYFUNCTION("""COMPUTED_VALUE"""),"Juan Ignacio Solís de Ovando")</f>
        <v>Juan Ignacio Solís de Ovando</v>
      </c>
      <c r="E244" s="495"/>
      <c r="F244" s="496" t="str">
        <f>IFERROR(__xludf.DUMMYFUNCTION("""COMPUTED_VALUE"""),"122-2026")</f>
        <v>122-2026</v>
      </c>
      <c r="G244" s="495"/>
      <c r="H244" s="495"/>
      <c r="I244" s="495"/>
      <c r="J244" s="495" t="str">
        <f>IFERROR(__xludf.DUMMYFUNCTION("""COMPUTED_VALUE"""),"Campus Pillanlelbun - CPL")</f>
        <v>Campus Pillanlelbun - CPL</v>
      </c>
      <c r="K244" s="495" t="str">
        <f>IFERROR(__xludf.DUMMYFUNCTION("""COMPUTED_VALUE"""),"Exterior")</f>
        <v>Exterior</v>
      </c>
      <c r="L244" s="495" t="str">
        <f>IFERROR(__xludf.DUMMYFUNCTION("""COMPUTED_VALUE"""),"CONSTRUCTORA ALPLAS SPA")</f>
        <v>CONSTRUCTORA ALPLAS SPA</v>
      </c>
      <c r="M244" s="495" t="str">
        <f>IFERROR(__xludf.DUMMYFUNCTION("""COMPUTED_VALUE"""),"77.190.049-6 ")</f>
        <v>77.190.049-6 </v>
      </c>
      <c r="N244" s="495" t="str">
        <f>IFERROR(__xludf.DUMMYFUNCTION("""COMPUTED_VALUE"""),"camila obando jefe obra")</f>
        <v>camila obando jefe obra</v>
      </c>
      <c r="O244" s="495" t="str">
        <f>IFERROR(__xludf.DUMMYFUNCTION("""COMPUTED_VALUE"""),"Obras y Especialidades")</f>
        <v>Obras y Especialidades</v>
      </c>
      <c r="P244" s="495"/>
      <c r="Q244" s="495"/>
      <c r="R244" s="495" t="str">
        <f>IFERROR(__xludf.DUMMYFUNCTION("""COMPUTED_VALUE"""),"Exteriores")</f>
        <v>Exteriores</v>
      </c>
      <c r="S244" s="495" t="str">
        <f>IFERROR(__xludf.DUMMYFUNCTION("""COMPUTED_VALUE"""),"Estado de Pago - EP")</f>
        <v>Estado de Pago - EP</v>
      </c>
      <c r="T244" s="495">
        <f>IFERROR(__xludf.DUMMYFUNCTION("""COMPUTED_VALUE"""),1.0)</f>
        <v>1</v>
      </c>
      <c r="U244" s="498">
        <f>IFERROR(__xludf.DUMMYFUNCTION("""COMPUTED_VALUE"""),595678.0)</f>
        <v>595678</v>
      </c>
      <c r="V244" s="495" t="str">
        <f>IFERROR(__xludf.DUMMYFUNCTION("""COMPUTED_VALUE"""),"REFUERZO ESTRUCTURAL PISO MODULO
OVINOS PREDIO PILLANLELBUN")</f>
        <v>REFUERZO ESTRUCTURAL PISO MODULO
OVINOS PREDIO PILLANLELBUN</v>
      </c>
      <c r="W244" s="495"/>
      <c r="X244" s="499" t="str">
        <f>IFERROR(__xludf.DUMMYFUNCTION("""COMPUTED_VALUE"""),"https://drive.google.com/open?id=1Oh8MqLf62UsOGZ8sqvpac4UOQtCXTCXy")</f>
        <v>https://drive.google.com/open?id=1Oh8MqLf62UsOGZ8sqvpac4UOQtCXTCXy</v>
      </c>
      <c r="Y244" s="495" t="str">
        <f>IFERROR(__xludf.DUMMYFUNCTION("""COMPUTED_VALUE"""),"ventas@alplas.cl")</f>
        <v>ventas@alplas.cl</v>
      </c>
      <c r="Z244" s="495"/>
      <c r="AA244" s="495"/>
      <c r="AB244" s="495"/>
      <c r="AC244" s="495"/>
      <c r="AD244" s="495"/>
    </row>
    <row r="245">
      <c r="A245" s="495" t="str">
        <f t="shared" si="1"/>
        <v>RC-101_26</v>
      </c>
      <c r="B245" s="497">
        <f>IFERROR(__xludf.DUMMYFUNCTION("""COMPUTED_VALUE"""),46132.548584606484)</f>
        <v>46132.54858</v>
      </c>
      <c r="C245" s="495" t="str">
        <f>IFERROR(__xludf.DUMMYFUNCTION("""COMPUTED_VALUE"""),"")</f>
        <v/>
      </c>
      <c r="D245" s="495" t="str">
        <f>IFERROR(__xludf.DUMMYFUNCTION("""COMPUTED_VALUE"""),"Felipe Anselme Grandón")</f>
        <v>Felipe Anselme Grandón</v>
      </c>
      <c r="E245" s="495"/>
      <c r="F245" s="496" t="str">
        <f>IFERROR(__xludf.DUMMYFUNCTION("""COMPUTED_VALUE"""),"1872-2026")</f>
        <v>1872-2026</v>
      </c>
      <c r="G245" s="495"/>
      <c r="H245" s="495"/>
      <c r="I245" s="495"/>
      <c r="J245" s="495" t="str">
        <f>IFERROR(__xludf.DUMMYFUNCTION("""COMPUTED_VALUE"""),"Campus San Francisco - CSF")</f>
        <v>Campus San Francisco - CSF</v>
      </c>
      <c r="K245" s="495">
        <f>IFERROR(__xludf.DUMMYFUNCTION("""COMPUTED_VALUE"""),11.0)</f>
        <v>11</v>
      </c>
      <c r="L245" s="495" t="str">
        <f>IFERROR(__xludf.DUMMYFUNCTION("""COMPUTED_VALUE"""),"Alejandro Barría Mateluna ")</f>
        <v>Alejandro Barría Mateluna </v>
      </c>
      <c r="M245" s="495" t="str">
        <f>IFERROR(__xludf.DUMMYFUNCTION("""COMPUTED_VALUE"""),"11.662.472-9")</f>
        <v>11.662.472-9</v>
      </c>
      <c r="N245" s="495" t="str">
        <f>IFERROR(__xludf.DUMMYFUNCTION("""COMPUTED_VALUE"""),"Alejandro Barría ")</f>
        <v>Alejandro Barría </v>
      </c>
      <c r="O245" s="495" t="str">
        <f>IFERROR(__xludf.DUMMYFUNCTION("""COMPUTED_VALUE"""),"Mantenciones")</f>
        <v>Mantenciones</v>
      </c>
      <c r="P245" s="495" t="str">
        <f>IFERROR(__xludf.DUMMYFUNCTION("""COMPUTED_VALUE"""),"Cerramientos Verticales")</f>
        <v>Cerramientos Verticales</v>
      </c>
      <c r="Q245" s="495"/>
      <c r="R245" s="495"/>
      <c r="S245" s="495"/>
      <c r="T245" s="495"/>
      <c r="U245" s="495"/>
      <c r="V245" s="495" t="str">
        <f>IFERROR(__xludf.DUMMYFUNCTION("""COMPUTED_VALUE"""),"Mallas mosquetera desmontable puerta cocina. Casino")</f>
        <v>Mallas mosquetera desmontable puerta cocina. Casino</v>
      </c>
      <c r="W245" s="495"/>
      <c r="X245" s="495" t="str">
        <f>IFERROR(__xludf.DUMMYFUNCTION("""COMPUTED_VALUE"""),"https://drive.google.com/open?id=10Bz7lEiWQxWgwXP1vAP59Adv4XFX-E1F, https://drive.google.com/open?id=1_ywEwGUmLREjyYyRDdeHi1sYeme7rp4-, https://drive.google.com/open?id=10k9RIMPM3aK4hJ9e_u2RcaI6ZTffVttz")</f>
        <v>https://drive.google.com/open?id=10Bz7lEiWQxWgwXP1vAP59Adv4XFX-E1F, https://drive.google.com/open?id=1_ywEwGUmLREjyYyRDdeHi1sYeme7rp4-, https://drive.google.com/open?id=10k9RIMPM3aK4hJ9e_u2RcaI6ZTffVttz</v>
      </c>
      <c r="Y245" s="495" t="str">
        <f>IFERROR(__xludf.DUMMYFUNCTION("""COMPUTED_VALUE"""),"aabarriam@gmail.com")</f>
        <v>aabarriam@gmail.com</v>
      </c>
      <c r="Z245" s="498">
        <f>IFERROR(__xludf.DUMMYFUNCTION("""COMPUTED_VALUE"""),154700.0)</f>
        <v>154700</v>
      </c>
      <c r="AA245" s="495"/>
      <c r="AB245" s="495"/>
      <c r="AC245" s="495"/>
      <c r="AD245" s="495" t="str">
        <f>IFERROR(__xludf.DUMMYFUNCTION("""COMPUTED_VALUE"""),"RC-101_26")</f>
        <v>RC-101_26</v>
      </c>
    </row>
    <row r="246">
      <c r="A246" s="495" t="str">
        <f t="shared" si="1"/>
        <v>RC-098_26</v>
      </c>
      <c r="B246" s="497">
        <f>IFERROR(__xludf.DUMMYFUNCTION("""COMPUTED_VALUE"""),46129.61310717593)</f>
        <v>46129.61311</v>
      </c>
      <c r="C246" s="495" t="str">
        <f>IFERROR(__xludf.DUMMYFUNCTION("""COMPUTED_VALUE"""),"")</f>
        <v/>
      </c>
      <c r="D246" s="495" t="str">
        <f>IFERROR(__xludf.DUMMYFUNCTION("""COMPUTED_VALUE"""),"Felipe Anselme Grandón")</f>
        <v>Felipe Anselme Grandón</v>
      </c>
      <c r="E246" s="495"/>
      <c r="F246" s="496" t="str">
        <f>IFERROR(__xludf.DUMMYFUNCTION("""COMPUTED_VALUE"""),"1876-2026")</f>
        <v>1876-2026</v>
      </c>
      <c r="G246" s="495"/>
      <c r="H246" s="495"/>
      <c r="I246" s="495"/>
      <c r="J246" s="495" t="str">
        <f>IFERROR(__xludf.DUMMYFUNCTION("""COMPUTED_VALUE"""),"Campus San Juan Pablo II - CJP")</f>
        <v>Campus San Juan Pablo II - CJP</v>
      </c>
      <c r="K246" s="495" t="str">
        <f>IFERROR(__xludf.DUMMYFUNCTION("""COMPUTED_VALUE"""),"05")</f>
        <v>05</v>
      </c>
      <c r="L246" s="495" t="str">
        <f>IFERROR(__xludf.DUMMYFUNCTION("""COMPUTED_VALUE"""),"Alejandro Barría ")</f>
        <v>Alejandro Barría </v>
      </c>
      <c r="M246" s="495" t="str">
        <f>IFERROR(__xludf.DUMMYFUNCTION("""COMPUTED_VALUE"""),"11.662.472-9")</f>
        <v>11.662.472-9</v>
      </c>
      <c r="N246" s="495" t="str">
        <f>IFERROR(__xludf.DUMMYFUNCTION("""COMPUTED_VALUE"""),"Alejandro Barría ")</f>
        <v>Alejandro Barría </v>
      </c>
      <c r="O246" s="495" t="str">
        <f>IFERROR(__xludf.DUMMYFUNCTION("""COMPUTED_VALUE"""),"Mantenciones")</f>
        <v>Mantenciones</v>
      </c>
      <c r="P246" s="495" t="str">
        <f>IFERROR(__xludf.DUMMYFUNCTION("""COMPUTED_VALUE"""),"Cerramientos Verticales")</f>
        <v>Cerramientos Verticales</v>
      </c>
      <c r="Q246" s="495"/>
      <c r="R246" s="495"/>
      <c r="S246" s="495"/>
      <c r="T246" s="495"/>
      <c r="U246" s="495"/>
      <c r="V246" s="495" t="str">
        <f>IFERROR(__xludf.DUMMYFUNCTION("""COMPUTED_VALUE"""),"Puertas aluminio en cocina casino  ,malla mosquetera cafetería y ducto exterior en cafetería y rejilla de ventilación pasillo")</f>
        <v>Puertas aluminio en cocina casino  ,malla mosquetera cafetería y ducto exterior en cafetería y rejilla de ventilación pasillo</v>
      </c>
      <c r="W246" s="495"/>
      <c r="X246" s="495" t="str">
        <f>IFERROR(__xludf.DUMMYFUNCTION("""COMPUTED_VALUE"""),"https://drive.google.com/open?id=1xrcRy9EuwIuWh6m8C5GCriWO7hUcM44_, https://drive.google.com/open?id=1jZB7VdGJT4NimYy5c8VMCBeSzaCSnX23, https://drive.google.com/open?id=1zVZDDx8pt0gfTK7JxcIXtXaOGvzmMfIP, https://drive.google.com/open?id=1zd7_yTzXcT7tNZLdM"&amp;"E8l6PDoCFoQomLj, https://drive.google.com/open?id=1D1mp9S5g0X0FezDnbvFS6GmJcKhLClfI, https://drive.google.com/open?id=1bpEJHjtYLESCrQKzJhuOyiExWoCKJ1rh, https://drive.google.com/open?id=15H545c5QiyhscV5EmIKGhVJpHt7ASdbY, https://drive.google.com/open?id=1"&amp;"H9Rita_ToVa-xW4aivJqyadyEkNggJ7N, https://drive.google.com/open?id=1464Fjr3a5myPd_wcMh1gAUd4Z17Js_g-, https://drive.google.com/open?id=13w3i2f73qDLX0qzgLgFGRyjdnqMSj2g1")</f>
        <v>https://drive.google.com/open?id=1xrcRy9EuwIuWh6m8C5GCriWO7hUcM44_, https://drive.google.com/open?id=1jZB7VdGJT4NimYy5c8VMCBeSzaCSnX23, https://drive.google.com/open?id=1zVZDDx8pt0gfTK7JxcIXtXaOGvzmMfIP, https://drive.google.com/open?id=1zd7_yTzXcT7tNZLdME8l6PDoCFoQomLj, https://drive.google.com/open?id=1D1mp9S5g0X0FezDnbvFS6GmJcKhLClfI, https://drive.google.com/open?id=1bpEJHjtYLESCrQKzJhuOyiExWoCKJ1rh, https://drive.google.com/open?id=15H545c5QiyhscV5EmIKGhVJpHt7ASdbY, https://drive.google.com/open?id=1H9Rita_ToVa-xW4aivJqyadyEkNggJ7N, https://drive.google.com/open?id=1464Fjr3a5myPd_wcMh1gAUd4Z17Js_g-, https://drive.google.com/open?id=13w3i2f73qDLX0qzgLgFGRyjdnqMSj2g1</v>
      </c>
      <c r="Y246" s="495" t="str">
        <f>IFERROR(__xludf.DUMMYFUNCTION("""COMPUTED_VALUE"""),"aabarriam@gmail.com")</f>
        <v>aabarriam@gmail.com</v>
      </c>
      <c r="Z246" s="498">
        <f>IFERROR(__xludf.DUMMYFUNCTION("""COMPUTED_VALUE"""),800000.0)</f>
        <v>800000</v>
      </c>
      <c r="AA246" s="495"/>
      <c r="AB246" s="495"/>
      <c r="AC246" s="495"/>
      <c r="AD246" s="495" t="str">
        <f>IFERROR(__xludf.DUMMYFUNCTION("""COMPUTED_VALUE"""),"RC-098_26")</f>
        <v>RC-098_26</v>
      </c>
    </row>
    <row r="247">
      <c r="A247" s="495" t="str">
        <f t="shared" si="1"/>
        <v>RC-097_26</v>
      </c>
      <c r="B247" s="497">
        <f>IFERROR(__xludf.DUMMYFUNCTION("""COMPUTED_VALUE"""),46129.60703990741)</f>
        <v>46129.60704</v>
      </c>
      <c r="C247" s="495" t="str">
        <f>IFERROR(__xludf.DUMMYFUNCTION("""COMPUTED_VALUE"""),"")</f>
        <v/>
      </c>
      <c r="D247" s="495" t="str">
        <f>IFERROR(__xludf.DUMMYFUNCTION("""COMPUTED_VALUE"""),"Felipe Anselme Grandón")</f>
        <v>Felipe Anselme Grandón</v>
      </c>
      <c r="E247" s="495"/>
      <c r="F247" s="496" t="str">
        <f>IFERROR(__xludf.DUMMYFUNCTION("""COMPUTED_VALUE"""),"1876- 2026")</f>
        <v>1876- 2026</v>
      </c>
      <c r="G247" s="495"/>
      <c r="H247" s="495"/>
      <c r="I247" s="495"/>
      <c r="J247" s="495" t="str">
        <f>IFERROR(__xludf.DUMMYFUNCTION("""COMPUTED_VALUE"""),"Campus San Juan Pablo II - CJP")</f>
        <v>Campus San Juan Pablo II - CJP</v>
      </c>
      <c r="K247" s="495" t="str">
        <f>IFERROR(__xludf.DUMMYFUNCTION("""COMPUTED_VALUE"""),"05")</f>
        <v>05</v>
      </c>
      <c r="L247" s="495" t="str">
        <f>IFERROR(__xludf.DUMMYFUNCTION("""COMPUTED_VALUE"""),"Alejandro Barría ")</f>
        <v>Alejandro Barría </v>
      </c>
      <c r="M247" s="495" t="str">
        <f>IFERROR(__xludf.DUMMYFUNCTION("""COMPUTED_VALUE"""),"11.662.472-9")</f>
        <v>11.662.472-9</v>
      </c>
      <c r="N247" s="495" t="str">
        <f>IFERROR(__xludf.DUMMYFUNCTION("""COMPUTED_VALUE"""),"Alejandro Barría ")</f>
        <v>Alejandro Barría </v>
      </c>
      <c r="O247" s="495" t="str">
        <f>IFERROR(__xludf.DUMMYFUNCTION("""COMPUTED_VALUE"""),"Mantenciones")</f>
        <v>Mantenciones</v>
      </c>
      <c r="P247" s="495" t="str">
        <f>IFERROR(__xludf.DUMMYFUNCTION("""COMPUTED_VALUE"""),"Cerramientos Verticales")</f>
        <v>Cerramientos Verticales</v>
      </c>
      <c r="Q247" s="495"/>
      <c r="R247" s="495"/>
      <c r="S247" s="495"/>
      <c r="T247" s="495"/>
      <c r="U247" s="495"/>
      <c r="V247" s="495" t="str">
        <f>IFERROR(__xludf.DUMMYFUNCTION("""COMPUTED_VALUE"""),"Puertas aluminio en cocina aria fría y caliente malla mosquetera cafetería, rejilla de ventilación, rejilla de ventilación ducto cafetería ")</f>
        <v>Puertas aluminio en cocina aria fría y caliente malla mosquetera cafetería, rejilla de ventilación, rejilla de ventilación ducto cafetería </v>
      </c>
      <c r="W247" s="495"/>
      <c r="X247" s="495" t="str">
        <f>IFERROR(__xludf.DUMMYFUNCTION("""COMPUTED_VALUE"""),"https://drive.google.com/open?id=1XfA6PhbyNxww_x7coH7Wbcv5iZGw_Dl2, https://drive.google.com/open?id=1YH8kXqN-gqudtkmh1eE6VfLfnOUa9zPl, https://drive.google.com/open?id=1mKlODpCUXeTY601q0ZRru7L5fNt986c4, https://drive.google.com/open?id=1Uj5Y-s8eUywo7yFeW"&amp;"SgFi5FPPKpces-N, https://drive.google.com/open?id=1TKrCpdCVFA2gKC_bbrVa7p-R7Kq7sFJX, https://drive.google.com/open?id=1r-A4SpEeoJp5SkAyy1Z6ymGZWpSV86tN, https://drive.google.com/open?id=1vs2f4oGD7XtEiJRpfPuUr7nPzbRYtVGI, https://drive.google.com/open?id=1"&amp;"9rcU13xGZ3_VLjcT0lIwGmsbR1_X7eLL, https://drive.google.com/open?id=1CwXN2qLnNhq5cL5trdEiJSWeJzYwaDd5, https://drive.google.com/open?id=1P0zz6oOa0X4V7QTuAVJbjqwmyEM6IANC")</f>
        <v>https://drive.google.com/open?id=1XfA6PhbyNxww_x7coH7Wbcv5iZGw_Dl2, https://drive.google.com/open?id=1YH8kXqN-gqudtkmh1eE6VfLfnOUa9zPl, https://drive.google.com/open?id=1mKlODpCUXeTY601q0ZRru7L5fNt986c4, https://drive.google.com/open?id=1Uj5Y-s8eUywo7yFeWSgFi5FPPKpces-N, https://drive.google.com/open?id=1TKrCpdCVFA2gKC_bbrVa7p-R7Kq7sFJX, https://drive.google.com/open?id=1r-A4SpEeoJp5SkAyy1Z6ymGZWpSV86tN, https://drive.google.com/open?id=1vs2f4oGD7XtEiJRpfPuUr7nPzbRYtVGI, https://drive.google.com/open?id=19rcU13xGZ3_VLjcT0lIwGmsbR1_X7eLL, https://drive.google.com/open?id=1CwXN2qLnNhq5cL5trdEiJSWeJzYwaDd5, https://drive.google.com/open?id=1P0zz6oOa0X4V7QTuAVJbjqwmyEM6IANC</v>
      </c>
      <c r="Y247" s="495" t="str">
        <f>IFERROR(__xludf.DUMMYFUNCTION("""COMPUTED_VALUE"""),"aabarriam@gmail.com")</f>
        <v>aabarriam@gmail.com</v>
      </c>
      <c r="Z247" s="498">
        <f>IFERROR(__xludf.DUMMYFUNCTION("""COMPUTED_VALUE"""),800000.0)</f>
        <v>800000</v>
      </c>
      <c r="AA247" s="495"/>
      <c r="AB247" s="495"/>
      <c r="AC247" s="495"/>
      <c r="AD247" s="495" t="str">
        <f>IFERROR(__xludf.DUMMYFUNCTION("""COMPUTED_VALUE"""),"RC-097_26")</f>
        <v>RC-097_26</v>
      </c>
    </row>
    <row r="248">
      <c r="A248" s="495" t="str">
        <f t="shared" si="1"/>
        <v/>
      </c>
      <c r="B248" s="497">
        <f>IFERROR(__xludf.DUMMYFUNCTION("""COMPUTED_VALUE"""),46034.57296109953)</f>
        <v>46034.57296</v>
      </c>
      <c r="C248" s="495" t="str">
        <f>IFERROR(__xludf.DUMMYFUNCTION("""COMPUTED_VALUE"""),"")</f>
        <v/>
      </c>
      <c r="D248" s="495" t="str">
        <f>IFERROR(__xludf.DUMMYFUNCTION("""COMPUTED_VALUE"""),"Leonor Ríos Morales")</f>
        <v>Leonor Ríos Morales</v>
      </c>
      <c r="E248" s="495"/>
      <c r="F248" s="496">
        <f>IFERROR(__xludf.DUMMYFUNCTION("""COMPUTED_VALUE"""),13108.0)</f>
        <v>13108</v>
      </c>
      <c r="G248" s="495"/>
      <c r="H248" s="495"/>
      <c r="I248" s="495"/>
      <c r="J248" s="495" t="str">
        <f>IFERROR(__xludf.DUMMYFUNCTION("""COMPUTED_VALUE"""),"Campus San Francisco - CSF")</f>
        <v>Campus San Francisco - CSF</v>
      </c>
      <c r="K248" s="495" t="str">
        <f>IFERROR(__xludf.DUMMYFUNCTION("""COMPUTED_VALUE"""),"Sin número")</f>
        <v>Sin número</v>
      </c>
      <c r="L248" s="495" t="str">
        <f>IFERROR(__xludf.DUMMYFUNCTION("""COMPUTED_VALUE"""),"PUA DISENO SPA")</f>
        <v>PUA DISENO SPA</v>
      </c>
      <c r="M248" s="495" t="str">
        <f>IFERROR(__xludf.DUMMYFUNCTION("""COMPUTED_VALUE"""),"76.962.330-2")</f>
        <v>76.962.330-2</v>
      </c>
      <c r="N248" s="495" t="str">
        <f>IFERROR(__xludf.DUMMYFUNCTION("""COMPUTED_VALUE"""),"MAXIMILIANO IBANEZ LEON - Gerente General")</f>
        <v>MAXIMILIANO IBANEZ LEON - Gerente General</v>
      </c>
      <c r="O248" s="495" t="str">
        <f>IFERROR(__xludf.DUMMYFUNCTION("""COMPUTED_VALUE"""),"Obras y Especialidades")</f>
        <v>Obras y Especialidades</v>
      </c>
      <c r="P248" s="495"/>
      <c r="Q248" s="495"/>
      <c r="R248" s="495" t="str">
        <f>IFERROR(__xludf.DUMMYFUNCTION("""COMPUTED_VALUE"""),"Exteriores")</f>
        <v>Exteriores</v>
      </c>
      <c r="S248" s="495" t="str">
        <f>IFERROR(__xludf.DUMMYFUNCTION("""COMPUTED_VALUE"""),"Estado de Pago - EP")</f>
        <v>Estado de Pago - EP</v>
      </c>
      <c r="T248" s="495" t="str">
        <f>IFERROR(__xludf.DUMMYFUNCTION("""COMPUTED_VALUE"""),"0 (Anticipo)")</f>
        <v>0 (Anticipo)</v>
      </c>
      <c r="U248" s="498">
        <f>IFERROR(__xludf.DUMMYFUNCTION("""COMPUTED_VALUE"""),7812874.0)</f>
        <v>7812874</v>
      </c>
      <c r="V248" s="495" t="str">
        <f>IFERROR(__xludf.DUMMYFUNCTION("""COMPUTED_VALUE"""),"SEÑALETICAS CAMPUS SAN FRANCISCO")</f>
        <v>SEÑALETICAS CAMPUS SAN FRANCISCO</v>
      </c>
      <c r="W248" s="495"/>
      <c r="X248" s="499" t="str">
        <f>IFERROR(__xludf.DUMMYFUNCTION("""COMPUTED_VALUE"""),"https://drive.google.com/open?id=1Tp_dD0xI2bRIZNnLGbOCEW4BsGHNY2Y7")</f>
        <v>https://drive.google.com/open?id=1Tp_dD0xI2bRIZNnLGbOCEW4BsGHNY2Y7</v>
      </c>
      <c r="Y248" s="495" t="str">
        <f>IFERROR(__xludf.DUMMYFUNCTION("""COMPUTED_VALUE"""),"info@pua.cl")</f>
        <v>info@pua.cl</v>
      </c>
      <c r="Z248" s="495"/>
      <c r="AA248" s="495"/>
      <c r="AB248" s="495"/>
      <c r="AC248" s="495"/>
      <c r="AD248" s="495"/>
    </row>
    <row r="249">
      <c r="A249" s="495" t="str">
        <f t="shared" si="1"/>
        <v>RC-095_26</v>
      </c>
      <c r="B249" s="497">
        <f>IFERROR(__xludf.DUMMYFUNCTION("""COMPUTED_VALUE"""),46129.52406984953)</f>
        <v>46129.52407</v>
      </c>
      <c r="C249" s="495" t="str">
        <f>IFERROR(__xludf.DUMMYFUNCTION("""COMPUTED_VALUE"""),"")</f>
        <v/>
      </c>
      <c r="D249" s="495" t="str">
        <f>IFERROR(__xludf.DUMMYFUNCTION("""COMPUTED_VALUE"""),"Juan Ignacio Solís de Ovando")</f>
        <v>Juan Ignacio Solís de Ovando</v>
      </c>
      <c r="E249" s="495"/>
      <c r="F249" s="496">
        <f>IFERROR(__xludf.DUMMYFUNCTION("""COMPUTED_VALUE"""),1780.0)</f>
        <v>1780</v>
      </c>
      <c r="G249" s="495"/>
      <c r="H249" s="495"/>
      <c r="I249" s="495"/>
      <c r="J249" s="495" t="str">
        <f>IFERROR(__xludf.DUMMYFUNCTION("""COMPUTED_VALUE"""),"Campus Dr. Luis Rivas del Canto - CRC")</f>
        <v>Campus Dr. Luis Rivas del Canto - CRC</v>
      </c>
      <c r="K249" s="495">
        <f>IFERROR(__xludf.DUMMYFUNCTION("""COMPUTED_VALUE"""),18.0)</f>
        <v>18</v>
      </c>
      <c r="L249" s="495" t="str">
        <f>IFERROR(__xludf.DUMMYFUNCTION("""COMPUTED_VALUE"""),"Comercializadora, instalacion publicidad")</f>
        <v>Comercializadora, instalacion publicidad</v>
      </c>
      <c r="M249" s="495" t="str">
        <f>IFERROR(__xludf.DUMMYFUNCTION("""COMPUTED_VALUE"""),"76.707.485-9")</f>
        <v>76.707.485-9</v>
      </c>
      <c r="N249" s="495" t="str">
        <f>IFERROR(__xludf.DUMMYFUNCTION("""COMPUTED_VALUE"""),"Juan ignacio Solis")</f>
        <v>Juan ignacio Solis</v>
      </c>
      <c r="O249" s="495" t="str">
        <f>IFERROR(__xludf.DUMMYFUNCTION("""COMPUTED_VALUE"""),"Mantenciones")</f>
        <v>Mantenciones</v>
      </c>
      <c r="P249" s="495" t="str">
        <f>IFERROR(__xludf.DUMMYFUNCTION("""COMPUTED_VALUE"""),"Terminaciones Interiores")</f>
        <v>Terminaciones Interiores</v>
      </c>
      <c r="Q249" s="495"/>
      <c r="R249" s="495"/>
      <c r="S249" s="495"/>
      <c r="T249" s="495"/>
      <c r="U249" s="495"/>
      <c r="V249" s="495" t="str">
        <f>IFERROR(__xludf.DUMMYFUNCTION("""COMPUTED_VALUE"""),"empavonado ventanas y puertas edif 18")</f>
        <v>empavonado ventanas y puertas edif 18</v>
      </c>
      <c r="W249" s="495"/>
      <c r="X249" s="495" t="str">
        <f>IFERROR(__xludf.DUMMYFUNCTION("""COMPUTED_VALUE"""),"https://drive.google.com/open?id=1d80cX3nQA8sBaJcbpJ7B1drGKg9WGl-e, https://drive.google.com/open?id=1u1XDqNO5aOujQRYHhWUHBybECkHoiy6K")</f>
        <v>https://drive.google.com/open?id=1d80cX3nQA8sBaJcbpJ7B1drGKg9WGl-e, https://drive.google.com/open?id=1u1XDqNO5aOujQRYHhWUHBybECkHoiy6K</v>
      </c>
      <c r="Y249" s="495" t="str">
        <f>IFERROR(__xludf.DUMMYFUNCTION("""COMPUTED_VALUE"""),"danielapatriciaarriagadacaba@hotmail.com")</f>
        <v>danielapatriciaarriagadacaba@hotmail.com</v>
      </c>
      <c r="Z249" s="498">
        <f>IFERROR(__xludf.DUMMYFUNCTION("""COMPUTED_VALUE"""),153560.0)</f>
        <v>153560</v>
      </c>
      <c r="AA249" s="495"/>
      <c r="AB249" s="495"/>
      <c r="AC249" s="495"/>
      <c r="AD249" s="495" t="str">
        <f>IFERROR(__xludf.DUMMYFUNCTION("""COMPUTED_VALUE"""),"RC-095_26")</f>
        <v>RC-095_26</v>
      </c>
    </row>
    <row r="250">
      <c r="A250" s="495" t="str">
        <f t="shared" si="1"/>
        <v/>
      </c>
      <c r="B250" s="497">
        <f>IFERROR(__xludf.DUMMYFUNCTION("""COMPUTED_VALUE"""),46035.591575046295)</f>
        <v>46035.59158</v>
      </c>
      <c r="C250" s="495" t="str">
        <f>IFERROR(__xludf.DUMMYFUNCTION("""COMPUTED_VALUE"""),"")</f>
        <v/>
      </c>
      <c r="D250" s="495" t="str">
        <f>IFERROR(__xludf.DUMMYFUNCTION("""COMPUTED_VALUE"""),"Leonor Ríos Morales")</f>
        <v>Leonor Ríos Morales</v>
      </c>
      <c r="E250" s="495"/>
      <c r="F250" s="496">
        <f>IFERROR(__xludf.DUMMYFUNCTION("""COMPUTED_VALUE"""),13104.0)</f>
        <v>13104</v>
      </c>
      <c r="G250" s="495"/>
      <c r="H250" s="495"/>
      <c r="I250" s="495"/>
      <c r="J250" s="495" t="str">
        <f>IFERROR(__xludf.DUMMYFUNCTION("""COMPUTED_VALUE"""),"Campus San Francisco - CSF")</f>
        <v>Campus San Francisco - CSF</v>
      </c>
      <c r="K250" s="495" t="str">
        <f>IFERROR(__xludf.DUMMYFUNCTION("""COMPUTED_VALUE"""),"Exterior")</f>
        <v>Exterior</v>
      </c>
      <c r="L250" s="495" t="str">
        <f>IFERROR(__xludf.DUMMYFUNCTION("""COMPUTED_VALUE"""),"PUA DISENO SPA")</f>
        <v>PUA DISENO SPA</v>
      </c>
      <c r="M250" s="495" t="str">
        <f>IFERROR(__xludf.DUMMYFUNCTION("""COMPUTED_VALUE"""),"76962330-2")</f>
        <v>76962330-2</v>
      </c>
      <c r="N250" s="495" t="str">
        <f>IFERROR(__xludf.DUMMYFUNCTION("""COMPUTED_VALUE"""),"MAXIMILIANO IBANEZ LEON - GERENTE GRAL")</f>
        <v>MAXIMILIANO IBANEZ LEON - GERENTE GRAL</v>
      </c>
      <c r="O250" s="495" t="str">
        <f>IFERROR(__xludf.DUMMYFUNCTION("""COMPUTED_VALUE"""),"Obras y Especialidades")</f>
        <v>Obras y Especialidades</v>
      </c>
      <c r="P250" s="495"/>
      <c r="Q250" s="495"/>
      <c r="R250" s="495" t="str">
        <f>IFERROR(__xludf.DUMMYFUNCTION("""COMPUTED_VALUE"""),"Exteriores")</f>
        <v>Exteriores</v>
      </c>
      <c r="S250" s="495" t="str">
        <f>IFERROR(__xludf.DUMMYFUNCTION("""COMPUTED_VALUE"""),"Estado de Pago - EP")</f>
        <v>Estado de Pago - EP</v>
      </c>
      <c r="T250" s="495" t="str">
        <f>IFERROR(__xludf.DUMMYFUNCTION("""COMPUTED_VALUE"""),"0 (Anticipo)")</f>
        <v>0 (Anticipo)</v>
      </c>
      <c r="U250" s="498">
        <f>IFERROR(__xludf.DUMMYFUNCTION("""COMPUTED_VALUE"""),2163430.0)</f>
        <v>2163430</v>
      </c>
      <c r="V250" s="495" t="str">
        <f>IFERROR(__xludf.DUMMYFUNCTION("""COMPUTED_VALUE"""),"SEÑALETICAS CAMPUS SAN FRANCISCO")</f>
        <v>SEÑALETICAS CAMPUS SAN FRANCISCO</v>
      </c>
      <c r="W250" s="495"/>
      <c r="X250" s="499" t="str">
        <f>IFERROR(__xludf.DUMMYFUNCTION("""COMPUTED_VALUE"""),"https://drive.google.com/open?id=1ZFjw7ovAZ-DI2wQaoeqspdw65tIky0J5")</f>
        <v>https://drive.google.com/open?id=1ZFjw7ovAZ-DI2wQaoeqspdw65tIky0J5</v>
      </c>
      <c r="Y250" s="495" t="str">
        <f>IFERROR(__xludf.DUMMYFUNCTION("""COMPUTED_VALUE"""),"info@pua.cl")</f>
        <v>info@pua.cl</v>
      </c>
      <c r="Z250" s="495"/>
      <c r="AA250" s="495"/>
      <c r="AB250" s="495"/>
      <c r="AC250" s="495"/>
      <c r="AD250" s="495"/>
    </row>
    <row r="251">
      <c r="A251" s="495" t="str">
        <f t="shared" si="1"/>
        <v>RC-093_26</v>
      </c>
      <c r="B251" s="497">
        <f>IFERROR(__xludf.DUMMYFUNCTION("""COMPUTED_VALUE"""),46128.747774710646)</f>
        <v>46128.74777</v>
      </c>
      <c r="C251" s="495" t="str">
        <f>IFERROR(__xludf.DUMMYFUNCTION("""COMPUTED_VALUE"""),"")</f>
        <v/>
      </c>
      <c r="D251" s="495" t="str">
        <f>IFERROR(__xludf.DUMMYFUNCTION("""COMPUTED_VALUE"""),"Juan Ignacio Solís de Ovando")</f>
        <v>Juan Ignacio Solís de Ovando</v>
      </c>
      <c r="E251" s="495"/>
      <c r="F251" s="496" t="str">
        <f>IFERROR(__xludf.DUMMYFUNCTION("""COMPUTED_VALUE"""),"1998 - 2026")</f>
        <v>1998 - 2026</v>
      </c>
      <c r="G251" s="495"/>
      <c r="H251" s="495"/>
      <c r="I251" s="495"/>
      <c r="J251" s="495" t="str">
        <f>IFERROR(__xludf.DUMMYFUNCTION("""COMPUTED_VALUE"""),"Campus San Juan Pablo II - CJP")</f>
        <v>Campus San Juan Pablo II - CJP</v>
      </c>
      <c r="K251" s="495" t="str">
        <f>IFERROR(__xludf.DUMMYFUNCTION("""COMPUTED_VALUE"""),"08")</f>
        <v>08</v>
      </c>
      <c r="L251" s="495" t="str">
        <f>IFERROR(__xludf.DUMMYFUNCTION("""COMPUTED_VALUE"""),"Empresa Constructora IGECE Ltda.")</f>
        <v>Empresa Constructora IGECE Ltda.</v>
      </c>
      <c r="M251" s="495" t="str">
        <f>IFERROR(__xludf.DUMMYFUNCTION("""COMPUTED_VALUE"""),"76.878.824-3")</f>
        <v>76.878.824-3</v>
      </c>
      <c r="N251" s="495" t="str">
        <f>IFERROR(__xludf.DUMMYFUNCTION("""COMPUTED_VALUE"""),"Carlos Troncoso - Gerente General ")</f>
        <v>Carlos Troncoso - Gerente General </v>
      </c>
      <c r="O251" s="495" t="str">
        <f>IFERROR(__xludf.DUMMYFUNCTION("""COMPUTED_VALUE"""),"Mantenciones")</f>
        <v>Mantenciones</v>
      </c>
      <c r="P251" s="495" t="str">
        <f>IFERROR(__xludf.DUMMYFUNCTION("""COMPUTED_VALUE"""),"Terminaciones Interiores")</f>
        <v>Terminaciones Interiores</v>
      </c>
      <c r="Q251" s="495"/>
      <c r="R251" s="495"/>
      <c r="S251" s="495"/>
      <c r="T251" s="495"/>
      <c r="U251" s="495"/>
      <c r="V251" s="495" t="str">
        <f>IFERROR(__xludf.DUMMYFUNCTION("""COMPUTED_VALUE"""),"Instalación ángulo acero laminado 30x30x3 mm, con tornillos hexagonal punta broca de 1"" como fijación. (250 tornillos - 2 copa hexagonal - 10 disco corte metal 4 1/2"" - 15 ángulos 30x30x3 en 6 mt + mano de Obra)
Limpieza ángulos con huaipes, aplicación"&amp;" 2 manos de pintura anticorrosivo triple acción negro Sherwin Williams. (1 galon pintura - 1 lt aguarras - 1 kg huaipe - 1 brocha 3"" + Mano de obra)
")</f>
        <v>Instalación ángulo acero laminado 30x30x3 mm, con tornillos hexagonal punta broca de 1" como fijación. (250 tornillos - 2 copa hexagonal - 10 disco corte metal 4 1/2" - 15 ángulos 30x30x3 en 6 mt + mano de Obra)
Limpieza ángulos con huaipes, aplicación 2 manos de pintura anticorrosivo triple acción negro Sherwin Williams. (1 galon pintura - 1 lt aguarras - 1 kg huaipe - 1 brocha 3" + Mano de obra)
</v>
      </c>
      <c r="W251" s="495"/>
      <c r="X251" s="495" t="str">
        <f>IFERROR(__xludf.DUMMYFUNCTION("""COMPUTED_VALUE"""),"https://drive.google.com/open?id=1qG-JivhKWPotSfNPnBG5hew7lRZ08QEj, https://drive.google.com/open?id=1rchy2-WVgYRk403fNSmmbOv_lmlRssLA, https://drive.google.com/open?id=1C2L61dwM9n6LFRmVJ-2f4joYLv5CBPoc")</f>
        <v>https://drive.google.com/open?id=1qG-JivhKWPotSfNPnBG5hew7lRZ08QEj, https://drive.google.com/open?id=1rchy2-WVgYRk403fNSmmbOv_lmlRssLA, https://drive.google.com/open?id=1C2L61dwM9n6LFRmVJ-2f4joYLv5CBPoc</v>
      </c>
      <c r="Y251" s="495" t="str">
        <f>IFERROR(__xludf.DUMMYFUNCTION("""COMPUTED_VALUE"""),"carlostroncosom@hotmail.com")</f>
        <v>carlostroncosom@hotmail.com</v>
      </c>
      <c r="Z251" s="498">
        <f>IFERROR(__xludf.DUMMYFUNCTION("""COMPUTED_VALUE"""),791469.0)</f>
        <v>791469</v>
      </c>
      <c r="AA251" s="495"/>
      <c r="AB251" s="495"/>
      <c r="AC251" s="495"/>
      <c r="AD251" s="495" t="str">
        <f>IFERROR(__xludf.DUMMYFUNCTION("""COMPUTED_VALUE"""),"RC-093_26")</f>
        <v>RC-093_26</v>
      </c>
    </row>
    <row r="252">
      <c r="A252" s="495" t="str">
        <f t="shared" si="1"/>
        <v/>
      </c>
      <c r="B252" s="497">
        <f>IFERROR(__xludf.DUMMYFUNCTION("""COMPUTED_VALUE"""),46036.47564685185)</f>
        <v>46036.47565</v>
      </c>
      <c r="C252" s="495" t="str">
        <f>IFERROR(__xludf.DUMMYFUNCTION("""COMPUTED_VALUE"""),"")</f>
        <v/>
      </c>
      <c r="D252" s="495" t="str">
        <f>IFERROR(__xludf.DUMMYFUNCTION("""COMPUTED_VALUE"""),"David Silva Roco")</f>
        <v>David Silva Roco</v>
      </c>
      <c r="E252" s="495"/>
      <c r="F252" s="496" t="str">
        <f>IFERROR(__xludf.DUMMYFUNCTION("""COMPUTED_VALUE"""),"3946-2025")</f>
        <v>3946-2025</v>
      </c>
      <c r="G252" s="495"/>
      <c r="H252" s="495"/>
      <c r="I252" s="495"/>
      <c r="J252" s="495" t="str">
        <f>IFERROR(__xludf.DUMMYFUNCTION("""COMPUTED_VALUE"""),"Campus San Nicolás (Curacautín) - CSN")</f>
        <v>Campus San Nicolás (Curacautín) - CSN</v>
      </c>
      <c r="K252" s="495" t="str">
        <f>IFERROR(__xludf.DUMMYFUNCTION("""COMPUTED_VALUE"""),"01")</f>
        <v>01</v>
      </c>
      <c r="L252" s="495" t="str">
        <f>IFERROR(__xludf.DUMMYFUNCTION("""COMPUTED_VALUE"""),"CONSTRUCTORA RUKATAMI LTDA")</f>
        <v>CONSTRUCTORA RUKATAMI LTDA</v>
      </c>
      <c r="M252" s="495" t="str">
        <f>IFERROR(__xludf.DUMMYFUNCTION("""COMPUTED_VALUE"""),"76.514.788-3")</f>
        <v>76.514.788-3</v>
      </c>
      <c r="N252" s="495" t="str">
        <f>IFERROR(__xludf.DUMMYFUNCTION("""COMPUTED_VALUE"""),"ELVIS VALENZUELA, CONSTRUCTOR CIVIL.")</f>
        <v>ELVIS VALENZUELA, CONSTRUCTOR CIVIL.</v>
      </c>
      <c r="O252" s="495" t="str">
        <f>IFERROR(__xludf.DUMMYFUNCTION("""COMPUTED_VALUE"""),"Obras y Especialidades")</f>
        <v>Obras y Especialidades</v>
      </c>
      <c r="P252" s="495"/>
      <c r="Q252" s="495"/>
      <c r="R252" s="495" t="str">
        <f>IFERROR(__xludf.DUMMYFUNCTION("""COMPUTED_VALUE"""),"Nuevo Edificio")</f>
        <v>Nuevo Edificio</v>
      </c>
      <c r="S252" s="495" t="str">
        <f>IFERROR(__xludf.DUMMYFUNCTION("""COMPUTED_VALUE"""),"Estado de Pago - EP")</f>
        <v>Estado de Pago - EP</v>
      </c>
      <c r="T252" s="495">
        <f>IFERROR(__xludf.DUMMYFUNCTION("""COMPUTED_VALUE"""),4.0)</f>
        <v>4</v>
      </c>
      <c r="U252" s="498">
        <f>IFERROR(__xludf.DUMMYFUNCTION("""COMPUTED_VALUE"""),7.5253626E7)</f>
        <v>75253626</v>
      </c>
      <c r="V252" s="495" t="str">
        <f>IFERROR(__xludf.DUMMYFUNCTION("""COMPUTED_VALUE"""),"TÉRMINO DE CONSTRUCCION 6 CABAÑAS CENTRO RECREACIONAL ")</f>
        <v>TÉRMINO DE CONSTRUCCION 6 CABAÑAS CENTRO RECREACIONAL </v>
      </c>
      <c r="W252" s="495"/>
      <c r="X252" s="495" t="str">
        <f>IFERROR(__xludf.DUMMYFUNCTION("""COMPUTED_VALUE"""),"https://drive.google.com/open?id=1GroIgZ1Z58I-dfwqdxMkKJvuU-QzC3Mn, https://drive.google.com/open?id=1tCNYWiK6p10uCXkBzYXvEp3zSBSxlW5w, https://drive.google.com/open?id=1ByUV44oyzAhpfMLBEvUsRXrkMQ3dFozA, https://drive.google.com/open?id=1iNXww_zd3wZsCkKth"&amp;"skmMUr6pXFxQ-ti, https://drive.google.com/open?id=1fs9UlH-eBzcH2yWBi7o476pZ_18Yi2Wf")</f>
        <v>https://drive.google.com/open?id=1GroIgZ1Z58I-dfwqdxMkKJvuU-QzC3Mn, https://drive.google.com/open?id=1tCNYWiK6p10uCXkBzYXvEp3zSBSxlW5w, https://drive.google.com/open?id=1ByUV44oyzAhpfMLBEvUsRXrkMQ3dFozA, https://drive.google.com/open?id=1iNXww_zd3wZsCkKthskmMUr6pXFxQ-ti, https://drive.google.com/open?id=1fs9UlH-eBzcH2yWBi7o476pZ_18Yi2Wf</v>
      </c>
      <c r="Y252" s="495" t="str">
        <f>IFERROR(__xludf.DUMMYFUNCTION("""COMPUTED_VALUE"""),"krodriguez.arq@gmail.com")</f>
        <v>krodriguez.arq@gmail.com</v>
      </c>
      <c r="Z252" s="495"/>
      <c r="AA252" s="495"/>
      <c r="AB252" s="495"/>
      <c r="AC252" s="495"/>
      <c r="AD252" s="495"/>
    </row>
    <row r="253">
      <c r="A253" s="495" t="str">
        <f t="shared" si="1"/>
        <v>RC-092_26</v>
      </c>
      <c r="B253" s="497">
        <f>IFERROR(__xludf.DUMMYFUNCTION("""COMPUTED_VALUE"""),46128.73020695602)</f>
        <v>46128.73021</v>
      </c>
      <c r="C253" s="495" t="str">
        <f>IFERROR(__xludf.DUMMYFUNCTION("""COMPUTED_VALUE"""),"")</f>
        <v/>
      </c>
      <c r="D253" s="495" t="str">
        <f>IFERROR(__xludf.DUMMYFUNCTION("""COMPUTED_VALUE"""),"Carol Huenchual Chañilao")</f>
        <v>Carol Huenchual Chañilao</v>
      </c>
      <c r="E253" s="495"/>
      <c r="F253" s="496" t="str">
        <f>IFERROR(__xludf.DUMMYFUNCTION("""COMPUTED_VALUE"""),"2042-2026")</f>
        <v>2042-2026</v>
      </c>
      <c r="G253" s="495"/>
      <c r="H253" s="495"/>
      <c r="I253" s="495"/>
      <c r="J253" s="495" t="str">
        <f>IFERROR(__xludf.DUMMYFUNCTION("""COMPUTED_VALUE"""),"Campus San Francisco - CSF")</f>
        <v>Campus San Francisco - CSF</v>
      </c>
      <c r="K253" s="495">
        <f>IFERROR(__xludf.DUMMYFUNCTION("""COMPUTED_VALUE"""),11.0)</f>
        <v>11</v>
      </c>
      <c r="L253" s="495" t="str">
        <f>IFERROR(__xludf.DUMMYFUNCTION("""COMPUTED_VALUE"""),"DUVIC SPA")</f>
        <v>DUVIC SPA</v>
      </c>
      <c r="M253" s="495" t="str">
        <f>IFERROR(__xludf.DUMMYFUNCTION("""COMPUTED_VALUE"""),"78.952.201-1")</f>
        <v>78.952.201-1</v>
      </c>
      <c r="N253" s="495" t="str">
        <f>IFERROR(__xludf.DUMMYFUNCTION("""COMPUTED_VALUE"""),"Juan Pablo Oliva Osses, operador tecnico multiservicio")</f>
        <v>Juan Pablo Oliva Osses, operador tecnico multiservicio</v>
      </c>
      <c r="O253" s="495" t="str">
        <f>IFERROR(__xludf.DUMMYFUNCTION("""COMPUTED_VALUE"""),"Mantenciones")</f>
        <v>Mantenciones</v>
      </c>
      <c r="P253" s="495" t="str">
        <f>IFERROR(__xludf.DUMMYFUNCTION("""COMPUTED_VALUE"""),"Alarmas de Incendio")</f>
        <v>Alarmas de Incendio</v>
      </c>
      <c r="Q253" s="495"/>
      <c r="R253" s="495"/>
      <c r="S253" s="495"/>
      <c r="T253" s="495"/>
      <c r="U253" s="495"/>
      <c r="V253" s="495" t="str">
        <f>IFERROR(__xludf.DUMMYFUNCTION("""COMPUTED_VALUE"""),"mantencion correctiva sistema de deteccion de incendio")</f>
        <v>mantencion correctiva sistema de deteccion de incendio</v>
      </c>
      <c r="W253" s="495" t="str">
        <f>IFERROR(__xludf.DUMMYFUNCTION("""COMPUTED_VALUE"""),"Realizar mantencion correctiva del sistema")</f>
        <v>Realizar mantencion correctiva del sistema</v>
      </c>
      <c r="X253" s="495" t="str">
        <f>IFERROR(__xludf.DUMMYFUNCTION("""COMPUTED_VALUE"""),"https://drive.google.com/open?id=13p2b-VAmc07UsS-y-vRHVr-TnG8nw3dV, https://drive.google.com/open?id=1liJlzZM_7y5sYrFZJVJ7-b6acK0C-2nI, https://drive.google.com/open?id=1E_GIOaY5xLxGjLSt818scFZ8h7pFWYrQ, https://drive.google.com/open?id=1XoPZYIaOUMO-KCsT2"&amp;"K9-A2YZi9JDmBJr, https://drive.google.com/open?id=1njyQkzQMq4t0pfY9r7OiIebDCgJrSlfd")</f>
        <v>https://drive.google.com/open?id=13p2b-VAmc07UsS-y-vRHVr-TnG8nw3dV, https://drive.google.com/open?id=1liJlzZM_7y5sYrFZJVJ7-b6acK0C-2nI, https://drive.google.com/open?id=1E_GIOaY5xLxGjLSt818scFZ8h7pFWYrQ, https://drive.google.com/open?id=1XoPZYIaOUMO-KCsT2K9-A2YZi9JDmBJr, https://drive.google.com/open?id=1njyQkzQMq4t0pfY9r7OiIebDCgJrSlfd</v>
      </c>
      <c r="Y253" s="495" t="str">
        <f>IFERROR(__xludf.DUMMYFUNCTION("""COMPUTED_VALUE"""),"duvictelecom@gmail.com")</f>
        <v>duvictelecom@gmail.com</v>
      </c>
      <c r="Z253" s="498">
        <f>IFERROR(__xludf.DUMMYFUNCTION("""COMPUTED_VALUE"""),7474928.0)</f>
        <v>7474928</v>
      </c>
      <c r="AA253" s="495"/>
      <c r="AB253" s="495"/>
      <c r="AC253" s="495"/>
      <c r="AD253" s="495" t="str">
        <f>IFERROR(__xludf.DUMMYFUNCTION("""COMPUTED_VALUE"""),"RC-092_26")</f>
        <v>RC-092_26</v>
      </c>
    </row>
    <row r="254">
      <c r="A254" s="495" t="str">
        <f t="shared" si="1"/>
        <v>RC-091_26</v>
      </c>
      <c r="B254" s="497">
        <f>IFERROR(__xludf.DUMMYFUNCTION("""COMPUTED_VALUE"""),46128.63972100694)</f>
        <v>46128.63972</v>
      </c>
      <c r="C254" s="495" t="str">
        <f>IFERROR(__xludf.DUMMYFUNCTION("""COMPUTED_VALUE"""),"")</f>
        <v/>
      </c>
      <c r="D254" s="495" t="str">
        <f>IFERROR(__xludf.DUMMYFUNCTION("""COMPUTED_VALUE"""),"Mauricio Matus Belmar")</f>
        <v>Mauricio Matus Belmar</v>
      </c>
      <c r="E254" s="495"/>
      <c r="F254" s="496" t="str">
        <f>IFERROR(__xludf.DUMMYFUNCTION("""COMPUTED_VALUE"""),"2269-2026")</f>
        <v>2269-2026</v>
      </c>
      <c r="G254" s="495"/>
      <c r="H254" s="495"/>
      <c r="I254" s="495"/>
      <c r="J254" s="495" t="str">
        <f>IFERROR(__xludf.DUMMYFUNCTION("""COMPUTED_VALUE"""),"Campus San Juan Pablo II - CJP")</f>
        <v>Campus San Juan Pablo II - CJP</v>
      </c>
      <c r="K254" s="495" t="str">
        <f>IFERROR(__xludf.DUMMYFUNCTION("""COMPUTED_VALUE"""),"02")</f>
        <v>02</v>
      </c>
      <c r="L254" s="495" t="str">
        <f>IFERROR(__xludf.DUMMYFUNCTION("""COMPUTED_VALUE"""),"GATICAR SPA")</f>
        <v>GATICAR SPA</v>
      </c>
      <c r="M254" s="495" t="str">
        <f>IFERROR(__xludf.DUMMYFUNCTION("""COMPUTED_VALUE"""),"77.578.487-3")</f>
        <v>77.578.487-3</v>
      </c>
      <c r="N254" s="495" t="str">
        <f>IFERROR(__xludf.DUMMYFUNCTION("""COMPUTED_VALUE"""),"HECTOR GATICA ")</f>
        <v>HECTOR GATICA </v>
      </c>
      <c r="O254" s="495" t="str">
        <f>IFERROR(__xludf.DUMMYFUNCTION("""COMPUTED_VALUE"""),"Mantenciones")</f>
        <v>Mantenciones</v>
      </c>
      <c r="P254" s="495" t="str">
        <f>IFERROR(__xludf.DUMMYFUNCTION("""COMPUTED_VALUE"""),"Requerimientos Emergentes e Imprevistos")</f>
        <v>Requerimientos Emergentes e Imprevistos</v>
      </c>
      <c r="Q254" s="495"/>
      <c r="R254" s="495"/>
      <c r="S254" s="495"/>
      <c r="T254" s="495"/>
      <c r="U254" s="495"/>
      <c r="V254" s="495" t="str">
        <f>IFERROR(__xludf.DUMMYFUNCTION("""COMPUTED_VALUE"""),"CAMBIO DE MUEBLE LAVAPLATO ED. DISEÑO, REPARACIÓN DE FUGA DE AGUA PILLANLELBUN")</f>
        <v>CAMBIO DE MUEBLE LAVAPLATO ED. DISEÑO, REPARACIÓN DE FUGA DE AGUA PILLANLELBUN</v>
      </c>
      <c r="W254" s="495"/>
      <c r="X254" s="495" t="str">
        <f>IFERROR(__xludf.DUMMYFUNCTION("""COMPUTED_VALUE"""),"https://drive.google.com/open?id=1-mcs1K4Mkt6u7G34l_w3X7uO7in3VUpR, https://drive.google.com/open?id=1aMkoGnJLDNKAyBu0otZ4PhUntzYgyp-y, https://drive.google.com/open?id=1qUnWo0BJKTlnyvqCK7Ub2oeUcH0q-xXV, https://drive.google.com/open?id=1rfBK-u7vXR9E1eB7p"&amp;"g-0l85dzy0CgXx-, https://drive.google.com/open?id=1uTiLos_JQEevuEgmEAr4P4hSd61AZ8_4")</f>
        <v>https://drive.google.com/open?id=1-mcs1K4Mkt6u7G34l_w3X7uO7in3VUpR, https://drive.google.com/open?id=1aMkoGnJLDNKAyBu0otZ4PhUntzYgyp-y, https://drive.google.com/open?id=1qUnWo0BJKTlnyvqCK7Ub2oeUcH0q-xXV, https://drive.google.com/open?id=1rfBK-u7vXR9E1eB7pg-0l85dzy0CgXx-, https://drive.google.com/open?id=1uTiLos_JQEevuEgmEAr4P4hSd61AZ8_4</v>
      </c>
      <c r="Y254" s="495" t="str">
        <f>IFERROR(__xludf.DUMMYFUNCTION("""COMPUTED_VALUE"""),"serviciogaticar@gmail.com")</f>
        <v>serviciogaticar@gmail.com</v>
      </c>
      <c r="Z254" s="498">
        <f>IFERROR(__xludf.DUMMYFUNCTION("""COMPUTED_VALUE"""),523600.0)</f>
        <v>523600</v>
      </c>
      <c r="AA254" s="495"/>
      <c r="AB254" s="495"/>
      <c r="AC254" s="495"/>
      <c r="AD254" s="495" t="str">
        <f>IFERROR(__xludf.DUMMYFUNCTION("""COMPUTED_VALUE"""),"RC-091_26")</f>
        <v>RC-091_26</v>
      </c>
    </row>
    <row r="255">
      <c r="A255" s="495" t="str">
        <f t="shared" si="1"/>
        <v>RC-090_26</v>
      </c>
      <c r="B255" s="497">
        <f>IFERROR(__xludf.DUMMYFUNCTION("""COMPUTED_VALUE"""),46128.6245950463)</f>
        <v>46128.6246</v>
      </c>
      <c r="C255" s="495" t="str">
        <f>IFERROR(__xludf.DUMMYFUNCTION("""COMPUTED_VALUE"""),"")</f>
        <v/>
      </c>
      <c r="D255" s="495" t="str">
        <f>IFERROR(__xludf.DUMMYFUNCTION("""COMPUTED_VALUE"""),"Felipe Anselme Grandón")</f>
        <v>Felipe Anselme Grandón</v>
      </c>
      <c r="E255" s="495"/>
      <c r="F255" s="496" t="str">
        <f>IFERROR(__xludf.DUMMYFUNCTION("""COMPUTED_VALUE"""),"2503-2026")</f>
        <v>2503-2026</v>
      </c>
      <c r="G255" s="495"/>
      <c r="H255" s="495"/>
      <c r="I255" s="495"/>
      <c r="J255" s="495" t="str">
        <f>IFERROR(__xludf.DUMMYFUNCTION("""COMPUTED_VALUE"""),"Campus Dr. Luis Rivas del Canto - CRC")</f>
        <v>Campus Dr. Luis Rivas del Canto - CRC</v>
      </c>
      <c r="K255" s="495" t="str">
        <f>IFERROR(__xludf.DUMMYFUNCTION("""COMPUTED_VALUE"""),"08")</f>
        <v>08</v>
      </c>
      <c r="L255" s="495" t="str">
        <f>IFERROR(__xludf.DUMMYFUNCTION("""COMPUTED_VALUE"""),"GATICAR SPA")</f>
        <v>GATICAR SPA</v>
      </c>
      <c r="M255" s="495" t="str">
        <f>IFERROR(__xludf.DUMMYFUNCTION("""COMPUTED_VALUE"""),"77.578.487-3")</f>
        <v>77.578.487-3</v>
      </c>
      <c r="N255" s="495" t="str">
        <f>IFERROR(__xludf.DUMMYFUNCTION("""COMPUTED_VALUE"""),"HECTOR GATICA")</f>
        <v>HECTOR GATICA</v>
      </c>
      <c r="O255" s="495" t="str">
        <f>IFERROR(__xludf.DUMMYFUNCTION("""COMPUTED_VALUE"""),"Mantenciones")</f>
        <v>Mantenciones</v>
      </c>
      <c r="P255" s="495" t="str">
        <f>IFERROR(__xludf.DUMMYFUNCTION("""COMPUTED_VALUE"""),"Requerimientos Emergentes e Imprevistos")</f>
        <v>Requerimientos Emergentes e Imprevistos</v>
      </c>
      <c r="Q255" s="495"/>
      <c r="R255" s="495"/>
      <c r="S255" s="495"/>
      <c r="T255" s="495"/>
      <c r="U255" s="495"/>
      <c r="V255" s="495" t="str">
        <f>IFERROR(__xludf.DUMMYFUNCTION("""COMPUTED_VALUE"""),"REPARACION DE LOCKER ABOLLADO")</f>
        <v>REPARACION DE LOCKER ABOLLADO</v>
      </c>
      <c r="W255" s="495"/>
      <c r="X255" s="495" t="str">
        <f>IFERROR(__xludf.DUMMYFUNCTION("""COMPUTED_VALUE"""),"https://drive.google.com/open?id=1vdgHiwHcaJesxJCrWiblFsc3bxaywrNf, https://drive.google.com/open?id=1MBlska53DZCnRPdlyyth52XuMk2dvihH, https://drive.google.com/open?id=1uTnBqzpW_9pSbBQY2xdQs6Xy-8KfCQuB")</f>
        <v>https://drive.google.com/open?id=1vdgHiwHcaJesxJCrWiblFsc3bxaywrNf, https://drive.google.com/open?id=1MBlska53DZCnRPdlyyth52XuMk2dvihH, https://drive.google.com/open?id=1uTnBqzpW_9pSbBQY2xdQs6Xy-8KfCQuB</v>
      </c>
      <c r="Y255" s="495" t="str">
        <f>IFERROR(__xludf.DUMMYFUNCTION("""COMPUTED_VALUE"""),"serviciogaticar@gmail.com")</f>
        <v>serviciogaticar@gmail.com</v>
      </c>
      <c r="Z255" s="498">
        <f>IFERROR(__xludf.DUMMYFUNCTION("""COMPUTED_VALUE"""),95200.0)</f>
        <v>95200</v>
      </c>
      <c r="AA255" s="495"/>
      <c r="AB255" s="495"/>
      <c r="AC255" s="495"/>
      <c r="AD255" s="495" t="str">
        <f>IFERROR(__xludf.DUMMYFUNCTION("""COMPUTED_VALUE"""),"RC-090_26")</f>
        <v>RC-090_26</v>
      </c>
    </row>
    <row r="256">
      <c r="A256" s="495" t="str">
        <f t="shared" si="1"/>
        <v/>
      </c>
      <c r="B256" s="497">
        <f>IFERROR(__xludf.DUMMYFUNCTION("""COMPUTED_VALUE"""),46038.68594761574)</f>
        <v>46038.68595</v>
      </c>
      <c r="C256" s="495" t="str">
        <f>IFERROR(__xludf.DUMMYFUNCTION("""COMPUTED_VALUE"""),"")</f>
        <v/>
      </c>
      <c r="D256" s="495" t="str">
        <f>IFERROR(__xludf.DUMMYFUNCTION("""COMPUTED_VALUE"""),"Cristóbal Correa del Río")</f>
        <v>Cristóbal Correa del Río</v>
      </c>
      <c r="E256" s="495"/>
      <c r="F256" s="496">
        <f>IFERROR(__xludf.DUMMYFUNCTION("""COMPUTED_VALUE"""),361.0)</f>
        <v>361</v>
      </c>
      <c r="G256" s="495"/>
      <c r="H256" s="495"/>
      <c r="I256" s="495"/>
      <c r="J256" s="495" t="str">
        <f>IFERROR(__xludf.DUMMYFUNCTION("""COMPUTED_VALUE"""),"Campus Prieto Norte - CHS")</f>
        <v>Campus Prieto Norte - CHS</v>
      </c>
      <c r="K256" s="495" t="str">
        <f>IFERROR(__xludf.DUMMYFUNCTION("""COMPUTED_VALUE"""),"Sin número")</f>
        <v>Sin número</v>
      </c>
      <c r="L256" s="495" t="str">
        <f>IFERROR(__xludf.DUMMYFUNCTION("""COMPUTED_VALUE"""),"Sociedad Comercial Espacio Mueble LTDA")</f>
        <v>Sociedad Comercial Espacio Mueble LTDA</v>
      </c>
      <c r="M256" s="495" t="str">
        <f>IFERROR(__xludf.DUMMYFUNCTION("""COMPUTED_VALUE"""),"77544225-5")</f>
        <v>77544225-5</v>
      </c>
      <c r="N256" s="495" t="str">
        <f>IFERROR(__xludf.DUMMYFUNCTION("""COMPUTED_VALUE"""),"Luis Emilio Aburto - Director de operaciones")</f>
        <v>Luis Emilio Aburto - Director de operaciones</v>
      </c>
      <c r="O256" s="495" t="str">
        <f>IFERROR(__xludf.DUMMYFUNCTION("""COMPUTED_VALUE"""),"Obras y Especialidades")</f>
        <v>Obras y Especialidades</v>
      </c>
      <c r="P256" s="495"/>
      <c r="Q256" s="495"/>
      <c r="R256" s="495" t="str">
        <f>IFERROR(__xludf.DUMMYFUNCTION("""COMPUTED_VALUE"""),"Especialidades")</f>
        <v>Especialidades</v>
      </c>
      <c r="S256" s="495" t="str">
        <f>IFERROR(__xludf.DUMMYFUNCTION("""COMPUTED_VALUE"""),"Recepción de Obra - RC")</f>
        <v>Recepción de Obra - RC</v>
      </c>
      <c r="T256" s="495"/>
      <c r="U256" s="495"/>
      <c r="V256" s="495" t="str">
        <f>IFERROR(__xludf.DUMMYFUNCTION("""COMPUTED_VALUE"""),"Fabricación e instalación mueble M23 (Mueble con lavacopa acero inox)")</f>
        <v>Fabricación e instalación mueble M23 (Mueble con lavacopa acero inox)</v>
      </c>
      <c r="W256" s="495"/>
      <c r="X256" s="499" t="str">
        <f>IFERROR(__xludf.DUMMYFUNCTION("""COMPUTED_VALUE"""),"https://drive.google.com/open?id=132PBDZ9Z_qucI6UkZXX8z2YiIfgIyf_N")</f>
        <v>https://drive.google.com/open?id=132PBDZ9Z_qucI6UkZXX8z2YiIfgIyf_N</v>
      </c>
      <c r="Y256" s="495" t="str">
        <f>IFERROR(__xludf.DUMMYFUNCTION("""COMPUTED_VALUE"""),"contacto.espaciomuebles@gmail.com")</f>
        <v>contacto.espaciomuebles@gmail.com</v>
      </c>
      <c r="Z256" s="495"/>
      <c r="AA256" s="495"/>
      <c r="AB256" s="495"/>
      <c r="AC256" s="495"/>
      <c r="AD256" s="495"/>
    </row>
    <row r="257">
      <c r="A257" s="495" t="str">
        <f t="shared" si="1"/>
        <v/>
      </c>
      <c r="B257" s="497">
        <f>IFERROR(__xludf.DUMMYFUNCTION("""COMPUTED_VALUE"""),46041.637337141205)</f>
        <v>46041.63734</v>
      </c>
      <c r="C257" s="495" t="str">
        <f>IFERROR(__xludf.DUMMYFUNCTION("""COMPUTED_VALUE"""),"")</f>
        <v/>
      </c>
      <c r="D257" s="495" t="str">
        <f>IFERROR(__xludf.DUMMYFUNCTION("""COMPUTED_VALUE"""),"Mauricio Zurita Aldea")</f>
        <v>Mauricio Zurita Aldea</v>
      </c>
      <c r="E257" s="495"/>
      <c r="F257" s="496" t="str">
        <f>IFERROR(__xludf.DUMMYFUNCTION("""COMPUTED_VALUE"""),"12497  -  2025")</f>
        <v>12497  -  2025</v>
      </c>
      <c r="G257" s="495"/>
      <c r="H257" s="495"/>
      <c r="I257" s="495"/>
      <c r="J257" s="495" t="str">
        <f>IFERROR(__xludf.DUMMYFUNCTION("""COMPUTED_VALUE"""),"Campus San Juan Pablo II - CJP")</f>
        <v>Campus San Juan Pablo II - CJP</v>
      </c>
      <c r="K257" s="495" t="str">
        <f>IFERROR(__xludf.DUMMYFUNCTION("""COMPUTED_VALUE"""),"03")</f>
        <v>03</v>
      </c>
      <c r="L257" s="495" t="str">
        <f>IFERROR(__xludf.DUMMYFUNCTION("""COMPUTED_VALUE"""),"AYC SOLUCIONES SPA")</f>
        <v>AYC SOLUCIONES SPA</v>
      </c>
      <c r="M257" s="495" t="str">
        <f>IFERROR(__xludf.DUMMYFUNCTION("""COMPUTED_VALUE"""),"77.724.003-K")</f>
        <v>77.724.003-K</v>
      </c>
      <c r="N257" s="495" t="str">
        <f>IFERROR(__xludf.DUMMYFUNCTION("""COMPUTED_VALUE"""),"Mauricio Zurita -  Ingeniero Electrico")</f>
        <v>Mauricio Zurita -  Ingeniero Electrico</v>
      </c>
      <c r="O257" s="495" t="str">
        <f>IFERROR(__xludf.DUMMYFUNCTION("""COMPUTED_VALUE"""),"Obras y Especialidades")</f>
        <v>Obras y Especialidades</v>
      </c>
      <c r="P257" s="495"/>
      <c r="Q257" s="495"/>
      <c r="R257" s="495" t="str">
        <f>IFERROR(__xludf.DUMMYFUNCTION("""COMPUTED_VALUE"""),"Especialidades")</f>
        <v>Especialidades</v>
      </c>
      <c r="S257" s="495" t="str">
        <f>IFERROR(__xludf.DUMMYFUNCTION("""COMPUTED_VALUE"""),"Recepción de Obra - RC")</f>
        <v>Recepción de Obra - RC</v>
      </c>
      <c r="T257" s="495"/>
      <c r="U257" s="495"/>
      <c r="V257" s="495" t="str">
        <f>IFERROR(__xludf.DUMMYFUNCTION("""COMPUTED_VALUE"""),"Reparacion enlace de datos edificio educacion campus juan pablo segundo")</f>
        <v>Reparacion enlace de datos edificio educacion campus juan pablo segundo</v>
      </c>
      <c r="W257" s="495" t="str">
        <f>IFERROR(__xludf.DUMMYFUNCTION("""COMPUTED_VALUE"""),"Observaciones ya realizadas al solicitante")</f>
        <v>Observaciones ya realizadas al solicitante</v>
      </c>
      <c r="X257" s="495" t="str">
        <f>IFERROR(__xludf.DUMMYFUNCTION("""COMPUTED_VALUE"""),"https://drive.google.com/open?id=13j8WrgS9BIKTTK3ph-VCQkcVM3suOE93, https://drive.google.com/open?id=1NJQ-1taSeckW5v4eY3Y8_Eu68ritY65p, https://drive.google.com/open?id=1Xo3sGV7035WwjYreNB6q4rYwOXcYoWQc, https://drive.google.com/open?id=1rn7w9HgJz-YXIL9X8"&amp;"W5bnwc_5gZc2dY3")</f>
        <v>https://drive.google.com/open?id=13j8WrgS9BIKTTK3ph-VCQkcVM3suOE93, https://drive.google.com/open?id=1NJQ-1taSeckW5v4eY3Y8_Eu68ritY65p, https://drive.google.com/open?id=1Xo3sGV7035WwjYreNB6q4rYwOXcYoWQc, https://drive.google.com/open?id=1rn7w9HgJz-YXIL9X8W5bnwc_5gZc2dY3</v>
      </c>
      <c r="Y257" s="495" t="str">
        <f>IFERROR(__xludf.DUMMYFUNCTION("""COMPUTED_VALUE"""),"javieriffo@gmail.com")</f>
        <v>javieriffo@gmail.com</v>
      </c>
      <c r="Z257" s="495"/>
      <c r="AA257" s="495"/>
      <c r="AB257" s="495"/>
      <c r="AC257" s="495"/>
      <c r="AD257" s="495"/>
    </row>
    <row r="258">
      <c r="A258" s="495" t="str">
        <f t="shared" si="1"/>
        <v/>
      </c>
      <c r="B258" s="497">
        <f>IFERROR(__xludf.DUMMYFUNCTION("""COMPUTED_VALUE"""),46041.66384313657)</f>
        <v>46041.66384</v>
      </c>
      <c r="C258" s="495" t="str">
        <f>IFERROR(__xludf.DUMMYFUNCTION("""COMPUTED_VALUE"""),"")</f>
        <v/>
      </c>
      <c r="D258" s="495" t="str">
        <f>IFERROR(__xludf.DUMMYFUNCTION("""COMPUTED_VALUE"""),"Mauricio Zurita Aldea")</f>
        <v>Mauricio Zurita Aldea</v>
      </c>
      <c r="E258" s="495"/>
      <c r="F258" s="496" t="str">
        <f>IFERROR(__xludf.DUMMYFUNCTION("""COMPUTED_VALUE"""),"12757 - 2025")</f>
        <v>12757 - 2025</v>
      </c>
      <c r="G258" s="495"/>
      <c r="H258" s="495"/>
      <c r="I258" s="495"/>
      <c r="J258" s="495" t="str">
        <f>IFERROR(__xludf.DUMMYFUNCTION("""COMPUTED_VALUE"""),"Campus San Juan Pablo II - CJP")</f>
        <v>Campus San Juan Pablo II - CJP</v>
      </c>
      <c r="K258" s="495" t="str">
        <f>IFERROR(__xludf.DUMMYFUNCTION("""COMPUTED_VALUE"""),"08")</f>
        <v>08</v>
      </c>
      <c r="L258" s="495" t="str">
        <f>IFERROR(__xludf.DUMMYFUNCTION("""COMPUTED_VALUE"""),"AYC SALUCIONES SPA")</f>
        <v>AYC SALUCIONES SPA</v>
      </c>
      <c r="M258" s="495" t="str">
        <f>IFERROR(__xludf.DUMMYFUNCTION("""COMPUTED_VALUE"""),"77.724.003-K")</f>
        <v>77.724.003-K</v>
      </c>
      <c r="N258" s="495" t="str">
        <f>IFERROR(__xludf.DUMMYFUNCTION("""COMPUTED_VALUE"""),"JAVIER RIFFO ESPINOZA")</f>
        <v>JAVIER RIFFO ESPINOZA</v>
      </c>
      <c r="O258" s="495" t="str">
        <f>IFERROR(__xludf.DUMMYFUNCTION("""COMPUTED_VALUE"""),"Obras y Especialidades")</f>
        <v>Obras y Especialidades</v>
      </c>
      <c r="P258" s="495"/>
      <c r="Q258" s="495"/>
      <c r="R258" s="495" t="str">
        <f>IFERROR(__xludf.DUMMYFUNCTION("""COMPUTED_VALUE"""),"Especialidades")</f>
        <v>Especialidades</v>
      </c>
      <c r="S258" s="495" t="str">
        <f>IFERROR(__xludf.DUMMYFUNCTION("""COMPUTED_VALUE"""),"Recepción de Obra - RC")</f>
        <v>Recepción de Obra - RC</v>
      </c>
      <c r="T258" s="495"/>
      <c r="U258" s="495"/>
      <c r="V258" s="495" t="str">
        <f>IFERROR(__xludf.DUMMYFUNCTION("""COMPUTED_VALUE"""),"NORMALIZACION DE RACK DE COMUNICACIONES PISO 2,3,4y5")</f>
        <v>NORMALIZACION DE RACK DE COMUNICACIONES PISO 2,3,4y5</v>
      </c>
      <c r="W258" s="495" t="str">
        <f>IFERROR(__xludf.DUMMYFUNCTION("""COMPUTED_VALUE"""),"Trabajo entregado y sin observaciones")</f>
        <v>Trabajo entregado y sin observaciones</v>
      </c>
      <c r="X258" s="495" t="str">
        <f>IFERROR(__xludf.DUMMYFUNCTION("""COMPUTED_VALUE"""),"https://drive.google.com/open?id=15CylsysX8H2-CmQIBNverPz4E0e6kOys, https://drive.google.com/open?id=11rkAn7wdxbwdHLKD0vUeUHkWv5E61Zo5, https://drive.google.com/open?id=1ol-eaWrHoam7p4bVFROVRWxxT42znXan, https://drive.google.com/open?id=1U-Ec6p9ul8eYLjkvs"&amp;"nhBBDrpQadB6x-p, https://drive.google.com/open?id=1iS5OJPmxcmdO2dM6lfQ8b0gtte4K95_h, https://drive.google.com/open?id=1N1DL1ieIOogSyOomtqbQAU2bWqCwCR80, https://drive.google.com/open?id=1XXjzS2GVDZElZ9wjB7L7-GUg87pfhgWU, https://drive.google.com/open?id=1"&amp;"85ONgwt9A69Q6Yp1lwPqZBUwr5vX5tgK")</f>
        <v>https://drive.google.com/open?id=15CylsysX8H2-CmQIBNverPz4E0e6kOys, https://drive.google.com/open?id=11rkAn7wdxbwdHLKD0vUeUHkWv5E61Zo5, https://drive.google.com/open?id=1ol-eaWrHoam7p4bVFROVRWxxT42znXan, https://drive.google.com/open?id=1U-Ec6p9ul8eYLjkvsnhBBDrpQadB6x-p, https://drive.google.com/open?id=1iS5OJPmxcmdO2dM6lfQ8b0gtte4K95_h, https://drive.google.com/open?id=1N1DL1ieIOogSyOomtqbQAU2bWqCwCR80, https://drive.google.com/open?id=1XXjzS2GVDZElZ9wjB7L7-GUg87pfhgWU, https://drive.google.com/open?id=185ONgwt9A69Q6Yp1lwPqZBUwr5vX5tgK</v>
      </c>
      <c r="Y258" s="495" t="str">
        <f>IFERROR(__xludf.DUMMYFUNCTION("""COMPUTED_VALUE"""),"javieriffo@gmail.com")</f>
        <v>javieriffo@gmail.com</v>
      </c>
      <c r="Z258" s="495"/>
      <c r="AA258" s="495"/>
      <c r="AB258" s="495"/>
      <c r="AC258" s="495"/>
      <c r="AD258" s="495"/>
    </row>
    <row r="259">
      <c r="A259" s="495" t="str">
        <f t="shared" si="1"/>
        <v/>
      </c>
      <c r="B259" s="497">
        <f>IFERROR(__xludf.DUMMYFUNCTION("""COMPUTED_VALUE"""),46041.817057430555)</f>
        <v>46041.81706</v>
      </c>
      <c r="C259" s="495" t="str">
        <f>IFERROR(__xludf.DUMMYFUNCTION("""COMPUTED_VALUE"""),"")</f>
        <v/>
      </c>
      <c r="D259" s="495" t="str">
        <f>IFERROR(__xludf.DUMMYFUNCTION("""COMPUTED_VALUE"""),"Carol Huenchual Chañilao")</f>
        <v>Carol Huenchual Chañilao</v>
      </c>
      <c r="E259" s="495"/>
      <c r="F259" s="496" t="str">
        <f>IFERROR(__xludf.DUMMYFUNCTION("""COMPUTED_VALUE"""),"385 - 2026")</f>
        <v>385 - 2026</v>
      </c>
      <c r="G259" s="495"/>
      <c r="H259" s="495"/>
      <c r="I259" s="495"/>
      <c r="J259" s="495" t="str">
        <f>IFERROR(__xludf.DUMMYFUNCTION("""COMPUTED_VALUE"""),"Campus San Francisco - CSF")</f>
        <v>Campus San Francisco - CSF</v>
      </c>
      <c r="K259" s="495">
        <f>IFERROR(__xludf.DUMMYFUNCTION("""COMPUTED_VALUE"""),15.0)</f>
        <v>15</v>
      </c>
      <c r="L259" s="495" t="str">
        <f>IFERROR(__xludf.DUMMYFUNCTION("""COMPUTED_VALUE"""),"Marcelo Javier Jacobi Siegmund")</f>
        <v>Marcelo Javier Jacobi Siegmund</v>
      </c>
      <c r="M259" s="495" t="str">
        <f>IFERROR(__xludf.DUMMYFUNCTION("""COMPUTED_VALUE"""),"9.087.185-4")</f>
        <v>9.087.185-4</v>
      </c>
      <c r="N259" s="495" t="str">
        <f>IFERROR(__xludf.DUMMYFUNCTION("""COMPUTED_VALUE"""),"Patricio Manriquez Riffo  - Técnico Mayor")</f>
        <v>Patricio Manriquez Riffo  - Técnico Mayor</v>
      </c>
      <c r="O259" s="495" t="str">
        <f>IFERROR(__xludf.DUMMYFUNCTION("""COMPUTED_VALUE"""),"Operación")</f>
        <v>Operación</v>
      </c>
      <c r="P259" s="495"/>
      <c r="Q259" s="495" t="str">
        <f>IFERROR(__xludf.DUMMYFUNCTION("""COMPUTED_VALUE"""),"Climatización")</f>
        <v>Climatización</v>
      </c>
      <c r="R259" s="495"/>
      <c r="S259" s="495"/>
      <c r="T259" s="495"/>
      <c r="U259" s="495"/>
      <c r="V259" s="495" t="str">
        <f>IFERROR(__xludf.DUMMYFUNCTION("""COMPUTED_VALUE"""),"Cambio Bomba de Condensado a AAc tipo cassette de 12.000 BTU/H.")</f>
        <v>Cambio Bomba de Condensado a AAc tipo cassette de 12.000 BTU/H.</v>
      </c>
      <c r="W259" s="495" t="str">
        <f>IFERROR(__xludf.DUMMYFUNCTION("""COMPUTED_VALUE"""),"Observación de funcionamiento cuando el equipamiento está funcionando")</f>
        <v>Observación de funcionamiento cuando el equipamiento está funcionando</v>
      </c>
      <c r="X259" s="495" t="str">
        <f>IFERROR(__xludf.DUMMYFUNCTION("""COMPUTED_VALUE"""),"https://drive.google.com/open?id=1lw-WIk_gTxIJVD732kgcGzm0Ug3GG3FX, https://drive.google.com/open?id=1bJrzQXA175DtlDJk8Rg2tQ4yf0VkqhCt, https://drive.google.com/open?id=1IP-tV4vs80rg1V8m_-5uNj7H1UQG9UJl")</f>
        <v>https://drive.google.com/open?id=1lw-WIk_gTxIJVD732kgcGzm0Ug3GG3FX, https://drive.google.com/open?id=1bJrzQXA175DtlDJk8Rg2tQ4yf0VkqhCt, https://drive.google.com/open?id=1IP-tV4vs80rg1V8m_-5uNj7H1UQG9UJl</v>
      </c>
      <c r="Y259" s="495" t="str">
        <f>IFERROR(__xludf.DUMMYFUNCTION("""COMPUTED_VALUE"""),"mjacobisiegmund@gmail.com")</f>
        <v>mjacobisiegmund@gmail.com</v>
      </c>
      <c r="Z259" s="495"/>
      <c r="AA259" s="495"/>
      <c r="AB259" s="495"/>
      <c r="AC259" s="495"/>
      <c r="AD259" s="495"/>
    </row>
    <row r="260">
      <c r="A260" s="495" t="str">
        <f t="shared" si="1"/>
        <v/>
      </c>
      <c r="B260" s="497">
        <f>IFERROR(__xludf.DUMMYFUNCTION("""COMPUTED_VALUE"""),46041.82616460648)</f>
        <v>46041.82616</v>
      </c>
      <c r="C260" s="495" t="str">
        <f>IFERROR(__xludf.DUMMYFUNCTION("""COMPUTED_VALUE"""),"")</f>
        <v/>
      </c>
      <c r="D260" s="495" t="str">
        <f>IFERROR(__xludf.DUMMYFUNCTION("""COMPUTED_VALUE"""),"Carol Huenchual Chañilao")</f>
        <v>Carol Huenchual Chañilao</v>
      </c>
      <c r="E260" s="495"/>
      <c r="F260" s="496" t="str">
        <f>IFERROR(__xludf.DUMMYFUNCTION("""COMPUTED_VALUE"""),"385 - 2026")</f>
        <v>385 - 2026</v>
      </c>
      <c r="G260" s="495"/>
      <c r="H260" s="495"/>
      <c r="I260" s="495"/>
      <c r="J260" s="495" t="str">
        <f>IFERROR(__xludf.DUMMYFUNCTION("""COMPUTED_VALUE"""),"Campus San Francisco - CSF")</f>
        <v>Campus San Francisco - CSF</v>
      </c>
      <c r="K260" s="495">
        <f>IFERROR(__xludf.DUMMYFUNCTION("""COMPUTED_VALUE"""),11.0)</f>
        <v>11</v>
      </c>
      <c r="L260" s="495" t="str">
        <f>IFERROR(__xludf.DUMMYFUNCTION("""COMPUTED_VALUE"""),"Marcelo Javier Jacobi Siegmund")</f>
        <v>Marcelo Javier Jacobi Siegmund</v>
      </c>
      <c r="M260" s="495" t="str">
        <f>IFERROR(__xludf.DUMMYFUNCTION("""COMPUTED_VALUE"""),"9.087.185-4")</f>
        <v>9.087.185-4</v>
      </c>
      <c r="N260" s="495" t="str">
        <f>IFERROR(__xludf.DUMMYFUNCTION("""COMPUTED_VALUE"""),"Patricio Manriquez Riffo  Técnico Mayor")</f>
        <v>Patricio Manriquez Riffo  Técnico Mayor</v>
      </c>
      <c r="O260" s="495" t="str">
        <f>IFERROR(__xludf.DUMMYFUNCTION("""COMPUTED_VALUE"""),"Operación")</f>
        <v>Operación</v>
      </c>
      <c r="P260" s="495"/>
      <c r="Q260" s="495" t="str">
        <f>IFERROR(__xludf.DUMMYFUNCTION("""COMPUTED_VALUE"""),"Climatización")</f>
        <v>Climatización</v>
      </c>
      <c r="R260" s="495"/>
      <c r="S260" s="495"/>
      <c r="T260" s="495"/>
      <c r="U260" s="495"/>
      <c r="V260" s="495" t="str">
        <f>IFERROR(__xludf.DUMMYFUNCTION("""COMPUTED_VALUE"""),"Reparación sistema desagüe en AAc de Ducto, limpieza")</f>
        <v>Reparación sistema desagüe en AAc de Ducto, limpieza</v>
      </c>
      <c r="W260" s="495" t="str">
        <f>IFERROR(__xludf.DUMMYFUNCTION("""COMPUTED_VALUE"""),"Observar si existen goteos")</f>
        <v>Observar si existen goteos</v>
      </c>
      <c r="X260" s="495" t="str">
        <f>IFERROR(__xludf.DUMMYFUNCTION("""COMPUTED_VALUE"""),"https://drive.google.com/open?id=1AWIToG0oL-WIG4rmzSe9Lh5rnObvfN1d, https://drive.google.com/open?id=1gemOHQT13P7sju47aQMUwkg5Dgu494T1, https://drive.google.com/open?id=1A5J31vQH4AZpaw6scH_0vCMR2sUTkCRU, https://drive.google.com/open?id=1TIsgShe096GPthDyy"&amp;"DM7Z5YPML4xEE55")</f>
        <v>https://drive.google.com/open?id=1AWIToG0oL-WIG4rmzSe9Lh5rnObvfN1d, https://drive.google.com/open?id=1gemOHQT13P7sju47aQMUwkg5Dgu494T1, https://drive.google.com/open?id=1A5J31vQH4AZpaw6scH_0vCMR2sUTkCRU, https://drive.google.com/open?id=1TIsgShe096GPthDyyDM7Z5YPML4xEE55</v>
      </c>
      <c r="Y260" s="495" t="str">
        <f>IFERROR(__xludf.DUMMYFUNCTION("""COMPUTED_VALUE"""),"mjacobisiegmund@gmail.com")</f>
        <v>mjacobisiegmund@gmail.com</v>
      </c>
      <c r="Z260" s="495"/>
      <c r="AA260" s="495"/>
      <c r="AB260" s="495"/>
      <c r="AC260" s="495"/>
      <c r="AD260" s="495"/>
    </row>
    <row r="261">
      <c r="A261" s="495" t="str">
        <f t="shared" si="1"/>
        <v/>
      </c>
      <c r="B261" s="497">
        <f>IFERROR(__xludf.DUMMYFUNCTION("""COMPUTED_VALUE"""),46042.389334189815)</f>
        <v>46042.38933</v>
      </c>
      <c r="C261" s="495" t="str">
        <f>IFERROR(__xludf.DUMMYFUNCTION("""COMPUTED_VALUE"""),"")</f>
        <v/>
      </c>
      <c r="D261" s="495" t="str">
        <f>IFERROR(__xludf.DUMMYFUNCTION("""COMPUTED_VALUE"""),"Mauricio Zurita Aldea")</f>
        <v>Mauricio Zurita Aldea</v>
      </c>
      <c r="E261" s="495"/>
      <c r="F261" s="496">
        <f>IFERROR(__xludf.DUMMYFUNCTION("""COMPUTED_VALUE"""),12877.0)</f>
        <v>12877</v>
      </c>
      <c r="G261" s="495"/>
      <c r="H261" s="495"/>
      <c r="I261" s="495"/>
      <c r="J261" s="495" t="str">
        <f>IFERROR(__xludf.DUMMYFUNCTION("""COMPUTED_VALUE"""),"Campus San Francisco - CSF")</f>
        <v>Campus San Francisco - CSF</v>
      </c>
      <c r="K261" s="495" t="str">
        <f>IFERROR(__xludf.DUMMYFUNCTION("""COMPUTED_VALUE"""),"Exterior")</f>
        <v>Exterior</v>
      </c>
      <c r="L261" s="495" t="str">
        <f>IFERROR(__xludf.DUMMYFUNCTION("""COMPUTED_VALUE"""),"IRENE YUDITH MARTEL HERNANDEZ CONTRATISTA OBRAS MENORES Y TELECOMUNICACIONES")</f>
        <v>IRENE YUDITH MARTEL HERNANDEZ CONTRATISTA OBRAS MENORES Y TELECOMUNICACIONES</v>
      </c>
      <c r="M261" s="495" t="str">
        <f>IFERROR(__xludf.DUMMYFUNCTION("""COMPUTED_VALUE"""),"77520606-3")</f>
        <v>77520606-3</v>
      </c>
      <c r="N261" s="495" t="str">
        <f>IFERROR(__xludf.DUMMYFUNCTION("""COMPUTED_VALUE"""),"Claudio Triña")</f>
        <v>Claudio Triña</v>
      </c>
      <c r="O261" s="495" t="str">
        <f>IFERROR(__xludf.DUMMYFUNCTION("""COMPUTED_VALUE"""),"Obras y Especialidades")</f>
        <v>Obras y Especialidades</v>
      </c>
      <c r="P261" s="495"/>
      <c r="Q261" s="495"/>
      <c r="R261" s="495" t="str">
        <f>IFERROR(__xludf.DUMMYFUNCTION("""COMPUTED_VALUE"""),"Especialidades")</f>
        <v>Especialidades</v>
      </c>
      <c r="S261" s="495" t="str">
        <f>IFERROR(__xludf.DUMMYFUNCTION("""COMPUTED_VALUE"""),"Recepción de Obra - RC")</f>
        <v>Recepción de Obra - RC</v>
      </c>
      <c r="T261" s="495"/>
      <c r="U261" s="495"/>
      <c r="V261" s="495" t="str">
        <f>IFERROR(__xludf.DUMMYFUNCTION("""COMPUTED_VALUE"""),"Conexión de enlace fibra óptica edificio CSF01, CSF17 Y CSF16")</f>
        <v>Conexión de enlace fibra óptica edificio CSF01, CSF17 Y CSF16</v>
      </c>
      <c r="W261" s="495" t="str">
        <f>IFERROR(__xludf.DUMMYFUNCTION("""COMPUTED_VALUE"""),"Se deben pasar enlaces por cámaras nuevas ")</f>
        <v>Se deben pasar enlaces por cámaras nuevas </v>
      </c>
      <c r="X261" s="499" t="str">
        <f>IFERROR(__xludf.DUMMYFUNCTION("""COMPUTED_VALUE"""),"https://drive.google.com/open?id=1PBFv_iZlBrMILAWAFfoqYPcAyVAiV6bV")</f>
        <v>https://drive.google.com/open?id=1PBFv_iZlBrMILAWAFfoqYPcAyVAiV6bV</v>
      </c>
      <c r="Y261" s="495" t="str">
        <f>IFERROR(__xludf.DUMMYFUNCTION("""COMPUTED_VALUE"""),"mzurita@uct.cl")</f>
        <v>mzurita@uct.cl</v>
      </c>
      <c r="Z261" s="495"/>
      <c r="AA261" s="495"/>
      <c r="AB261" s="495"/>
      <c r="AC261" s="495"/>
      <c r="AD261" s="495"/>
    </row>
    <row r="262">
      <c r="A262" s="495" t="str">
        <f t="shared" si="1"/>
        <v/>
      </c>
      <c r="B262" s="497">
        <f>IFERROR(__xludf.DUMMYFUNCTION("""COMPUTED_VALUE"""),46042.565520069445)</f>
        <v>46042.56552</v>
      </c>
      <c r="C262" s="495" t="str">
        <f>IFERROR(__xludf.DUMMYFUNCTION("""COMPUTED_VALUE"""),"")</f>
        <v/>
      </c>
      <c r="D262" s="495" t="str">
        <f>IFERROR(__xludf.DUMMYFUNCTION("""COMPUTED_VALUE"""),"Carol Huenchual Chañilao")</f>
        <v>Carol Huenchual Chañilao</v>
      </c>
      <c r="E262" s="495"/>
      <c r="F262" s="496" t="str">
        <f>IFERROR(__xludf.DUMMYFUNCTION("""COMPUTED_VALUE"""),"409 - 2026")</f>
        <v>409 - 2026</v>
      </c>
      <c r="G262" s="495"/>
      <c r="H262" s="495"/>
      <c r="I262" s="495"/>
      <c r="J262" s="495" t="str">
        <f>IFERROR(__xludf.DUMMYFUNCTION("""COMPUTED_VALUE"""),"Campus Dr. Luis Rivas del Canto - CRC")</f>
        <v>Campus Dr. Luis Rivas del Canto - CRC</v>
      </c>
      <c r="K262" s="495">
        <f>IFERROR(__xludf.DUMMYFUNCTION("""COMPUTED_VALUE"""),16.0)</f>
        <v>16</v>
      </c>
      <c r="L262" s="495" t="str">
        <f>IFERROR(__xludf.DUMMYFUNCTION("""COMPUTED_VALUE"""),"Marcelo Javier Jacobi Siegmund")</f>
        <v>Marcelo Javier Jacobi Siegmund</v>
      </c>
      <c r="M262" s="495" t="str">
        <f>IFERROR(__xludf.DUMMYFUNCTION("""COMPUTED_VALUE"""),"9.087.185-4")</f>
        <v>9.087.185-4</v>
      </c>
      <c r="N262" s="495" t="str">
        <f>IFERROR(__xludf.DUMMYFUNCTION("""COMPUTED_VALUE"""),"Patricio Manriquez Riffo  Técnico Mayor")</f>
        <v>Patricio Manriquez Riffo  Técnico Mayor</v>
      </c>
      <c r="O262" s="495" t="str">
        <f>IFERROR(__xludf.DUMMYFUNCTION("""COMPUTED_VALUE"""),"Operación")</f>
        <v>Operación</v>
      </c>
      <c r="P262" s="495"/>
      <c r="Q262" s="495" t="str">
        <f>IFERROR(__xludf.DUMMYFUNCTION("""COMPUTED_VALUE"""),"Climatización")</f>
        <v>Climatización</v>
      </c>
      <c r="R262" s="495"/>
      <c r="S262" s="495"/>
      <c r="T262" s="495"/>
      <c r="U262" s="495"/>
      <c r="V262" s="495" t="str">
        <f>IFERROR(__xludf.DUMMYFUNCTION("""COMPUTED_VALUE"""),"Cambio bomba de condensado a AAc tipo Split, nueva. Bomba quemada")</f>
        <v>Cambio bomba de condensado a AAc tipo Split, nueva. Bomba quemada</v>
      </c>
      <c r="W262" s="495" t="str">
        <f>IFERROR(__xludf.DUMMYFUNCTION("""COMPUTED_VALUE"""),"Observación cada cierto tiempo, y si no hubieran goteras")</f>
        <v>Observación cada cierto tiempo, y si no hubieran goteras</v>
      </c>
      <c r="X262" s="495" t="str">
        <f>IFERROR(__xludf.DUMMYFUNCTION("""COMPUTED_VALUE"""),"https://drive.google.com/open?id=1ckjDJ3AsFlu5ouBHQpTG-KSBzApe4vEZ, https://drive.google.com/open?id=1LxD1mx17xOnMAs2PF7LkmjrR0qG3uLe8, https://drive.google.com/open?id=1xzwwL0WwktKYYuEM7-1fThHoiPZLBD2D")</f>
        <v>https://drive.google.com/open?id=1ckjDJ3AsFlu5ouBHQpTG-KSBzApe4vEZ, https://drive.google.com/open?id=1LxD1mx17xOnMAs2PF7LkmjrR0qG3uLe8, https://drive.google.com/open?id=1xzwwL0WwktKYYuEM7-1fThHoiPZLBD2D</v>
      </c>
      <c r="Y262" s="495" t="str">
        <f>IFERROR(__xludf.DUMMYFUNCTION("""COMPUTED_VALUE"""),"mjacobisiegmund@gmail.com")</f>
        <v>mjacobisiegmund@gmail.com</v>
      </c>
      <c r="Z262" s="495"/>
      <c r="AA262" s="495"/>
      <c r="AB262" s="495"/>
      <c r="AC262" s="495"/>
      <c r="AD262" s="495"/>
    </row>
    <row r="263">
      <c r="A263" s="495" t="str">
        <f t="shared" si="1"/>
        <v/>
      </c>
      <c r="B263" s="497">
        <f>IFERROR(__xludf.DUMMYFUNCTION("""COMPUTED_VALUE"""),46042.71262719907)</f>
        <v>46042.71263</v>
      </c>
      <c r="C263" s="495" t="str">
        <f>IFERROR(__xludf.DUMMYFUNCTION("""COMPUTED_VALUE"""),"")</f>
        <v/>
      </c>
      <c r="D263" s="495" t="str">
        <f>IFERROR(__xludf.DUMMYFUNCTION("""COMPUTED_VALUE"""),"Mauricio Zurita Aldea")</f>
        <v>Mauricio Zurita Aldea</v>
      </c>
      <c r="E263" s="495"/>
      <c r="F263" s="496" t="str">
        <f>IFERROR(__xludf.DUMMYFUNCTION("""COMPUTED_VALUE"""),"12329-2025")</f>
        <v>12329-2025</v>
      </c>
      <c r="G263" s="495"/>
      <c r="H263" s="495"/>
      <c r="I263" s="495"/>
      <c r="J263" s="495" t="str">
        <f>IFERROR(__xludf.DUMMYFUNCTION("""COMPUTED_VALUE"""),"Campus San Juan Pablo II - CJP")</f>
        <v>Campus San Juan Pablo II - CJP</v>
      </c>
      <c r="K263" s="495" t="str">
        <f>IFERROR(__xludf.DUMMYFUNCTION("""COMPUTED_VALUE"""),"08")</f>
        <v>08</v>
      </c>
      <c r="L263" s="495" t="str">
        <f>IFERROR(__xludf.DUMMYFUNCTION("""COMPUTED_VALUE"""),"GYO TECHNOLOGIES INVESTMENT SPA")</f>
        <v>GYO TECHNOLOGIES INVESTMENT SPA</v>
      </c>
      <c r="M263" s="495" t="str">
        <f>IFERROR(__xludf.DUMMYFUNCTION("""COMPUTED_VALUE"""),"78097456-7")</f>
        <v>78097456-7</v>
      </c>
      <c r="N263" s="495" t="str">
        <f>IFERROR(__xludf.DUMMYFUNCTION("""COMPUTED_VALUE"""),"FELIPE OPORTO")</f>
        <v>FELIPE OPORTO</v>
      </c>
      <c r="O263" s="495" t="str">
        <f>IFERROR(__xludf.DUMMYFUNCTION("""COMPUTED_VALUE"""),"Obras y Especialidades")</f>
        <v>Obras y Especialidades</v>
      </c>
      <c r="P263" s="495"/>
      <c r="Q263" s="495"/>
      <c r="R263" s="495" t="str">
        <f>IFERROR(__xludf.DUMMYFUNCTION("""COMPUTED_VALUE"""),"Especialidades")</f>
        <v>Especialidades</v>
      </c>
      <c r="S263" s="495" t="str">
        <f>IFERROR(__xludf.DUMMYFUNCTION("""COMPUTED_VALUE"""),"Recepción de Obra - RC")</f>
        <v>Recepción de Obra - RC</v>
      </c>
      <c r="T263" s="495"/>
      <c r="U263" s="495"/>
      <c r="V263" s="495" t="str">
        <f>IFERROR(__xludf.DUMMYFUNCTION("""COMPUTED_VALUE"""),"DESARROLLO INFORMATICO PARA FLUJOMETROS ELECTROMAGENTICOS, INFORMES DE LECTURA EDIFICIO CENTRO DE EVENTOS CJP 05-08-07-11")</f>
        <v>DESARROLLO INFORMATICO PARA FLUJOMETROS ELECTROMAGENTICOS, INFORMES DE LECTURA EDIFICIO CENTRO DE EVENTOS CJP 05-08-07-11</v>
      </c>
      <c r="W263" s="495" t="str">
        <f>IFERROR(__xludf.DUMMYFUNCTION("""COMPUTED_VALUE"""),"Se documenta de manera detallada, cronológica y verificable todas las actividades realizadas durante el proceso de evaluación de integración entre un flujómetro electromagnético modelo LDG-B Series y una plataforma de telemetría basada en equipos Teltonik"&amp;"a (FMC125 / FMC650), utilizando el protocolo Modbus RTU sobre interfaz RS485.
El objetivo de este documento es dejar constancia técnica formal de que se realizaron todas las pruebas necesarias, utilizando metodologías estándar de la industria, antes de c"&amp;"oncluir la inviabilidad de la comunicación Modbus en el equipo evaluado.
2. OBJETIVO DEL TRABAJO
• Evaluar la factibilidad técnica de comunicación Modbus RTU entre el flujómetro LDG-B Series y dispositivos Teltonika.
• Determinar si el flujómetro respo"&amp;"nde correctamente a solicitudes Modbus estándar.
• Verificar configuraciones eléctricas, lógicas y de protocolo.
• Documentar evidencias técnicas que sustenten la conclusión final.
• Definir una alternativa técnica viable para la adquisición de caudal.
"&amp;"3. ALCANCE DE LAS PRUEBAS
Las pruebas realizadas incluyeron:
• Verificación de parámetros internos del flujómetro.
• Pruebas de comunicación RS485 directa con PC.
• Pruebas de comunicación indirecta mediante Teltonika FMC650.
• Análisis de tramas crudas "&amp;"recibidas en servidor.
• Evaluación de documentación del fabricante.
• Ensayos con diferentes configuraciones de hardware y software.
4. EQUIPAMIENTO Y HERRAMIENTAS UTILIZADAS
4.1 Equipos:
• Flujómetro electromagnético LDG-B Series.
• Teltonika FMC125 "&amp;"y FMC650.
• PC de pruebas con sistema operativo Windows.
• Adaptador USB a RS485 industrial.
4.2 Software:
• qModMaster (Maestro Modbus RTU).
• Herramientas de monitoreo serial.
• Servidor TCP personalizado para recepción de datos Teltonika.
• Plataforma"&amp;" GPSGate para observación de tramas entrantes.
5. CONFIGURACIÓN DEL FLUJÓMETRO
Se verificaron y ajustaron los siguientes parámetros directamente desde el menú del equipo:
• Dirección Modbus (Slave ID): 001.
• Baudrate: 9600 bps.
• Formato de trama: 8 b"&amp;"its de datos, sin paridad, 1 bit de parada (8N1).
• Interfaz física: RS485.
Adicionalmente, se revisaron parámetros operacionales como tamaño de sensor y detección de tubo vacío para descartar bloqueos de medición.
6. PRUEBAS DE COMUNICACIÓN MODBUS DIR"&amp;"ECTA (PC ↔ FLUJÓMETRO)
El flujómetro fue conectado directamente a un PC mediante adaptador USB-RS485.
Se realizaron múltiples solicitudes Modbus RTU estándar:
• Function Code 03 – Read Holding Registers.
• Function Code 04 – Read Input Registers.
• Varia"&amp;"ción de direcciones iniciales y longitudes de lectura.
• Inversión de polaridad A/B.
• Repetición de pruebas con diferentes tiempos de espera.
Resultado:
En todos los escenarios, el software maestro reportó errores del tipo:
“The expected number of bytes"&amp;" has not been received”, evidenciando ausencia total de respuesta desde el flujómetro.
7. PRUEBAS DE INTEGRACIÓN CON TELTONIKA FMC650
Se configuró el FMC650 en modo TCP/UDP Binary, verificando:
• Conectividad GPRS correcta.
• Envío de IMEI y datos AVL."&amp;"
• Recepción y envío de comandos Codec12.
• Funcionamiento correcto del servidor de pruebas.
Se constató que:
• El FMC650 opera correctamente a nivel de protocolo.
• No se reciben tramas Modbus desde el flujómetro.
• No se observa información externa aso"&amp;"ciable a RS485.
8. ANÁLISIS DE TRAMAS Y LOGS
Se analizaron:
• Tramas crudas recibidas en servidor.
• Logs del FMC650.
• Respuestas del sistema GPSGate.
Las tramas corresponden exclusivamente a información interna del dispositivo Teltonika, sin evidenc"&amp;"ia de payload Modbus RTU proveniente del flujómetro.
9. REVISIÓN DE DOCUMENTACIÓN DEL FABRICANTE
Se revisaron manuales técnicos del flujómetro LDG-B Series, observándose:
• Existencia de interfaz RS485 física.
• Mención genérica de Modbus.
• Ausencia d"&amp;"e mapa de registros detallado.
• Falta de ejemplos de tramas Modbus RTU.
• No se documenta habilitación explícita de Modbus.
Esto genera ambigüedad respecto a la real implementación del protocolo.
10. DESCARTE DE CAUSAS COMUNES
A partir de las prueb"&amp;"as realizadas, se descartan:
• Error de cableado RS485.
• Error de polaridad.
• Error de baudrate o formato.
• Fallas del adaptador USB-RS485.
• Fallas del software maestro.
• Fallas del Teltonika FMC650.
11. CONCLUSIÓN TÉCNICA FINAL
Se concluye que el"&amp;" flujómetro LDG-B Series, si bien dispone de una interfaz física RS485, no presenta una implementación funcional de Modbus RTU en el equipo evaluado.
Esto puede deberse a:
• Modbus deshabilitado por firmware.
• Funcionalidad no incluida en esta versión.
"&amp;"• Uso de RS485 para protocolos propietarios.
La comunicación Modbus RTU se considera técnicamente inviable para este proyecto.
12. ACCIÓN CORRECTIVA Y SIGUIENTES ETAPAS
Se define como solución alternativa:
• Uso de la salida de pulsos del flujómetro.
"&amp;"• Conteo de pulsos mediante entradas digitales.
1. OBJETIVO GENERAL
El presente informe técnico documenta de forma exhaustiva, verificable y trazable todas las acciones técnicas realizadas durante la fase de estudio de factibilidad para la integración "&amp;"de flujómetros electromagnéticos LDG serie B con una plataforma de monitoreo Smart-City IoT.
2. ALCANCE DEL PROYECTO
El alcance de esta fase corresponde exclusivamente a un estudio de factibilidad técnica, incluyendo pruebas de comunicación, evaluación de"&amp;" protocolos industriales, análisis de alternativas de adquisición de datos y validación de transmisión hacia software central.
3. DESCRIPCIÓN DE EQUIPOS Y TECNOLOGÍAS
Se utilizaron flujómetros LDG-B Series, equipos Teltonika FMC650 y FMC125, adaptadores R"&amp;"S485–USB, servidores de prueba, herramientas Modbus RTU y software especializado de monitoreo IoT.
4. METODOLOGÍA DE TRABAJO
La metodología aplicada consideró análisis documental, configuración de equipos, pruebas de laboratorio, pruebas de campo, análisi"&amp;"s de tramas, evaluación de estabilidad operativa y validación de alternativas tecnológicas.
5. ANÁLISIS DE PROTOCOLO MODBUS
Se evaluó la comunicación Modbus RTU mediante parámetros estándar (9600 bps, 8N1, dirección 001). Se generaron tramas de consulta, "&amp;"se utilizaron herramientas de diagnóstico y se analizaron respuestas recibidas desde distintos entornos.
6. RESULTADOS DE PRUEBAS MODBUS
Las pruebas evidenciaron ausencia de respuesta válida ante solicitudes Modbus, concluyéndose que la interfaz Modbus se"&amp;" encuentra deshabilitada o no implementada en el modelo evaluado, imposibilitando su uso en esta fase.
7. ALTERNATIVA MEDIANTE SALIDA DE PULSOS
Se procedió a evaluar la salida de pulsos del flujómetro, configurando el equipo para emitir un pulso por cada "&amp;"10 litros. Las pruebas demostraron estabilidad, repetibilidad y confiabilidad del método.
8. VISITA TÉCNICA A CAMPUS NORTE
Se realizó visita técnica a dependencias del Campus Norte, donde se ejecutaron pruebas reales de salida de pulsos y frecuencia, real"&amp;"izando nuevas configuraciones al flujómetro.
9. TRANSMISIÓN Y SOFTWARE
Se instaló un equipo transmisor para remitir los pulsos al servidor, recepcionando correctamente los datos en el software desarrollado para este fin denominado “Universidad Católica de"&amp;" Temuco · Smart-City IoT”.
10. FACTIBILIDAD TÉCNICA
Las pruebas confirmaron la factibilidad de capturar, transmitir y procesar datos de consumo y variables derivadas de flujo mediante salida de pulsos, descartándose la vía Modbus para esta fase.
11. ENTRE"&amp;"GA DE EQUIPOS
Se hace entrega de un equipo transmisor considerado en la cotización del proyecto y de un equipo Teltonika FMC125,
12. CONCLUSIONES
El estudio de factibilidad se da por concluido, acreditando técnicamente la viabilidad de integración mediant"&amp;"e pulsos, quedando documentadas todas las pruebas realizadas.
13. RECOMENDACIONES
Para la siguiente fase de habilitación será necesaria la incorporación de transmisores adicionales y ampliación del sistema de captura.
14. CONTROL DE VERSIONES
Versión 1.0 "&amp;"– Informe Técnico Final de Factibilidad.
______________________________
Responsable Técnico
GYO Technologies
")</f>
        <v>Se documenta de manera detallada, cronológica y verificable todas las actividades realizadas durante el proceso de evaluación de integración entre un flujómetro electromagnético modelo LDG-B Series y una plataforma de telemetría basada en equipos Teltonika (FMC125 / FMC650), utilizando el protocolo Modbus RTU sobre interfaz RS485.
El objetivo de este documento es dejar constancia técnica formal de que se realizaron todas las pruebas necesarias, utilizando metodologías estándar de la industria, antes de concluir la inviabilidad de la comunicación Modbus en el equipo evaluado.
2. OBJETIVO DEL TRABAJO
• Evaluar la factibilidad técnica de comunicación Modbus RTU entre el flujómetro LDG-B Series y dispositivos Teltonika.
• Determinar si el flujómetro responde correctamente a solicitudes Modbus estándar.
• Verificar configuraciones eléctricas, lógicas y de protocolo.
• Documentar evidencias técnicas que sustenten la conclusión final.
• Definir una alternativa técnica viable para la adquisición de caudal.
3. ALCANCE DE LAS PRUEBAS
Las pruebas realizadas incluyeron:
• Verificación de parámetros internos del flujómetro.
• Pruebas de comunicación RS485 directa con PC.
• Pruebas de comunicación indirecta mediante Teltonika FMC650.
• Análisis de tramas crudas recibidas en servidor.
• Evaluación de documentación del fabricante.
• Ensayos con diferentes configuraciones de hardware y software.
4. EQUIPAMIENTO Y HERRAMIENTAS UTILIZADAS
4.1 Equipos:
• Flujómetro electromagnético LDG-B Series.
• Teltonika FMC125 y FMC650.
• PC de pruebas con sistema operativo Windows.
• Adaptador USB a RS485 industrial.
4.2 Software:
• qModMaster (Maestro Modbus RTU).
• Herramientas de monitoreo serial.
• Servidor TCP personalizado para recepción de datos Teltonika.
• Plataforma GPSGate para observación de tramas entrantes.
5. CONFIGURACIÓN DEL FLUJÓMETRO
Se verificaron y ajustaron los siguientes parámetros directamente desde el menú del equipo:
• Dirección Modbus (Slave ID): 001.
• Baudrate: 9600 bps.
• Formato de trama: 8 bits de datos, sin paridad, 1 bit de parada (8N1).
• Interfaz física: RS485.
Adicionalmente, se revisaron parámetros operacionales como tamaño de sensor y detección de tubo vacío para descartar bloqueos de medición.
6. PRUEBAS DE COMUNICACIÓN MODBUS DIRECTA (PC ↔ FLUJÓMETRO)
El flujómetro fue conectado directamente a un PC mediante adaptador USB-RS485.
Se realizaron múltiples solicitudes Modbus RTU estándar:
• Function Code 03 – Read Holding Registers.
• Function Code 04 – Read Input Registers.
• Variación de direcciones iniciales y longitudes de lectura.
• Inversión de polaridad A/B.
• Repetición de pruebas con diferentes tiempos de espera.
Resultado:
En todos los escenarios, el software maestro reportó errores del tipo:
“The expected number of bytes has not been received”, evidenciando ausencia total de respuesta desde el flujómetro.
7. PRUEBAS DE INTEGRACIÓN CON TELTONIKA FMC650
Se configuró el FMC650 en modo TCP/UDP Binary, verificando:
• Conectividad GPRS correcta.
• Envío de IMEI y datos AVL.
• Recepción y envío de comandos Codec12.
• Funcionamiento correcto del servidor de pruebas.
Se constató que:
• El FMC650 opera correctamente a nivel de protocolo.
• No se reciben tramas Modbus desde el flujómetro.
• No se observa información externa asociable a RS485.
8. ANÁLISIS DE TRAMAS Y LOGS
Se analizaron:
• Tramas crudas recibidas en servidor.
• Logs del FMC650.
• Respuestas del sistema GPSGate.
Las tramas corresponden exclusivamente a información interna del dispositivo Teltonika, sin evidencia de payload Modbus RTU proveniente del flujómetro.
9. REVISIÓN DE DOCUMENTACIÓN DEL FABRICANTE
Se revisaron manuales técnicos del flujómetro LDG-B Series, observándose:
• Existencia de interfaz RS485 física.
• Mención genérica de Modbus.
• Ausencia de mapa de registros detallado.
• Falta de ejemplos de tramas Modbus RTU.
• No se documenta habilitación explícita de Modbus.
Esto genera ambigüedad respecto a la real implementación del protocolo.
10. DESCARTE DE CAUSAS COMUNES
A partir de las pruebas realizadas, se descartan:
• Error de cableado RS485.
• Error de polaridad.
• Error de baudrate o formato.
• Fallas del adaptador USB-RS485.
• Fallas del software maestro.
• Fallas del Teltonika FMC650.
11. CONCLUSIÓN TÉCNICA FINAL
Se concluye que el flujómetro LDG-B Series, si bien dispone de una interfaz física RS485, no presenta una implementación funcional de Modbus RTU en el equipo evaluado.
Esto puede deberse a:
• Modbus deshabilitado por firmware.
• Funcionalidad no incluida en esta versión.
• Uso de RS485 para protocolos propietarios.
La comunicación Modbus RTU se considera técnicamente inviable para este proyecto.
12. ACCIÓN CORRECTIVA Y SIGUIENTES ETAPAS
Se define como solución alternativa:
• Uso de la salida de pulsos del flujómetro.
• Conteo de pulsos mediante entradas digitales.
1. OBJETIVO GENERAL
El presente informe técnico documenta de forma exhaustiva, verificable y trazable todas las acciones técnicas realizadas durante la fase de estudio de factibilidad para la integración de flujómetros electromagnéticos LDG serie B con una plataforma de monitoreo Smart-City IoT.
2. ALCANCE DEL PROYECTO
El alcance de esta fase corresponde exclusivamente a un estudio de factibilidad técnica, incluyendo pruebas de comunicación, evaluación de protocolos industriales, análisis de alternativas de adquisición de datos y validación de transmisión hacia software central.
3. DESCRIPCIÓN DE EQUIPOS Y TECNOLOGÍAS
Se utilizaron flujómetros LDG-B Series, equipos Teltonika FMC650 y FMC125, adaptadores RS485–USB, servidores de prueba, herramientas Modbus RTU y software especializado de monitoreo IoT.
4. METODOLOGÍA DE TRABAJO
La metodología aplicada consideró análisis documental, configuración de equipos, pruebas de laboratorio, pruebas de campo, análisis de tramas, evaluación de estabilidad operativa y validación de alternativas tecnológicas.
5. ANÁLISIS DE PROTOCOLO MODBUS
Se evaluó la comunicación Modbus RTU mediante parámetros estándar (9600 bps, 8N1, dirección 001). Se generaron tramas de consulta, se utilizaron herramientas de diagnóstico y se analizaron respuestas recibidas desde distintos entornos.
6. RESULTADOS DE PRUEBAS MODBUS
Las pruebas evidenciaron ausencia de respuesta válida ante solicitudes Modbus, concluyéndose que la interfaz Modbus se encuentra deshabilitada o no implementada en el modelo evaluado, imposibilitando su uso en esta fase.
7. ALTERNATIVA MEDIANTE SALIDA DE PULSOS
Se procedió a evaluar la salida de pulsos del flujómetro, configurando el equipo para emitir un pulso por cada 10 litros. Las pruebas demostraron estabilidad, repetibilidad y confiabilidad del método.
8. VISITA TÉCNICA A CAMPUS NORTE
Se realizó visita técnica a dependencias del Campus Norte, donde se ejecutaron pruebas reales de salida de pulsos y frecuencia, realizando nuevas configuraciones al flujómetro.
9. TRANSMISIÓN Y SOFTWARE
Se instaló un equipo transmisor para remitir los pulsos al servidor, recepcionando correctamente los datos en el software desarrollado para este fin denominado “Universidad Católica de Temuco · Smart-City IoT”.
10. FACTIBILIDAD TÉCNICA
Las pruebas confirmaron la factibilidad de capturar, transmitir y procesar datos de consumo y variables derivadas de flujo mediante salida de pulsos, descartándose la vía Modbus para esta fase.
11. ENTREGA DE EQUIPOS
Se hace entrega de un equipo transmisor considerado en la cotización del proyecto y de un equipo Teltonika FMC125,
12. CONCLUSIONES
El estudio de factibilidad se da por concluido, acreditando técnicamente la viabilidad de integración mediante pulsos, quedando documentadas todas las pruebas realizadas.
13. RECOMENDACIONES
Para la siguiente fase de habilitación será necesaria la incorporación de transmisores adicionales y ampliación del sistema de captura.
14. CONTROL DE VERSIONES
Versión 1.0 – Informe Técnico Final de Factibilidad.
______________________________
Responsable Técnico
GYO Technologies
</v>
      </c>
      <c r="X263" s="495" t="str">
        <f>IFERROR(__xludf.DUMMYFUNCTION("""COMPUTED_VALUE"""),"https://drive.google.com/open?id=1eFaTxDhNFMMGrkcdrDbdyUwggN23HRLA, https://drive.google.com/open?id=1MGBvdOrccYONv9rjL_G2V5PnWSqloX_W, https://drive.google.com/open?id=1jOMjpiSPmsTIi8A9TziXIxT33eq0LTUd, https://drive.google.com/open?id=16hfyaDKF704fU-fdd"&amp;"czW28K3rvHHfDiJ")</f>
        <v>https://drive.google.com/open?id=1eFaTxDhNFMMGrkcdrDbdyUwggN23HRLA, https://drive.google.com/open?id=1MGBvdOrccYONv9rjL_G2V5PnWSqloX_W, https://drive.google.com/open?id=1jOMjpiSPmsTIi8A9TziXIxT33eq0LTUd, https://drive.google.com/open?id=16hfyaDKF704fU-fddczW28K3rvHHfDiJ</v>
      </c>
      <c r="Y263" s="495" t="str">
        <f>IFERROR(__xludf.DUMMYFUNCTION("""COMPUTED_VALUE"""),"contacto@gyotechnologies.com")</f>
        <v>contacto@gyotechnologies.com</v>
      </c>
      <c r="Z263" s="495"/>
      <c r="AA263" s="495"/>
      <c r="AB263" s="495"/>
      <c r="AC263" s="495"/>
      <c r="AD263" s="495"/>
    </row>
    <row r="264">
      <c r="A264" s="495" t="str">
        <f t="shared" si="1"/>
        <v>RC-089_26</v>
      </c>
      <c r="B264" s="497">
        <f>IFERROR(__xludf.DUMMYFUNCTION("""COMPUTED_VALUE"""),46128.52217541667)</f>
        <v>46128.52218</v>
      </c>
      <c r="C264" s="495" t="str">
        <f>IFERROR(__xludf.DUMMYFUNCTION("""COMPUTED_VALUE"""),"")</f>
        <v/>
      </c>
      <c r="D264" s="495" t="str">
        <f>IFERROR(__xludf.DUMMYFUNCTION("""COMPUTED_VALUE"""),"Mauricio Matus Belmar")</f>
        <v>Mauricio Matus Belmar</v>
      </c>
      <c r="E264" s="495"/>
      <c r="F264" s="496" t="str">
        <f>IFERROR(__xludf.DUMMYFUNCTION("""COMPUTED_VALUE"""),"2591-2026")</f>
        <v>2591-2026</v>
      </c>
      <c r="G264" s="495"/>
      <c r="H264" s="495"/>
      <c r="I264" s="495"/>
      <c r="J264" s="495" t="str">
        <f>IFERROR(__xludf.DUMMYFUNCTION("""COMPUTED_VALUE"""),"Campus San Juan Pablo II - CJP")</f>
        <v>Campus San Juan Pablo II - CJP</v>
      </c>
      <c r="K264" s="495">
        <f>IFERROR(__xludf.DUMMYFUNCTION("""COMPUTED_VALUE"""),15.0)</f>
        <v>15</v>
      </c>
      <c r="L264" s="495" t="str">
        <f>IFERROR(__xludf.DUMMYFUNCTION("""COMPUTED_VALUE"""),"Constructora y Servicios S-Tec SPA ")</f>
        <v>Constructora y Servicios S-Tec SPA </v>
      </c>
      <c r="M264" s="495" t="str">
        <f>IFERROR(__xludf.DUMMYFUNCTION("""COMPUTED_VALUE"""),"78.270.109-6")</f>
        <v>78.270.109-6</v>
      </c>
      <c r="N264" s="495" t="str">
        <f>IFERROR(__xludf.DUMMYFUNCTION("""COMPUTED_VALUE"""),"Miguel Pino")</f>
        <v>Miguel Pino</v>
      </c>
      <c r="O264" s="495" t="str">
        <f>IFERROR(__xludf.DUMMYFUNCTION("""COMPUTED_VALUE"""),"Mantenciones")</f>
        <v>Mantenciones</v>
      </c>
      <c r="P264" s="495" t="str">
        <f>IFERROR(__xludf.DUMMYFUNCTION("""COMPUTED_VALUE"""),"Cubiertas")</f>
        <v>Cubiertas</v>
      </c>
      <c r="Q264" s="495"/>
      <c r="R264" s="495"/>
      <c r="S264" s="495"/>
      <c r="T264" s="495"/>
      <c r="U264" s="495"/>
      <c r="V264" s="495" t="str">
        <f>IFERROR(__xludf.DUMMYFUNCTION("""COMPUTED_VALUE"""),"Reparación de distintas filtraciónes en techumbre del segundo piso de la sala de estudios CJP_15, sector secretaria. Considera sellado de uniones y terminaciones de hojalaterias, reposición de fijaciones, cambio de fijaciones oxidadas.
")</f>
        <v>Reparación de distintas filtraciónes en techumbre del segundo piso de la sala de estudios CJP_15, sector secretaria. Considera sellado de uniones y terminaciones de hojalaterias, reposición de fijaciones, cambio de fijaciones oxidadas.
</v>
      </c>
      <c r="W264" s="495"/>
      <c r="X264" s="495" t="str">
        <f>IFERROR(__xludf.DUMMYFUNCTION("""COMPUTED_VALUE"""),"https://drive.google.com/open?id=1Qs3saGiezWRDGGhFZ1nPq1GrJr1nJhlO, https://drive.google.com/open?id=1JNOwHDn9MLeP-I1NC2uRJUl6v7pwf2kj, https://drive.google.com/open?id=18unP5KO0ulNMpn2ZeHwNAJqIGXhfvER1, https://drive.google.com/open?id=1X9hALfNa5kgAB5hNY"&amp;"V6e-wYaN8tX8Cv2")</f>
        <v>https://drive.google.com/open?id=1Qs3saGiezWRDGGhFZ1nPq1GrJr1nJhlO, https://drive.google.com/open?id=1JNOwHDn9MLeP-I1NC2uRJUl6v7pwf2kj, https://drive.google.com/open?id=18unP5KO0ulNMpn2ZeHwNAJqIGXhfvER1, https://drive.google.com/open?id=1X9hALfNa5kgAB5hNYV6e-wYaN8tX8Cv2</v>
      </c>
      <c r="Y264" s="495" t="str">
        <f>IFERROR(__xludf.DUMMYFUNCTION("""COMPUTED_VALUE"""),"miguelptorres@gmail.com")</f>
        <v>miguelptorres@gmail.com</v>
      </c>
      <c r="Z264" s="498">
        <f>IFERROR(__xludf.DUMMYFUNCTION("""COMPUTED_VALUE"""),257576.0)</f>
        <v>257576</v>
      </c>
      <c r="AA264" s="495"/>
      <c r="AB264" s="495"/>
      <c r="AC264" s="495"/>
      <c r="AD264" s="495" t="str">
        <f>IFERROR(__xludf.DUMMYFUNCTION("""COMPUTED_VALUE"""),"RC-089_26")</f>
        <v>RC-089_26</v>
      </c>
    </row>
    <row r="265">
      <c r="A265" s="495" t="str">
        <f t="shared" si="1"/>
        <v/>
      </c>
      <c r="B265" s="497">
        <f>IFERROR(__xludf.DUMMYFUNCTION("""COMPUTED_VALUE"""),46042.71710913195)</f>
        <v>46042.71711</v>
      </c>
      <c r="C265" s="495" t="str">
        <f>IFERROR(__xludf.DUMMYFUNCTION("""COMPUTED_VALUE"""),"")</f>
        <v/>
      </c>
      <c r="D265" s="495" t="str">
        <f>IFERROR(__xludf.DUMMYFUNCTION("""COMPUTED_VALUE"""),"Mauricio Zurita Aldea")</f>
        <v>Mauricio Zurita Aldea</v>
      </c>
      <c r="E265" s="495"/>
      <c r="F265" s="496" t="str">
        <f>IFERROR(__xludf.DUMMYFUNCTION("""COMPUTED_VALUE"""),"12321-2025")</f>
        <v>12321-2025</v>
      </c>
      <c r="G265" s="495"/>
      <c r="H265" s="495"/>
      <c r="I265" s="495"/>
      <c r="J265" s="495" t="str">
        <f>IFERROR(__xludf.DUMMYFUNCTION("""COMPUTED_VALUE"""),"Campus San Juan Pablo II - CJP")</f>
        <v>Campus San Juan Pablo II - CJP</v>
      </c>
      <c r="K265" s="495">
        <f>IFERROR(__xludf.DUMMYFUNCTION("""COMPUTED_VALUE"""),11.0)</f>
        <v>11</v>
      </c>
      <c r="L265" s="495" t="str">
        <f>IFERROR(__xludf.DUMMYFUNCTION("""COMPUTED_VALUE"""),"GYO TECHNOLOGIES INVESTMENT SPA")</f>
        <v>GYO TECHNOLOGIES INVESTMENT SPA</v>
      </c>
      <c r="M265" s="495" t="str">
        <f>IFERROR(__xludf.DUMMYFUNCTION("""COMPUTED_VALUE"""),"78097456-7")</f>
        <v>78097456-7</v>
      </c>
      <c r="N265" s="495" t="str">
        <f>IFERROR(__xludf.DUMMYFUNCTION("""COMPUTED_VALUE"""),"FELIPE OPORTO / DIRECTOR DE OPERACIONES")</f>
        <v>FELIPE OPORTO / DIRECTOR DE OPERACIONES</v>
      </c>
      <c r="O265" s="495" t="str">
        <f>IFERROR(__xludf.DUMMYFUNCTION("""COMPUTED_VALUE"""),"Obras y Especialidades")</f>
        <v>Obras y Especialidades</v>
      </c>
      <c r="P265" s="495"/>
      <c r="Q265" s="495"/>
      <c r="R265" s="495" t="str">
        <f>IFERROR(__xludf.DUMMYFUNCTION("""COMPUTED_VALUE"""),"Especialidades")</f>
        <v>Especialidades</v>
      </c>
      <c r="S265" s="495" t="str">
        <f>IFERROR(__xludf.DUMMYFUNCTION("""COMPUTED_VALUE"""),"Recepción de Obra - RC")</f>
        <v>Recepción de Obra - RC</v>
      </c>
      <c r="T265" s="495"/>
      <c r="U265" s="495"/>
      <c r="V265" s="495" t="str">
        <f>IFERROR(__xludf.DUMMYFUNCTION("""COMPUTED_VALUE"""),"DESARROLLO INFORMATICO PARA FLUJOMETROS ELECTROMAGNETICOS , INFORMES DE LECTURA EDIFICIO CENTRO DE EVENTOS CJP")</f>
        <v>DESARROLLO INFORMATICO PARA FLUJOMETROS ELECTROMAGNETICOS , INFORMES DE LECTURA EDIFICIO CENTRO DE EVENTOS CJP</v>
      </c>
      <c r="W265" s="495" t="str">
        <f>IFERROR(__xludf.DUMMYFUNCTION("""COMPUTED_VALUE"""),"Se documenta de manera detallada, cronológica y verificable todas las actividades realizadas durante el proceso de evaluación de integración entre un flujómetro electromagnético modelo LDG-B Series y una plataforma de telemetría basada en equipos Teltonik"&amp;"a (FMC125 / FMC650), utilizando el protocolo Modbus RTU sobre interfaz RS485.
El objetivo de este documento es dejar constancia técnica formal de que se realizaron todas las pruebas necesarias, utilizando metodologías estándar de la industria, antes de c"&amp;"oncluir la inviabilidad de la comunicación Modbus en el equipo evaluado.
2. OBJETIVO DEL TRABAJO
• Evaluar la factibilidad técnica de comunicación Modbus RTU entre el flujómetro LDG-B Series y dispositivos Teltonika.
• Determinar si el flujómetro respo"&amp;"nde correctamente a solicitudes Modbus estándar.
• Verificar configuraciones eléctricas, lógicas y de protocolo.
• Documentar evidencias técnicas que sustenten la conclusión final.
• Definir una alternativa técnica viable para la adquisición de caudal.
"&amp;"3. ALCANCE DE LAS PRUEBAS
Las pruebas realizadas incluyeron:
• Verificación de parámetros internos del flujómetro.
• Pruebas de comunicación RS485 directa con PC.
• Pruebas de comunicación indirecta mediante Teltonika FMC650.
• Análisis de tramas crudas "&amp;"recibidas en servidor.
• Evaluación de documentación del fabricante.
• Ensayos con diferentes configuraciones de hardware y software.
4. EQUIPAMIENTO Y HERRAMIENTAS UTILIZADAS
4.1 Equipos:
• Flujómetro electromagnético LDG-B Series.
• Teltonika FMC125 "&amp;"y FMC650.
• PC de pruebas con sistema operativo Windows.
• Adaptador USB a RS485 industrial.
4.2 Software:
• qModMaster (Maestro Modbus RTU).
• Herramientas de monitoreo serial.
• Servidor TCP personalizado para recepción de datos Teltonika.
• Plataforma"&amp;" GPSGate para observación de tramas entrantes.
5. CONFIGURACIÓN DEL FLUJÓMETRO
Se verificaron y ajustaron los siguientes parámetros directamente desde el menú del equipo:
• Dirección Modbus (Slave ID): 001.
• Baudrate: 9600 bps.
• Formato de trama: 8 b"&amp;"its de datos, sin paridad, 1 bit de parada (8N1).
• Interfaz física: RS485.
Adicionalmente, se revisaron parámetros operacionales como tamaño de sensor y detección de tubo vacío para descartar bloqueos de medición.
6. PRUEBAS DE COMUNICACIÓN MODBUS DIR"&amp;"ECTA (PC ↔ FLUJÓMETRO)
El flujómetro fue conectado directamente a un PC mediante adaptador USB-RS485.
Se realizaron múltiples solicitudes Modbus RTU estándar:
• Function Code 03 – Read Holding Registers.
• Function Code 04 – Read Input Registers.
• Varia"&amp;"ción de direcciones iniciales y longitudes de lectura.
• Inversión de polaridad A/B.
• Repetición de pruebas con diferentes tiempos de espera.
Resultado:
En todos los escenarios, el software maestro reportó errores del tipo:
“The expected number of bytes"&amp;" has not been received”, evidenciando ausencia total de respuesta desde el flujómetro.
7. PRUEBAS DE INTEGRACIÓN CON TELTONIKA FMC650
Se configuró el FMC650 en modo TCP/UDP Binary, verificando:
• Conectividad GPRS correcta.
• Envío de IMEI y datos AVL."&amp;"
• Recepción y envío de comandos Codec12.
• Funcionamiento correcto del servidor de pruebas.
Se constató que:
• El FMC650 opera correctamente a nivel de protocolo.
• No se reciben tramas Modbus desde el flujómetro.
• No se observa información externa aso"&amp;"ciable a RS485.
8. ANÁLISIS DE TRAMAS Y LOGS
Se analizaron:
• Tramas crudas recibidas en servidor.
• Logs del FMC650.
• Respuestas del sistema GPSGate.
Las tramas corresponden exclusivamente a información interna del dispositivo Teltonika, sin evidenc"&amp;"ia de payload Modbus RTU proveniente del flujómetro.
9. REVISIÓN DE DOCUMENTACIÓN DEL FABRICANTE
Se revisaron manuales técnicos del flujómetro LDG-B Series, observándose:
• Existencia de interfaz RS485 física.
• Mención genérica de Modbus.
• Ausencia d"&amp;"e mapa de registros detallado.
• Falta de ejemplos de tramas Modbus RTU.
• No se documenta habilitación explícita de Modbus.
Esto genera ambigüedad respecto a la real implementación del protocolo.
10. DESCARTE DE CAUSAS COMUNES
A partir de las prueb"&amp;"as realizadas, se descartan:
• Error de cableado RS485.
• Error de polaridad.
• Error de baudrate o formato.
• Fallas del adaptador USB-RS485.
• Fallas del software maestro.
• Fallas del Teltonika FMC650.
11. CONCLUSIÓN TÉCNICA FINAL
Se concluye que el"&amp;" flujómetro LDG-B Series, si bien dispone de una interfaz física RS485, no presenta una implementación funcional de Modbus RTU en el equipo evaluado.
Esto puede deberse a:
• Modbus deshabilitado por firmware.
• Funcionalidad no incluida en esta versión.
"&amp;"• Uso de RS485 para protocolos propietarios.
La comunicación Modbus RTU se considera técnicamente inviable para este proyecto.
12. ACCIÓN CORRECTIVA Y SIGUIENTES ETAPAS
Se define como solución alternativa:
• Uso de la salida de pulsos del flujómetro.
"&amp;"• Conteo de pulsos mediante entradas digitales.
1. OBJETIVO GENERAL
El presente informe técnico documenta de forma exhaustiva, verificable y trazable todas las acciones técnicas realizadas durante la fase de estudio de factibilidad para la integración "&amp;"de flujómetros electromagnéticos LDG serie B con una plataforma de monitoreo Smart-City IoT.
2. ALCANCE DEL PROYECTO
El alcance de esta fase corresponde exclusivamente a un estudio de factibilidad técnica, incluyendo pruebas de comunicación, evaluación de"&amp;" protocolos industriales, análisis de alternativas de adquisición de datos y validación de transmisión hacia software central.
3. DESCRIPCIÓN DE EQUIPOS Y TECNOLOGÍAS
Se utilizaron flujómetros LDG-B Series, equipos Teltonika FMC650 y FMC125, adaptadores R"&amp;"S485–USB, servidores de prueba, herramientas Modbus RTU y software especializado de monitoreo IoT.
4. METODOLOGÍA DE TRABAJO
La metodología aplicada consideró análisis documental, configuración de equipos, pruebas de laboratorio, pruebas de campo, análisi"&amp;"s de tramas, evaluación de estabilidad operativa y validación de alternativas tecnológicas.
5. ANÁLISIS DE PROTOCOLO MODBUS
Se evaluó la comunicación Modbus RTU mediante parámetros estándar (9600 bps, 8N1, dirección 001). Se generaron tramas de consulta, "&amp;"se utilizaron herramientas de diagnóstico y se analizaron respuestas recibidas desde distintos entornos.
6. RESULTADOS DE PRUEBAS MODBUS
Las pruebas evidenciaron ausencia de respuesta válida ante solicitudes Modbus, concluyéndose que la interfaz Modbus se"&amp;" encuentra deshabilitada o no implementada en el modelo evaluado, imposibilitando su uso en esta fase.
7. ALTERNATIVA MEDIANTE SALIDA DE PULSOS
Se procedió a evaluar la salida de pulsos del flujómetro, configurando el equipo para emitir un pulso por cada "&amp;"10 litros. Las pruebas demostraron estabilidad, repetibilidad y confiabilidad del método.
8. VISITA TÉCNICA A CAMPUS NORTE
Se realizó visita técnica a dependencias del Campus Norte, donde se ejecutaron pruebas reales de salida de pulsos y frecuencia, real"&amp;"izando nuevas configuraciones al flujómetro.
9. TRANSMISIÓN Y SOFTWARE
Se instaló un equipo transmisor para remitir los pulsos al servidor, recepcionando correctamente los datos en el software desarrollado para este fin denominado “Universidad Católica de"&amp;" Temuco · Smart-City IoT”.
10. FACTIBILIDAD TÉCNICA
Las pruebas confirmaron la factibilidad de capturar, transmitir y procesar datos de consumo y variables derivadas de flujo mediante salida de pulsos, descartándose la vía Modbus para esta fase.
11. ENTRE"&amp;"GA DE EQUIPOS
Se hace entrega de un equipo transmisor considerado en la cotización del proyecto y de un equipo Teltonika FMC125,
12. CONCLUSIONES
El estudio de factibilidad se da por concluido, acreditando técnicamente la viabilidad de integración mediant"&amp;"e pulsos, quedando documentadas todas las pruebas realizadas.
13. RECOMENDACIONES
Para la siguiente fase de habilitación será necesaria la incorporación de transmisores adicionales y ampliación del sistema de captura.
14. CONTROL DE VERSIONES
Versión 1.0 "&amp;"– Informe Técnico Final de Factibilidad.
______________________________
Responsable Técnico
GYO Technologies
")</f>
        <v>Se documenta de manera detallada, cronológica y verificable todas las actividades realizadas durante el proceso de evaluación de integración entre un flujómetro electromagnético modelo LDG-B Series y una plataforma de telemetría basada en equipos Teltonika (FMC125 / FMC650), utilizando el protocolo Modbus RTU sobre interfaz RS485.
El objetivo de este documento es dejar constancia técnica formal de que se realizaron todas las pruebas necesarias, utilizando metodologías estándar de la industria, antes de concluir la inviabilidad de la comunicación Modbus en el equipo evaluado.
2. OBJETIVO DEL TRABAJO
• Evaluar la factibilidad técnica de comunicación Modbus RTU entre el flujómetro LDG-B Series y dispositivos Teltonika.
• Determinar si el flujómetro responde correctamente a solicitudes Modbus estándar.
• Verificar configuraciones eléctricas, lógicas y de protocolo.
• Documentar evidencias técnicas que sustenten la conclusión final.
• Definir una alternativa técnica viable para la adquisición de caudal.
3. ALCANCE DE LAS PRUEBAS
Las pruebas realizadas incluyeron:
• Verificación de parámetros internos del flujómetro.
• Pruebas de comunicación RS485 directa con PC.
• Pruebas de comunicación indirecta mediante Teltonika FMC650.
• Análisis de tramas crudas recibidas en servidor.
• Evaluación de documentación del fabricante.
• Ensayos con diferentes configuraciones de hardware y software.
4. EQUIPAMIENTO Y HERRAMIENTAS UTILIZADAS
4.1 Equipos:
• Flujómetro electromagnético LDG-B Series.
• Teltonika FMC125 y FMC650.
• PC de pruebas con sistema operativo Windows.
• Adaptador USB a RS485 industrial.
4.2 Software:
• qModMaster (Maestro Modbus RTU).
• Herramientas de monitoreo serial.
• Servidor TCP personalizado para recepción de datos Teltonika.
• Plataforma GPSGate para observación de tramas entrantes.
5. CONFIGURACIÓN DEL FLUJÓMETRO
Se verificaron y ajustaron los siguientes parámetros directamente desde el menú del equipo:
• Dirección Modbus (Slave ID): 001.
• Baudrate: 9600 bps.
• Formato de trama: 8 bits de datos, sin paridad, 1 bit de parada (8N1).
• Interfaz física: RS485.
Adicionalmente, se revisaron parámetros operacionales como tamaño de sensor y detección de tubo vacío para descartar bloqueos de medición.
6. PRUEBAS DE COMUNICACIÓN MODBUS DIRECTA (PC ↔ FLUJÓMETRO)
El flujómetro fue conectado directamente a un PC mediante adaptador USB-RS485.
Se realizaron múltiples solicitudes Modbus RTU estándar:
• Function Code 03 – Read Holding Registers.
• Function Code 04 – Read Input Registers.
• Variación de direcciones iniciales y longitudes de lectura.
• Inversión de polaridad A/B.
• Repetición de pruebas con diferentes tiempos de espera.
Resultado:
En todos los escenarios, el software maestro reportó errores del tipo:
“The expected number of bytes has not been received”, evidenciando ausencia total de respuesta desde el flujómetro.
7. PRUEBAS DE INTEGRACIÓN CON TELTONIKA FMC650
Se configuró el FMC650 en modo TCP/UDP Binary, verificando:
• Conectividad GPRS correcta.
• Envío de IMEI y datos AVL.
• Recepción y envío de comandos Codec12.
• Funcionamiento correcto del servidor de pruebas.
Se constató que:
• El FMC650 opera correctamente a nivel de protocolo.
• No se reciben tramas Modbus desde el flujómetro.
• No se observa información externa asociable a RS485.
8. ANÁLISIS DE TRAMAS Y LOGS
Se analizaron:
• Tramas crudas recibidas en servidor.
• Logs del FMC650.
• Respuestas del sistema GPSGate.
Las tramas corresponden exclusivamente a información interna del dispositivo Teltonika, sin evidencia de payload Modbus RTU proveniente del flujómetro.
9. REVISIÓN DE DOCUMENTACIÓN DEL FABRICANTE
Se revisaron manuales técnicos del flujómetro LDG-B Series, observándose:
• Existencia de interfaz RS485 física.
• Mención genérica de Modbus.
• Ausencia de mapa de registros detallado.
• Falta de ejemplos de tramas Modbus RTU.
• No se documenta habilitación explícita de Modbus.
Esto genera ambigüedad respecto a la real implementación del protocolo.
10. DESCARTE DE CAUSAS COMUNES
A partir de las pruebas realizadas, se descartan:
• Error de cableado RS485.
• Error de polaridad.
• Error de baudrate o formato.
• Fallas del adaptador USB-RS485.
• Fallas del software maestro.
• Fallas del Teltonika FMC650.
11. CONCLUSIÓN TÉCNICA FINAL
Se concluye que el flujómetro LDG-B Series, si bien dispone de una interfaz física RS485, no presenta una implementación funcional de Modbus RTU en el equipo evaluado.
Esto puede deberse a:
• Modbus deshabilitado por firmware.
• Funcionalidad no incluida en esta versión.
• Uso de RS485 para protocolos propietarios.
La comunicación Modbus RTU se considera técnicamente inviable para este proyecto.
12. ACCIÓN CORRECTIVA Y SIGUIENTES ETAPAS
Se define como solución alternativa:
• Uso de la salida de pulsos del flujómetro.
• Conteo de pulsos mediante entradas digitales.
1. OBJETIVO GENERAL
El presente informe técnico documenta de forma exhaustiva, verificable y trazable todas las acciones técnicas realizadas durante la fase de estudio de factibilidad para la integración de flujómetros electromagnéticos LDG serie B con una plataforma de monitoreo Smart-City IoT.
2. ALCANCE DEL PROYECTO
El alcance de esta fase corresponde exclusivamente a un estudio de factibilidad técnica, incluyendo pruebas de comunicación, evaluación de protocolos industriales, análisis de alternativas de adquisición de datos y validación de transmisión hacia software central.
3. DESCRIPCIÓN DE EQUIPOS Y TECNOLOGÍAS
Se utilizaron flujómetros LDG-B Series, equipos Teltonika FMC650 y FMC125, adaptadores RS485–USB, servidores de prueba, herramientas Modbus RTU y software especializado de monitoreo IoT.
4. METODOLOGÍA DE TRABAJO
La metodología aplicada consideró análisis documental, configuración de equipos, pruebas de laboratorio, pruebas de campo, análisis de tramas, evaluación de estabilidad operativa y validación de alternativas tecnológicas.
5. ANÁLISIS DE PROTOCOLO MODBUS
Se evaluó la comunicación Modbus RTU mediante parámetros estándar (9600 bps, 8N1, dirección 001). Se generaron tramas de consulta, se utilizaron herramientas de diagnóstico y se analizaron respuestas recibidas desde distintos entornos.
6. RESULTADOS DE PRUEBAS MODBUS
Las pruebas evidenciaron ausencia de respuesta válida ante solicitudes Modbus, concluyéndose que la interfaz Modbus se encuentra deshabilitada o no implementada en el modelo evaluado, imposibilitando su uso en esta fase.
7. ALTERNATIVA MEDIANTE SALIDA DE PULSOS
Se procedió a evaluar la salida de pulsos del flujómetro, configurando el equipo para emitir un pulso por cada 10 litros. Las pruebas demostraron estabilidad, repetibilidad y confiabilidad del método.
8. VISITA TÉCNICA A CAMPUS NORTE
Se realizó visita técnica a dependencias del Campus Norte, donde se ejecutaron pruebas reales de salida de pulsos y frecuencia, realizando nuevas configuraciones al flujómetro.
9. TRANSMISIÓN Y SOFTWARE
Se instaló un equipo transmisor para remitir los pulsos al servidor, recepcionando correctamente los datos en el software desarrollado para este fin denominado “Universidad Católica de Temuco · Smart-City IoT”.
10. FACTIBILIDAD TÉCNICA
Las pruebas confirmaron la factibilidad de capturar, transmitir y procesar datos de consumo y variables derivadas de flujo mediante salida de pulsos, descartándose la vía Modbus para esta fase.
11. ENTREGA DE EQUIPOS
Se hace entrega de un equipo transmisor considerado en la cotización del proyecto y de un equipo Teltonika FMC125,
12. CONCLUSIONES
El estudio de factibilidad se da por concluido, acreditando técnicamente la viabilidad de integración mediante pulsos, quedando documentadas todas las pruebas realizadas.
13. RECOMENDACIONES
Para la siguiente fase de habilitación será necesaria la incorporación de transmisores adicionales y ampliación del sistema de captura.
14. CONTROL DE VERSIONES
Versión 1.0 – Informe Técnico Final de Factibilidad.
______________________________
Responsable Técnico
GYO Technologies
</v>
      </c>
      <c r="X265" s="495" t="str">
        <f>IFERROR(__xludf.DUMMYFUNCTION("""COMPUTED_VALUE"""),"https://drive.google.com/open?id=1Bzadlg3Pt292R4jJRBTCGePjeYV2i6nf, https://drive.google.com/open?id=1puhXO4q-M1BcZkBu35g4eVsny8023pRw, https://drive.google.com/open?id=1eFcpchMaNOYcBsHHq29PAEU8NKpA-DGY, https://drive.google.com/open?id=1e_cq_x4Z_uv2_vpEu"&amp;"w8H1CwYO20wGIKg")</f>
        <v>https://drive.google.com/open?id=1Bzadlg3Pt292R4jJRBTCGePjeYV2i6nf, https://drive.google.com/open?id=1puhXO4q-M1BcZkBu35g4eVsny8023pRw, https://drive.google.com/open?id=1eFcpchMaNOYcBsHHq29PAEU8NKpA-DGY, https://drive.google.com/open?id=1e_cq_x4Z_uv2_vpEuw8H1CwYO20wGIKg</v>
      </c>
      <c r="Y265" s="495" t="str">
        <f>IFERROR(__xludf.DUMMYFUNCTION("""COMPUTED_VALUE"""),"contacto@gyotechnologies.com")</f>
        <v>contacto@gyotechnologies.com</v>
      </c>
      <c r="Z265" s="495"/>
      <c r="AA265" s="495"/>
      <c r="AB265" s="495"/>
      <c r="AC265" s="495"/>
      <c r="AD265" s="495"/>
    </row>
    <row r="266">
      <c r="A266" s="495" t="str">
        <f t="shared" si="1"/>
        <v/>
      </c>
      <c r="B266" s="497">
        <f>IFERROR(__xludf.DUMMYFUNCTION("""COMPUTED_VALUE"""),46042.71954075231)</f>
        <v>46042.71954</v>
      </c>
      <c r="C266" s="495" t="str">
        <f>IFERROR(__xludf.DUMMYFUNCTION("""COMPUTED_VALUE"""),"")</f>
        <v/>
      </c>
      <c r="D266" s="495" t="str">
        <f>IFERROR(__xludf.DUMMYFUNCTION("""COMPUTED_VALUE"""),"Mauricio Zurita Aldea")</f>
        <v>Mauricio Zurita Aldea</v>
      </c>
      <c r="E266" s="495"/>
      <c r="F266" s="496" t="str">
        <f>IFERROR(__xludf.DUMMYFUNCTION("""COMPUTED_VALUE"""),"12311-2025")</f>
        <v>12311-2025</v>
      </c>
      <c r="G266" s="495"/>
      <c r="H266" s="495"/>
      <c r="I266" s="495"/>
      <c r="J266" s="495" t="str">
        <f>IFERROR(__xludf.DUMMYFUNCTION("""COMPUTED_VALUE"""),"Campus San Juan Pablo II - CJP")</f>
        <v>Campus San Juan Pablo II - CJP</v>
      </c>
      <c r="K266" s="495" t="str">
        <f>IFERROR(__xludf.DUMMYFUNCTION("""COMPUTED_VALUE"""),"07")</f>
        <v>07</v>
      </c>
      <c r="L266" s="495" t="str">
        <f>IFERROR(__xludf.DUMMYFUNCTION("""COMPUTED_VALUE"""),"GYO TECHNOLOGIES INVESTMENT SPA")</f>
        <v>GYO TECHNOLOGIES INVESTMENT SPA</v>
      </c>
      <c r="M266" s="495" t="str">
        <f>IFERROR(__xludf.DUMMYFUNCTION("""COMPUTED_VALUE"""),"78097456-7")</f>
        <v>78097456-7</v>
      </c>
      <c r="N266" s="495" t="str">
        <f>IFERROR(__xludf.DUMMYFUNCTION("""COMPUTED_VALUE"""),"FELIPE OPORTO / DIRECTOR DE OPERACIONES")</f>
        <v>FELIPE OPORTO / DIRECTOR DE OPERACIONES</v>
      </c>
      <c r="O266" s="495" t="str">
        <f>IFERROR(__xludf.DUMMYFUNCTION("""COMPUTED_VALUE"""),"Obras y Especialidades")</f>
        <v>Obras y Especialidades</v>
      </c>
      <c r="P266" s="495"/>
      <c r="Q266" s="495"/>
      <c r="R266" s="495" t="str">
        <f>IFERROR(__xludf.DUMMYFUNCTION("""COMPUTED_VALUE"""),"Especialidades")</f>
        <v>Especialidades</v>
      </c>
      <c r="S266" s="495" t="str">
        <f>IFERROR(__xludf.DUMMYFUNCTION("""COMPUTED_VALUE"""),"Recepción de Obra - RC")</f>
        <v>Recepción de Obra - RC</v>
      </c>
      <c r="T266" s="495"/>
      <c r="U266" s="495"/>
      <c r="V266" s="495" t="str">
        <f>IFERROR(__xludf.DUMMYFUNCTION("""COMPUTED_VALUE"""),"DESARROLLO INFORMATICO PARA FLUJOMETROS ELECTROMAGNETICOS, INFORMES DE LECTURA, EDIFICIO CENTRO DE EVENTOS CJP")</f>
        <v>DESARROLLO INFORMATICO PARA FLUJOMETROS ELECTROMAGNETICOS, INFORMES DE LECTURA, EDIFICIO CENTRO DE EVENTOS CJP</v>
      </c>
      <c r="W266" s="495" t="str">
        <f>IFERROR(__xludf.DUMMYFUNCTION("""COMPUTED_VALUE"""),"Se documenta de manera detallada, cronológica y verificable todas las actividades realizadas durante el proceso de evaluación de integración entre un flujómetro electromagnético modelo LDG-B Series y una plataforma de telemetría basada en equipos Teltonik"&amp;"a (FMC125 / FMC650), utilizando el protocolo Modbus RTU sobre interfaz RS485.
El objetivo de este documento es dejar constancia técnica formal de que se realizaron todas las pruebas necesarias, utilizando metodologías estándar de la industria, antes de c"&amp;"oncluir la inviabilidad de la comunicación Modbus en el equipo evaluado.
2. OBJETIVO DEL TRABAJO
• Evaluar la factibilidad técnica de comunicación Modbus RTU entre el flujómetro LDG-B Series y dispositivos Teltonika.
• Determinar si el flujómetro respo"&amp;"nde correctamente a solicitudes Modbus estándar.
• Verificar configuraciones eléctricas, lógicas y de protocolo.
• Documentar evidencias técnicas que sustenten la conclusión final.
• Definir una alternativa técnica viable para la adquisición de caudal.
"&amp;"3. ALCANCE DE LAS PRUEBAS
Las pruebas realizadas incluyeron:
• Verificación de parámetros internos del flujómetro.
• Pruebas de comunicación RS485 directa con PC.
• Pruebas de comunicación indirecta mediante Teltonika FMC650.
• Análisis de tramas crudas "&amp;"recibidas en servidor.
• Evaluación de documentación del fabricante.
• Ensayos con diferentes configuraciones de hardware y software.
4. EQUIPAMIENTO Y HERRAMIENTAS UTILIZADAS
4.1 Equipos:
• Flujómetro electromagnético LDG-B Series.
• Teltonika FMC125 "&amp;"y FMC650.
• PC de pruebas con sistema operativo Windows.
• Adaptador USB a RS485 industrial.
4.2 Software:
• qModMaster (Maestro Modbus RTU).
• Herramientas de monitoreo serial.
• Servidor TCP personalizado para recepción de datos Teltonika.
• Plataforma"&amp;" GPSGate para observación de tramas entrantes.
5. CONFIGURACIÓN DEL FLUJÓMETRO
Se verificaron y ajustaron los siguientes parámetros directamente desde el menú del equipo:
• Dirección Modbus (Slave ID): 001.
• Baudrate: 9600 bps.
• Formato de trama: 8 b"&amp;"its de datos, sin paridad, 1 bit de parada (8N1).
• Interfaz física: RS485.
Adicionalmente, se revisaron parámetros operacionales como tamaño de sensor y detección de tubo vacío para descartar bloqueos de medición.
6. PRUEBAS DE COMUNICACIÓN MODBUS DIR"&amp;"ECTA (PC ↔ FLUJÓMETRO)
El flujómetro fue conectado directamente a un PC mediante adaptador USB-RS485.
Se realizaron múltiples solicitudes Modbus RTU estándar:
• Function Code 03 – Read Holding Registers.
• Function Code 04 – Read Input Registers.
• Varia"&amp;"ción de direcciones iniciales y longitudes de lectura.
• Inversión de polaridad A/B.
• Repetición de pruebas con diferentes tiempos de espera.
Resultado:
En todos los escenarios, el software maestro reportó errores del tipo:
“The expected number of bytes"&amp;" has not been received”, evidenciando ausencia total de respuesta desde el flujómetro.
7. PRUEBAS DE INTEGRACIÓN CON TELTONIKA FMC650
Se configuró el FMC650 en modo TCP/UDP Binary, verificando:
• Conectividad GPRS correcta.
• Envío de IMEI y datos AVL."&amp;"
• Recepción y envío de comandos Codec12.
• Funcionamiento correcto del servidor de pruebas.
Se constató que:
• El FMC650 opera correctamente a nivel de protocolo.
• No se reciben tramas Modbus desde el flujómetro.
• No se observa información externa aso"&amp;"ciable a RS485.
8. ANÁLISIS DE TRAMAS Y LOGS
Se analizaron:
• Tramas crudas recibidas en servidor.
• Logs del FMC650.
• Respuestas del sistema GPSGate.
Las tramas corresponden exclusivamente a información interna del dispositivo Teltonika, sin evidenc"&amp;"ia de payload Modbus RTU proveniente del flujómetro.
9. REVISIÓN DE DOCUMENTACIÓN DEL FABRICANTE
Se revisaron manuales técnicos del flujómetro LDG-B Series, observándose:
• Existencia de interfaz RS485 física.
• Mención genérica de Modbus.
• Ausencia d"&amp;"e mapa de registros detallado.
• Falta de ejemplos de tramas Modbus RTU.
• No se documenta habilitación explícita de Modbus.
Esto genera ambigüedad respecto a la real implementación del protocolo.
10. DESCARTE DE CAUSAS COMUNES
A partir de las prueb"&amp;"as realizadas, se descartan:
• Error de cableado RS485.
• Error de polaridad.
• Error de baudrate o formato.
• Fallas del adaptador USB-RS485.
• Fallas del software maestro.
• Fallas del Teltonika FMC650.
11. CONCLUSIÓN TÉCNICA FINAL
Se concluye que el"&amp;" flujómetro LDG-B Series, si bien dispone de una interfaz física RS485, no presenta una implementación funcional de Modbus RTU en el equipo evaluado.
Esto puede deberse a:
• Modbus deshabilitado por firmware.
• Funcionalidad no incluida en esta versión.
"&amp;"• Uso de RS485 para protocolos propietarios.
La comunicación Modbus RTU se considera técnicamente inviable para este proyecto.
12. ACCIÓN CORRECTIVA Y SIGUIENTES ETAPAS
Se define como solución alternativa:
• Uso de la salida de pulsos del flujómetro.
"&amp;"• Conteo de pulsos mediante entradas digitales.
1. OBJETIVO GENERAL
El presente informe técnico documenta de forma exhaustiva, verificable y trazable todas las acciones técnicas realizadas durante la fase de estudio de factibilidad para la integración "&amp;"de flujómetros electromagnéticos LDG serie B con una plataforma de monitoreo Smart-City IoT.
2. ALCANCE DEL PROYECTO
El alcance de esta fase corresponde exclusivamente a un estudio de factibilidad técnica, incluyendo pruebas de comunicación, evaluación de"&amp;" protocolos industriales, análisis de alternativas de adquisición de datos y validación de transmisión hacia software central.
3. DESCRIPCIÓN DE EQUIPOS Y TECNOLOGÍAS
Se utilizaron flujómetros LDG-B Series, equipos Teltonika FMC650 y FMC125, adaptadores R"&amp;"S485–USB, servidores de prueba, herramientas Modbus RTU y software especializado de monitoreo IoT.
4. METODOLOGÍA DE TRABAJO
La metodología aplicada consideró análisis documental, configuración de equipos, pruebas de laboratorio, pruebas de campo, análisi"&amp;"s de tramas, evaluación de estabilidad operativa y validación de alternativas tecnológicas.
5. ANÁLISIS DE PROTOCOLO MODBUS
Se evaluó la comunicación Modbus RTU mediante parámetros estándar (9600 bps, 8N1, dirección 001). Se generaron tramas de consulta, "&amp;"se utilizaron herramientas de diagnóstico y se analizaron respuestas recibidas desde distintos entornos.
6. RESULTADOS DE PRUEBAS MODBUS
Las pruebas evidenciaron ausencia de respuesta válida ante solicitudes Modbus, concluyéndose que la interfaz Modbus se"&amp;" encuentra deshabilitada o no implementada en el modelo evaluado, imposibilitando su uso en esta fase.
7. ALTERNATIVA MEDIANTE SALIDA DE PULSOS
Se procedió a evaluar la salida de pulsos del flujómetro, configurando el equipo para emitir un pulso por cada "&amp;"10 litros. Las pruebas demostraron estabilidad, repetibilidad y confiabilidad del método.
8. VISITA TÉCNICA A CAMPUS NORTE
Se realizó visita técnica a dependencias del Campus Norte, donde se ejecutaron pruebas reales de salida de pulsos y frecuencia, real"&amp;"izando nuevas configuraciones al flujómetro.
9. TRANSMISIÓN Y SOFTWARE
Se instaló un equipo transmisor para remitir los pulsos al servidor, recepcionando correctamente los datos en el software desarrollado para este fin denominado “Universidad Católica de"&amp;" Temuco · Smart-City IoT”.
10. FACTIBILIDAD TÉCNICA
Las pruebas confirmaron la factibilidad de capturar, transmitir y procesar datos de consumo y variables derivadas de flujo mediante salida de pulsos, descartándose la vía Modbus para esta fase.
11. ENTRE"&amp;"GA DE EQUIPOS
Se hace entrega de un equipo transmisor considerado en la cotización del proyecto y de un equipo Teltonika FMC125,
12. CONCLUSIONES
El estudio de factibilidad se da por concluido, acreditando técnicamente la viabilidad de integración mediant"&amp;"e pulsos, quedando documentadas todas las pruebas realizadas.
13. RECOMENDACIONES
Para la siguiente fase de habilitación será necesaria la incorporación de transmisores adicionales y ampliación del sistema de captura.
14. CONTROL DE VERSIONES
Versión 1.0 "&amp;"– Informe Técnico Final de Factibilidad.
______________________________
Responsable Técnico
GYO Technologies
")</f>
        <v>Se documenta de manera detallada, cronológica y verificable todas las actividades realizadas durante el proceso de evaluación de integración entre un flujómetro electromagnético modelo LDG-B Series y una plataforma de telemetría basada en equipos Teltonika (FMC125 / FMC650), utilizando el protocolo Modbus RTU sobre interfaz RS485.
El objetivo de este documento es dejar constancia técnica formal de que se realizaron todas las pruebas necesarias, utilizando metodologías estándar de la industria, antes de concluir la inviabilidad de la comunicación Modbus en el equipo evaluado.
2. OBJETIVO DEL TRABAJO
• Evaluar la factibilidad técnica de comunicación Modbus RTU entre el flujómetro LDG-B Series y dispositivos Teltonika.
• Determinar si el flujómetro responde correctamente a solicitudes Modbus estándar.
• Verificar configuraciones eléctricas, lógicas y de protocolo.
• Documentar evidencias técnicas que sustenten la conclusión final.
• Definir una alternativa técnica viable para la adquisición de caudal.
3. ALCANCE DE LAS PRUEBAS
Las pruebas realizadas incluyeron:
• Verificación de parámetros internos del flujómetro.
• Pruebas de comunicación RS485 directa con PC.
• Pruebas de comunicación indirecta mediante Teltonika FMC650.
• Análisis de tramas crudas recibidas en servidor.
• Evaluación de documentación del fabricante.
• Ensayos con diferentes configuraciones de hardware y software.
4. EQUIPAMIENTO Y HERRAMIENTAS UTILIZADAS
4.1 Equipos:
• Flujómetro electromagnético LDG-B Series.
• Teltonika FMC125 y FMC650.
• PC de pruebas con sistema operativo Windows.
• Adaptador USB a RS485 industrial.
4.2 Software:
• qModMaster (Maestro Modbus RTU).
• Herramientas de monitoreo serial.
• Servidor TCP personalizado para recepción de datos Teltonika.
• Plataforma GPSGate para observación de tramas entrantes.
5. CONFIGURACIÓN DEL FLUJÓMETRO
Se verificaron y ajustaron los siguientes parámetros directamente desde el menú del equipo:
• Dirección Modbus (Slave ID): 001.
• Baudrate: 9600 bps.
• Formato de trama: 8 bits de datos, sin paridad, 1 bit de parada (8N1).
• Interfaz física: RS485.
Adicionalmente, se revisaron parámetros operacionales como tamaño de sensor y detección de tubo vacío para descartar bloqueos de medición.
6. PRUEBAS DE COMUNICACIÓN MODBUS DIRECTA (PC ↔ FLUJÓMETRO)
El flujómetro fue conectado directamente a un PC mediante adaptador USB-RS485.
Se realizaron múltiples solicitudes Modbus RTU estándar:
• Function Code 03 – Read Holding Registers.
• Function Code 04 – Read Input Registers.
• Variación de direcciones iniciales y longitudes de lectura.
• Inversión de polaridad A/B.
• Repetición de pruebas con diferentes tiempos de espera.
Resultado:
En todos los escenarios, el software maestro reportó errores del tipo:
“The expected number of bytes has not been received”, evidenciando ausencia total de respuesta desde el flujómetro.
7. PRUEBAS DE INTEGRACIÓN CON TELTONIKA FMC650
Se configuró el FMC650 en modo TCP/UDP Binary, verificando:
• Conectividad GPRS correcta.
• Envío de IMEI y datos AVL.
• Recepción y envío de comandos Codec12.
• Funcionamiento correcto del servidor de pruebas.
Se constató que:
• El FMC650 opera correctamente a nivel de protocolo.
• No se reciben tramas Modbus desde el flujómetro.
• No se observa información externa asociable a RS485.
8. ANÁLISIS DE TRAMAS Y LOGS
Se analizaron:
• Tramas crudas recibidas en servidor.
• Logs del FMC650.
• Respuestas del sistema GPSGate.
Las tramas corresponden exclusivamente a información interna del dispositivo Teltonika, sin evidencia de payload Modbus RTU proveniente del flujómetro.
9. REVISIÓN DE DOCUMENTACIÓN DEL FABRICANTE
Se revisaron manuales técnicos del flujómetro LDG-B Series, observándose:
• Existencia de interfaz RS485 física.
• Mención genérica de Modbus.
• Ausencia de mapa de registros detallado.
• Falta de ejemplos de tramas Modbus RTU.
• No se documenta habilitación explícita de Modbus.
Esto genera ambigüedad respecto a la real implementación del protocolo.
10. DESCARTE DE CAUSAS COMUNES
A partir de las pruebas realizadas, se descartan:
• Error de cableado RS485.
• Error de polaridad.
• Error de baudrate o formato.
• Fallas del adaptador USB-RS485.
• Fallas del software maestro.
• Fallas del Teltonika FMC650.
11. CONCLUSIÓN TÉCNICA FINAL
Se concluye que el flujómetro LDG-B Series, si bien dispone de una interfaz física RS485, no presenta una implementación funcional de Modbus RTU en el equipo evaluado.
Esto puede deberse a:
• Modbus deshabilitado por firmware.
• Funcionalidad no incluida en esta versión.
• Uso de RS485 para protocolos propietarios.
La comunicación Modbus RTU se considera técnicamente inviable para este proyecto.
12. ACCIÓN CORRECTIVA Y SIGUIENTES ETAPAS
Se define como solución alternativa:
• Uso de la salida de pulsos del flujómetro.
• Conteo de pulsos mediante entradas digitales.
1. OBJETIVO GENERAL
El presente informe técnico documenta de forma exhaustiva, verificable y trazable todas las acciones técnicas realizadas durante la fase de estudio de factibilidad para la integración de flujómetros electromagnéticos LDG serie B con una plataforma de monitoreo Smart-City IoT.
2. ALCANCE DEL PROYECTO
El alcance de esta fase corresponde exclusivamente a un estudio de factibilidad técnica, incluyendo pruebas de comunicación, evaluación de protocolos industriales, análisis de alternativas de adquisición de datos y validación de transmisión hacia software central.
3. DESCRIPCIÓN DE EQUIPOS Y TECNOLOGÍAS
Se utilizaron flujómetros LDG-B Series, equipos Teltonika FMC650 y FMC125, adaptadores RS485–USB, servidores de prueba, herramientas Modbus RTU y software especializado de monitoreo IoT.
4. METODOLOGÍA DE TRABAJO
La metodología aplicada consideró análisis documental, configuración de equipos, pruebas de laboratorio, pruebas de campo, análisis de tramas, evaluación de estabilidad operativa y validación de alternativas tecnológicas.
5. ANÁLISIS DE PROTOCOLO MODBUS
Se evaluó la comunicación Modbus RTU mediante parámetros estándar (9600 bps, 8N1, dirección 001). Se generaron tramas de consulta, se utilizaron herramientas de diagnóstico y se analizaron respuestas recibidas desde distintos entornos.
6. RESULTADOS DE PRUEBAS MODBUS
Las pruebas evidenciaron ausencia de respuesta válida ante solicitudes Modbus, concluyéndose que la interfaz Modbus se encuentra deshabilitada o no implementada en el modelo evaluado, imposibilitando su uso en esta fase.
7. ALTERNATIVA MEDIANTE SALIDA DE PULSOS
Se procedió a evaluar la salida de pulsos del flujómetro, configurando el equipo para emitir un pulso por cada 10 litros. Las pruebas demostraron estabilidad, repetibilidad y confiabilidad del método.
8. VISITA TÉCNICA A CAMPUS NORTE
Se realizó visita técnica a dependencias del Campus Norte, donde se ejecutaron pruebas reales de salida de pulsos y frecuencia, realizando nuevas configuraciones al flujómetro.
9. TRANSMISIÓN Y SOFTWARE
Se instaló un equipo transmisor para remitir los pulsos al servidor, recepcionando correctamente los datos en el software desarrollado para este fin denominado “Universidad Católica de Temuco · Smart-City IoT”.
10. FACTIBILIDAD TÉCNICA
Las pruebas confirmaron la factibilidad de capturar, transmitir y procesar datos de consumo y variables derivadas de flujo mediante salida de pulsos, descartándose la vía Modbus para esta fase.
11. ENTREGA DE EQUIPOS
Se hace entrega de un equipo transmisor considerado en la cotización del proyecto y de un equipo Teltonika FMC125,
12. CONCLUSIONES
El estudio de factibilidad se da por concluido, acreditando técnicamente la viabilidad de integración mediante pulsos, quedando documentadas todas las pruebas realizadas.
13. RECOMENDACIONES
Para la siguiente fase de habilitación será necesaria la incorporación de transmisores adicionales y ampliación del sistema de captura.
14. CONTROL DE VERSIONES
Versión 1.0 – Informe Técnico Final de Factibilidad.
______________________________
Responsable Técnico
GYO Technologies
</v>
      </c>
      <c r="X266" s="495" t="str">
        <f>IFERROR(__xludf.DUMMYFUNCTION("""COMPUTED_VALUE"""),"https://drive.google.com/open?id=1Qfijp5ky3AvApLtU_uGg1SFgIxxTBzPL, https://drive.google.com/open?id=1Coq0Mozs0gRd67YoT6Cz1xfQgoixXu-F, https://drive.google.com/open?id=1H5vuMyPqOVLiNpjGQMgRbN0J-8ofkexc, https://drive.google.com/open?id=1wfANO-Dwn_ayATNDs"&amp;"rGfh1TRGJkF5pXF")</f>
        <v>https://drive.google.com/open?id=1Qfijp5ky3AvApLtU_uGg1SFgIxxTBzPL, https://drive.google.com/open?id=1Coq0Mozs0gRd67YoT6Cz1xfQgoixXu-F, https://drive.google.com/open?id=1H5vuMyPqOVLiNpjGQMgRbN0J-8ofkexc, https://drive.google.com/open?id=1wfANO-Dwn_ayATNDsrGfh1TRGJkF5pXF</v>
      </c>
      <c r="Y266" s="495" t="str">
        <f>IFERROR(__xludf.DUMMYFUNCTION("""COMPUTED_VALUE"""),"contacto@gyotechnologies.com")</f>
        <v>contacto@gyotechnologies.com</v>
      </c>
      <c r="Z266" s="495"/>
      <c r="AA266" s="495"/>
      <c r="AB266" s="495"/>
      <c r="AC266" s="495"/>
      <c r="AD266" s="495"/>
    </row>
    <row r="267">
      <c r="A267" s="495" t="str">
        <f t="shared" si="1"/>
        <v/>
      </c>
      <c r="B267" s="497">
        <f>IFERROR(__xludf.DUMMYFUNCTION("""COMPUTED_VALUE"""),46043.38801042824)</f>
        <v>46043.38801</v>
      </c>
      <c r="C267" s="495" t="str">
        <f>IFERROR(__xludf.DUMMYFUNCTION("""COMPUTED_VALUE"""),"")</f>
        <v/>
      </c>
      <c r="D267" s="495" t="str">
        <f>IFERROR(__xludf.DUMMYFUNCTION("""COMPUTED_VALUE"""),"David Silva Roco")</f>
        <v>David Silva Roco</v>
      </c>
      <c r="E267" s="495"/>
      <c r="F267" s="496" t="str">
        <f>IFERROR(__xludf.DUMMYFUNCTION("""COMPUTED_VALUE"""),"3946-2025")</f>
        <v>3946-2025</v>
      </c>
      <c r="G267" s="495"/>
      <c r="H267" s="495"/>
      <c r="I267" s="495"/>
      <c r="J267" s="495" t="str">
        <f>IFERROR(__xludf.DUMMYFUNCTION("""COMPUTED_VALUE"""),"Campus San Nicolás (Curacautín) - CSN")</f>
        <v>Campus San Nicolás (Curacautín) - CSN</v>
      </c>
      <c r="K267" s="495" t="str">
        <f>IFERROR(__xludf.DUMMYFUNCTION("""COMPUTED_VALUE"""),"Sin número")</f>
        <v>Sin número</v>
      </c>
      <c r="L267" s="495" t="str">
        <f>IFERROR(__xludf.DUMMYFUNCTION("""COMPUTED_VALUE"""),"CONSTRUCTORA RUKATAMI LTDA.")</f>
        <v>CONSTRUCTORA RUKATAMI LTDA.</v>
      </c>
      <c r="M267" s="495" t="str">
        <f>IFERROR(__xludf.DUMMYFUNCTION("""COMPUTED_VALUE"""),"76.514.788-3")</f>
        <v>76.514.788-3</v>
      </c>
      <c r="N267" s="495" t="str">
        <f>IFERROR(__xludf.DUMMYFUNCTION("""COMPUTED_VALUE"""),"ELVIS VALENZUELA. CONSTRUCTOR CIVIL")</f>
        <v>ELVIS VALENZUELA. CONSTRUCTOR CIVIL</v>
      </c>
      <c r="O267" s="495" t="str">
        <f>IFERROR(__xludf.DUMMYFUNCTION("""COMPUTED_VALUE"""),"Obras y Especialidades")</f>
        <v>Obras y Especialidades</v>
      </c>
      <c r="P267" s="495"/>
      <c r="Q267" s="495"/>
      <c r="R267" s="495" t="str">
        <f>IFERROR(__xludf.DUMMYFUNCTION("""COMPUTED_VALUE"""),"Nuevo Edificio")</f>
        <v>Nuevo Edificio</v>
      </c>
      <c r="S267" s="495" t="str">
        <f>IFERROR(__xludf.DUMMYFUNCTION("""COMPUTED_VALUE"""),"Recepción de Obra - RC")</f>
        <v>Recepción de Obra - RC</v>
      </c>
      <c r="T267" s="495"/>
      <c r="U267" s="495"/>
      <c r="V267" s="495" t="str">
        <f>IFERROR(__xludf.DUMMYFUNCTION("""COMPUTED_VALUE"""),"EJECUCION 6 CABAÑAS CENTRO RECREACIONAL.")</f>
        <v>EJECUCION 6 CABAÑAS CENTRO RECREACIONAL.</v>
      </c>
      <c r="W267" s="495"/>
      <c r="X267" s="495" t="str">
        <f>IFERROR(__xludf.DUMMYFUNCTION("""COMPUTED_VALUE"""),"https://drive.google.com/open?id=1ptsefoV3HV3A4BGWV9xLBpzdkUMxE7FW, https://drive.google.com/open?id=1Rbz4D7WOqPIyxY8kSeG4ZgdHkpQuApT2, https://drive.google.com/open?id=1gReriCiqkcs9DBDEJRo_arx2p-ZfL2Qx, https://drive.google.com/open?id=1kZduzxQiOovY42Ctk"&amp;"elvx_mOMqOqs0DW, https://drive.google.com/open?id=1OfP16JGq6i2auTbJqKs_D1uDI8rDbgxy")</f>
        <v>https://drive.google.com/open?id=1ptsefoV3HV3A4BGWV9xLBpzdkUMxE7FW, https://drive.google.com/open?id=1Rbz4D7WOqPIyxY8kSeG4ZgdHkpQuApT2, https://drive.google.com/open?id=1gReriCiqkcs9DBDEJRo_arx2p-ZfL2Qx, https://drive.google.com/open?id=1kZduzxQiOovY42Ctkelvx_mOMqOqs0DW, https://drive.google.com/open?id=1OfP16JGq6i2auTbJqKs_D1uDI8rDbgxy</v>
      </c>
      <c r="Y267" s="495" t="str">
        <f>IFERROR(__xludf.DUMMYFUNCTION("""COMPUTED_VALUE"""),"krodriguez.arq@gmail.com")</f>
        <v>krodriguez.arq@gmail.com</v>
      </c>
      <c r="Z267" s="495"/>
      <c r="AA267" s="495"/>
      <c r="AB267" s="495"/>
      <c r="AC267" s="495"/>
      <c r="AD267" s="495"/>
    </row>
    <row r="268">
      <c r="A268" s="495" t="str">
        <f t="shared" si="1"/>
        <v>RC-088_26</v>
      </c>
      <c r="B268" s="497">
        <f>IFERROR(__xludf.DUMMYFUNCTION("""COMPUTED_VALUE"""),46128.514144305555)</f>
        <v>46128.51414</v>
      </c>
      <c r="C268" s="495" t="str">
        <f>IFERROR(__xludf.DUMMYFUNCTION("""COMPUTED_VALUE"""),"")</f>
        <v/>
      </c>
      <c r="D268" s="495" t="str">
        <f>IFERROR(__xludf.DUMMYFUNCTION("""COMPUTED_VALUE"""),"Felipe Anselme Grandón")</f>
        <v>Felipe Anselme Grandón</v>
      </c>
      <c r="E268" s="495"/>
      <c r="F268" s="496" t="str">
        <f>IFERROR(__xludf.DUMMYFUNCTION("""COMPUTED_VALUE"""),"2564-2026")</f>
        <v>2564-2026</v>
      </c>
      <c r="G268" s="495"/>
      <c r="H268" s="495"/>
      <c r="I268" s="495"/>
      <c r="J268" s="495" t="str">
        <f>IFERROR(__xludf.DUMMYFUNCTION("""COMPUTED_VALUE"""),"Campus San Juan Pablo II - CJP")</f>
        <v>Campus San Juan Pablo II - CJP</v>
      </c>
      <c r="K268" s="495" t="str">
        <f>IFERROR(__xludf.DUMMYFUNCTION("""COMPUTED_VALUE"""),"08")</f>
        <v>08</v>
      </c>
      <c r="L268" s="495" t="str">
        <f>IFERROR(__xludf.DUMMYFUNCTION("""COMPUTED_VALUE"""),"Constructora y Servicios S-Tec SPA ")</f>
        <v>Constructora y Servicios S-Tec SPA </v>
      </c>
      <c r="M268" s="495" t="str">
        <f>IFERROR(__xludf.DUMMYFUNCTION("""COMPUTED_VALUE"""),"78.270.109-6")</f>
        <v>78.270.109-6</v>
      </c>
      <c r="N268" s="495" t="str">
        <f>IFERROR(__xludf.DUMMYFUNCTION("""COMPUTED_VALUE"""),"Miguel Pino")</f>
        <v>Miguel Pino</v>
      </c>
      <c r="O268" s="495" t="str">
        <f>IFERROR(__xludf.DUMMYFUNCTION("""COMPUTED_VALUE"""),"Mantenciones")</f>
        <v>Mantenciones</v>
      </c>
      <c r="P268" s="495" t="str">
        <f>IFERROR(__xludf.DUMMYFUNCTION("""COMPUTED_VALUE"""),"Requerimientos Emergentes e Imprevistos")</f>
        <v>Requerimientos Emergentes e Imprevistos</v>
      </c>
      <c r="Q268" s="495"/>
      <c r="R268" s="495"/>
      <c r="S268" s="495"/>
      <c r="T268" s="495"/>
      <c r="U268" s="495"/>
      <c r="V268" s="495" t="str">
        <f>IFERROR(__xludf.DUMMYFUNCTION("""COMPUTED_VALUE"""),"Retiro de cañerias e instalaciones para gas. Instalación de tapon en alimentador de línea de  gas. En Laboratorio del edificio CJP08.
")</f>
        <v>Retiro de cañerias e instalaciones para gas. Instalación de tapon en alimentador de línea de  gas. En Laboratorio del edificio CJP08.
</v>
      </c>
      <c r="W268" s="495"/>
      <c r="X268" s="495" t="str">
        <f>IFERROR(__xludf.DUMMYFUNCTION("""COMPUTED_VALUE"""),"https://drive.google.com/open?id=1Q-_ARqQYkNxZWIYsosZRcf0ozF5Da0i4, https://drive.google.com/open?id=1fCUz4xxLO4ONnADoMXHWt7OA8z3M5ol9, https://drive.google.com/open?id=1E3ktnVw2QlNa0o3gAqntsrx9LiYDudLJ")</f>
        <v>https://drive.google.com/open?id=1Q-_ARqQYkNxZWIYsosZRcf0ozF5Da0i4, https://drive.google.com/open?id=1fCUz4xxLO4ONnADoMXHWt7OA8z3M5ol9, https://drive.google.com/open?id=1E3ktnVw2QlNa0o3gAqntsrx9LiYDudLJ</v>
      </c>
      <c r="Y268" s="495" t="str">
        <f>IFERROR(__xludf.DUMMYFUNCTION("""COMPUTED_VALUE"""),"miguelptorres@gmail.com")</f>
        <v>miguelptorres@gmail.com</v>
      </c>
      <c r="Z268" s="498">
        <f>IFERROR(__xludf.DUMMYFUNCTION("""COMPUTED_VALUE"""),97739.0)</f>
        <v>97739</v>
      </c>
      <c r="AA268" s="495"/>
      <c r="AB268" s="495"/>
      <c r="AC268" s="495"/>
      <c r="AD268" s="495" t="str">
        <f>IFERROR(__xludf.DUMMYFUNCTION("""COMPUTED_VALUE"""),"RC-088_26")</f>
        <v>RC-088_26</v>
      </c>
    </row>
    <row r="269">
      <c r="A269" s="495" t="str">
        <f t="shared" si="1"/>
        <v>RC-087_26</v>
      </c>
      <c r="B269" s="497">
        <f>IFERROR(__xludf.DUMMYFUNCTION("""COMPUTED_VALUE"""),46128.50802241898)</f>
        <v>46128.50802</v>
      </c>
      <c r="C269" s="495" t="str">
        <f>IFERROR(__xludf.DUMMYFUNCTION("""COMPUTED_VALUE"""),"")</f>
        <v/>
      </c>
      <c r="D269" s="495" t="str">
        <f>IFERROR(__xludf.DUMMYFUNCTION("""COMPUTED_VALUE"""),"Felipe Anselme Grandón")</f>
        <v>Felipe Anselme Grandón</v>
      </c>
      <c r="E269" s="495"/>
      <c r="F269" s="496" t="str">
        <f>IFERROR(__xludf.DUMMYFUNCTION("""COMPUTED_VALUE"""),"2553-2026")</f>
        <v>2553-2026</v>
      </c>
      <c r="G269" s="495"/>
      <c r="H269" s="495"/>
      <c r="I269" s="495"/>
      <c r="J269" s="495" t="str">
        <f>IFERROR(__xludf.DUMMYFUNCTION("""COMPUTED_VALUE"""),"Campus San Juan Pablo II - CJP")</f>
        <v>Campus San Juan Pablo II - CJP</v>
      </c>
      <c r="K269" s="495">
        <f>IFERROR(__xludf.DUMMYFUNCTION("""COMPUTED_VALUE"""),12.0)</f>
        <v>12</v>
      </c>
      <c r="L269" s="495" t="str">
        <f>IFERROR(__xludf.DUMMYFUNCTION("""COMPUTED_VALUE"""),"Constructora y Servicios S-Tec SPA ")</f>
        <v>Constructora y Servicios S-Tec SPA </v>
      </c>
      <c r="M269" s="495" t="str">
        <f>IFERROR(__xludf.DUMMYFUNCTION("""COMPUTED_VALUE"""),"78.270.109-6")</f>
        <v>78.270.109-6</v>
      </c>
      <c r="N269" s="495" t="str">
        <f>IFERROR(__xludf.DUMMYFUNCTION("""COMPUTED_VALUE"""),"Miguel Pino")</f>
        <v>Miguel Pino</v>
      </c>
      <c r="O269" s="495" t="str">
        <f>IFERROR(__xludf.DUMMYFUNCTION("""COMPUTED_VALUE"""),"Mantenciones")</f>
        <v>Mantenciones</v>
      </c>
      <c r="P269" s="495" t="str">
        <f>IFERROR(__xludf.DUMMYFUNCTION("""COMPUTED_VALUE"""),"Cubiertas")</f>
        <v>Cubiertas</v>
      </c>
      <c r="Q269" s="495"/>
      <c r="R269" s="495"/>
      <c r="S269" s="495"/>
      <c r="T269" s="495"/>
      <c r="U269" s="495"/>
      <c r="V269" s="495" t="str">
        <f>IFERROR(__xludf.DUMMYFUNCTION("""COMPUTED_VALUE"""),"Reparación de 37 ml de canalas de aguas lluvias de la techumbre del edificio CJP12. Considera limpieza de canalas de aguas lluvias; retiro de siliconas quemadas y quebrajadas, sellado de uniones de hojalaterias de las canalas con Sika flex de poliuretano "&amp;"formando una empaquetadura entre hojalaterias. 
Sellado de fisuras en hojalaterias de las canalas con Sika flex de poliuretano formando una empaquetadura entre hojalaterias. Cambio de fijaciones en uniones de hojalaterias de canalas de aguas lluvias.
")</f>
        <v>Reparación de 37 ml de canalas de aguas lluvias de la techumbre del edificio CJP12. Considera limpieza de canalas de aguas lluvias; retiro de siliconas quemadas y quebrajadas, sellado de uniones de hojalaterias de las canalas con Sika flex de poliuretano formando una empaquetadura entre hojalaterias. 
Sellado de fisuras en hojalaterias de las canalas con Sika flex de poliuretano formando una empaquetadura entre hojalaterias. Cambio de fijaciones en uniones de hojalaterias de canalas de aguas lluvias.
</v>
      </c>
      <c r="W269" s="495" t="str">
        <f>IFERROR(__xludf.DUMMYFUNCTION("""COMPUTED_VALUE"""),"Realizar esta misma mantencion cada año, antes de que inicie el invierno.")</f>
        <v>Realizar esta misma mantencion cada año, antes de que inicie el invierno.</v>
      </c>
      <c r="X269" s="495" t="str">
        <f>IFERROR(__xludf.DUMMYFUNCTION("""COMPUTED_VALUE"""),"https://drive.google.com/open?id=1InG-lqLgt3BMhpzOB3lCmuKKTfKayUor, https://drive.google.com/open?id=1oupKQ6RDHImf7z3GonKY8sK7mOpbKouw, https://drive.google.com/open?id=1ILx6FkadHtyqcROfIu6y-tvfNUW_eaYh, https://drive.google.com/open?id=14XOfXtYl2WBffNcd4"&amp;"ha60JBhJrrgxyV3, https://drive.google.com/open?id=1nxI2NhSdIaWH7-Z3mJQaC7eDhD0fKpOx")</f>
        <v>https://drive.google.com/open?id=1InG-lqLgt3BMhpzOB3lCmuKKTfKayUor, https://drive.google.com/open?id=1oupKQ6RDHImf7z3GonKY8sK7mOpbKouw, https://drive.google.com/open?id=1ILx6FkadHtyqcROfIu6y-tvfNUW_eaYh, https://drive.google.com/open?id=14XOfXtYl2WBffNcd4ha60JBhJrrgxyV3, https://drive.google.com/open?id=1nxI2NhSdIaWH7-Z3mJQaC7eDhD0fKpOx</v>
      </c>
      <c r="Y269" s="495" t="str">
        <f>IFERROR(__xludf.DUMMYFUNCTION("""COMPUTED_VALUE"""),"miguelptorres@gmail.com")</f>
        <v>miguelptorres@gmail.com</v>
      </c>
      <c r="Z269" s="498">
        <f>IFERROR(__xludf.DUMMYFUNCTION("""COMPUTED_VALUE"""),675266.0)</f>
        <v>675266</v>
      </c>
      <c r="AA269" s="495"/>
      <c r="AB269" s="495"/>
      <c r="AC269" s="495"/>
      <c r="AD269" s="495" t="str">
        <f>IFERROR(__xludf.DUMMYFUNCTION("""COMPUTED_VALUE"""),"RC-087_26")</f>
        <v>RC-087_26</v>
      </c>
    </row>
    <row r="270">
      <c r="A270" s="495" t="str">
        <f t="shared" si="1"/>
        <v>RC-085_26</v>
      </c>
      <c r="B270" s="497">
        <f>IFERROR(__xludf.DUMMYFUNCTION("""COMPUTED_VALUE"""),46128.03648725695)</f>
        <v>46128.03649</v>
      </c>
      <c r="C270" s="495" t="str">
        <f>IFERROR(__xludf.DUMMYFUNCTION("""COMPUTED_VALUE"""),"")</f>
        <v/>
      </c>
      <c r="D270" s="495" t="str">
        <f>IFERROR(__xludf.DUMMYFUNCTION("""COMPUTED_VALUE"""),"Juan Ignacio Solís de Ovando")</f>
        <v>Juan Ignacio Solís de Ovando</v>
      </c>
      <c r="E270" s="495"/>
      <c r="F270" s="496">
        <f>IFERROR(__xludf.DUMMYFUNCTION("""COMPUTED_VALUE"""),1993.0)</f>
        <v>1993</v>
      </c>
      <c r="G270" s="495"/>
      <c r="H270" s="495"/>
      <c r="I270" s="495"/>
      <c r="J270" s="495" t="str">
        <f>IFERROR(__xludf.DUMMYFUNCTION("""COMPUTED_VALUE"""),"Campus San Francisco - CSF")</f>
        <v>Campus San Francisco - CSF</v>
      </c>
      <c r="K270" s="495" t="str">
        <f>IFERROR(__xludf.DUMMYFUNCTION("""COMPUTED_VALUE"""),"01")</f>
        <v>01</v>
      </c>
      <c r="L270" s="495" t="str">
        <f>IFERROR(__xludf.DUMMYFUNCTION("""COMPUTED_VALUE"""),"comercializadora Art. ferreteria, servicios publicidad")</f>
        <v>comercializadora Art. ferreteria, servicios publicidad</v>
      </c>
      <c r="M270" s="495" t="str">
        <f>IFERROR(__xludf.DUMMYFUNCTION("""COMPUTED_VALUE"""),"76.707.485-9")</f>
        <v>76.707.485-9</v>
      </c>
      <c r="N270" s="495" t="str">
        <f>IFERROR(__xludf.DUMMYFUNCTION("""COMPUTED_VALUE"""),"JUAN IGNACIO OSOLIS")</f>
        <v>JUAN IGNACIO OSOLIS</v>
      </c>
      <c r="O270" s="495" t="str">
        <f>IFERROR(__xludf.DUMMYFUNCTION("""COMPUTED_VALUE"""),"Mantenciones")</f>
        <v>Mantenciones</v>
      </c>
      <c r="P270" s="495" t="str">
        <f>IFERROR(__xludf.DUMMYFUNCTION("""COMPUTED_VALUE"""),"Terminaciones Interiores")</f>
        <v>Terminaciones Interiores</v>
      </c>
      <c r="Q270" s="495"/>
      <c r="R270" s="495"/>
      <c r="S270" s="495"/>
      <c r="T270" s="495"/>
      <c r="U270" s="495"/>
      <c r="V270" s="495" t="str">
        <f>IFERROR(__xludf.DUMMYFUNCTION("""COMPUTED_VALUE"""),"instalacion empavonado")</f>
        <v>instalacion empavonado</v>
      </c>
      <c r="W270" s="495"/>
      <c r="X270" s="499" t="str">
        <f>IFERROR(__xludf.DUMMYFUNCTION("""COMPUTED_VALUE"""),"https://drive.google.com/open?id=18F2ThvhKuho_O1_e3xn9HI6E7qfUWQSs")</f>
        <v>https://drive.google.com/open?id=18F2ThvhKuho_O1_e3xn9HI6E7qfUWQSs</v>
      </c>
      <c r="Y270" s="495" t="str">
        <f>IFERROR(__xludf.DUMMYFUNCTION("""COMPUTED_VALUE"""),"danielaarriagadacaba@hotmail.com")</f>
        <v>danielaarriagadacaba@hotmail.com</v>
      </c>
      <c r="Z270" s="498">
        <f>IFERROR(__xludf.DUMMYFUNCTION("""COMPUTED_VALUE"""),285341.0)</f>
        <v>285341</v>
      </c>
      <c r="AA270" s="495"/>
      <c r="AB270" s="495"/>
      <c r="AC270" s="495"/>
      <c r="AD270" s="495" t="str">
        <f>IFERROR(__xludf.DUMMYFUNCTION("""COMPUTED_VALUE"""),"RC-085_26")</f>
        <v>RC-085_26</v>
      </c>
    </row>
    <row r="271">
      <c r="A271" s="495" t="str">
        <f t="shared" si="1"/>
        <v>RC-084_26</v>
      </c>
      <c r="B271" s="497">
        <f>IFERROR(__xludf.DUMMYFUNCTION("""COMPUTED_VALUE"""),46127.745288171296)</f>
        <v>46127.74529</v>
      </c>
      <c r="C271" s="495" t="str">
        <f>IFERROR(__xludf.DUMMYFUNCTION("""COMPUTED_VALUE"""),"")</f>
        <v/>
      </c>
      <c r="D271" s="495" t="str">
        <f>IFERROR(__xludf.DUMMYFUNCTION("""COMPUTED_VALUE"""),"Leonor Ríos Morales")</f>
        <v>Leonor Ríos Morales</v>
      </c>
      <c r="E271" s="495"/>
      <c r="F271" s="496">
        <f>IFERROR(__xludf.DUMMYFUNCTION("""COMPUTED_VALUE"""),1659.0)</f>
        <v>1659</v>
      </c>
      <c r="G271" s="495"/>
      <c r="H271" s="495"/>
      <c r="I271" s="495"/>
      <c r="J271" s="495" t="str">
        <f>IFERROR(__xludf.DUMMYFUNCTION("""COMPUTED_VALUE"""),"Campus San Francisco - CSF")</f>
        <v>Campus San Francisco - CSF</v>
      </c>
      <c r="K271" s="495" t="str">
        <f>IFERROR(__xludf.DUMMYFUNCTION("""COMPUTED_VALUE"""),"02")</f>
        <v>02</v>
      </c>
      <c r="L271" s="495" t="str">
        <f>IFERROR(__xludf.DUMMYFUNCTION("""COMPUTED_VALUE"""),"comercializadora Articulos ferreteria e publicidad")</f>
        <v>comercializadora Articulos ferreteria e publicidad</v>
      </c>
      <c r="M271" s="495" t="str">
        <f>IFERROR(__xludf.DUMMYFUNCTION("""COMPUTED_VALUE"""),"76.707.485-9")</f>
        <v>76.707.485-9</v>
      </c>
      <c r="N271" s="495" t="str">
        <f>IFERROR(__xludf.DUMMYFUNCTION("""COMPUTED_VALUE"""),"LEONOR RIOS")</f>
        <v>LEONOR RIOS</v>
      </c>
      <c r="O271" s="495" t="str">
        <f>IFERROR(__xludf.DUMMYFUNCTION("""COMPUTED_VALUE"""),"Mantenciones")</f>
        <v>Mantenciones</v>
      </c>
      <c r="P271" s="495" t="str">
        <f>IFERROR(__xludf.DUMMYFUNCTION("""COMPUTED_VALUE"""),"Terminaciones Interiores")</f>
        <v>Terminaciones Interiores</v>
      </c>
      <c r="Q271" s="495"/>
      <c r="R271" s="495"/>
      <c r="S271" s="495"/>
      <c r="T271" s="495"/>
      <c r="U271" s="495"/>
      <c r="V271" s="495" t="str">
        <f>IFERROR(__xludf.DUMMYFUNCTION("""COMPUTED_VALUE"""),"INSTALACION LAMINA EMPAVONADO BIBLIOTECA")</f>
        <v>INSTALACION LAMINA EMPAVONADO BIBLIOTECA</v>
      </c>
      <c r="W271" s="495"/>
      <c r="X271" s="495" t="str">
        <f>IFERROR(__xludf.DUMMYFUNCTION("""COMPUTED_VALUE"""),"https://drive.google.com/open?id=1VAj7xd5FuGuyjd6Yo9D_9-PkrUT6ky4f, https://drive.google.com/open?id=1W4kYg2M4Z06h327lz-YncGJkHwOZsQY_, https://drive.google.com/open?id=1g3uJGBUTqxrN8PzU2Zf9QPW-LfbmcXYB")</f>
        <v>https://drive.google.com/open?id=1VAj7xd5FuGuyjd6Yo9D_9-PkrUT6ky4f, https://drive.google.com/open?id=1W4kYg2M4Z06h327lz-YncGJkHwOZsQY_, https://drive.google.com/open?id=1g3uJGBUTqxrN8PzU2Zf9QPW-LfbmcXYB</v>
      </c>
      <c r="Y271" s="495" t="str">
        <f>IFERROR(__xludf.DUMMYFUNCTION("""COMPUTED_VALUE"""),"danielapatriciaarriagadacaba@hotmail.com")</f>
        <v>danielapatriciaarriagadacaba@hotmail.com</v>
      </c>
      <c r="Z271" s="498">
        <f>IFERROR(__xludf.DUMMYFUNCTION("""COMPUTED_VALUE"""),171519.0)</f>
        <v>171519</v>
      </c>
      <c r="AA271" s="495"/>
      <c r="AB271" s="495"/>
      <c r="AC271" s="495"/>
      <c r="AD271" s="495" t="str">
        <f>IFERROR(__xludf.DUMMYFUNCTION("""COMPUTED_VALUE"""),"RC-084_26")</f>
        <v>RC-084_26</v>
      </c>
    </row>
    <row r="272">
      <c r="A272" s="495" t="str">
        <f t="shared" si="1"/>
        <v>RC-082_26</v>
      </c>
      <c r="B272" s="497">
        <f>IFERROR(__xludf.DUMMYFUNCTION("""COMPUTED_VALUE"""),46127.69773238426)</f>
        <v>46127.69773</v>
      </c>
      <c r="C272" s="495" t="str">
        <f>IFERROR(__xludf.DUMMYFUNCTION("""COMPUTED_VALUE"""),"")</f>
        <v/>
      </c>
      <c r="D272" s="495" t="str">
        <f>IFERROR(__xludf.DUMMYFUNCTION("""COMPUTED_VALUE"""),"Mauricio Matus Belmar")</f>
        <v>Mauricio Matus Belmar</v>
      </c>
      <c r="E272" s="495"/>
      <c r="F272" s="496" t="str">
        <f>IFERROR(__xludf.DUMMYFUNCTION("""COMPUTED_VALUE"""),"2254 - 2026")</f>
        <v>2254 - 2026</v>
      </c>
      <c r="G272" s="495"/>
      <c r="H272" s="495"/>
      <c r="I272" s="495"/>
      <c r="J272" s="495" t="str">
        <f>IFERROR(__xludf.DUMMYFUNCTION("""COMPUTED_VALUE"""),"Campus Prieto Norte - CHS")</f>
        <v>Campus Prieto Norte - CHS</v>
      </c>
      <c r="K272" s="495" t="str">
        <f>IFERROR(__xludf.DUMMYFUNCTION("""COMPUTED_VALUE"""),"Sin número")</f>
        <v>Sin número</v>
      </c>
      <c r="L272" s="495" t="str">
        <f>IFERROR(__xludf.DUMMYFUNCTION("""COMPUTED_VALUE"""),"Empresa Constructora IGECE Ltda.")</f>
        <v>Empresa Constructora IGECE Ltda.</v>
      </c>
      <c r="M272" s="495" t="str">
        <f>IFERROR(__xludf.DUMMYFUNCTION("""COMPUTED_VALUE"""),"76.878.824-3")</f>
        <v>76.878.824-3</v>
      </c>
      <c r="N272" s="495" t="str">
        <f>IFERROR(__xludf.DUMMYFUNCTION("""COMPUTED_VALUE"""),"Carlos Troncoso - Gerente General ")</f>
        <v>Carlos Troncoso - Gerente General </v>
      </c>
      <c r="O272" s="495" t="str">
        <f>IFERROR(__xludf.DUMMYFUNCTION("""COMPUTED_VALUE"""),"Mantenciones")</f>
        <v>Mantenciones</v>
      </c>
      <c r="P272" s="495" t="str">
        <f>IFERROR(__xludf.DUMMYFUNCTION("""COMPUTED_VALUE"""),"Terminaciones Interiores")</f>
        <v>Terminaciones Interiores</v>
      </c>
      <c r="Q272" s="495"/>
      <c r="R272" s="495"/>
      <c r="S272" s="495"/>
      <c r="T272" s="495"/>
      <c r="U272" s="495"/>
      <c r="V272" s="495" t="str">
        <f>IFERROR(__xludf.DUMMYFUNCTION("""COMPUTED_VALUE"""),"Instalación Pletinas, ángulos y sellos . Además mejorar traslape de
puerta en ambos lados")</f>
        <v>Instalación Pletinas, ángulos y sellos . Además mejorar traslape de
puerta en ambos lados</v>
      </c>
      <c r="W272" s="495"/>
      <c r="X272" s="499" t="str">
        <f>IFERROR(__xludf.DUMMYFUNCTION("""COMPUTED_VALUE"""),"https://drive.google.com/open?id=1qmGbXb4vWPbkZgE603wnvUoHYS3JNiGe")</f>
        <v>https://drive.google.com/open?id=1qmGbXb4vWPbkZgE603wnvUoHYS3JNiGe</v>
      </c>
      <c r="Y272" s="495" t="str">
        <f>IFERROR(__xludf.DUMMYFUNCTION("""COMPUTED_VALUE"""),"carlostroncosom@hotmail.com")</f>
        <v>carlostroncosom@hotmail.com</v>
      </c>
      <c r="Z272" s="498">
        <f>IFERROR(__xludf.DUMMYFUNCTION("""COMPUTED_VALUE"""),297500.0)</f>
        <v>297500</v>
      </c>
      <c r="AA272" s="495"/>
      <c r="AB272" s="495"/>
      <c r="AC272" s="495"/>
      <c r="AD272" s="495" t="str">
        <f>IFERROR(__xludf.DUMMYFUNCTION("""COMPUTED_VALUE"""),"RC-082_26")</f>
        <v>RC-082_26</v>
      </c>
    </row>
    <row r="273">
      <c r="A273" s="495" t="str">
        <f t="shared" si="1"/>
        <v>RC-081_26</v>
      </c>
      <c r="B273" s="497">
        <f>IFERROR(__xludf.DUMMYFUNCTION("""COMPUTED_VALUE"""),46127.667045740745)</f>
        <v>46127.66705</v>
      </c>
      <c r="C273" s="495" t="str">
        <f>IFERROR(__xludf.DUMMYFUNCTION("""COMPUTED_VALUE"""),"")</f>
        <v/>
      </c>
      <c r="D273" s="495" t="str">
        <f>IFERROR(__xludf.DUMMYFUNCTION("""COMPUTED_VALUE"""),"Felipe Anselme Grandón")</f>
        <v>Felipe Anselme Grandón</v>
      </c>
      <c r="E273" s="495"/>
      <c r="F273" s="496" t="str">
        <f>IFERROR(__xludf.DUMMYFUNCTION("""COMPUTED_VALUE"""),"2541 - 2026")</f>
        <v>2541 - 2026</v>
      </c>
      <c r="G273" s="495"/>
      <c r="H273" s="495"/>
      <c r="I273" s="495"/>
      <c r="J273" s="495" t="str">
        <f>IFERROR(__xludf.DUMMYFUNCTION("""COMPUTED_VALUE"""),"Campus Dr. Luis Rivas del Canto - CRC")</f>
        <v>Campus Dr. Luis Rivas del Canto - CRC</v>
      </c>
      <c r="K273" s="495" t="str">
        <f>IFERROR(__xludf.DUMMYFUNCTION("""COMPUTED_VALUE"""),"Exterior")</f>
        <v>Exterior</v>
      </c>
      <c r="L273" s="495" t="str">
        <f>IFERROR(__xludf.DUMMYFUNCTION("""COMPUTED_VALUE"""),"Empresa Constructora IGECE Ltda.")</f>
        <v>Empresa Constructora IGECE Ltda.</v>
      </c>
      <c r="M273" s="495" t="str">
        <f>IFERROR(__xludf.DUMMYFUNCTION("""COMPUTED_VALUE"""),"76.878.824-3")</f>
        <v>76.878.824-3</v>
      </c>
      <c r="N273" s="495" t="str">
        <f>IFERROR(__xludf.DUMMYFUNCTION("""COMPUTED_VALUE"""),"Carlos Troncoso - Gerente General ")</f>
        <v>Carlos Troncoso - Gerente General </v>
      </c>
      <c r="O273" s="495" t="str">
        <f>IFERROR(__xludf.DUMMYFUNCTION("""COMPUTED_VALUE"""),"Mantenciones")</f>
        <v>Mantenciones</v>
      </c>
      <c r="P273" s="495" t="str">
        <f>IFERROR(__xludf.DUMMYFUNCTION("""COMPUTED_VALUE"""),"Suelos")</f>
        <v>Suelos</v>
      </c>
      <c r="Q273" s="495"/>
      <c r="R273" s="495"/>
      <c r="S273" s="495"/>
      <c r="T273" s="495"/>
      <c r="U273" s="495"/>
      <c r="V273" s="495" t="str">
        <f>IFERROR(__xludf.DUMMYFUNCTION("""COMPUTED_VALUE"""),"Escarpe: Retiro 10 cm capa superficial.
Base Estabilizado: Mejoramiento suelo con 10 cm de base estabilizada y compactada mediante placa compactadora.
Hormigonado: Instalación polietileno sobre terreno compactado, malla Acma c-92 sobre separadores tipo "&amp;"rueda para evitar contacto con polietileno, llenado hormigón según resistencia solicitada.
")</f>
        <v>Escarpe: Retiro 10 cm capa superficial.
Base Estabilizado: Mejoramiento suelo con 10 cm de base estabilizada y compactada mediante placa compactadora.
Hormigonado: Instalación polietileno sobre terreno compactado, malla Acma c-92 sobre separadores tipo rueda para evitar contacto con polietileno, llenado hormigón según resistencia solicitada.
</v>
      </c>
      <c r="W273" s="495"/>
      <c r="X273" s="495" t="str">
        <f>IFERROR(__xludf.DUMMYFUNCTION("""COMPUTED_VALUE"""),"https://drive.google.com/open?id=15S17Z5hsKOo2aBFpBGTV4bGNB0JctmNZ, https://drive.google.com/open?id=12disPIZV0yKq_C2vi74ixyqAxJYDGNFB, https://drive.google.com/open?id=1F5C5SHSyWzEqsjcZHZ-GLT2PBlMVpW3D, https://drive.google.com/open?id=1uJvvJWYsmdTMDjKa5"&amp;"8ttyWPVQBPqyhqe, https://drive.google.com/open?id=11wNmbv4484ymJA6AoHAo6_B5J1ylkxjj")</f>
        <v>https://drive.google.com/open?id=15S17Z5hsKOo2aBFpBGTV4bGNB0JctmNZ, https://drive.google.com/open?id=12disPIZV0yKq_C2vi74ixyqAxJYDGNFB, https://drive.google.com/open?id=1F5C5SHSyWzEqsjcZHZ-GLT2PBlMVpW3D, https://drive.google.com/open?id=1uJvvJWYsmdTMDjKa58ttyWPVQBPqyhqe, https://drive.google.com/open?id=11wNmbv4484ymJA6AoHAo6_B5J1ylkxjj</v>
      </c>
      <c r="Y273" s="495" t="str">
        <f>IFERROR(__xludf.DUMMYFUNCTION("""COMPUTED_VALUE"""),"carlostroncosom@hotmail.com")</f>
        <v>carlostroncosom@hotmail.com</v>
      </c>
      <c r="Z273" s="498">
        <f>IFERROR(__xludf.DUMMYFUNCTION("""COMPUTED_VALUE"""),798680.0)</f>
        <v>798680</v>
      </c>
      <c r="AA273" s="495"/>
      <c r="AB273" s="495"/>
      <c r="AC273" s="495"/>
      <c r="AD273" s="495" t="str">
        <f>IFERROR(__xludf.DUMMYFUNCTION("""COMPUTED_VALUE"""),"RC-081_26")</f>
        <v>RC-081_26</v>
      </c>
    </row>
    <row r="274">
      <c r="A274" s="495" t="str">
        <f t="shared" si="1"/>
        <v>RC-080_26</v>
      </c>
      <c r="B274" s="497">
        <f>IFERROR(__xludf.DUMMYFUNCTION("""COMPUTED_VALUE"""),46127.65708233796)</f>
        <v>46127.65708</v>
      </c>
      <c r="C274" s="495" t="str">
        <f>IFERROR(__xludf.DUMMYFUNCTION("""COMPUTED_VALUE"""),"")</f>
        <v/>
      </c>
      <c r="D274" s="495" t="str">
        <f>IFERROR(__xludf.DUMMYFUNCTION("""COMPUTED_VALUE"""),"Carol Huenchual Chañilao")</f>
        <v>Carol Huenchual Chañilao</v>
      </c>
      <c r="E274" s="495"/>
      <c r="F274" s="496" t="str">
        <f>IFERROR(__xludf.DUMMYFUNCTION("""COMPUTED_VALUE"""),"1952 -2026")</f>
        <v>1952 -2026</v>
      </c>
      <c r="G274" s="495"/>
      <c r="H274" s="495"/>
      <c r="I274" s="495"/>
      <c r="J274" s="495" t="str">
        <f>IFERROR(__xludf.DUMMYFUNCTION("""COMPUTED_VALUE"""),"Campus San Francisco - CSF")</f>
        <v>Campus San Francisco - CSF</v>
      </c>
      <c r="K274" s="495">
        <f>IFERROR(__xludf.DUMMYFUNCTION("""COMPUTED_VALUE"""),12.0)</f>
        <v>12</v>
      </c>
      <c r="L274" s="495" t="str">
        <f>IFERROR(__xludf.DUMMYFUNCTION("""COMPUTED_VALUE"""),"Empresa Constructora IGECE Ltda.")</f>
        <v>Empresa Constructora IGECE Ltda.</v>
      </c>
      <c r="M274" s="495" t="str">
        <f>IFERROR(__xludf.DUMMYFUNCTION("""COMPUTED_VALUE"""),"76.878.824-3")</f>
        <v>76.878.824-3</v>
      </c>
      <c r="N274" s="495" t="str">
        <f>IFERROR(__xludf.DUMMYFUNCTION("""COMPUTED_VALUE"""),"Carlos Troncoso - Gerente General ")</f>
        <v>Carlos Troncoso - Gerente General </v>
      </c>
      <c r="O274" s="495" t="str">
        <f>IFERROR(__xludf.DUMMYFUNCTION("""COMPUTED_VALUE"""),"Mantenciones")</f>
        <v>Mantenciones</v>
      </c>
      <c r="P274" s="495" t="str">
        <f>IFERROR(__xludf.DUMMYFUNCTION("""COMPUTED_VALUE"""),"Cubiertas")</f>
        <v>Cubiertas</v>
      </c>
      <c r="Q274" s="495"/>
      <c r="R274" s="495"/>
      <c r="S274" s="495"/>
      <c r="T274" s="495"/>
      <c r="U274" s="495"/>
      <c r="V274" s="495" t="str">
        <f>IFERROR(__xludf.DUMMYFUNCTION("""COMPUTED_VALUE"""),"FABRICACION DE 5 ESTRUCTURAS DE METALCON ESTRUCTURAL 1.45 X .08
FIJACION CON EXAGONALES A CUBIERTA
INSTALACION DE PLANCHA POLICARBONATO ALVEOLAR DE 4 MM
INSTALACION DE U PERIMETRALES PLANCHAS")</f>
        <v>FABRICACION DE 5 ESTRUCTURAS DE METALCON ESTRUCTURAL 1.45 X .08
FIJACION CON EXAGONALES A CUBIERTA
INSTALACION DE PLANCHA POLICARBONATO ALVEOLAR DE 4 MM
INSTALACION DE U PERIMETRALES PLANCHAS</v>
      </c>
      <c r="W274" s="495"/>
      <c r="X274" s="495" t="str">
        <f>IFERROR(__xludf.DUMMYFUNCTION("""COMPUTED_VALUE"""),"https://drive.google.com/open?id=1HkCAQwICPOLuf1zXA4P7NkIMs1r_Z5zn, https://drive.google.com/open?id=1VCjieVJhQhNc49xi0jNHqlJfkAtdmLOG, https://drive.google.com/open?id=1p1WHJVO-1xAEFILdQjp6R6iC_weGMm64, https://drive.google.com/open?id=1jNNz2KYO8hEesLDEN"&amp;"61iaP4rHlF8OhbX, https://drive.google.com/open?id=1Ge8an3cbnuyEsHzhFypn2_jKlKA7pq__, https://drive.google.com/open?id=1bdHSZIb9ok85A8fm_YCRmi22PReoOUJE, https://drive.google.com/open?id=1HUBFegDG3Ap7fUQbdG4iazpH8xh6XX0S")</f>
        <v>https://drive.google.com/open?id=1HkCAQwICPOLuf1zXA4P7NkIMs1r_Z5zn, https://drive.google.com/open?id=1VCjieVJhQhNc49xi0jNHqlJfkAtdmLOG, https://drive.google.com/open?id=1p1WHJVO-1xAEFILdQjp6R6iC_weGMm64, https://drive.google.com/open?id=1jNNz2KYO8hEesLDEN61iaP4rHlF8OhbX, https://drive.google.com/open?id=1Ge8an3cbnuyEsHzhFypn2_jKlKA7pq__, https://drive.google.com/open?id=1bdHSZIb9ok85A8fm_YCRmi22PReoOUJE, https://drive.google.com/open?id=1HUBFegDG3Ap7fUQbdG4iazpH8xh6XX0S</v>
      </c>
      <c r="Y274" s="495" t="str">
        <f>IFERROR(__xludf.DUMMYFUNCTION("""COMPUTED_VALUE"""),"carlostroncosom@hotmail.com")</f>
        <v>carlostroncosom@hotmail.com</v>
      </c>
      <c r="Z274" s="498">
        <f>IFERROR(__xludf.DUMMYFUNCTION("""COMPUTED_VALUE"""),690200.0)</f>
        <v>690200</v>
      </c>
      <c r="AA274" s="495"/>
      <c r="AB274" s="495"/>
      <c r="AC274" s="495"/>
      <c r="AD274" s="495" t="str">
        <f>IFERROR(__xludf.DUMMYFUNCTION("""COMPUTED_VALUE"""),"RC-080_26")</f>
        <v>RC-080_26</v>
      </c>
    </row>
    <row r="275">
      <c r="A275" s="495" t="str">
        <f t="shared" si="1"/>
        <v/>
      </c>
      <c r="B275" s="497">
        <f>IFERROR(__xludf.DUMMYFUNCTION("""COMPUTED_VALUE"""),46048.56158472222)</f>
        <v>46048.56158</v>
      </c>
      <c r="C275" s="495" t="str">
        <f>IFERROR(__xludf.DUMMYFUNCTION("""COMPUTED_VALUE"""),"")</f>
        <v/>
      </c>
      <c r="D275" s="495" t="str">
        <f>IFERROR(__xludf.DUMMYFUNCTION("""COMPUTED_VALUE"""),"Mauricio Zurita Aldea")</f>
        <v>Mauricio Zurita Aldea</v>
      </c>
      <c r="E275" s="495"/>
      <c r="F275" s="496" t="str">
        <f>IFERROR(__xludf.DUMMYFUNCTION("""COMPUTED_VALUE"""),"12793 - 2025")</f>
        <v>12793 - 2025</v>
      </c>
      <c r="G275" s="495"/>
      <c r="H275" s="495"/>
      <c r="I275" s="495"/>
      <c r="J275" s="495" t="str">
        <f>IFERROR(__xludf.DUMMYFUNCTION("""COMPUTED_VALUE"""),"Campus Dr. Luis Rivas del Canto - CRC")</f>
        <v>Campus Dr. Luis Rivas del Canto - CRC</v>
      </c>
      <c r="K275" s="495" t="str">
        <f>IFERROR(__xludf.DUMMYFUNCTION("""COMPUTED_VALUE"""),"08")</f>
        <v>08</v>
      </c>
      <c r="L275" s="495" t="str">
        <f>IFERROR(__xludf.DUMMYFUNCTION("""COMPUTED_VALUE"""),"AYC SOLUCIONES SPA")</f>
        <v>AYC SOLUCIONES SPA</v>
      </c>
      <c r="M275" s="495" t="str">
        <f>IFERROR(__xludf.DUMMYFUNCTION("""COMPUTED_VALUE"""),"77.724.003-K")</f>
        <v>77.724.003-K</v>
      </c>
      <c r="N275" s="495" t="str">
        <f>IFERROR(__xludf.DUMMYFUNCTION("""COMPUTED_VALUE"""),"JAVIER RIFFO ESPINOZA")</f>
        <v>JAVIER RIFFO ESPINOZA</v>
      </c>
      <c r="O275" s="495" t="str">
        <f>IFERROR(__xludf.DUMMYFUNCTION("""COMPUTED_VALUE"""),"Obras y Especialidades")</f>
        <v>Obras y Especialidades</v>
      </c>
      <c r="P275" s="495"/>
      <c r="Q275" s="495"/>
      <c r="R275" s="495" t="str">
        <f>IFERROR(__xludf.DUMMYFUNCTION("""COMPUTED_VALUE"""),"Especialidades")</f>
        <v>Especialidades</v>
      </c>
      <c r="S275" s="495" t="str">
        <f>IFERROR(__xludf.DUMMYFUNCTION("""COMPUTED_VALUE"""),"Recepción de Obra - RC")</f>
        <v>Recepción de Obra - RC</v>
      </c>
      <c r="T275" s="495"/>
      <c r="U275" s="495"/>
      <c r="V275" s="495" t="str">
        <f>IFERROR(__xludf.DUMMYFUNCTION("""COMPUTED_VALUE"""),"REEMPLAZO E INSTALACION DE RACK, ORDENAMIENTO Y PUESTA EN MARCHA")</f>
        <v>REEMPLAZO E INSTALACION DE RACK, ORDENAMIENTO Y PUESTA EN MARCHA</v>
      </c>
      <c r="W275" s="495" t="str">
        <f>IFERROR(__xludf.DUMMYFUNCTION("""COMPUTED_VALUE"""),"SIN OBSERVACIONES")</f>
        <v>SIN OBSERVACIONES</v>
      </c>
      <c r="X275" s="495" t="str">
        <f>IFERROR(__xludf.DUMMYFUNCTION("""COMPUTED_VALUE"""),"https://drive.google.com/open?id=1_WtERwI6XHLoTjfOeq-OvZdkQw0pLaAL, https://drive.google.com/open?id=1fGWCSbocDhvLQZFxYpU-NFLtSWVN8YAO")</f>
        <v>https://drive.google.com/open?id=1_WtERwI6XHLoTjfOeq-OvZdkQw0pLaAL, https://drive.google.com/open?id=1fGWCSbocDhvLQZFxYpU-NFLtSWVN8YAO</v>
      </c>
      <c r="Y275" s="495" t="str">
        <f>IFERROR(__xludf.DUMMYFUNCTION("""COMPUTED_VALUE"""),"javieriffo@gmail.com")</f>
        <v>javieriffo@gmail.com</v>
      </c>
      <c r="Z275" s="495"/>
      <c r="AA275" s="495"/>
      <c r="AB275" s="495"/>
      <c r="AC275" s="495"/>
      <c r="AD275" s="495"/>
    </row>
    <row r="276">
      <c r="A276" s="495" t="str">
        <f t="shared" si="1"/>
        <v/>
      </c>
      <c r="B276" s="497">
        <f>IFERROR(__xludf.DUMMYFUNCTION("""COMPUTED_VALUE"""),46048.58341422454)</f>
        <v>46048.58341</v>
      </c>
      <c r="C276" s="495" t="str">
        <f>IFERROR(__xludf.DUMMYFUNCTION("""COMPUTED_VALUE"""),"")</f>
        <v/>
      </c>
      <c r="D276" s="495" t="str">
        <f>IFERROR(__xludf.DUMMYFUNCTION("""COMPUTED_VALUE"""),"Felipe Anselme Grandón")</f>
        <v>Felipe Anselme Grandón</v>
      </c>
      <c r="E276" s="495"/>
      <c r="F276" s="496" t="str">
        <f>IFERROR(__xludf.DUMMYFUNCTION("""COMPUTED_VALUE"""),"13310-2025")</f>
        <v>13310-2025</v>
      </c>
      <c r="G276" s="495"/>
      <c r="H276" s="495"/>
      <c r="I276" s="495"/>
      <c r="J276" s="495" t="str">
        <f>IFERROR(__xludf.DUMMYFUNCTION("""COMPUTED_VALUE"""),"Campus San Nicolás (Curacautín) - CSN")</f>
        <v>Campus San Nicolás (Curacautín) - CSN</v>
      </c>
      <c r="K276" s="495" t="str">
        <f>IFERROR(__xludf.DUMMYFUNCTION("""COMPUTED_VALUE"""),"Sin número")</f>
        <v>Sin número</v>
      </c>
      <c r="L276" s="495" t="str">
        <f>IFERROR(__xludf.DUMMYFUNCTION("""COMPUTED_VALUE"""),"CORTINAJE DECOIDEAS TEMUCO PABLO
ANDRES TAPIA MORA E.I.R.L.")</f>
        <v>CORTINAJE DECOIDEAS TEMUCO PABLO
ANDRES TAPIA MORA E.I.R.L.</v>
      </c>
      <c r="M276" s="495" t="str">
        <f>IFERROR(__xludf.DUMMYFUNCTION("""COMPUTED_VALUE"""),"77.815.707-1")</f>
        <v>77.815.707-1</v>
      </c>
      <c r="N276" s="495" t="str">
        <f>IFERROR(__xludf.DUMMYFUNCTION("""COMPUTED_VALUE"""),"Pablo Tapia Mora. Cargo: propietario")</f>
        <v>Pablo Tapia Mora. Cargo: propietario</v>
      </c>
      <c r="O276" s="495" t="str">
        <f>IFERROR(__xludf.DUMMYFUNCTION("""COMPUTED_VALUE"""),"Obras y Especialidades")</f>
        <v>Obras y Especialidades</v>
      </c>
      <c r="P276" s="495"/>
      <c r="Q276" s="495"/>
      <c r="R276" s="495" t="str">
        <f>IFERROR(__xludf.DUMMYFUNCTION("""COMPUTED_VALUE"""),"Especialidades")</f>
        <v>Especialidades</v>
      </c>
      <c r="S276" s="495" t="str">
        <f>IFERROR(__xludf.DUMMYFUNCTION("""COMPUTED_VALUE"""),"Recepción de Obra - RC")</f>
        <v>Recepción de Obra - RC</v>
      </c>
      <c r="T276" s="495"/>
      <c r="U276" s="495"/>
      <c r="V276" s="495" t="str">
        <f>IFERROR(__xludf.DUMMYFUNCTION("""COMPUTED_VALUE"""),"instalacion de cortinas tradicionales de visillo y de blackout en living comedor y dormitorio principal, junto con roller sun screen de 1% de apertura en color gris para ventanas pequeñas de living comedor, y dormitorio pequeño de cabaña 2 y 4.")</f>
        <v>instalacion de cortinas tradicionales de visillo y de blackout en living comedor y dormitorio principal, junto con roller sun screen de 1% de apertura en color gris para ventanas pequeñas de living comedor, y dormitorio pequeño de cabaña 2 y 4.</v>
      </c>
      <c r="W276" s="495" t="str">
        <f>IFERROR(__xludf.DUMMYFUNCTION("""COMPUTED_VALUE"""),"que las cuiden :)")</f>
        <v>que las cuiden :)</v>
      </c>
      <c r="X276" s="495" t="str">
        <f>IFERROR(__xludf.DUMMYFUNCTION("""COMPUTED_VALUE"""),"https://drive.google.com/open?id=1an9IMSbL4abV9HA28LZkBBwePZhglzRe, https://drive.google.com/open?id=16jL9zhvEWGvU4xr6eyF_8rvCLi3Ih6zZ, https://drive.google.com/open?id=1vNCM84hnARaVl2mwqdIEhavjV1ERnSz9, https://drive.google.com/open?id=1joyAhsGtXloBv9I2C"&amp;"FJ6hjtXvgAuH-Xs, https://drive.google.com/open?id=1x4HHZaMQculQ6X-rgtQlYjjv9M4utjCt")</f>
        <v>https://drive.google.com/open?id=1an9IMSbL4abV9HA28LZkBBwePZhglzRe, https://drive.google.com/open?id=16jL9zhvEWGvU4xr6eyF_8rvCLi3Ih6zZ, https://drive.google.com/open?id=1vNCM84hnARaVl2mwqdIEhavjV1ERnSz9, https://drive.google.com/open?id=1joyAhsGtXloBv9I2CFJ6hjtXvgAuH-Xs, https://drive.google.com/open?id=1x4HHZaMQculQ6X-rgtQlYjjv9M4utjCt</v>
      </c>
      <c r="Y276" s="495" t="str">
        <f>IFERROR(__xludf.DUMMYFUNCTION("""COMPUTED_VALUE"""),"p.tapiamora07@gmail.com")</f>
        <v>p.tapiamora07@gmail.com</v>
      </c>
      <c r="Z276" s="495"/>
      <c r="AA276" s="495"/>
      <c r="AB276" s="495"/>
      <c r="AC276" s="495"/>
      <c r="AD276" s="495"/>
    </row>
    <row r="277">
      <c r="A277" s="495" t="str">
        <f t="shared" si="1"/>
        <v>RC-079_26</v>
      </c>
      <c r="B277" s="497">
        <f>IFERROR(__xludf.DUMMYFUNCTION("""COMPUTED_VALUE"""),46126.79093430555)</f>
        <v>46126.79093</v>
      </c>
      <c r="C277" s="495" t="str">
        <f>IFERROR(__xludf.DUMMYFUNCTION("""COMPUTED_VALUE"""),"")</f>
        <v/>
      </c>
      <c r="D277" s="495" t="str">
        <f>IFERROR(__xludf.DUMMYFUNCTION("""COMPUTED_VALUE"""),"Carol Huenchual Chañilao")</f>
        <v>Carol Huenchual Chañilao</v>
      </c>
      <c r="E277" s="495"/>
      <c r="F277" s="496">
        <f>IFERROR(__xludf.DUMMYFUNCTION("""COMPUTED_VALUE"""),2405.0)</f>
        <v>2405</v>
      </c>
      <c r="G277" s="495"/>
      <c r="H277" s="495"/>
      <c r="I277" s="495"/>
      <c r="J277" s="495" t="str">
        <f>IFERROR(__xludf.DUMMYFUNCTION("""COMPUTED_VALUE"""),"Campus San Francisco - CSF")</f>
        <v>Campus San Francisco - CSF</v>
      </c>
      <c r="K277" s="495">
        <f>IFERROR(__xludf.DUMMYFUNCTION("""COMPUTED_VALUE"""),11.0)</f>
        <v>11</v>
      </c>
      <c r="L277" s="495" t="str">
        <f>IFERROR(__xludf.DUMMYFUNCTION("""COMPUTED_VALUE"""),"FCM Ingeniería Spa")</f>
        <v>FCM Ingeniería Spa</v>
      </c>
      <c r="M277" s="495" t="str">
        <f>IFERROR(__xludf.DUMMYFUNCTION("""COMPUTED_VALUE"""),"76.881.945-9")</f>
        <v>76.881.945-9</v>
      </c>
      <c r="N277" s="495" t="str">
        <f>IFERROR(__xludf.DUMMYFUNCTION("""COMPUTED_VALUE"""),"Marcelo Cruces Araneda - Ingeniero Ejecución Mecánico")</f>
        <v>Marcelo Cruces Araneda - Ingeniero Ejecución Mecánico</v>
      </c>
      <c r="O277" s="495" t="str">
        <f>IFERROR(__xludf.DUMMYFUNCTION("""COMPUTED_VALUE"""),"Mantenciones")</f>
        <v>Mantenciones</v>
      </c>
      <c r="P277" s="495" t="str">
        <f>IFERROR(__xludf.DUMMYFUNCTION("""COMPUTED_VALUE"""),"Requerimientos Emergentes e Imprevistos")</f>
        <v>Requerimientos Emergentes e Imprevistos</v>
      </c>
      <c r="Q277" s="495"/>
      <c r="R277" s="495"/>
      <c r="S277" s="495"/>
      <c r="T277" s="495"/>
      <c r="U277" s="495"/>
      <c r="V277" s="495" t="str">
        <f>IFERROR(__xludf.DUMMYFUNCTION("""COMPUTED_VALUE"""),"Detección y reparación de dos fugas de agua, prueba de tintas a desague, reposición de desagues, instalación de sifones e instalación de lavafondos.")</f>
        <v>Detección y reparación de dos fugas de agua, prueba de tintas a desague, reposición de desagues, instalación de sifones e instalación de lavafondos.</v>
      </c>
      <c r="W277" s="495" t="str">
        <f>IFERROR(__xludf.DUMMYFUNCTION("""COMPUTED_VALUE"""),"Se sugiere inspección periódica a sistema de desagüe de aguas grises.")</f>
        <v>Se sugiere inspección periódica a sistema de desagüe de aguas grises.</v>
      </c>
      <c r="X277" s="495" t="str">
        <f>IFERROR(__xludf.DUMMYFUNCTION("""COMPUTED_VALUE"""),"https://drive.google.com/open?id=1gOq6_eIVSTo-RgTfaqJN_8KuzaER6KxL, https://drive.google.com/open?id=1Hl4aaevE8No1r9L99vCarNj1--dgFFI7, https://drive.google.com/open?id=1R1dJ9jmj0rnM6dauM0wcf1_qCFkl-BA3, https://drive.google.com/open?id=1y1tN8Ahj41D3ZK1_n"&amp;"ETjGbswcBXdPCNW, https://drive.google.com/open?id=1C4x10bvOMwQGLLZBqvJCHRvwUEPRuqZL, https://drive.google.com/open?id=1TMaL6AGe3M3dx42zP3mSQZbpn7eiXQLi")</f>
        <v>https://drive.google.com/open?id=1gOq6_eIVSTo-RgTfaqJN_8KuzaER6KxL, https://drive.google.com/open?id=1Hl4aaevE8No1r9L99vCarNj1--dgFFI7, https://drive.google.com/open?id=1R1dJ9jmj0rnM6dauM0wcf1_qCFkl-BA3, https://drive.google.com/open?id=1y1tN8Ahj41D3ZK1_nETjGbswcBXdPCNW, https://drive.google.com/open?id=1C4x10bvOMwQGLLZBqvJCHRvwUEPRuqZL, https://drive.google.com/open?id=1TMaL6AGe3M3dx42zP3mSQZbpn7eiXQLi</v>
      </c>
      <c r="Y277" s="495" t="str">
        <f>IFERROR(__xludf.DUMMYFUNCTION("""COMPUTED_VALUE"""),"marcelocruces@fcmingenieria.cl")</f>
        <v>marcelocruces@fcmingenieria.cl</v>
      </c>
      <c r="Z277" s="498">
        <f>IFERROR(__xludf.DUMMYFUNCTION("""COMPUTED_VALUE"""),4244730.0)</f>
        <v>4244730</v>
      </c>
      <c r="AA277" s="495"/>
      <c r="AB277" s="495"/>
      <c r="AC277" s="495"/>
      <c r="AD277" s="495" t="str">
        <f>IFERROR(__xludf.DUMMYFUNCTION("""COMPUTED_VALUE"""),"RC-079_26")</f>
        <v>RC-079_26</v>
      </c>
    </row>
    <row r="278">
      <c r="A278" s="495" t="str">
        <f t="shared" si="1"/>
        <v>RC-078_26</v>
      </c>
      <c r="B278" s="497">
        <f>IFERROR(__xludf.DUMMYFUNCTION("""COMPUTED_VALUE"""),46126.64519885417)</f>
        <v>46126.6452</v>
      </c>
      <c r="C278" s="495" t="str">
        <f>IFERROR(__xludf.DUMMYFUNCTION("""COMPUTED_VALUE"""),"")</f>
        <v/>
      </c>
      <c r="D278" s="495" t="str">
        <f>IFERROR(__xludf.DUMMYFUNCTION("""COMPUTED_VALUE"""),"Mauricio Matus Belmar")</f>
        <v>Mauricio Matus Belmar</v>
      </c>
      <c r="E278" s="495"/>
      <c r="F278" s="496" t="str">
        <f>IFERROR(__xludf.DUMMYFUNCTION("""COMPUTED_VALUE"""),"2436-2026")</f>
        <v>2436-2026</v>
      </c>
      <c r="G278" s="495"/>
      <c r="H278" s="495"/>
      <c r="I278" s="495"/>
      <c r="J278" s="495" t="str">
        <f>IFERROR(__xludf.DUMMYFUNCTION("""COMPUTED_VALUE"""),"Campus San Juan Pablo II - CJP")</f>
        <v>Campus San Juan Pablo II - CJP</v>
      </c>
      <c r="K278" s="495" t="str">
        <f>IFERROR(__xludf.DUMMYFUNCTION("""COMPUTED_VALUE"""),"Exterior")</f>
        <v>Exterior</v>
      </c>
      <c r="L278" s="495" t="str">
        <f>IFERROR(__xludf.DUMMYFUNCTION("""COMPUTED_VALUE"""),"GATICAR SPA")</f>
        <v>GATICAR SPA</v>
      </c>
      <c r="M278" s="495" t="str">
        <f>IFERROR(__xludf.DUMMYFUNCTION("""COMPUTED_VALUE"""),"77.578.487-3")</f>
        <v>77.578.487-3</v>
      </c>
      <c r="N278" s="495" t="str">
        <f>IFERROR(__xludf.DUMMYFUNCTION("""COMPUTED_VALUE"""),"HECTOR GATICA BADILLA ")</f>
        <v>HECTOR GATICA BADILLA </v>
      </c>
      <c r="O278" s="495" t="str">
        <f>IFERROR(__xludf.DUMMYFUNCTION("""COMPUTED_VALUE"""),"Mantenciones")</f>
        <v>Mantenciones</v>
      </c>
      <c r="P278" s="495" t="str">
        <f>IFERROR(__xludf.DUMMYFUNCTION("""COMPUTED_VALUE"""),"Requerimientos Emergentes e Imprevistos")</f>
        <v>Requerimientos Emergentes e Imprevistos</v>
      </c>
      <c r="Q278" s="495"/>
      <c r="R278" s="495"/>
      <c r="S278" s="495"/>
      <c r="T278" s="495"/>
      <c r="U278" s="495"/>
      <c r="V278" s="495" t="str">
        <f>IFERROR(__xludf.DUMMYFUNCTION("""COMPUTED_VALUE"""),"REPARACION ELECTROVALVULAS Y CAMARA EN CANCHA N1 COMPLEJO DEPORTIVO")</f>
        <v>REPARACION ELECTROVALVULAS Y CAMARA EN CANCHA N1 COMPLEJO DEPORTIVO</v>
      </c>
      <c r="W278" s="495"/>
      <c r="X278" s="495" t="str">
        <f>IFERROR(__xludf.DUMMYFUNCTION("""COMPUTED_VALUE"""),"https://drive.google.com/open?id=1-ikDylK_ZKIV3YdF4esvFqCbjCjUxqoQ, https://drive.google.com/open?id=1pqN1sAzyO6xuesP3CC1JikGA8tU8Ry4O, https://drive.google.com/open?id=1k9g8K-4H21pLFT-b5IDbo4VfkvKC4vS3, https://drive.google.com/open?id=1i_AmU-K1Pt4d9fFmb"&amp;"It6_t01ImnwBgku")</f>
        <v>https://drive.google.com/open?id=1-ikDylK_ZKIV3YdF4esvFqCbjCjUxqoQ, https://drive.google.com/open?id=1pqN1sAzyO6xuesP3CC1JikGA8tU8Ry4O, https://drive.google.com/open?id=1k9g8K-4H21pLFT-b5IDbo4VfkvKC4vS3, https://drive.google.com/open?id=1i_AmU-K1Pt4d9fFmbIt6_t01ImnwBgku</v>
      </c>
      <c r="Y278" s="495" t="str">
        <f>IFERROR(__xludf.DUMMYFUNCTION("""COMPUTED_VALUE"""),"serviciogaticar@gmail.com")</f>
        <v>serviciogaticar@gmail.com</v>
      </c>
      <c r="Z278" s="498">
        <f>IFERROR(__xludf.DUMMYFUNCTION("""COMPUTED_VALUE"""),797300.0)</f>
        <v>797300</v>
      </c>
      <c r="AA278" s="495"/>
      <c r="AB278" s="495"/>
      <c r="AC278" s="495"/>
      <c r="AD278" s="495" t="str">
        <f>IFERROR(__xludf.DUMMYFUNCTION("""COMPUTED_VALUE"""),"RC-078_26")</f>
        <v>RC-078_26</v>
      </c>
    </row>
    <row r="279">
      <c r="A279" s="495" t="str">
        <f t="shared" si="1"/>
        <v/>
      </c>
      <c r="B279" s="497">
        <f>IFERROR(__xludf.DUMMYFUNCTION("""COMPUTED_VALUE"""),46049.38190853009)</f>
        <v>46049.38191</v>
      </c>
      <c r="C279" s="495" t="str">
        <f>IFERROR(__xludf.DUMMYFUNCTION("""COMPUTED_VALUE"""),"")</f>
        <v/>
      </c>
      <c r="D279" s="495" t="str">
        <f>IFERROR(__xludf.DUMMYFUNCTION("""COMPUTED_VALUE"""),"Felipe Anselme Grandón")</f>
        <v>Felipe Anselme Grandón</v>
      </c>
      <c r="E279" s="495"/>
      <c r="F279" s="496" t="str">
        <f>IFERROR(__xludf.DUMMYFUNCTION("""COMPUTED_VALUE"""),"12212 - 2025")</f>
        <v>12212 - 2025</v>
      </c>
      <c r="G279" s="495"/>
      <c r="H279" s="495"/>
      <c r="I279" s="495"/>
      <c r="J279" s="495" t="str">
        <f>IFERROR(__xludf.DUMMYFUNCTION("""COMPUTED_VALUE"""),"Campus Pillanlelbun - CPL")</f>
        <v>Campus Pillanlelbun - CPL</v>
      </c>
      <c r="K279" s="495" t="str">
        <f>IFERROR(__xludf.DUMMYFUNCTION("""COMPUTED_VALUE"""),"Exterior")</f>
        <v>Exterior</v>
      </c>
      <c r="L279" s="495" t="str">
        <f>IFERROR(__xludf.DUMMYFUNCTION("""COMPUTED_VALUE"""),"Constructora y Servicios S-Tec SPA ")</f>
        <v>Constructora y Servicios S-Tec SPA </v>
      </c>
      <c r="M279" s="495" t="str">
        <f>IFERROR(__xludf.DUMMYFUNCTION("""COMPUTED_VALUE"""),"77.781.356-0")</f>
        <v>77.781.356-0</v>
      </c>
      <c r="N279" s="495" t="str">
        <f>IFERROR(__xludf.DUMMYFUNCTION("""COMPUTED_VALUE"""),"Miguel Pino - Representante legal ")</f>
        <v>Miguel Pino - Representante legal </v>
      </c>
      <c r="O279" s="495" t="str">
        <f>IFERROR(__xludf.DUMMYFUNCTION("""COMPUTED_VALUE"""),"Obras y Especialidades")</f>
        <v>Obras y Especialidades</v>
      </c>
      <c r="P279" s="495"/>
      <c r="Q279" s="495"/>
      <c r="R279" s="495" t="str">
        <f>IFERROR(__xludf.DUMMYFUNCTION("""COMPUTED_VALUE"""),"Especialidades")</f>
        <v>Especialidades</v>
      </c>
      <c r="S279" s="495" t="str">
        <f>IFERROR(__xludf.DUMMYFUNCTION("""COMPUTED_VALUE"""),"Recepción de Obra - RC")</f>
        <v>Recepción de Obra - RC</v>
      </c>
      <c r="T279" s="495"/>
      <c r="U279" s="495"/>
      <c r="V279" s="495" t="str">
        <f>IFERROR(__xludf.DUMMYFUNCTION("""COMPUTED_VALUE"""),"Retiro de 10 portones de madera e instalación de 10 portones metálicos.")</f>
        <v>Retiro de 10 portones de madera e instalación de 10 portones metálicos.</v>
      </c>
      <c r="W279" s="495"/>
      <c r="X279" s="495" t="str">
        <f>IFERROR(__xludf.DUMMYFUNCTION("""COMPUTED_VALUE"""),"https://drive.google.com/open?id=1qdiEkhMkYsWpzCSEjvNJQanAXdLzvwYN, https://drive.google.com/open?id=1VjmNQqWRqFFAPd14Hg1Yf-cApIRq60Mp, https://drive.google.com/open?id=1scmUEM_O4VpC7V5UN7A16e8QMkTJDG99, https://drive.google.com/open?id=1ATl-ZOOBw74JVZZJh"&amp;"mbNqI-J7CrkdTM2, https://drive.google.com/open?id=1Xprc6vBHIOQ5fbGQ5lS6Z4NQWMNnbJVH, https://drive.google.com/open?id=1q7NdbjFVnLxQVLaQb-LSNg5qAKB0Plw-, https://drive.google.com/open?id=1uQo-x29hnrFMkT8iHG7dpkCECq7lARYV, https://drive.google.com/open?id=1"&amp;"eGInBtHtPmw5XI9ok3vsFMtzjbw5AuwN, https://drive.google.com/open?id=1skfhcB-KCRgcmtPX1a_t3wWMMsfiXme4, https://drive.google.com/open?id=1vFKdj_c730BdVGo4IRoSbApz-NM3pMWo")</f>
        <v>https://drive.google.com/open?id=1qdiEkhMkYsWpzCSEjvNJQanAXdLzvwYN, https://drive.google.com/open?id=1VjmNQqWRqFFAPd14Hg1Yf-cApIRq60Mp, https://drive.google.com/open?id=1scmUEM_O4VpC7V5UN7A16e8QMkTJDG99, https://drive.google.com/open?id=1ATl-ZOOBw74JVZZJhmbNqI-J7CrkdTM2, https://drive.google.com/open?id=1Xprc6vBHIOQ5fbGQ5lS6Z4NQWMNnbJVH, https://drive.google.com/open?id=1q7NdbjFVnLxQVLaQb-LSNg5qAKB0Plw-, https://drive.google.com/open?id=1uQo-x29hnrFMkT8iHG7dpkCECq7lARYV, https://drive.google.com/open?id=1eGInBtHtPmw5XI9ok3vsFMtzjbw5AuwN, https://drive.google.com/open?id=1skfhcB-KCRgcmtPX1a_t3wWMMsfiXme4, https://drive.google.com/open?id=1vFKdj_c730BdVGo4IRoSbApz-NM3pMWo</v>
      </c>
      <c r="Y279" s="495" t="str">
        <f>IFERROR(__xludf.DUMMYFUNCTION("""COMPUTED_VALUE"""),"miguelptorres@gmail.com")</f>
        <v>miguelptorres@gmail.com</v>
      </c>
      <c r="Z279" s="495"/>
      <c r="AA279" s="495"/>
      <c r="AB279" s="495"/>
      <c r="AC279" s="495"/>
      <c r="AD279" s="495"/>
    </row>
    <row r="280">
      <c r="A280" s="495" t="str">
        <f t="shared" si="1"/>
        <v/>
      </c>
      <c r="B280" s="497">
        <f>IFERROR(__xludf.DUMMYFUNCTION("""COMPUTED_VALUE"""),46049.63625391204)</f>
        <v>46049.63625</v>
      </c>
      <c r="C280" s="495" t="str">
        <f>IFERROR(__xludf.DUMMYFUNCTION("""COMPUTED_VALUE"""),"")</f>
        <v/>
      </c>
      <c r="D280" s="495" t="str">
        <f>IFERROR(__xludf.DUMMYFUNCTION("""COMPUTED_VALUE"""),"Juan Ignacio Solís de Ovando")</f>
        <v>Juan Ignacio Solís de Ovando</v>
      </c>
      <c r="E280" s="495"/>
      <c r="F280" s="496" t="str">
        <f>IFERROR(__xludf.DUMMYFUNCTION("""COMPUTED_VALUE"""),"11875-2025")</f>
        <v>11875-2025</v>
      </c>
      <c r="G280" s="495"/>
      <c r="H280" s="495"/>
      <c r="I280" s="495"/>
      <c r="J280" s="495" t="str">
        <f>IFERROR(__xludf.DUMMYFUNCTION("""COMPUTED_VALUE"""),"Campus San Francisco - CSF")</f>
        <v>Campus San Francisco - CSF</v>
      </c>
      <c r="K280" s="495" t="str">
        <f>IFERROR(__xludf.DUMMYFUNCTION("""COMPUTED_VALUE"""),"Sin número")</f>
        <v>Sin número</v>
      </c>
      <c r="L280" s="495" t="str">
        <f>IFERROR(__xludf.DUMMYFUNCTION("""COMPUTED_VALUE"""),"CONSTRUCTORA INGTRAPP SPA")</f>
        <v>CONSTRUCTORA INGTRAPP SPA</v>
      </c>
      <c r="M280" s="495" t="str">
        <f>IFERROR(__xludf.DUMMYFUNCTION("""COMPUTED_VALUE"""),"78.202.133-8")</f>
        <v>78.202.133-8</v>
      </c>
      <c r="N280" s="495" t="str">
        <f>IFERROR(__xludf.DUMMYFUNCTION("""COMPUTED_VALUE"""),"patrick gutierrez")</f>
        <v>patrick gutierrez</v>
      </c>
      <c r="O280" s="495" t="str">
        <f>IFERROR(__xludf.DUMMYFUNCTION("""COMPUTED_VALUE"""),"Obras y Especialidades")</f>
        <v>Obras y Especialidades</v>
      </c>
      <c r="P280" s="495"/>
      <c r="Q280" s="495"/>
      <c r="R280" s="495" t="str">
        <f>IFERROR(__xludf.DUMMYFUNCTION("""COMPUTED_VALUE"""),"Modificación de Espacio")</f>
        <v>Modificación de Espacio</v>
      </c>
      <c r="S280" s="495" t="str">
        <f>IFERROR(__xludf.DUMMYFUNCTION("""COMPUTED_VALUE"""),"Estado de Pago - EP")</f>
        <v>Estado de Pago - EP</v>
      </c>
      <c r="T280" s="495">
        <f>IFERROR(__xludf.DUMMYFUNCTION("""COMPUTED_VALUE"""),2.0)</f>
        <v>2</v>
      </c>
      <c r="U280" s="495" t="str">
        <f>IFERROR(__xludf.DUMMYFUNCTION("""COMPUTED_VALUE"""),"$9.635.025")</f>
        <v>$9.635.025</v>
      </c>
      <c r="V280" s="495" t="str">
        <f>IFERROR(__xludf.DUMMYFUNCTION("""COMPUTED_VALUE"""),"REMODELACION HALL ATENCION DE PUBLICO EDIFICO CAEP CAMPUS SAN FRANCISCO")</f>
        <v>REMODELACION HALL ATENCION DE PUBLICO EDIFICO CAEP CAMPUS SAN FRANCISCO</v>
      </c>
      <c r="W280" s="495"/>
      <c r="X280" s="495" t="str">
        <f>IFERROR(__xludf.DUMMYFUNCTION("""COMPUTED_VALUE"""),"https://drive.google.com/open?id=1AQdpjdy_fLJ82mJmOK8SQGFuZ_HUWML2, https://drive.google.com/open?id=1xoNe67EuDKjVrfidCPiKXGDHRvBtIZFG, https://drive.google.com/open?id=1UboqRA-m67AoPye5E4pbGnexGzkjzmvB, https://drive.google.com/open?id=1qBOHe3_KqxGZQDry9"&amp;"DhYqoIJClrEGvI1, https://drive.google.com/open?id=1-kOXn7YxEvDj1ACHuLWJWg60c-J4jQqQ, https://drive.google.com/open?id=1dhhDjrEgbQoVVf9Oo0dMhzZ_mZVOc5U_")</f>
        <v>https://drive.google.com/open?id=1AQdpjdy_fLJ82mJmOK8SQGFuZ_HUWML2, https://drive.google.com/open?id=1xoNe67EuDKjVrfidCPiKXGDHRvBtIZFG, https://drive.google.com/open?id=1UboqRA-m67AoPye5E4pbGnexGzkjzmvB, https://drive.google.com/open?id=1qBOHe3_KqxGZQDry9DhYqoIJClrEGvI1, https://drive.google.com/open?id=1-kOXn7YxEvDj1ACHuLWJWg60c-J4jQqQ, https://drive.google.com/open?id=1dhhDjrEgbQoVVf9Oo0dMhzZ_mZVOc5U_</v>
      </c>
      <c r="Y280" s="495" t="str">
        <f>IFERROR(__xludf.DUMMYFUNCTION("""COMPUTED_VALUE"""),"constructoraingtrappspa@gmail.com")</f>
        <v>constructoraingtrappspa@gmail.com</v>
      </c>
      <c r="Z280" s="495"/>
      <c r="AA280" s="495"/>
      <c r="AB280" s="495"/>
      <c r="AC280" s="495"/>
      <c r="AD280" s="495"/>
    </row>
    <row r="281">
      <c r="A281" s="495" t="str">
        <f t="shared" si="1"/>
        <v/>
      </c>
      <c r="B281" s="497">
        <f>IFERROR(__xludf.DUMMYFUNCTION("""COMPUTED_VALUE"""),46049.63861547454)</f>
        <v>46049.63862</v>
      </c>
      <c r="C281" s="495" t="str">
        <f>IFERROR(__xludf.DUMMYFUNCTION("""COMPUTED_VALUE"""),"")</f>
        <v/>
      </c>
      <c r="D281" s="495" t="str">
        <f>IFERROR(__xludf.DUMMYFUNCTION("""COMPUTED_VALUE"""),"Juan Ignacio Solís de Ovando")</f>
        <v>Juan Ignacio Solís de Ovando</v>
      </c>
      <c r="E281" s="495"/>
      <c r="F281" s="496">
        <f>IFERROR(__xludf.DUMMYFUNCTION("""COMPUTED_VALUE"""),13112.0)</f>
        <v>13112</v>
      </c>
      <c r="G281" s="495"/>
      <c r="H281" s="495"/>
      <c r="I281" s="495"/>
      <c r="J281" s="495" t="str">
        <f>IFERROR(__xludf.DUMMYFUNCTION("""COMPUTED_VALUE"""),"Campus Dr. Luis Rivas del Canto - CRC")</f>
        <v>Campus Dr. Luis Rivas del Canto - CRC</v>
      </c>
      <c r="K281" s="495">
        <f>IFERROR(__xludf.DUMMYFUNCTION("""COMPUTED_VALUE"""),10.0)</f>
        <v>10</v>
      </c>
      <c r="L281" s="495" t="str">
        <f>IFERROR(__xludf.DUMMYFUNCTION("""COMPUTED_VALUE"""),"Sociedad Comercial Espacio Muebles Ltda")</f>
        <v>Sociedad Comercial Espacio Muebles Ltda</v>
      </c>
      <c r="M281" s="495" t="str">
        <f>IFERROR(__xludf.DUMMYFUNCTION("""COMPUTED_VALUE"""),"77544225-5")</f>
        <v>77544225-5</v>
      </c>
      <c r="N281" s="495" t="str">
        <f>IFERROR(__xludf.DUMMYFUNCTION("""COMPUTED_VALUE"""),"Emilio Aburto - Director e operaciones")</f>
        <v>Emilio Aburto - Director e operaciones</v>
      </c>
      <c r="O281" s="495" t="str">
        <f>IFERROR(__xludf.DUMMYFUNCTION("""COMPUTED_VALUE"""),"Obras y Especialidades")</f>
        <v>Obras y Especialidades</v>
      </c>
      <c r="P281" s="495"/>
      <c r="Q281" s="495"/>
      <c r="R281" s="495" t="str">
        <f>IFERROR(__xludf.DUMMYFUNCTION("""COMPUTED_VALUE"""),"Especialidades")</f>
        <v>Especialidades</v>
      </c>
      <c r="S281" s="495" t="str">
        <f>IFERROR(__xludf.DUMMYFUNCTION("""COMPUTED_VALUE"""),"Estado de Pago - EP")</f>
        <v>Estado de Pago - EP</v>
      </c>
      <c r="T281" s="495">
        <f>IFERROR(__xludf.DUMMYFUNCTION("""COMPUTED_VALUE"""),1.0)</f>
        <v>1</v>
      </c>
      <c r="U281" s="495">
        <f>IFERROR(__xludf.DUMMYFUNCTION("""COMPUTED_VALUE"""),5566820.0)</f>
        <v>5566820</v>
      </c>
      <c r="V281" s="495" t="str">
        <f>IFERROR(__xludf.DUMMYFUNCTION("""COMPUTED_VALUE"""),"Armado e instalación de muebles")</f>
        <v>Armado e instalación de muebles</v>
      </c>
      <c r="W281" s="495"/>
      <c r="X281" s="495" t="str">
        <f>IFERROR(__xludf.DUMMYFUNCTION("""COMPUTED_VALUE"""),"https://drive.google.com/open?id=113NtJKGB5vNmAq-jYgbMbtuvRi4GVbai, https://drive.google.com/open?id=1luKkc1M2wE_7etOyldroshNcpxLOGfHF, https://drive.google.com/open?id=1iqiIMciP7S_DTJnZSmw5eWJ1v_UuAmLU, https://drive.google.com/open?id=1_r0ROwydsw9iyklsZ"&amp;"VDRQu95ZJuUudeo, https://drive.google.com/open?id=1-IlCJmG7xtyrGNtxNHpr1PxvIVuGgifa, https://drive.google.com/open?id=1fxEa6xR4gz93xlL2hxwfFi8IVime7BKm, https://drive.google.com/open?id=12qaapCtVTICPACYBny3vRpzjKGGLBQdk")</f>
        <v>https://drive.google.com/open?id=113NtJKGB5vNmAq-jYgbMbtuvRi4GVbai, https://drive.google.com/open?id=1luKkc1M2wE_7etOyldroshNcpxLOGfHF, https://drive.google.com/open?id=1iqiIMciP7S_DTJnZSmw5eWJ1v_UuAmLU, https://drive.google.com/open?id=1_r0ROwydsw9iyklsZVDRQu95ZJuUudeo, https://drive.google.com/open?id=1-IlCJmG7xtyrGNtxNHpr1PxvIVuGgifa, https://drive.google.com/open?id=1fxEa6xR4gz93xlL2hxwfFi8IVime7BKm, https://drive.google.com/open?id=12qaapCtVTICPACYBny3vRpzjKGGLBQdk</v>
      </c>
      <c r="Y281" s="495" t="str">
        <f>IFERROR(__xludf.DUMMYFUNCTION("""COMPUTED_VALUE"""),"contacto.espaciomuebles@gmail.com")</f>
        <v>contacto.espaciomuebles@gmail.com</v>
      </c>
      <c r="Z281" s="495"/>
      <c r="AA281" s="495"/>
      <c r="AB281" s="495"/>
      <c r="AC281" s="495"/>
      <c r="AD281" s="495"/>
    </row>
    <row r="282">
      <c r="A282" s="495" t="str">
        <f t="shared" si="1"/>
        <v>RC-077_26</v>
      </c>
      <c r="B282" s="497">
        <f>IFERROR(__xludf.DUMMYFUNCTION("""COMPUTED_VALUE"""),46126.52533480324)</f>
        <v>46126.52533</v>
      </c>
      <c r="C282" s="495" t="str">
        <f>IFERROR(__xludf.DUMMYFUNCTION("""COMPUTED_VALUE"""),"")</f>
        <v/>
      </c>
      <c r="D282" s="495" t="str">
        <f>IFERROR(__xludf.DUMMYFUNCTION("""COMPUTED_VALUE"""),"Felipe Anselme Grandón")</f>
        <v>Felipe Anselme Grandón</v>
      </c>
      <c r="E282" s="495"/>
      <c r="F282" s="496" t="str">
        <f>IFERROR(__xludf.DUMMYFUNCTION("""COMPUTED_VALUE"""),"2448 - 2026")</f>
        <v>2448 - 2026</v>
      </c>
      <c r="G282" s="495"/>
      <c r="H282" s="495"/>
      <c r="I282" s="495"/>
      <c r="J282" s="495" t="str">
        <f>IFERROR(__xludf.DUMMYFUNCTION("""COMPUTED_VALUE"""),"Campus Phillippi - CPH")</f>
        <v>Campus Phillippi - CPH</v>
      </c>
      <c r="K282" s="495" t="str">
        <f>IFERROR(__xludf.DUMMYFUNCTION("""COMPUTED_VALUE"""),"Sin número")</f>
        <v>Sin número</v>
      </c>
      <c r="L282" s="495" t="str">
        <f>IFERROR(__xludf.DUMMYFUNCTION("""COMPUTED_VALUE"""),"Flavia Oyarzun Soto")</f>
        <v>Flavia Oyarzun Soto</v>
      </c>
      <c r="M282" s="495" t="str">
        <f>IFERROR(__xludf.DUMMYFUNCTION("""COMPUTED_VALUE"""),"5.503.590-3")</f>
        <v>5.503.590-3</v>
      </c>
      <c r="N282" s="495" t="str">
        <f>IFERROR(__xludf.DUMMYFUNCTION("""COMPUTED_VALUE"""),"Roberto Lassalle Prado  ( Supervisor )")</f>
        <v>Roberto Lassalle Prado  ( Supervisor )</v>
      </c>
      <c r="O282" s="495" t="str">
        <f>IFERROR(__xludf.DUMMYFUNCTION("""COMPUTED_VALUE"""),"Mantenciones")</f>
        <v>Mantenciones</v>
      </c>
      <c r="P282" s="495" t="str">
        <f>IFERROR(__xludf.DUMMYFUNCTION("""COMPUTED_VALUE"""),"Cubiertas")</f>
        <v>Cubiertas</v>
      </c>
      <c r="Q282" s="495"/>
      <c r="R282" s="495"/>
      <c r="S282" s="495"/>
      <c r="T282" s="495"/>
      <c r="U282" s="495"/>
      <c r="V282" s="495" t="str">
        <f>IFERROR(__xludf.DUMMYFUNCTION("""COMPUTED_VALUE"""),"Reposición de canal aguas lluvias")</f>
        <v>Reposición de canal aguas lluvias</v>
      </c>
      <c r="W282" s="495" t="str">
        <f>IFERROR(__xludf.DUMMYFUNCTION("""COMPUTED_VALUE"""),"no hay")</f>
        <v>no hay</v>
      </c>
      <c r="X282" s="495" t="str">
        <f>IFERROR(__xludf.DUMMYFUNCTION("""COMPUTED_VALUE"""),"https://drive.google.com/open?id=1wOeEba8PYh7ZpA7m5879xkG_zjD5riZ5, https://drive.google.com/open?id=1pkKTdZKA130qttLV1puK_p07IW9_Y4dL")</f>
        <v>https://drive.google.com/open?id=1wOeEba8PYh7ZpA7m5879xkG_zjD5riZ5, https://drive.google.com/open?id=1pkKTdZKA130qttLV1puK_p07IW9_Y4dL</v>
      </c>
      <c r="Y282" s="495" t="str">
        <f>IFERROR(__xludf.DUMMYFUNCTION("""COMPUTED_VALUE"""),"roberto.lassalle@gmail.com")</f>
        <v>roberto.lassalle@gmail.com</v>
      </c>
      <c r="Z282" s="498">
        <f>IFERROR(__xludf.DUMMYFUNCTION("""COMPUTED_VALUE"""),271130.0)</f>
        <v>271130</v>
      </c>
      <c r="AA282" s="495"/>
      <c r="AB282" s="495"/>
      <c r="AC282" s="495"/>
      <c r="AD282" s="495" t="str">
        <f>IFERROR(__xludf.DUMMYFUNCTION("""COMPUTED_VALUE"""),"RC-077_26")</f>
        <v>RC-077_26</v>
      </c>
    </row>
    <row r="283">
      <c r="A283" s="495" t="str">
        <f t="shared" si="1"/>
        <v/>
      </c>
      <c r="B283" s="497">
        <f>IFERROR(__xludf.DUMMYFUNCTION("""COMPUTED_VALUE"""),46049.70736526621)</f>
        <v>46049.70737</v>
      </c>
      <c r="C283" s="495" t="str">
        <f>IFERROR(__xludf.DUMMYFUNCTION("""COMPUTED_VALUE"""),"")</f>
        <v/>
      </c>
      <c r="D283" s="495" t="str">
        <f>IFERROR(__xludf.DUMMYFUNCTION("""COMPUTED_VALUE"""),"Juan Ignacio Solís de Ovando")</f>
        <v>Juan Ignacio Solís de Ovando</v>
      </c>
      <c r="E283" s="495"/>
      <c r="F283" s="496" t="str">
        <f>IFERROR(__xludf.DUMMYFUNCTION("""COMPUTED_VALUE"""),"11643-2025")</f>
        <v>11643-2025</v>
      </c>
      <c r="G283" s="495"/>
      <c r="H283" s="495"/>
      <c r="I283" s="495"/>
      <c r="J283" s="495" t="str">
        <f>IFERROR(__xludf.DUMMYFUNCTION("""COMPUTED_VALUE"""),"Campus San Francisco - CSF")</f>
        <v>Campus San Francisco - CSF</v>
      </c>
      <c r="K283" s="495" t="str">
        <f>IFERROR(__xludf.DUMMYFUNCTION("""COMPUTED_VALUE"""),"Exterior")</f>
        <v>Exterior</v>
      </c>
      <c r="L283" s="495" t="str">
        <f>IFERROR(__xludf.DUMMYFUNCTION("""COMPUTED_VALUE"""),"constructora ingtrapp spa")</f>
        <v>constructora ingtrapp spa</v>
      </c>
      <c r="M283" s="495" t="str">
        <f>IFERROR(__xludf.DUMMYFUNCTION("""COMPUTED_VALUE""")," 78.202.133-8")</f>
        <v> 78.202.133-8</v>
      </c>
      <c r="N283" s="495" t="str">
        <f>IFERROR(__xludf.DUMMYFUNCTION("""COMPUTED_VALUE"""),"PATRICK GUTIERREZ")</f>
        <v>PATRICK GUTIERREZ</v>
      </c>
      <c r="O283" s="495" t="str">
        <f>IFERROR(__xludf.DUMMYFUNCTION("""COMPUTED_VALUE"""),"Obras y Especialidades")</f>
        <v>Obras y Especialidades</v>
      </c>
      <c r="P283" s="495"/>
      <c r="Q283" s="495"/>
      <c r="R283" s="495" t="str">
        <f>IFERROR(__xludf.DUMMYFUNCTION("""COMPUTED_VALUE"""),"Exteriores")</f>
        <v>Exteriores</v>
      </c>
      <c r="S283" s="495" t="str">
        <f>IFERROR(__xludf.DUMMYFUNCTION("""COMPUTED_VALUE"""),"Estado de Pago - EP")</f>
        <v>Estado de Pago - EP</v>
      </c>
      <c r="T283" s="495">
        <f>IFERROR(__xludf.DUMMYFUNCTION("""COMPUTED_VALUE"""),1.0)</f>
        <v>1</v>
      </c>
      <c r="U283" s="495" t="str">
        <f>IFERROR(__xludf.DUMMYFUNCTION("""COMPUTED_VALUE"""),"$1.855.043")</f>
        <v>$1.855.043</v>
      </c>
      <c r="V283" s="495" t="str">
        <f>IFERROR(__xludf.DUMMYFUNCTION("""COMPUTED_VALUE"""),"REPOSICIÓN DE BALDOSAS ACCESO SAN FRANCISCO")</f>
        <v>REPOSICIÓN DE BALDOSAS ACCESO SAN FRANCISCO</v>
      </c>
      <c r="W283" s="495"/>
      <c r="X283" s="495" t="str">
        <f>IFERROR(__xludf.DUMMYFUNCTION("""COMPUTED_VALUE"""),"https://drive.google.com/open?id=1Lbbn44QR5oqfqReA9dIUBYwkxpwkIg9x, https://drive.google.com/open?id=1sN_W-YHzSc8RWid75OGItXyc_lV_utOt")</f>
        <v>https://drive.google.com/open?id=1Lbbn44QR5oqfqReA9dIUBYwkxpwkIg9x, https://drive.google.com/open?id=1sN_W-YHzSc8RWid75OGItXyc_lV_utOt</v>
      </c>
      <c r="Y283" s="495" t="str">
        <f>IFERROR(__xludf.DUMMYFUNCTION("""COMPUTED_VALUE"""),"constructoraingtrappspa@gmail.com")</f>
        <v>constructoraingtrappspa@gmail.com</v>
      </c>
      <c r="Z283" s="495"/>
      <c r="AA283" s="495"/>
      <c r="AB283" s="495"/>
      <c r="AC283" s="495"/>
      <c r="AD283" s="495"/>
    </row>
    <row r="284">
      <c r="A284" s="495" t="str">
        <f t="shared" si="1"/>
        <v/>
      </c>
      <c r="B284" s="497">
        <f>IFERROR(__xludf.DUMMYFUNCTION("""COMPUTED_VALUE"""),46049.707482604164)</f>
        <v>46049.70748</v>
      </c>
      <c r="C284" s="495" t="str">
        <f>IFERROR(__xludf.DUMMYFUNCTION("""COMPUTED_VALUE"""),"")</f>
        <v/>
      </c>
      <c r="D284" s="495" t="str">
        <f>IFERROR(__xludf.DUMMYFUNCTION("""COMPUTED_VALUE"""),"Juan Ignacio Solís de Ovando")</f>
        <v>Juan Ignacio Solís de Ovando</v>
      </c>
      <c r="E284" s="495"/>
      <c r="F284" s="496" t="str">
        <f>IFERROR(__xludf.DUMMYFUNCTION("""COMPUTED_VALUE"""),"11643-2025")</f>
        <v>11643-2025</v>
      </c>
      <c r="G284" s="495"/>
      <c r="H284" s="495"/>
      <c r="I284" s="495"/>
      <c r="J284" s="495" t="str">
        <f>IFERROR(__xludf.DUMMYFUNCTION("""COMPUTED_VALUE"""),"Campus San Francisco - CSF")</f>
        <v>Campus San Francisco - CSF</v>
      </c>
      <c r="K284" s="495" t="str">
        <f>IFERROR(__xludf.DUMMYFUNCTION("""COMPUTED_VALUE"""),"Exterior")</f>
        <v>Exterior</v>
      </c>
      <c r="L284" s="495" t="str">
        <f>IFERROR(__xludf.DUMMYFUNCTION("""COMPUTED_VALUE"""),"constructora ingtrapp spa")</f>
        <v>constructora ingtrapp spa</v>
      </c>
      <c r="M284" s="495" t="str">
        <f>IFERROR(__xludf.DUMMYFUNCTION("""COMPUTED_VALUE""")," 78.202.133-8")</f>
        <v> 78.202.133-8</v>
      </c>
      <c r="N284" s="495" t="str">
        <f>IFERROR(__xludf.DUMMYFUNCTION("""COMPUTED_VALUE"""),"PATRICK GUTIERREZ")</f>
        <v>PATRICK GUTIERREZ</v>
      </c>
      <c r="O284" s="495" t="str">
        <f>IFERROR(__xludf.DUMMYFUNCTION("""COMPUTED_VALUE"""),"Obras y Especialidades")</f>
        <v>Obras y Especialidades</v>
      </c>
      <c r="P284" s="495"/>
      <c r="Q284" s="495"/>
      <c r="R284" s="495" t="str">
        <f>IFERROR(__xludf.DUMMYFUNCTION("""COMPUTED_VALUE"""),"Exteriores")</f>
        <v>Exteriores</v>
      </c>
      <c r="S284" s="495" t="str">
        <f>IFERROR(__xludf.DUMMYFUNCTION("""COMPUTED_VALUE"""),"Estado de Pago - EP")</f>
        <v>Estado de Pago - EP</v>
      </c>
      <c r="T284" s="495">
        <f>IFERROR(__xludf.DUMMYFUNCTION("""COMPUTED_VALUE"""),1.0)</f>
        <v>1</v>
      </c>
      <c r="U284" s="495" t="str">
        <f>IFERROR(__xludf.DUMMYFUNCTION("""COMPUTED_VALUE"""),"$1.855.043")</f>
        <v>$1.855.043</v>
      </c>
      <c r="V284" s="495" t="str">
        <f>IFERROR(__xludf.DUMMYFUNCTION("""COMPUTED_VALUE"""),"REPOSICIÓN DE BALDOSAS ACCESO SAN FRANCISCO")</f>
        <v>REPOSICIÓN DE BALDOSAS ACCESO SAN FRANCISCO</v>
      </c>
      <c r="W284" s="495"/>
      <c r="X284" s="495" t="str">
        <f>IFERROR(__xludf.DUMMYFUNCTION("""COMPUTED_VALUE"""),"https://drive.google.com/open?id=1deHMU8PgBT3IN6oyc7gX6x6bIzr8iG9J, https://drive.google.com/open?id=1g-F1vc0PVz9qgJ_JkRke5p3nV8o1FjNs")</f>
        <v>https://drive.google.com/open?id=1deHMU8PgBT3IN6oyc7gX6x6bIzr8iG9J, https://drive.google.com/open?id=1g-F1vc0PVz9qgJ_JkRke5p3nV8o1FjNs</v>
      </c>
      <c r="Y284" s="495" t="str">
        <f>IFERROR(__xludf.DUMMYFUNCTION("""COMPUTED_VALUE"""),"constructoraingtrappspa@gmail.com")</f>
        <v>constructoraingtrappspa@gmail.com</v>
      </c>
      <c r="Z284" s="495"/>
      <c r="AA284" s="495"/>
      <c r="AB284" s="495"/>
      <c r="AC284" s="495"/>
      <c r="AD284" s="495"/>
    </row>
    <row r="285">
      <c r="A285" s="495" t="str">
        <f t="shared" si="1"/>
        <v/>
      </c>
      <c r="B285" s="497">
        <f>IFERROR(__xludf.DUMMYFUNCTION("""COMPUTED_VALUE"""),46050.623428287035)</f>
        <v>46050.62343</v>
      </c>
      <c r="C285" s="495" t="str">
        <f>IFERROR(__xludf.DUMMYFUNCTION("""COMPUTED_VALUE"""),"")</f>
        <v/>
      </c>
      <c r="D285" s="495" t="str">
        <f>IFERROR(__xludf.DUMMYFUNCTION("""COMPUTED_VALUE"""),"David Silva Roco")</f>
        <v>David Silva Roco</v>
      </c>
      <c r="E285" s="495"/>
      <c r="F285" s="496" t="str">
        <f>IFERROR(__xludf.DUMMYFUNCTION("""COMPUTED_VALUE"""),"3946-2025")</f>
        <v>3946-2025</v>
      </c>
      <c r="G285" s="495"/>
      <c r="H285" s="495"/>
      <c r="I285" s="495"/>
      <c r="J285" s="495" t="str">
        <f>IFERROR(__xludf.DUMMYFUNCTION("""COMPUTED_VALUE"""),"Campus San Nicolás (Curacautín) - CSN")</f>
        <v>Campus San Nicolás (Curacautín) - CSN</v>
      </c>
      <c r="K285" s="495" t="str">
        <f>IFERROR(__xludf.DUMMYFUNCTION("""COMPUTED_VALUE"""),"Sin número")</f>
        <v>Sin número</v>
      </c>
      <c r="L285" s="495" t="str">
        <f>IFERROR(__xludf.DUMMYFUNCTION("""COMPUTED_VALUE"""),"CONSTRUCTORA RUKATAMI LTDA.")</f>
        <v>CONSTRUCTORA RUKATAMI LTDA.</v>
      </c>
      <c r="M285" s="495" t="str">
        <f>IFERROR(__xludf.DUMMYFUNCTION("""COMPUTED_VALUE"""),"76514788-3")</f>
        <v>76514788-3</v>
      </c>
      <c r="N285" s="495" t="str">
        <f>IFERROR(__xludf.DUMMYFUNCTION("""COMPUTED_VALUE"""),"ELVIS VALENZUELA ALTAMIRANO")</f>
        <v>ELVIS VALENZUELA ALTAMIRANO</v>
      </c>
      <c r="O285" s="495" t="str">
        <f>IFERROR(__xludf.DUMMYFUNCTION("""COMPUTED_VALUE"""),"Obras y Especialidades")</f>
        <v>Obras y Especialidades</v>
      </c>
      <c r="P285" s="495"/>
      <c r="Q285" s="495"/>
      <c r="R285" s="495" t="str">
        <f>IFERROR(__xludf.DUMMYFUNCTION("""COMPUTED_VALUE"""),"Nuevo Edificio")</f>
        <v>Nuevo Edificio</v>
      </c>
      <c r="S285" s="495" t="str">
        <f>IFERROR(__xludf.DUMMYFUNCTION("""COMPUTED_VALUE"""),"Recepción de Obra - RC")</f>
        <v>Recepción de Obra - RC</v>
      </c>
      <c r="T285" s="495"/>
      <c r="U285" s="495"/>
      <c r="V285" s="495" t="str">
        <f>IFERROR(__xludf.DUMMYFUNCTION("""COMPUTED_VALUE"""),"término de construcción 6 cabañas")</f>
        <v>término de construcción 6 cabañas</v>
      </c>
      <c r="W285" s="495"/>
      <c r="X285" s="495" t="str">
        <f>IFERROR(__xludf.DUMMYFUNCTION("""COMPUTED_VALUE"""),"https://drive.google.com/open?id=1AV49BOTW1LRWldL0DiAw97HHq36jq3FI, https://drive.google.com/open?id=1h-DfvuVOitEgrmJHObgRK4WUnHryjT0f, https://drive.google.com/open?id=1L0Wk2aGR4JYejlu6a8vhCNSFmqD6IVjC, https://drive.google.com/open?id=1OrjwJFL-g8N12aC9i"&amp;"T0Phb_DNzvcA_k-, https://drive.google.com/open?id=106u2G8xElnKM0eSwPVOvVpktgTpXyc3G")</f>
        <v>https://drive.google.com/open?id=1AV49BOTW1LRWldL0DiAw97HHq36jq3FI, https://drive.google.com/open?id=1h-DfvuVOitEgrmJHObgRK4WUnHryjT0f, https://drive.google.com/open?id=1L0Wk2aGR4JYejlu6a8vhCNSFmqD6IVjC, https://drive.google.com/open?id=1OrjwJFL-g8N12aC9iT0Phb_DNzvcA_k-, https://drive.google.com/open?id=106u2G8xElnKM0eSwPVOvVpktgTpXyc3G</v>
      </c>
      <c r="Y285" s="495" t="str">
        <f>IFERROR(__xludf.DUMMYFUNCTION("""COMPUTED_VALUE"""),"krodriguez.arq@gmail.com")</f>
        <v>krodriguez.arq@gmail.com</v>
      </c>
      <c r="Z285" s="495"/>
      <c r="AA285" s="495"/>
      <c r="AB285" s="495"/>
      <c r="AC285" s="495"/>
      <c r="AD285" s="495"/>
    </row>
    <row r="286">
      <c r="A286" s="495" t="str">
        <f t="shared" si="1"/>
        <v/>
      </c>
      <c r="B286" s="497">
        <f>IFERROR(__xludf.DUMMYFUNCTION("""COMPUTED_VALUE"""),46050.63584446759)</f>
        <v>46050.63584</v>
      </c>
      <c r="C286" s="495" t="str">
        <f>IFERROR(__xludf.DUMMYFUNCTION("""COMPUTED_VALUE"""),"")</f>
        <v/>
      </c>
      <c r="D286" s="495" t="str">
        <f>IFERROR(__xludf.DUMMYFUNCTION("""COMPUTED_VALUE"""),"David Silva Roco")</f>
        <v>David Silva Roco</v>
      </c>
      <c r="E286" s="495"/>
      <c r="F286" s="496" t="str">
        <f>IFERROR(__xludf.DUMMYFUNCTION("""COMPUTED_VALUE"""),"233-2025")</f>
        <v>233-2025</v>
      </c>
      <c r="G286" s="495"/>
      <c r="H286" s="495"/>
      <c r="I286" s="495"/>
      <c r="J286" s="495" t="str">
        <f>IFERROR(__xludf.DUMMYFUNCTION("""COMPUTED_VALUE"""),"Campus San Nicolás (Curacautín) - CSN")</f>
        <v>Campus San Nicolás (Curacautín) - CSN</v>
      </c>
      <c r="K286" s="495" t="str">
        <f>IFERROR(__xludf.DUMMYFUNCTION("""COMPUTED_VALUE"""),"Sin número")</f>
        <v>Sin número</v>
      </c>
      <c r="L286" s="495" t="str">
        <f>IFERROR(__xludf.DUMMYFUNCTION("""COMPUTED_VALUE"""),"CONSTRUCTORA RUKATAMI LTDA.")</f>
        <v>CONSTRUCTORA RUKATAMI LTDA.</v>
      </c>
      <c r="M286" s="495" t="str">
        <f>IFERROR(__xludf.DUMMYFUNCTION("""COMPUTED_VALUE"""),"76.514.788-3")</f>
        <v>76.514.788-3</v>
      </c>
      <c r="N286" s="495" t="str">
        <f>IFERROR(__xludf.DUMMYFUNCTION("""COMPUTED_VALUE"""),"ELVIS VALENZUELA ALTAMIRANO. CONSTRUCTOR CIVIL")</f>
        <v>ELVIS VALENZUELA ALTAMIRANO. CONSTRUCTOR CIVIL</v>
      </c>
      <c r="O286" s="495" t="str">
        <f>IFERROR(__xludf.DUMMYFUNCTION("""COMPUTED_VALUE"""),"Obras y Especialidades")</f>
        <v>Obras y Especialidades</v>
      </c>
      <c r="P286" s="495"/>
      <c r="Q286" s="495"/>
      <c r="R286" s="495" t="str">
        <f>IFERROR(__xludf.DUMMYFUNCTION("""COMPUTED_VALUE"""),"Nuevo Edificio")</f>
        <v>Nuevo Edificio</v>
      </c>
      <c r="S286" s="495" t="str">
        <f>IFERROR(__xludf.DUMMYFUNCTION("""COMPUTED_VALUE"""),"Estado de Pago - EP")</f>
        <v>Estado de Pago - EP</v>
      </c>
      <c r="T286" s="495">
        <f>IFERROR(__xludf.DUMMYFUNCTION("""COMPUTED_VALUE"""),1.0)</f>
        <v>1</v>
      </c>
      <c r="U286" s="498">
        <f>IFERROR(__xludf.DUMMYFUNCTION("""COMPUTED_VALUE"""),4.341135E7)</f>
        <v>43411350</v>
      </c>
      <c r="V286" s="495" t="str">
        <f>IFERROR(__xludf.DUMMYFUNCTION("""COMPUTED_VALUE"""),"INSTALACIONES EXTERIORES, AGUA, ALCANTARILLADO, ELECTRICIDAD, OTROS ADICIONALES PARA 6 CABAÑAS")</f>
        <v>INSTALACIONES EXTERIORES, AGUA, ALCANTARILLADO, ELECTRICIDAD, OTROS ADICIONALES PARA 6 CABAÑAS</v>
      </c>
      <c r="W286" s="495"/>
      <c r="X286" s="495" t="str">
        <f>IFERROR(__xludf.DUMMYFUNCTION("""COMPUTED_VALUE"""),"https://drive.google.com/open?id=1eVveqvWnwgr9FVFnl2ZHw0hg3DxwIuUU, https://drive.google.com/open?id=11Zb2XkDlbzVe7iL1LCkgagH6j7fh6A8E, https://drive.google.com/open?id=1ddXJ_t3E3rjfhBGCTsEY4JhLErlEwLka, https://drive.google.com/open?id=160_zvu9pkPUqjWJrD"&amp;"cSqpzhVwLWWnXm0")</f>
        <v>https://drive.google.com/open?id=1eVveqvWnwgr9FVFnl2ZHw0hg3DxwIuUU, https://drive.google.com/open?id=11Zb2XkDlbzVe7iL1LCkgagH6j7fh6A8E, https://drive.google.com/open?id=1ddXJ_t3E3rjfhBGCTsEY4JhLErlEwLka, https://drive.google.com/open?id=160_zvu9pkPUqjWJrDcSqpzhVwLWWnXm0</v>
      </c>
      <c r="Y286" s="495" t="str">
        <f>IFERROR(__xludf.DUMMYFUNCTION("""COMPUTED_VALUE"""),"krodriguez.arq@gmail.com")</f>
        <v>krodriguez.arq@gmail.com</v>
      </c>
      <c r="Z286" s="495"/>
      <c r="AA286" s="495"/>
      <c r="AB286" s="495"/>
      <c r="AC286" s="495"/>
      <c r="AD286" s="495"/>
    </row>
    <row r="287">
      <c r="A287" s="495" t="str">
        <f t="shared" si="1"/>
        <v/>
      </c>
      <c r="B287" s="497">
        <f>IFERROR(__xludf.DUMMYFUNCTION("""COMPUTED_VALUE"""),46050.63852572917)</f>
        <v>46050.63853</v>
      </c>
      <c r="C287" s="495" t="str">
        <f>IFERROR(__xludf.DUMMYFUNCTION("""COMPUTED_VALUE"""),"")</f>
        <v/>
      </c>
      <c r="D287" s="495" t="str">
        <f>IFERROR(__xludf.DUMMYFUNCTION("""COMPUTED_VALUE"""),"David Silva Roco")</f>
        <v>David Silva Roco</v>
      </c>
      <c r="E287" s="495"/>
      <c r="F287" s="496" t="str">
        <f>IFERROR(__xludf.DUMMYFUNCTION("""COMPUTED_VALUE"""),"3946-2025")</f>
        <v>3946-2025</v>
      </c>
      <c r="G287" s="495"/>
      <c r="H287" s="495"/>
      <c r="I287" s="495"/>
      <c r="J287" s="495" t="str">
        <f>IFERROR(__xludf.DUMMYFUNCTION("""COMPUTED_VALUE"""),"Campus San Nicolás (Curacautín) - CSN")</f>
        <v>Campus San Nicolás (Curacautín) - CSN</v>
      </c>
      <c r="K287" s="495" t="str">
        <f>IFERROR(__xludf.DUMMYFUNCTION("""COMPUTED_VALUE"""),"Sin número")</f>
        <v>Sin número</v>
      </c>
      <c r="L287" s="495" t="str">
        <f>IFERROR(__xludf.DUMMYFUNCTION("""COMPUTED_VALUE"""),"CONSTRUCTORA RUKATAMI LTDA.")</f>
        <v>CONSTRUCTORA RUKATAMI LTDA.</v>
      </c>
      <c r="M287" s="495" t="str">
        <f>IFERROR(__xludf.DUMMYFUNCTION("""COMPUTED_VALUE"""),"76.514.788-3")</f>
        <v>76.514.788-3</v>
      </c>
      <c r="N287" s="495" t="str">
        <f>IFERROR(__xludf.DUMMYFUNCTION("""COMPUTED_VALUE"""),"ELVIS VALENZUELA ALTAMIRANO. CONSTRUCTOR CIVIL")</f>
        <v>ELVIS VALENZUELA ALTAMIRANO. CONSTRUCTOR CIVIL</v>
      </c>
      <c r="O287" s="495" t="str">
        <f>IFERROR(__xludf.DUMMYFUNCTION("""COMPUTED_VALUE"""),"Obras y Especialidades")</f>
        <v>Obras y Especialidades</v>
      </c>
      <c r="P287" s="495"/>
      <c r="Q287" s="495"/>
      <c r="R287" s="495" t="str">
        <f>IFERROR(__xludf.DUMMYFUNCTION("""COMPUTED_VALUE"""),"Nuevo Edificio")</f>
        <v>Nuevo Edificio</v>
      </c>
      <c r="S287" s="495" t="str">
        <f>IFERROR(__xludf.DUMMYFUNCTION("""COMPUTED_VALUE"""),"Estado de Pago - EP")</f>
        <v>Estado de Pago - EP</v>
      </c>
      <c r="T287" s="495">
        <f>IFERROR(__xludf.DUMMYFUNCTION("""COMPUTED_VALUE"""),4.0)</f>
        <v>4</v>
      </c>
      <c r="U287" s="498">
        <f>IFERROR(__xludf.DUMMYFUNCTION("""COMPUTED_VALUE"""),7.5253626E7)</f>
        <v>75253626</v>
      </c>
      <c r="V287" s="495" t="str">
        <f>IFERROR(__xludf.DUMMYFUNCTION("""COMPUTED_VALUE"""),"Término de construcción 6 cabañas.")</f>
        <v>Término de construcción 6 cabañas.</v>
      </c>
      <c r="W287" s="495"/>
      <c r="X287" s="495" t="str">
        <f>IFERROR(__xludf.DUMMYFUNCTION("""COMPUTED_VALUE"""),"https://drive.google.com/open?id=11ggL8_joO0GbF1CtEduQ40Ox7RU5tnC_, https://drive.google.com/open?id=1haVcS0E0qxrs11dX9-V5eER8nmMkjvQ9, https://drive.google.com/open?id=1uyfI8_FXYDztpYSW0ZSxwekxzRaN4w_E, https://drive.google.com/open?id=1Y1RgG1bhJcULlZ0CT"&amp;"K0PsS2IELnNV2qC, https://drive.google.com/open?id=1tGUXz3uyuMEODJU6LxyYg91iJxotgX94")</f>
        <v>https://drive.google.com/open?id=11ggL8_joO0GbF1CtEduQ40Ox7RU5tnC_, https://drive.google.com/open?id=1haVcS0E0qxrs11dX9-V5eER8nmMkjvQ9, https://drive.google.com/open?id=1uyfI8_FXYDztpYSW0ZSxwekxzRaN4w_E, https://drive.google.com/open?id=1Y1RgG1bhJcULlZ0CTK0PsS2IELnNV2qC, https://drive.google.com/open?id=1tGUXz3uyuMEODJU6LxyYg91iJxotgX94</v>
      </c>
      <c r="Y287" s="495" t="str">
        <f>IFERROR(__xludf.DUMMYFUNCTION("""COMPUTED_VALUE"""),"krodriguez.arq@gmail.com")</f>
        <v>krodriguez.arq@gmail.com</v>
      </c>
      <c r="Z287" s="495"/>
      <c r="AA287" s="495"/>
      <c r="AB287" s="495"/>
      <c r="AC287" s="495"/>
      <c r="AD287" s="495"/>
    </row>
    <row r="288">
      <c r="A288" s="495" t="str">
        <f t="shared" si="1"/>
        <v/>
      </c>
      <c r="B288" s="497">
        <f>IFERROR(__xludf.DUMMYFUNCTION("""COMPUTED_VALUE"""),46050.64162571759)</f>
        <v>46050.64163</v>
      </c>
      <c r="C288" s="495" t="str">
        <f>IFERROR(__xludf.DUMMYFUNCTION("""COMPUTED_VALUE"""),"")</f>
        <v/>
      </c>
      <c r="D288" s="495" t="str">
        <f>IFERROR(__xludf.DUMMYFUNCTION("""COMPUTED_VALUE"""),"David Silva Roco")</f>
        <v>David Silva Roco</v>
      </c>
      <c r="E288" s="495"/>
      <c r="F288" s="496" t="str">
        <f>IFERROR(__xludf.DUMMYFUNCTION("""COMPUTED_VALUE"""),"233-2026")</f>
        <v>233-2026</v>
      </c>
      <c r="G288" s="495"/>
      <c r="H288" s="495"/>
      <c r="I288" s="495"/>
      <c r="J288" s="495" t="str">
        <f>IFERROR(__xludf.DUMMYFUNCTION("""COMPUTED_VALUE"""),"Campus San Nicolás (Curacautín) - CSN")</f>
        <v>Campus San Nicolás (Curacautín) - CSN</v>
      </c>
      <c r="K288" s="495" t="str">
        <f>IFERROR(__xludf.DUMMYFUNCTION("""COMPUTED_VALUE"""),"Sin número")</f>
        <v>Sin número</v>
      </c>
      <c r="L288" s="495" t="str">
        <f>IFERROR(__xludf.DUMMYFUNCTION("""COMPUTED_VALUE"""),"CONSTRUCTORA RUKATAMI LTDA")</f>
        <v>CONSTRUCTORA RUKATAMI LTDA</v>
      </c>
      <c r="M288" s="495" t="str">
        <f>IFERROR(__xludf.DUMMYFUNCTION("""COMPUTED_VALUE"""),"76.514.788-3")</f>
        <v>76.514.788-3</v>
      </c>
      <c r="N288" s="495" t="str">
        <f>IFERROR(__xludf.DUMMYFUNCTION("""COMPUTED_VALUE"""),"ELVIS VALENZUELA ALTAMIRANO. CONSTRUCTOR CIVIL")</f>
        <v>ELVIS VALENZUELA ALTAMIRANO. CONSTRUCTOR CIVIL</v>
      </c>
      <c r="O288" s="495" t="str">
        <f>IFERROR(__xludf.DUMMYFUNCTION("""COMPUTED_VALUE"""),"Obras y Especialidades")</f>
        <v>Obras y Especialidades</v>
      </c>
      <c r="P288" s="495"/>
      <c r="Q288" s="495"/>
      <c r="R288" s="495" t="str">
        <f>IFERROR(__xludf.DUMMYFUNCTION("""COMPUTED_VALUE"""),"Nuevo Edificio")</f>
        <v>Nuevo Edificio</v>
      </c>
      <c r="S288" s="495" t="str">
        <f>IFERROR(__xludf.DUMMYFUNCTION("""COMPUTED_VALUE"""),"Estado de Pago - EP")</f>
        <v>Estado de Pago - EP</v>
      </c>
      <c r="T288" s="495">
        <f>IFERROR(__xludf.DUMMYFUNCTION("""COMPUTED_VALUE"""),1.0)</f>
        <v>1</v>
      </c>
      <c r="U288" s="498">
        <f>IFERROR(__xludf.DUMMYFUNCTION("""COMPUTED_VALUE"""),4.341135E7)</f>
        <v>43411350</v>
      </c>
      <c r="V288" s="495" t="str">
        <f>IFERROR(__xludf.DUMMYFUNCTION("""COMPUTED_VALUE"""),"AUMENTO DE OBRA INSTALACIONES AGUA, ALCANTARILLADO, ELECTRICIDAD, ESTUFAS, OTROS PARA 6 CABAÑAS.")</f>
        <v>AUMENTO DE OBRA INSTALACIONES AGUA, ALCANTARILLADO, ELECTRICIDAD, ESTUFAS, OTROS PARA 6 CABAÑAS.</v>
      </c>
      <c r="W288" s="495"/>
      <c r="X288" s="495" t="str">
        <f>IFERROR(__xludf.DUMMYFUNCTION("""COMPUTED_VALUE"""),"https://drive.google.com/open?id=13xmzPQX-oJr0ky1DDp9nFlvRJuEXb8fT, https://drive.google.com/open?id=19xAWt--kKQ0ZGm3C6BtMT8YSKUQZmsn0, https://drive.google.com/open?id=1LDZjLCFevY-20NyOxgLslIViQ6iG2XrY, https://drive.google.com/open?id=1ZZ6IHkTT2uP8ZTEty"&amp;"eZrODDfuKVZdL6a")</f>
        <v>https://drive.google.com/open?id=13xmzPQX-oJr0ky1DDp9nFlvRJuEXb8fT, https://drive.google.com/open?id=19xAWt--kKQ0ZGm3C6BtMT8YSKUQZmsn0, https://drive.google.com/open?id=1LDZjLCFevY-20NyOxgLslIViQ6iG2XrY, https://drive.google.com/open?id=1ZZ6IHkTT2uP8ZTEtyeZrODDfuKVZdL6a</v>
      </c>
      <c r="Y288" s="495" t="str">
        <f>IFERROR(__xludf.DUMMYFUNCTION("""COMPUTED_VALUE"""),"krodriguez.arq@gmail.com")</f>
        <v>krodriguez.arq@gmail.com</v>
      </c>
      <c r="Z288" s="495"/>
      <c r="AA288" s="495"/>
      <c r="AB288" s="495"/>
      <c r="AC288" s="495"/>
      <c r="AD288" s="495"/>
    </row>
    <row r="289">
      <c r="A289" s="495" t="str">
        <f t="shared" si="1"/>
        <v>RC-076_26</v>
      </c>
      <c r="B289" s="497">
        <f>IFERROR(__xludf.DUMMYFUNCTION("""COMPUTED_VALUE"""),46125.892374930554)</f>
        <v>46125.89237</v>
      </c>
      <c r="C289" s="495" t="str">
        <f>IFERROR(__xludf.DUMMYFUNCTION("""COMPUTED_VALUE"""),"")</f>
        <v/>
      </c>
      <c r="D289" s="495" t="str">
        <f>IFERROR(__xludf.DUMMYFUNCTION("""COMPUTED_VALUE"""),"Mauricio Matus Belmar")</f>
        <v>Mauricio Matus Belmar</v>
      </c>
      <c r="E289" s="495"/>
      <c r="F289" s="496" t="str">
        <f>IFERROR(__xludf.DUMMYFUNCTION("""COMPUTED_VALUE"""),"2104 - 2026")</f>
        <v>2104 - 2026</v>
      </c>
      <c r="G289" s="495"/>
      <c r="H289" s="495"/>
      <c r="I289" s="495"/>
      <c r="J289" s="495" t="str">
        <f>IFERROR(__xludf.DUMMYFUNCTION("""COMPUTED_VALUE"""),"Campus San Juan Pablo II - CJP")</f>
        <v>Campus San Juan Pablo II - CJP</v>
      </c>
      <c r="K289" s="495" t="str">
        <f>IFERROR(__xludf.DUMMYFUNCTION("""COMPUTED_VALUE"""),"Exterior")</f>
        <v>Exterior</v>
      </c>
      <c r="L289" s="495" t="str">
        <f>IFERROR(__xludf.DUMMYFUNCTION("""COMPUTED_VALUE"""),"Flavia Oyarzun Soto")</f>
        <v>Flavia Oyarzun Soto</v>
      </c>
      <c r="M289" s="495" t="str">
        <f>IFERROR(__xludf.DUMMYFUNCTION("""COMPUTED_VALUE"""),"5.503.590-3")</f>
        <v>5.503.590-3</v>
      </c>
      <c r="N289" s="495" t="str">
        <f>IFERROR(__xludf.DUMMYFUNCTION("""COMPUTED_VALUE"""),"Roberto Lassalle Prado")</f>
        <v>Roberto Lassalle Prado</v>
      </c>
      <c r="O289" s="495" t="str">
        <f>IFERROR(__xludf.DUMMYFUNCTION("""COMPUTED_VALUE"""),"Mantenciones")</f>
        <v>Mantenciones</v>
      </c>
      <c r="P289" s="495" t="str">
        <f>IFERROR(__xludf.DUMMYFUNCTION("""COMPUTED_VALUE"""),"Requerimientos Emergentes e Imprevistos")</f>
        <v>Requerimientos Emergentes e Imprevistos</v>
      </c>
      <c r="Q289" s="495"/>
      <c r="R289" s="495"/>
      <c r="S289" s="495"/>
      <c r="T289" s="495"/>
      <c r="U289" s="495"/>
      <c r="V289" s="495" t="str">
        <f>IFERROR(__xludf.DUMMYFUNCTION("""COMPUTED_VALUE"""),"Reparación de y reposición de 60 metros cuadrados malla en multicancha")</f>
        <v>Reparación de y reposición de 60 metros cuadrados malla en multicancha</v>
      </c>
      <c r="W289" s="495" t="str">
        <f>IFERROR(__xludf.DUMMYFUNCTION("""COMPUTED_VALUE"""),"no hay")</f>
        <v>no hay</v>
      </c>
      <c r="X289" s="495" t="str">
        <f>IFERROR(__xludf.DUMMYFUNCTION("""COMPUTED_VALUE"""),"https://drive.google.com/open?id=1Ie3tJCs_4TNH-3p5jVOOMz722Wu3ovh5, https://drive.google.com/open?id=102FJO8if76Ad3uoxjJAM3mqUyrAoLElu, https://drive.google.com/open?id=1rWJ4xMTp6Bo1wGfAcumwFHhBkmBWg545")</f>
        <v>https://drive.google.com/open?id=1Ie3tJCs_4TNH-3p5jVOOMz722Wu3ovh5, https://drive.google.com/open?id=102FJO8if76Ad3uoxjJAM3mqUyrAoLElu, https://drive.google.com/open?id=1rWJ4xMTp6Bo1wGfAcumwFHhBkmBWg545</v>
      </c>
      <c r="Y289" s="495" t="str">
        <f>IFERROR(__xludf.DUMMYFUNCTION("""COMPUTED_VALUE"""),"roberto.lassalle@gmail.com")</f>
        <v>roberto.lassalle@gmail.com</v>
      </c>
      <c r="Z289" s="498">
        <f>IFERROR(__xludf.DUMMYFUNCTION("""COMPUTED_VALUE"""),629748.0)</f>
        <v>629748</v>
      </c>
      <c r="AA289" s="495"/>
      <c r="AB289" s="495"/>
      <c r="AC289" s="495"/>
      <c r="AD289" s="495" t="str">
        <f>IFERROR(__xludf.DUMMYFUNCTION("""COMPUTED_VALUE"""),"RC-076_26")</f>
        <v>RC-076_26</v>
      </c>
    </row>
    <row r="290">
      <c r="A290" s="495" t="str">
        <f t="shared" si="1"/>
        <v/>
      </c>
      <c r="B290" s="497">
        <f>IFERROR(__xludf.DUMMYFUNCTION("""COMPUTED_VALUE"""),46051.566106134254)</f>
        <v>46051.56611</v>
      </c>
      <c r="C290" s="495" t="str">
        <f>IFERROR(__xludf.DUMMYFUNCTION("""COMPUTED_VALUE"""),"")</f>
        <v/>
      </c>
      <c r="D290" s="495" t="str">
        <f>IFERROR(__xludf.DUMMYFUNCTION("""COMPUTED_VALUE"""),"Arturo Meza Vega")</f>
        <v>Arturo Meza Vega</v>
      </c>
      <c r="E290" s="495"/>
      <c r="F290" s="496" t="str">
        <f>IFERROR(__xludf.DUMMYFUNCTION("""COMPUTED_VALUE"""),"12319-2025")</f>
        <v>12319-2025</v>
      </c>
      <c r="G290" s="495"/>
      <c r="H290" s="495"/>
      <c r="I290" s="495"/>
      <c r="J290" s="495" t="str">
        <f>IFERROR(__xludf.DUMMYFUNCTION("""COMPUTED_VALUE"""),"Campus San Juan Pablo II - CJP")</f>
        <v>Campus San Juan Pablo II - CJP</v>
      </c>
      <c r="K290" s="495" t="str">
        <f>IFERROR(__xludf.DUMMYFUNCTION("""COMPUTED_VALUE"""),"Sin número")</f>
        <v>Sin número</v>
      </c>
      <c r="L290" s="495" t="str">
        <f>IFERROR(__xludf.DUMMYFUNCTION("""COMPUTED_VALUE"""),"Servicios de ingeniería Voltius Ltda")</f>
        <v>Servicios de ingeniería Voltius Ltda</v>
      </c>
      <c r="M290" s="495" t="str">
        <f>IFERROR(__xludf.DUMMYFUNCTION("""COMPUTED_VALUE"""),"77.193.583-4")</f>
        <v>77.193.583-4</v>
      </c>
      <c r="N290" s="495" t="str">
        <f>IFERROR(__xludf.DUMMYFUNCTION("""COMPUTED_VALUE"""),"Jose Espinoza Encargado de proyectos")</f>
        <v>Jose Espinoza Encargado de proyectos</v>
      </c>
      <c r="O290" s="495" t="str">
        <f>IFERROR(__xludf.DUMMYFUNCTION("""COMPUTED_VALUE"""),"Obras y Especialidades")</f>
        <v>Obras y Especialidades</v>
      </c>
      <c r="P290" s="495"/>
      <c r="Q290" s="495"/>
      <c r="R290" s="495" t="str">
        <f>IFERROR(__xludf.DUMMYFUNCTION("""COMPUTED_VALUE"""),"Especialidades")</f>
        <v>Especialidades</v>
      </c>
      <c r="S290" s="495" t="str">
        <f>IFERROR(__xludf.DUMMYFUNCTION("""COMPUTED_VALUE"""),"Estado de Pago - EP")</f>
        <v>Estado de Pago - EP</v>
      </c>
      <c r="T290" s="495">
        <f>IFERROR(__xludf.DUMMYFUNCTION("""COMPUTED_VALUE"""),2.0)</f>
        <v>2</v>
      </c>
      <c r="U290" s="498">
        <f>IFERROR(__xludf.DUMMYFUNCTION("""COMPUTED_VALUE"""),1.2481618E7)</f>
        <v>12481618</v>
      </c>
      <c r="V290" s="495" t="str">
        <f>IFERROR(__xludf.DUMMYFUNCTION("""COMPUTED_VALUE"""),"Mantenimiento de tableros eléctricos")</f>
        <v>Mantenimiento de tableros eléctricos</v>
      </c>
      <c r="W290" s="495" t="str">
        <f>IFERROR(__xludf.DUMMYFUNCTION("""COMPUTED_VALUE"""),"Adjuntas en informes individuales")</f>
        <v>Adjuntas en informes individuales</v>
      </c>
      <c r="X290" s="499" t="str">
        <f>IFERROR(__xludf.DUMMYFUNCTION("""COMPUTED_VALUE"""),"https://drive.google.com/open?id=1ySsD3tGmXBcRdZbrtYSEu195TtO_ZCn5")</f>
        <v>https://drive.google.com/open?id=1ySsD3tGmXBcRdZbrtYSEu195TtO_ZCn5</v>
      </c>
      <c r="Y290" s="495" t="str">
        <f>IFERROR(__xludf.DUMMYFUNCTION("""COMPUTED_VALUE"""),"espinoza.aguilera01@gmail.com")</f>
        <v>espinoza.aguilera01@gmail.com</v>
      </c>
      <c r="Z290" s="495"/>
      <c r="AA290" s="495"/>
      <c r="AB290" s="495"/>
      <c r="AC290" s="495"/>
      <c r="AD290" s="495"/>
    </row>
    <row r="291">
      <c r="A291" s="495" t="str">
        <f t="shared" si="1"/>
        <v>RC-075_26</v>
      </c>
      <c r="B291" s="497">
        <f>IFERROR(__xludf.DUMMYFUNCTION("""COMPUTED_VALUE"""),46125.88496229167)</f>
        <v>46125.88496</v>
      </c>
      <c r="C291" s="495" t="str">
        <f>IFERROR(__xludf.DUMMYFUNCTION("""COMPUTED_VALUE"""),"")</f>
        <v/>
      </c>
      <c r="D291" s="495" t="str">
        <f>IFERROR(__xludf.DUMMYFUNCTION("""COMPUTED_VALUE"""),"Mauricio Matus Belmar")</f>
        <v>Mauricio Matus Belmar</v>
      </c>
      <c r="E291" s="495"/>
      <c r="F291" s="496" t="str">
        <f>IFERROR(__xludf.DUMMYFUNCTION("""COMPUTED_VALUE"""),"2244 - 2026")</f>
        <v>2244 - 2026</v>
      </c>
      <c r="G291" s="495"/>
      <c r="H291" s="495"/>
      <c r="I291" s="495"/>
      <c r="J291" s="495" t="str">
        <f>IFERROR(__xludf.DUMMYFUNCTION("""COMPUTED_VALUE"""),"Campus San Juan Pablo II - CJP")</f>
        <v>Campus San Juan Pablo II - CJP</v>
      </c>
      <c r="K291" s="495">
        <f>IFERROR(__xludf.DUMMYFUNCTION("""COMPUTED_VALUE"""),13.0)</f>
        <v>13</v>
      </c>
      <c r="L291" s="495" t="str">
        <f>IFERROR(__xludf.DUMMYFUNCTION("""COMPUTED_VALUE"""),"Flavia Oyarzun Soto")</f>
        <v>Flavia Oyarzun Soto</v>
      </c>
      <c r="M291" s="495" t="str">
        <f>IFERROR(__xludf.DUMMYFUNCTION("""COMPUTED_VALUE"""),"5.503.590-3")</f>
        <v>5.503.590-3</v>
      </c>
      <c r="N291" s="495" t="str">
        <f>IFERROR(__xludf.DUMMYFUNCTION("""COMPUTED_VALUE"""),"Roberto Lassalle Prado  ( supervisor ) ")</f>
        <v>Roberto Lassalle Prado  ( supervisor ) </v>
      </c>
      <c r="O291" s="495" t="str">
        <f>IFERROR(__xludf.DUMMYFUNCTION("""COMPUTED_VALUE"""),"Mantenciones")</f>
        <v>Mantenciones</v>
      </c>
      <c r="P291" s="495" t="str">
        <f>IFERROR(__xludf.DUMMYFUNCTION("""COMPUTED_VALUE"""),"Requerimientos Emergentes e Imprevistos")</f>
        <v>Requerimientos Emergentes e Imprevistos</v>
      </c>
      <c r="Q291" s="495"/>
      <c r="R291" s="495"/>
      <c r="S291" s="495"/>
      <c r="T291" s="495"/>
      <c r="U291" s="495"/>
      <c r="V291" s="495" t="str">
        <f>IFERROR(__xludf.DUMMYFUNCTION("""COMPUTED_VALUE"""),"Reparación y pintura de  letras UCT")</f>
        <v>Reparación y pintura de  letras UCT</v>
      </c>
      <c r="W291" s="495" t="str">
        <f>IFERROR(__xludf.DUMMYFUNCTION("""COMPUTED_VALUE"""),"no hay ")</f>
        <v>no hay </v>
      </c>
      <c r="X291" s="495" t="str">
        <f>IFERROR(__xludf.DUMMYFUNCTION("""COMPUTED_VALUE"""),"https://drive.google.com/open?id=1_wy2fjf0kb3l8mMufBwBkZjr27mJJkjy, https://drive.google.com/open?id=1_93ewwhc04m2e-2Xkm9c7YOyYtFGSP3R, https://drive.google.com/open?id=1FP6DJzZ8lKnbObofE55ayeKo1XXAudsL")</f>
        <v>https://drive.google.com/open?id=1_wy2fjf0kb3l8mMufBwBkZjr27mJJkjy, https://drive.google.com/open?id=1_93ewwhc04m2e-2Xkm9c7YOyYtFGSP3R, https://drive.google.com/open?id=1FP6DJzZ8lKnbObofE55ayeKo1XXAudsL</v>
      </c>
      <c r="Y291" s="495" t="str">
        <f>IFERROR(__xludf.DUMMYFUNCTION("""COMPUTED_VALUE"""),"roberto.lassalle@gmail.com")</f>
        <v>roberto.lassalle@gmail.com</v>
      </c>
      <c r="Z291" s="498">
        <f>IFERROR(__xludf.DUMMYFUNCTION("""COMPUTED_VALUE"""),324632.0)</f>
        <v>324632</v>
      </c>
      <c r="AA291" s="495"/>
      <c r="AB291" s="495"/>
      <c r="AC291" s="495"/>
      <c r="AD291" s="495" t="str">
        <f>IFERROR(__xludf.DUMMYFUNCTION("""COMPUTED_VALUE"""),"RC-075_26")</f>
        <v>RC-075_26</v>
      </c>
    </row>
    <row r="292">
      <c r="A292" s="495" t="str">
        <f t="shared" si="1"/>
        <v>RC-071_26</v>
      </c>
      <c r="B292" s="497">
        <f>IFERROR(__xludf.DUMMYFUNCTION("""COMPUTED_VALUE"""),46122.45349153935)</f>
        <v>46122.45349</v>
      </c>
      <c r="C292" s="495" t="str">
        <f>IFERROR(__xludf.DUMMYFUNCTION("""COMPUTED_VALUE"""),"")</f>
        <v/>
      </c>
      <c r="D292" s="495" t="str">
        <f>IFERROR(__xludf.DUMMYFUNCTION("""COMPUTED_VALUE"""),"Mauricio Zurita Aldea")</f>
        <v>Mauricio Zurita Aldea</v>
      </c>
      <c r="E292" s="495"/>
      <c r="F292" s="496" t="str">
        <f>IFERROR(__xludf.DUMMYFUNCTION("""COMPUTED_VALUE"""),"12177 - 2025")</f>
        <v>12177 - 2025</v>
      </c>
      <c r="G292" s="495"/>
      <c r="H292" s="495"/>
      <c r="I292" s="495"/>
      <c r="J292" s="495" t="str">
        <f>IFERROR(__xludf.DUMMYFUNCTION("""COMPUTED_VALUE"""),"Campus San Francisco - CSF")</f>
        <v>Campus San Francisco - CSF</v>
      </c>
      <c r="K292" s="495" t="str">
        <f>IFERROR(__xludf.DUMMYFUNCTION("""COMPUTED_VALUE"""),"01")</f>
        <v>01</v>
      </c>
      <c r="L292" s="495" t="str">
        <f>IFERROR(__xludf.DUMMYFUNCTION("""COMPUTED_VALUE"""),"Gyg servicios spa")</f>
        <v>Gyg servicios spa</v>
      </c>
      <c r="M292" s="495" t="str">
        <f>IFERROR(__xludf.DUMMYFUNCTION("""COMPUTED_VALUE"""),"77.215.624-3")</f>
        <v>77.215.624-3</v>
      </c>
      <c r="N292" s="495" t="str">
        <f>IFERROR(__xludf.DUMMYFUNCTION("""COMPUTED_VALUE"""),"Gustavo Fuentes - Supervisor tecnico")</f>
        <v>Gustavo Fuentes - Supervisor tecnico</v>
      </c>
      <c r="O292" s="495" t="str">
        <f>IFERROR(__xludf.DUMMYFUNCTION("""COMPUTED_VALUE"""),"Mantenciones")</f>
        <v>Mantenciones</v>
      </c>
      <c r="P292" s="495" t="str">
        <f>IFERROR(__xludf.DUMMYFUNCTION("""COMPUTED_VALUE"""),"Instalaciones Eléctricas")</f>
        <v>Instalaciones Eléctricas</v>
      </c>
      <c r="Q292" s="495"/>
      <c r="R292" s="495"/>
      <c r="S292" s="495"/>
      <c r="T292" s="495"/>
      <c r="U292" s="495"/>
      <c r="V292" s="495" t="str">
        <f>IFERROR(__xludf.DUMMYFUNCTION("""COMPUTED_VALUE"""),"Reparación de letrero led del logo de institucional")</f>
        <v>Reparación de letrero led del logo de institucional</v>
      </c>
      <c r="W292" s="495"/>
      <c r="X292" s="495" t="str">
        <f>IFERROR(__xludf.DUMMYFUNCTION("""COMPUTED_VALUE"""),"https://drive.google.com/open?id=1dIM-Zw0Xft1QLlD7sdeCaFNbFR3gak7W, https://drive.google.com/open?id=1d3CIdYYl0uyYBvmGKyW43vPweTj1q_0U")</f>
        <v>https://drive.google.com/open?id=1dIM-Zw0Xft1QLlD7sdeCaFNbFR3gak7W, https://drive.google.com/open?id=1d3CIdYYl0uyYBvmGKyW43vPweTj1q_0U</v>
      </c>
      <c r="Y292" s="495" t="str">
        <f>IFERROR(__xludf.DUMMYFUNCTION("""COMPUTED_VALUE"""),"contacto@gygtecnologias.com")</f>
        <v>contacto@gygtecnologias.com</v>
      </c>
      <c r="Z292" s="498">
        <f>IFERROR(__xludf.DUMMYFUNCTION("""COMPUTED_VALUE"""),660450.0)</f>
        <v>660450</v>
      </c>
      <c r="AA292" s="495"/>
      <c r="AB292" s="495"/>
      <c r="AC292" s="495"/>
      <c r="AD292" s="495" t="str">
        <f>IFERROR(__xludf.DUMMYFUNCTION("""COMPUTED_VALUE"""),"RC-071_26")</f>
        <v>RC-071_26</v>
      </c>
    </row>
    <row r="293">
      <c r="A293" s="495" t="str">
        <f t="shared" si="1"/>
        <v>RC-070_26</v>
      </c>
      <c r="B293" s="497">
        <f>IFERROR(__xludf.DUMMYFUNCTION("""COMPUTED_VALUE"""),46121.73361282407)</f>
        <v>46121.73361</v>
      </c>
      <c r="C293" s="495" t="str">
        <f>IFERROR(__xludf.DUMMYFUNCTION("""COMPUTED_VALUE"""),"")</f>
        <v/>
      </c>
      <c r="D293" s="495" t="str">
        <f>IFERROR(__xludf.DUMMYFUNCTION("""COMPUTED_VALUE"""),"Arturo Meza Vega")</f>
        <v>Arturo Meza Vega</v>
      </c>
      <c r="E293" s="495"/>
      <c r="F293" s="496" t="str">
        <f>IFERROR(__xludf.DUMMYFUNCTION("""COMPUTED_VALUE"""),"864 - 2026")</f>
        <v>864 - 2026</v>
      </c>
      <c r="G293" s="495"/>
      <c r="H293" s="495"/>
      <c r="I293" s="495"/>
      <c r="J293" s="495" t="str">
        <f>IFERROR(__xludf.DUMMYFUNCTION("""COMPUTED_VALUE"""),"Campus Dr. Luis Rivas del Canto - CRC")</f>
        <v>Campus Dr. Luis Rivas del Canto - CRC</v>
      </c>
      <c r="K293" s="495" t="str">
        <f>IFERROR(__xludf.DUMMYFUNCTION("""COMPUTED_VALUE"""),"01")</f>
        <v>01</v>
      </c>
      <c r="L293" s="495" t="str">
        <f>IFERROR(__xludf.DUMMYFUNCTION("""COMPUTED_VALUE"""),"Gyg servicios spa")</f>
        <v>Gyg servicios spa</v>
      </c>
      <c r="M293" s="495" t="str">
        <f>IFERROR(__xludf.DUMMYFUNCTION("""COMPUTED_VALUE"""),"77.215.624-3")</f>
        <v>77.215.624-3</v>
      </c>
      <c r="N293" s="495" t="str">
        <f>IFERROR(__xludf.DUMMYFUNCTION("""COMPUTED_VALUE"""),"Gustavo Fuentes - Supervisor Técnico")</f>
        <v>Gustavo Fuentes - Supervisor Técnico</v>
      </c>
      <c r="O293" s="495" t="str">
        <f>IFERROR(__xludf.DUMMYFUNCTION("""COMPUTED_VALUE"""),"Mantenciones")</f>
        <v>Mantenciones</v>
      </c>
      <c r="P293" s="495" t="str">
        <f>IFERROR(__xludf.DUMMYFUNCTION("""COMPUTED_VALUE"""),"Instalaciones Eléctricas")</f>
        <v>Instalaciones Eléctricas</v>
      </c>
      <c r="Q293" s="495"/>
      <c r="R293" s="495"/>
      <c r="S293" s="495"/>
      <c r="T293" s="495"/>
      <c r="U293" s="495"/>
      <c r="V293" s="495" t="str">
        <f>IFERROR(__xludf.DUMMYFUNCTION("""COMPUTED_VALUE"""),"Instalacion de soportes y televisores en sala de reuniones, sala de profesores, sala de clases y laboratorios")</f>
        <v>Instalacion de soportes y televisores en sala de reuniones, sala de profesores, sala de clases y laboratorios</v>
      </c>
      <c r="W293" s="495"/>
      <c r="X293" s="495" t="str">
        <f>IFERROR(__xludf.DUMMYFUNCTION("""COMPUTED_VALUE"""),"https://drive.google.com/open?id=1yHEdftBbXD-cU186aHmlx8QvzKSeVt9E, https://drive.google.com/open?id=13m9c5SH25VkfzTP8XaecwhABaCnMNKFj")</f>
        <v>https://drive.google.com/open?id=1yHEdftBbXD-cU186aHmlx8QvzKSeVt9E, https://drive.google.com/open?id=13m9c5SH25VkfzTP8XaecwhABaCnMNKFj</v>
      </c>
      <c r="Y293" s="495" t="str">
        <f>IFERROR(__xludf.DUMMYFUNCTION("""COMPUTED_VALUE"""),"contacto@gygtecnologias.com")</f>
        <v>contacto@gygtecnologias.com</v>
      </c>
      <c r="Z293" s="498">
        <f>IFERROR(__xludf.DUMMYFUNCTION("""COMPUTED_VALUE"""),5537070.0)</f>
        <v>5537070</v>
      </c>
      <c r="AA293" s="495"/>
      <c r="AB293" s="495"/>
      <c r="AC293" s="495"/>
      <c r="AD293" s="495" t="str">
        <f>IFERROR(__xludf.DUMMYFUNCTION("""COMPUTED_VALUE"""),"RC-070_26")</f>
        <v>RC-070_26</v>
      </c>
    </row>
    <row r="294">
      <c r="A294" s="495" t="str">
        <f t="shared" si="1"/>
        <v/>
      </c>
      <c r="B294" s="497">
        <f>IFERROR(__xludf.DUMMYFUNCTION("""COMPUTED_VALUE"""),46051.698908125)</f>
        <v>46051.69891</v>
      </c>
      <c r="C294" s="495" t="str">
        <f>IFERROR(__xludf.DUMMYFUNCTION("""COMPUTED_VALUE"""),"")</f>
        <v/>
      </c>
      <c r="D294" s="495" t="str">
        <f>IFERROR(__xludf.DUMMYFUNCTION("""COMPUTED_VALUE"""),"Felipe Anselme Grandón")</f>
        <v>Felipe Anselme Grandón</v>
      </c>
      <c r="E294" s="495"/>
      <c r="F294" s="496" t="str">
        <f>IFERROR(__xludf.DUMMYFUNCTION("""COMPUTED_VALUE"""),"732 - 2026")</f>
        <v>732 - 2026</v>
      </c>
      <c r="G294" s="495"/>
      <c r="H294" s="495"/>
      <c r="I294" s="495"/>
      <c r="J294" s="495" t="str">
        <f>IFERROR(__xludf.DUMMYFUNCTION("""COMPUTED_VALUE"""),"Campus Dr. Luis Rivas del Canto - CRC")</f>
        <v>Campus Dr. Luis Rivas del Canto - CRC</v>
      </c>
      <c r="K294" s="495">
        <f>IFERROR(__xludf.DUMMYFUNCTION("""COMPUTED_VALUE"""),10.0)</f>
        <v>10</v>
      </c>
      <c r="L294" s="495" t="str">
        <f>IFERROR(__xludf.DUMMYFUNCTION("""COMPUTED_VALUE"""),"Soiedad Comercial Espacio Muebles Ltda")</f>
        <v>Soiedad Comercial Espacio Muebles Ltda</v>
      </c>
      <c r="M294" s="495" t="str">
        <f>IFERROR(__xludf.DUMMYFUNCTION("""COMPUTED_VALUE"""),"77544225-5")</f>
        <v>77544225-5</v>
      </c>
      <c r="N294" s="495" t="str">
        <f>IFERROR(__xludf.DUMMYFUNCTION("""COMPUTED_VALUE"""),"Emilio Aburto - Director de Operaciones")</f>
        <v>Emilio Aburto - Director de Operaciones</v>
      </c>
      <c r="O294" s="495" t="str">
        <f>IFERROR(__xludf.DUMMYFUNCTION("""COMPUTED_VALUE"""),"Obras y Especialidades")</f>
        <v>Obras y Especialidades</v>
      </c>
      <c r="P294" s="495"/>
      <c r="Q294" s="495"/>
      <c r="R294" s="495" t="str">
        <f>IFERROR(__xludf.DUMMYFUNCTION("""COMPUTED_VALUE"""),"Especialidades")</f>
        <v>Especialidades</v>
      </c>
      <c r="S294" s="495" t="str">
        <f>IFERROR(__xludf.DUMMYFUNCTION("""COMPUTED_VALUE"""),"Estado de Pago - EP")</f>
        <v>Estado de Pago - EP</v>
      </c>
      <c r="T294" s="495" t="str">
        <f>IFERROR(__xludf.DUMMYFUNCTION("""COMPUTED_VALUE"""),"0 (Anticipo)")</f>
        <v>0 (Anticipo)</v>
      </c>
      <c r="U294" s="495">
        <f>IFERROR(__xludf.DUMMYFUNCTION("""COMPUTED_VALUE"""),2527560.0)</f>
        <v>2527560</v>
      </c>
      <c r="V294" s="495" t="str">
        <f>IFERROR(__xludf.DUMMYFUNCTION("""COMPUTED_VALUE"""),"Diseño y fabricación mesones")</f>
        <v>Diseño y fabricación mesones</v>
      </c>
      <c r="W294" s="495"/>
      <c r="X294" s="499" t="str">
        <f>IFERROR(__xludf.DUMMYFUNCTION("""COMPUTED_VALUE"""),"https://drive.google.com/open?id=1CuBEmq4bLfwexG2qEqoYqW8RDTk5WAUd")</f>
        <v>https://drive.google.com/open?id=1CuBEmq4bLfwexG2qEqoYqW8RDTk5WAUd</v>
      </c>
      <c r="Y294" s="495" t="str">
        <f>IFERROR(__xludf.DUMMYFUNCTION("""COMPUTED_VALUE"""),"contacto.espaciomuebles@gmail.com")</f>
        <v>contacto.espaciomuebles@gmail.com</v>
      </c>
      <c r="Z294" s="495"/>
      <c r="AA294" s="495"/>
      <c r="AB294" s="495"/>
      <c r="AC294" s="495"/>
      <c r="AD294" s="495"/>
    </row>
    <row r="295">
      <c r="A295" s="495" t="str">
        <f t="shared" si="1"/>
        <v/>
      </c>
      <c r="B295" s="497">
        <f>IFERROR(__xludf.DUMMYFUNCTION("""COMPUTED_VALUE"""),46051.70224997685)</f>
        <v>46051.70225</v>
      </c>
      <c r="C295" s="495" t="str">
        <f>IFERROR(__xludf.DUMMYFUNCTION("""COMPUTED_VALUE"""),"")</f>
        <v/>
      </c>
      <c r="D295" s="495" t="str">
        <f>IFERROR(__xludf.DUMMYFUNCTION("""COMPUTED_VALUE"""),"Felipe Anselme Grandón")</f>
        <v>Felipe Anselme Grandón</v>
      </c>
      <c r="E295" s="495"/>
      <c r="F295" s="496" t="str">
        <f>IFERROR(__xludf.DUMMYFUNCTION("""COMPUTED_VALUE"""),"731 - 2026")</f>
        <v>731 - 2026</v>
      </c>
      <c r="G295" s="495"/>
      <c r="H295" s="495"/>
      <c r="I295" s="495"/>
      <c r="J295" s="495" t="str">
        <f>IFERROR(__xludf.DUMMYFUNCTION("""COMPUTED_VALUE"""),"Campus Dr. Luis Rivas del Canto - CRC")</f>
        <v>Campus Dr. Luis Rivas del Canto - CRC</v>
      </c>
      <c r="K295" s="495">
        <f>IFERROR(__xludf.DUMMYFUNCTION("""COMPUTED_VALUE"""),10.0)</f>
        <v>10</v>
      </c>
      <c r="L295" s="495" t="str">
        <f>IFERROR(__xludf.DUMMYFUNCTION("""COMPUTED_VALUE"""),"Sociedad Comercial Espacio Muebles Ltda")</f>
        <v>Sociedad Comercial Espacio Muebles Ltda</v>
      </c>
      <c r="M295" s="495" t="str">
        <f>IFERROR(__xludf.DUMMYFUNCTION("""COMPUTED_VALUE"""),"77544225-5")</f>
        <v>77544225-5</v>
      </c>
      <c r="N295" s="495" t="str">
        <f>IFERROR(__xludf.DUMMYFUNCTION("""COMPUTED_VALUE"""),"Emilio Aburto - Director de operaciones")</f>
        <v>Emilio Aburto - Director de operaciones</v>
      </c>
      <c r="O295" s="495" t="str">
        <f>IFERROR(__xludf.DUMMYFUNCTION("""COMPUTED_VALUE"""),"Obras y Especialidades")</f>
        <v>Obras y Especialidades</v>
      </c>
      <c r="P295" s="495"/>
      <c r="Q295" s="495"/>
      <c r="R295" s="495" t="str">
        <f>IFERROR(__xludf.DUMMYFUNCTION("""COMPUTED_VALUE"""),"Especialidades")</f>
        <v>Especialidades</v>
      </c>
      <c r="S295" s="495" t="str">
        <f>IFERROR(__xludf.DUMMYFUNCTION("""COMPUTED_VALUE"""),"Estado de Pago - EP")</f>
        <v>Estado de Pago - EP</v>
      </c>
      <c r="T295" s="495" t="str">
        <f>IFERROR(__xludf.DUMMYFUNCTION("""COMPUTED_VALUE"""),"0 (Anticipo)")</f>
        <v>0 (Anticipo)</v>
      </c>
      <c r="U295" s="498">
        <f>IFERROR(__xludf.DUMMYFUNCTION("""COMPUTED_VALUE"""),7657115.0)</f>
        <v>7657115</v>
      </c>
      <c r="V295" s="495" t="str">
        <f>IFERROR(__xludf.DUMMYFUNCTION("""COMPUTED_VALUE"""),"Fabricación e installación de muebles")</f>
        <v>Fabricación e installación de muebles</v>
      </c>
      <c r="W295" s="495"/>
      <c r="X295" s="499" t="str">
        <f>IFERROR(__xludf.DUMMYFUNCTION("""COMPUTED_VALUE"""),"https://drive.google.com/open?id=10622fnEF5pI6FeDWjHMX7sKOHP0KBbr9")</f>
        <v>https://drive.google.com/open?id=10622fnEF5pI6FeDWjHMX7sKOHP0KBbr9</v>
      </c>
      <c r="Y295" s="495" t="str">
        <f>IFERROR(__xludf.DUMMYFUNCTION("""COMPUTED_VALUE"""),"contato.espaciomuebles@gmail.com")</f>
        <v>contato.espaciomuebles@gmail.com</v>
      </c>
      <c r="Z295" s="495"/>
      <c r="AA295" s="495"/>
      <c r="AB295" s="495"/>
      <c r="AC295" s="495"/>
      <c r="AD295" s="495"/>
    </row>
    <row r="296">
      <c r="A296" s="495" t="str">
        <f t="shared" si="1"/>
        <v/>
      </c>
      <c r="B296" s="497">
        <f>IFERROR(__xludf.DUMMYFUNCTION("""COMPUTED_VALUE"""),46051.71278472222)</f>
        <v>46051.71278</v>
      </c>
      <c r="C296" s="495" t="str">
        <f>IFERROR(__xludf.DUMMYFUNCTION("""COMPUTED_VALUE"""),"")</f>
        <v/>
      </c>
      <c r="D296" s="495" t="str">
        <f>IFERROR(__xludf.DUMMYFUNCTION("""COMPUTED_VALUE"""),"Juan Ignacio Solís de Ovando")</f>
        <v>Juan Ignacio Solís de Ovando</v>
      </c>
      <c r="E296" s="495"/>
      <c r="F296" s="496">
        <f>IFERROR(__xludf.DUMMYFUNCTION("""COMPUTED_VALUE"""),733.0)</f>
        <v>733</v>
      </c>
      <c r="G296" s="495"/>
      <c r="H296" s="495"/>
      <c r="I296" s="495"/>
      <c r="J296" s="495" t="str">
        <f>IFERROR(__xludf.DUMMYFUNCTION("""COMPUTED_VALUE"""),"Campus Dr. Luis Rivas del Canto - CRC")</f>
        <v>Campus Dr. Luis Rivas del Canto - CRC</v>
      </c>
      <c r="K296" s="495" t="str">
        <f>IFERROR(__xludf.DUMMYFUNCTION("""COMPUTED_VALUE"""),"Exterior")</f>
        <v>Exterior</v>
      </c>
      <c r="L296" s="495" t="str">
        <f>IFERROR(__xludf.DUMMYFUNCTION("""COMPUTED_VALUE"""),"Constructora Alplas spa")</f>
        <v>Constructora Alplas spa</v>
      </c>
      <c r="M296" s="495" t="str">
        <f>IFERROR(__xludf.DUMMYFUNCTION("""COMPUTED_VALUE"""),"77.190.049-6")</f>
        <v>77.190.049-6</v>
      </c>
      <c r="N296" s="495" t="str">
        <f>IFERROR(__xludf.DUMMYFUNCTION("""COMPUTED_VALUE"""),"Camil obando jefa obra ")</f>
        <v>Camil obando jefa obra </v>
      </c>
      <c r="O296" s="495" t="str">
        <f>IFERROR(__xludf.DUMMYFUNCTION("""COMPUTED_VALUE"""),"Obras y Especialidades")</f>
        <v>Obras y Especialidades</v>
      </c>
      <c r="P296" s="495"/>
      <c r="Q296" s="495"/>
      <c r="R296" s="495" t="str">
        <f>IFERROR(__xludf.DUMMYFUNCTION("""COMPUTED_VALUE"""),"Remodelación")</f>
        <v>Remodelación</v>
      </c>
      <c r="S296" s="495" t="str">
        <f>IFERROR(__xludf.DUMMYFUNCTION("""COMPUTED_VALUE"""),"Estado de Pago - EP")</f>
        <v>Estado de Pago - EP</v>
      </c>
      <c r="T296" s="495" t="str">
        <f>IFERROR(__xludf.DUMMYFUNCTION("""COMPUTED_VALUE"""),"0 (Anticipo)")</f>
        <v>0 (Anticipo)</v>
      </c>
      <c r="U296" s="498">
        <f>IFERROR(__xludf.DUMMYFUNCTION("""COMPUTED_VALUE"""),7142346.0)</f>
        <v>7142346</v>
      </c>
      <c r="V296" s="495" t="str">
        <f>IFERROR(__xludf.DUMMYFUNCTION("""COMPUTED_VALUE"""),"CONSTRUCCIÓN DE PAÑOL Y REHABILITACIÓNFRONTIS CRC18")</f>
        <v>CONSTRUCCIÓN DE PAÑOL Y REHABILITACIÓNFRONTIS CRC18</v>
      </c>
      <c r="W296" s="495"/>
      <c r="X296" s="499" t="str">
        <f>IFERROR(__xludf.DUMMYFUNCTION("""COMPUTED_VALUE"""),"https://drive.google.com/open?id=1M476NjG1Q42Wvv1ETascIEwkz53vhrm9")</f>
        <v>https://drive.google.com/open?id=1M476NjG1Q42Wvv1ETascIEwkz53vhrm9</v>
      </c>
      <c r="Y296" s="495" t="str">
        <f>IFERROR(__xludf.DUMMYFUNCTION("""COMPUTED_VALUE"""),"ventas@alplas.cl")</f>
        <v>ventas@alplas.cl</v>
      </c>
      <c r="Z296" s="495"/>
      <c r="AA296" s="495"/>
      <c r="AB296" s="495"/>
      <c r="AC296" s="495"/>
      <c r="AD296" s="495"/>
    </row>
    <row r="297">
      <c r="A297" s="495" t="str">
        <f t="shared" si="1"/>
        <v/>
      </c>
      <c r="B297" s="497">
        <f>IFERROR(__xludf.DUMMYFUNCTION("""COMPUTED_VALUE"""),46051.718054490746)</f>
        <v>46051.71805</v>
      </c>
      <c r="C297" s="495" t="str">
        <f>IFERROR(__xludf.DUMMYFUNCTION("""COMPUTED_VALUE"""),"")</f>
        <v/>
      </c>
      <c r="D297" s="495" t="str">
        <f>IFERROR(__xludf.DUMMYFUNCTION("""COMPUTED_VALUE"""),"Felipe Anselme Grandón")</f>
        <v>Felipe Anselme Grandón</v>
      </c>
      <c r="E297" s="495"/>
      <c r="F297" s="496" t="str">
        <f>IFERROR(__xludf.DUMMYFUNCTION("""COMPUTED_VALUE"""),"735-2026")</f>
        <v>735-2026</v>
      </c>
      <c r="G297" s="495"/>
      <c r="H297" s="495"/>
      <c r="I297" s="495"/>
      <c r="J297" s="495" t="str">
        <f>IFERROR(__xludf.DUMMYFUNCTION("""COMPUTED_VALUE"""),"Campus San Francisco - CSF")</f>
        <v>Campus San Francisco - CSF</v>
      </c>
      <c r="K297" s="495" t="str">
        <f>IFERROR(__xludf.DUMMYFUNCTION("""COMPUTED_VALUE"""),"Sin número")</f>
        <v>Sin número</v>
      </c>
      <c r="L297" s="495" t="str">
        <f>IFERROR(__xludf.DUMMYFUNCTION("""COMPUTED_VALUE"""),"Constructora y Servicios S-Tec SPA ")</f>
        <v>Constructora y Servicios S-Tec SPA </v>
      </c>
      <c r="M297" s="495" t="str">
        <f>IFERROR(__xludf.DUMMYFUNCTION("""COMPUTED_VALUE"""),"77.781.356-0")</f>
        <v>77.781.356-0</v>
      </c>
      <c r="N297" s="495" t="str">
        <f>IFERROR(__xludf.DUMMYFUNCTION("""COMPUTED_VALUE"""),"Representante legal ")</f>
        <v>Representante legal </v>
      </c>
      <c r="O297" s="495" t="str">
        <f>IFERROR(__xludf.DUMMYFUNCTION("""COMPUTED_VALUE"""),"Obras y Especialidades")</f>
        <v>Obras y Especialidades</v>
      </c>
      <c r="P297" s="495"/>
      <c r="Q297" s="495"/>
      <c r="R297" s="495" t="str">
        <f>IFERROR(__xludf.DUMMYFUNCTION("""COMPUTED_VALUE"""),"Remodelación")</f>
        <v>Remodelación</v>
      </c>
      <c r="S297" s="495" t="str">
        <f>IFERROR(__xludf.DUMMYFUNCTION("""COMPUTED_VALUE"""),"Estado de Pago - EP")</f>
        <v>Estado de Pago - EP</v>
      </c>
      <c r="T297" s="495" t="str">
        <f>IFERROR(__xludf.DUMMYFUNCTION("""COMPUTED_VALUE"""),"0 (Anticipo)")</f>
        <v>0 (Anticipo)</v>
      </c>
      <c r="U297" s="498">
        <f>IFERROR(__xludf.DUMMYFUNCTION("""COMPUTED_VALUE"""),3789071.0)</f>
        <v>3789071</v>
      </c>
      <c r="V297" s="495" t="str">
        <f>IFERROR(__xludf.DUMMYFUNCTION("""COMPUTED_VALUE"""),"Remodelación Biblioteca ")</f>
        <v>Remodelación Biblioteca </v>
      </c>
      <c r="W297" s="495"/>
      <c r="X297" s="499" t="str">
        <f>IFERROR(__xludf.DUMMYFUNCTION("""COMPUTED_VALUE"""),"https://drive.google.com/open?id=1VO5Ei92l4ZvHFJ6LVrTbBpZKiPgg5gDR")</f>
        <v>https://drive.google.com/open?id=1VO5Ei92l4ZvHFJ6LVrTbBpZKiPgg5gDR</v>
      </c>
      <c r="Y297" s="495" t="str">
        <f>IFERROR(__xludf.DUMMYFUNCTION("""COMPUTED_VALUE"""),"miguelptorres@gmail.com")</f>
        <v>miguelptorres@gmail.com</v>
      </c>
      <c r="Z297" s="495"/>
      <c r="AA297" s="495"/>
      <c r="AB297" s="495"/>
      <c r="AC297" s="495"/>
      <c r="AD297" s="495"/>
    </row>
    <row r="298">
      <c r="A298" s="495" t="str">
        <f t="shared" si="1"/>
        <v/>
      </c>
      <c r="B298" s="497">
        <f>IFERROR(__xludf.DUMMYFUNCTION("""COMPUTED_VALUE"""),46052.480509305555)</f>
        <v>46052.48051</v>
      </c>
      <c r="C298" s="495" t="str">
        <f>IFERROR(__xludf.DUMMYFUNCTION("""COMPUTED_VALUE"""),"")</f>
        <v/>
      </c>
      <c r="D298" s="495" t="str">
        <f>IFERROR(__xludf.DUMMYFUNCTION("""COMPUTED_VALUE"""),"Juan Ignacio Solís de Ovando")</f>
        <v>Juan Ignacio Solís de Ovando</v>
      </c>
      <c r="E298" s="495"/>
      <c r="F298" s="496" t="str">
        <f>IFERROR(__xludf.DUMMYFUNCTION("""COMPUTED_VALUE"""),"752-2026")</f>
        <v>752-2026</v>
      </c>
      <c r="G298" s="495"/>
      <c r="H298" s="495"/>
      <c r="I298" s="495"/>
      <c r="J298" s="495" t="str">
        <f>IFERROR(__xludf.DUMMYFUNCTION("""COMPUTED_VALUE"""),"Campus Phillippi - CPH")</f>
        <v>Campus Phillippi - CPH</v>
      </c>
      <c r="K298" s="495" t="str">
        <f>IFERROR(__xludf.DUMMYFUNCTION("""COMPUTED_VALUE"""),"Exterior")</f>
        <v>Exterior</v>
      </c>
      <c r="L298" s="495" t="str">
        <f>IFERROR(__xludf.DUMMYFUNCTION("""COMPUTED_VALUE""")," CONSTRUCTORA INGTRAPP SPA")</f>
        <v> CONSTRUCTORA INGTRAPP SPA</v>
      </c>
      <c r="M298" s="495" t="str">
        <f>IFERROR(__xludf.DUMMYFUNCTION("""COMPUTED_VALUE"""),"78.202.133-8")</f>
        <v>78.202.133-8</v>
      </c>
      <c r="N298" s="495" t="str">
        <f>IFERROR(__xludf.DUMMYFUNCTION("""COMPUTED_VALUE"""),"PATRICK GUTIERREZ")</f>
        <v>PATRICK GUTIERREZ</v>
      </c>
      <c r="O298" s="495" t="str">
        <f>IFERROR(__xludf.DUMMYFUNCTION("""COMPUTED_VALUE"""),"Obras y Especialidades")</f>
        <v>Obras y Especialidades</v>
      </c>
      <c r="P298" s="495"/>
      <c r="Q298" s="495"/>
      <c r="R298" s="495" t="str">
        <f>IFERROR(__xludf.DUMMYFUNCTION("""COMPUTED_VALUE"""),"Modificación de Espacio")</f>
        <v>Modificación de Espacio</v>
      </c>
      <c r="S298" s="495" t="str">
        <f>IFERROR(__xludf.DUMMYFUNCTION("""COMPUTED_VALUE"""),"Estado de Pago - EP")</f>
        <v>Estado de Pago - EP</v>
      </c>
      <c r="T298" s="495" t="str">
        <f>IFERROR(__xludf.DUMMYFUNCTION("""COMPUTED_VALUE"""),"0 (Anticipo)")</f>
        <v>0 (Anticipo)</v>
      </c>
      <c r="U298" s="498">
        <f>IFERROR(__xludf.DUMMYFUNCTION("""COMPUTED_VALUE"""),1.5989376E7)</f>
        <v>15989376</v>
      </c>
      <c r="V298" s="495" t="str">
        <f>IFERROR(__xludf.DUMMYFUNCTION("""COMPUTED_VALUE"""),"ADECUACION DE ESPACIOS PARA OFICINAS CPH02 ESPACIOS EX LABORATORIO DE SUELOS (PHILLIPPI B)")</f>
        <v>ADECUACION DE ESPACIOS PARA OFICINAS CPH02 ESPACIOS EX LABORATORIO DE SUELOS (PHILLIPPI B)</v>
      </c>
      <c r="W298" s="495"/>
      <c r="X298" s="499" t="str">
        <f>IFERROR(__xludf.DUMMYFUNCTION("""COMPUTED_VALUE"""),"https://drive.google.com/open?id=1MmgbddOqkac2frtxPhbzM-9OEoNZvdaX")</f>
        <v>https://drive.google.com/open?id=1MmgbddOqkac2frtxPhbzM-9OEoNZvdaX</v>
      </c>
      <c r="Y298" s="495" t="str">
        <f>IFERROR(__xludf.DUMMYFUNCTION("""COMPUTED_VALUE"""),"constructoraingtrappspa@gmail.com")</f>
        <v>constructoraingtrappspa@gmail.com</v>
      </c>
      <c r="Z298" s="495"/>
      <c r="AA298" s="495"/>
      <c r="AB298" s="495"/>
      <c r="AC298" s="495"/>
      <c r="AD298" s="495"/>
    </row>
    <row r="299">
      <c r="A299" s="495" t="str">
        <f t="shared" si="1"/>
        <v>RC-069_26</v>
      </c>
      <c r="B299" s="497">
        <f>IFERROR(__xludf.DUMMYFUNCTION("""COMPUTED_VALUE"""),46120.48180350695)</f>
        <v>46120.4818</v>
      </c>
      <c r="C299" s="495" t="str">
        <f>IFERROR(__xludf.DUMMYFUNCTION("""COMPUTED_VALUE"""),"")</f>
        <v/>
      </c>
      <c r="D299" s="495" t="str">
        <f>IFERROR(__xludf.DUMMYFUNCTION("""COMPUTED_VALUE"""),"Carol Huenchual Chañilao")</f>
        <v>Carol Huenchual Chañilao</v>
      </c>
      <c r="E299" s="495"/>
      <c r="F299" s="496" t="str">
        <f>IFERROR(__xludf.DUMMYFUNCTION("""COMPUTED_VALUE"""),"1974 - 2026")</f>
        <v>1974 - 2026</v>
      </c>
      <c r="G299" s="495"/>
      <c r="H299" s="495"/>
      <c r="I299" s="495"/>
      <c r="J299" s="495" t="str">
        <f>IFERROR(__xludf.DUMMYFUNCTION("""COMPUTED_VALUE"""),"Campus San Francisco - CSF")</f>
        <v>Campus San Francisco - CSF</v>
      </c>
      <c r="K299" s="495">
        <f>IFERROR(__xludf.DUMMYFUNCTION("""COMPUTED_VALUE"""),16.0)</f>
        <v>16</v>
      </c>
      <c r="L299" s="495" t="str">
        <f>IFERROR(__xludf.DUMMYFUNCTION("""COMPUTED_VALUE"""),"Flavia Oyarzun Soto")</f>
        <v>Flavia Oyarzun Soto</v>
      </c>
      <c r="M299" s="495" t="str">
        <f>IFERROR(__xludf.DUMMYFUNCTION("""COMPUTED_VALUE"""),"5.503.590-3")</f>
        <v>5.503.590-3</v>
      </c>
      <c r="N299" s="495" t="str">
        <f>IFERROR(__xludf.DUMMYFUNCTION("""COMPUTED_VALUE"""),"Roberto Lassalle Prado Supervisor")</f>
        <v>Roberto Lassalle Prado Supervisor</v>
      </c>
      <c r="O299" s="495" t="str">
        <f>IFERROR(__xludf.DUMMYFUNCTION("""COMPUTED_VALUE"""),"Mantenciones")</f>
        <v>Mantenciones</v>
      </c>
      <c r="P299" s="495" t="str">
        <f>IFERROR(__xludf.DUMMYFUNCTION("""COMPUTED_VALUE"""),"Requerimientos Emergentes e Imprevistos")</f>
        <v>Requerimientos Emergentes e Imprevistos</v>
      </c>
      <c r="Q299" s="495"/>
      <c r="R299" s="495"/>
      <c r="S299" s="495"/>
      <c r="T299" s="495"/>
      <c r="U299" s="495"/>
      <c r="V299" s="495" t="str">
        <f>IFERROR(__xludf.DUMMYFUNCTION("""COMPUTED_VALUE"""),"Provisión e instalación de tapas de cámara")</f>
        <v>Provisión e instalación de tapas de cámara</v>
      </c>
      <c r="W299" s="495" t="str">
        <f>IFERROR(__xludf.DUMMYFUNCTION("""COMPUTED_VALUE"""),"no hay")</f>
        <v>no hay</v>
      </c>
      <c r="X299" s="495" t="str">
        <f>IFERROR(__xludf.DUMMYFUNCTION("""COMPUTED_VALUE"""),"https://drive.google.com/open?id=1_QLSC_nGE9eTdt7ZkdGYeZ0b_o_HAsoN, https://drive.google.com/open?id=14XrtsqQnxocNd2PcOFoJZe6jWZxPuGkW")</f>
        <v>https://drive.google.com/open?id=1_QLSC_nGE9eTdt7ZkdGYeZ0b_o_HAsoN, https://drive.google.com/open?id=14XrtsqQnxocNd2PcOFoJZe6jWZxPuGkW</v>
      </c>
      <c r="Y299" s="495" t="str">
        <f>IFERROR(__xludf.DUMMYFUNCTION("""COMPUTED_VALUE"""),"roberto.lassalle@gmail.com")</f>
        <v>roberto.lassalle@gmail.com</v>
      </c>
      <c r="Z299" s="498">
        <f>IFERROR(__xludf.DUMMYFUNCTION("""COMPUTED_VALUE"""),95582.0)</f>
        <v>95582</v>
      </c>
      <c r="AA299" s="495"/>
      <c r="AB299" s="495"/>
      <c r="AC299" s="495"/>
      <c r="AD299" s="495" t="str">
        <f>IFERROR(__xludf.DUMMYFUNCTION("""COMPUTED_VALUE"""),"RC-069_26")</f>
        <v>RC-069_26</v>
      </c>
    </row>
    <row r="300">
      <c r="A300" s="495" t="str">
        <f t="shared" si="1"/>
        <v>RC-067_26</v>
      </c>
      <c r="B300" s="497">
        <f>IFERROR(__xludf.DUMMYFUNCTION("""COMPUTED_VALUE"""),46120.39843025463)</f>
        <v>46120.39843</v>
      </c>
      <c r="C300" s="495" t="str">
        <f>IFERROR(__xludf.DUMMYFUNCTION("""COMPUTED_VALUE"""),"")</f>
        <v/>
      </c>
      <c r="D300" s="495" t="str">
        <f>IFERROR(__xludf.DUMMYFUNCTION("""COMPUTED_VALUE"""),"Mauricio Zurita Aldea")</f>
        <v>Mauricio Zurita Aldea</v>
      </c>
      <c r="E300" s="495"/>
      <c r="F300" s="496" t="str">
        <f>IFERROR(__xludf.DUMMYFUNCTION("""COMPUTED_VALUE"""),"1969 2026")</f>
        <v>1969 2026</v>
      </c>
      <c r="G300" s="495"/>
      <c r="H300" s="495"/>
      <c r="I300" s="495"/>
      <c r="J300" s="495" t="str">
        <f>IFERROR(__xludf.DUMMYFUNCTION("""COMPUTED_VALUE"""),"Campus Dr. Luis Rivas del Canto - CRC")</f>
        <v>Campus Dr. Luis Rivas del Canto - CRC</v>
      </c>
      <c r="K300" s="495">
        <f>IFERROR(__xludf.DUMMYFUNCTION("""COMPUTED_VALUE"""),16.0)</f>
        <v>16</v>
      </c>
      <c r="L300" s="495" t="str">
        <f>IFERROR(__xludf.DUMMYFUNCTION("""COMPUTED_VALUE"""),"Ingertemuco Ingeniería Spa ")</f>
        <v>Ingertemuco Ingeniería Spa </v>
      </c>
      <c r="M300" s="495" t="str">
        <f>IFERROR(__xludf.DUMMYFUNCTION("""COMPUTED_VALUE"""),"77.369.471-0")</f>
        <v>77.369.471-0</v>
      </c>
      <c r="N300" s="495" t="str">
        <f>IFERROR(__xludf.DUMMYFUNCTION("""COMPUTED_VALUE"""),"Christian Ortega ")</f>
        <v>Christian Ortega </v>
      </c>
      <c r="O300" s="495" t="str">
        <f>IFERROR(__xludf.DUMMYFUNCTION("""COMPUTED_VALUE"""),"Mantenciones")</f>
        <v>Mantenciones</v>
      </c>
      <c r="P300" s="495" t="str">
        <f>IFERROR(__xludf.DUMMYFUNCTION("""COMPUTED_VALUE"""),"Instalaciones Eléctricas")</f>
        <v>Instalaciones Eléctricas</v>
      </c>
      <c r="Q300" s="495"/>
      <c r="R300" s="495"/>
      <c r="S300" s="495"/>
      <c r="T300" s="495"/>
      <c r="U300" s="495"/>
      <c r="V300" s="495" t="str">
        <f>IFERROR(__xludf.DUMMYFUNCTION("""COMPUTED_VALUE"""),"Se instaló soporte para televisor ")</f>
        <v>Se instaló soporte para televisor </v>
      </c>
      <c r="W300" s="495"/>
      <c r="X300" s="499" t="str">
        <f>IFERROR(__xludf.DUMMYFUNCTION("""COMPUTED_VALUE"""),"https://drive.google.com/open?id=10dvNADpHor4EP5KQIoRofZ0GwXnKfEKl")</f>
        <v>https://drive.google.com/open?id=10dvNADpHor4EP5KQIoRofZ0GwXnKfEKl</v>
      </c>
      <c r="Y300" s="495" t="str">
        <f>IFERROR(__xludf.DUMMYFUNCTION("""COMPUTED_VALUE"""),"comercialingertemuco@gmail.com")</f>
        <v>comercialingertemuco@gmail.com</v>
      </c>
      <c r="Z300" s="498">
        <f>IFERROR(__xludf.DUMMYFUNCTION("""COMPUTED_VALUE"""),266411.0)</f>
        <v>266411</v>
      </c>
      <c r="AA300" s="495"/>
      <c r="AB300" s="495"/>
      <c r="AC300" s="495"/>
      <c r="AD300" s="495" t="str">
        <f>IFERROR(__xludf.DUMMYFUNCTION("""COMPUTED_VALUE"""),"RC-067_26")</f>
        <v>RC-067_26</v>
      </c>
    </row>
    <row r="301">
      <c r="A301" s="495" t="str">
        <f t="shared" si="1"/>
        <v>RC-065_26</v>
      </c>
      <c r="B301" s="497">
        <f>IFERROR(__xludf.DUMMYFUNCTION("""COMPUTED_VALUE"""),46118.60508775463)</f>
        <v>46118.60509</v>
      </c>
      <c r="C301" s="495" t="str">
        <f>IFERROR(__xludf.DUMMYFUNCTION("""COMPUTED_VALUE"""),"")</f>
        <v/>
      </c>
      <c r="D301" s="495" t="str">
        <f>IFERROR(__xludf.DUMMYFUNCTION("""COMPUTED_VALUE"""),"Carol Huenchual Chañilao")</f>
        <v>Carol Huenchual Chañilao</v>
      </c>
      <c r="E301" s="495"/>
      <c r="F301" s="496" t="str">
        <f>IFERROR(__xludf.DUMMYFUNCTION("""COMPUTED_VALUE"""),"2042-2026")</f>
        <v>2042-2026</v>
      </c>
      <c r="G301" s="495"/>
      <c r="H301" s="495"/>
      <c r="I301" s="495"/>
      <c r="J301" s="495" t="str">
        <f>IFERROR(__xludf.DUMMYFUNCTION("""COMPUTED_VALUE"""),"Campus San Juan Pablo II - CJP")</f>
        <v>Campus San Juan Pablo II - CJP</v>
      </c>
      <c r="K301" s="495" t="str">
        <f>IFERROR(__xludf.DUMMYFUNCTION("""COMPUTED_VALUE"""),"02")</f>
        <v>02</v>
      </c>
      <c r="L301" s="495" t="str">
        <f>IFERROR(__xludf.DUMMYFUNCTION("""COMPUTED_VALUE"""),"duvic spa")</f>
        <v>duvic spa</v>
      </c>
      <c r="M301" s="495" t="str">
        <f>IFERROR(__xludf.DUMMYFUNCTION("""COMPUTED_VALUE"""),"78.052.201-1")</f>
        <v>78.052.201-1</v>
      </c>
      <c r="N301" s="495" t="str">
        <f>IFERROR(__xludf.DUMMYFUNCTION("""COMPUTED_VALUE"""),"Juan Pablo Oliva Osses, operador técnico multiservicio")</f>
        <v>Juan Pablo Oliva Osses, operador técnico multiservicio</v>
      </c>
      <c r="O301" s="495" t="str">
        <f>IFERROR(__xludf.DUMMYFUNCTION("""COMPUTED_VALUE"""),"Mantenciones")</f>
        <v>Mantenciones</v>
      </c>
      <c r="P301" s="495" t="str">
        <f>IFERROR(__xludf.DUMMYFUNCTION("""COMPUTED_VALUE"""),"Alarmas de Incendio")</f>
        <v>Alarmas de Incendio</v>
      </c>
      <c r="Q301" s="495"/>
      <c r="R301" s="495"/>
      <c r="S301" s="495"/>
      <c r="T301" s="495"/>
      <c r="U301" s="495"/>
      <c r="V301" s="495" t="str">
        <f>IFERROR(__xludf.DUMMYFUNCTION("""COMPUTED_VALUE"""),"mantencion preventiva en central de incendio y dispositivos conectados a esta (detectores de humo, pulsadores y sirenas")</f>
        <v>mantencion preventiva en central de incendio y dispositivos conectados a esta (detectores de humo, pulsadores y sirenas</v>
      </c>
      <c r="W301" s="495" t="str">
        <f>IFERROR(__xludf.DUMMYFUNCTION("""COMPUTED_VALUE"""),"se suguiere cambio de tegnologia del sistema ")</f>
        <v>se suguiere cambio de tegnologia del sistema </v>
      </c>
      <c r="X301" s="495" t="str">
        <f>IFERROR(__xludf.DUMMYFUNCTION("""COMPUTED_VALUE"""),"https://drive.google.com/open?id=13jRd0pVYxsAijnhdcD937-eCQYrzE-ct, https://drive.google.com/open?id=1TDkoz_5VFHmFzw2rcVnnXBvaOOnTjcmv, https://drive.google.com/open?id=1kFwYZZsNBO4zM4cykLtGdnqDLno8f-bd, https://drive.google.com/open?id=1T2aONAj7uIR0WEC1Z"&amp;"U61ewuuVUNXJvI1, https://drive.google.com/open?id=1tpMg4odkhk-wClnYCuhNq7yqBPMoKsmX")</f>
        <v>https://drive.google.com/open?id=13jRd0pVYxsAijnhdcD937-eCQYrzE-ct, https://drive.google.com/open?id=1TDkoz_5VFHmFzw2rcVnnXBvaOOnTjcmv, https://drive.google.com/open?id=1kFwYZZsNBO4zM4cykLtGdnqDLno8f-bd, https://drive.google.com/open?id=1T2aONAj7uIR0WEC1ZU61ewuuVUNXJvI1, https://drive.google.com/open?id=1tpMg4odkhk-wClnYCuhNq7yqBPMoKsmX</v>
      </c>
      <c r="Y301" s="495" t="str">
        <f>IFERROR(__xludf.DUMMYFUNCTION("""COMPUTED_VALUE"""),"duvictelecom@gmail.com")</f>
        <v>duvictelecom@gmail.com</v>
      </c>
      <c r="Z301" s="498">
        <f>IFERROR(__xludf.DUMMYFUNCTION("""COMPUTED_VALUE"""),7474928.0)</f>
        <v>7474928</v>
      </c>
      <c r="AA301" s="495"/>
      <c r="AB301" s="495"/>
      <c r="AC301" s="495"/>
      <c r="AD301" s="495" t="str">
        <f>IFERROR(__xludf.DUMMYFUNCTION("""COMPUTED_VALUE"""),"RC-065_26")</f>
        <v>RC-065_26</v>
      </c>
    </row>
    <row r="302">
      <c r="A302" s="495" t="str">
        <f t="shared" si="1"/>
        <v>RC-063_26</v>
      </c>
      <c r="B302" s="497">
        <f>IFERROR(__xludf.DUMMYFUNCTION("""COMPUTED_VALUE"""),46114.499507650464)</f>
        <v>46114.49951</v>
      </c>
      <c r="C302" s="495" t="str">
        <f>IFERROR(__xludf.DUMMYFUNCTION("""COMPUTED_VALUE"""),"")</f>
        <v/>
      </c>
      <c r="D302" s="495" t="str">
        <f>IFERROR(__xludf.DUMMYFUNCTION("""COMPUTED_VALUE"""),"Mauricio Zurita Aldea")</f>
        <v>Mauricio Zurita Aldea</v>
      </c>
      <c r="E302" s="495"/>
      <c r="F302" s="496" t="str">
        <f>IFERROR(__xludf.DUMMYFUNCTION("""COMPUTED_VALUE"""),"12884 - 2025")</f>
        <v>12884 - 2025</v>
      </c>
      <c r="G302" s="495"/>
      <c r="H302" s="495"/>
      <c r="I302" s="495"/>
      <c r="J302" s="495" t="str">
        <f>IFERROR(__xludf.DUMMYFUNCTION("""COMPUTED_VALUE"""),"Campus Educación Continua - CEC")</f>
        <v>Campus Educación Continua - CEC</v>
      </c>
      <c r="K302" s="495" t="str">
        <f>IFERROR(__xludf.DUMMYFUNCTION("""COMPUTED_VALUE"""),"01")</f>
        <v>01</v>
      </c>
      <c r="L302" s="495" t="str">
        <f>IFERROR(__xludf.DUMMYFUNCTION("""COMPUTED_VALUE"""),"Gyg servicios spa")</f>
        <v>Gyg servicios spa</v>
      </c>
      <c r="M302" s="495" t="str">
        <f>IFERROR(__xludf.DUMMYFUNCTION("""COMPUTED_VALUE"""),"77.215.624-3")</f>
        <v>77.215.624-3</v>
      </c>
      <c r="N302" s="495" t="str">
        <f>IFERROR(__xludf.DUMMYFUNCTION("""COMPUTED_VALUE"""),"Gustavo Fuentes - Supervisor Técnico")</f>
        <v>Gustavo Fuentes - Supervisor Técnico</v>
      </c>
      <c r="O302" s="495" t="str">
        <f>IFERROR(__xludf.DUMMYFUNCTION("""COMPUTED_VALUE"""),"Mantenciones")</f>
        <v>Mantenciones</v>
      </c>
      <c r="P302" s="495" t="str">
        <f>IFERROR(__xludf.DUMMYFUNCTION("""COMPUTED_VALUE"""),"Instalaciones Eléctricas")</f>
        <v>Instalaciones Eléctricas</v>
      </c>
      <c r="Q302" s="495"/>
      <c r="R302" s="495"/>
      <c r="S302" s="495"/>
      <c r="T302" s="495"/>
      <c r="U302" s="495"/>
      <c r="V302" s="495" t="str">
        <f>IFERROR(__xludf.DUMMYFUNCTION("""COMPUTED_VALUE"""),"Licencias HCP para registró y control de visita")</f>
        <v>Licencias HCP para registró y control de visita</v>
      </c>
      <c r="W302" s="495"/>
      <c r="X302" s="499" t="str">
        <f>IFERROR(__xludf.DUMMYFUNCTION("""COMPUTED_VALUE"""),"https://drive.google.com/open?id=11BaLTmGqQk88p_WBbz8FaScx5MMlk3IG")</f>
        <v>https://drive.google.com/open?id=11BaLTmGqQk88p_WBbz8FaScx5MMlk3IG</v>
      </c>
      <c r="Y302" s="495" t="str">
        <f>IFERROR(__xludf.DUMMYFUNCTION("""COMPUTED_VALUE"""),"contacto@gygtecnologias.com")</f>
        <v>contacto@gygtecnologias.com</v>
      </c>
      <c r="Z302" s="498">
        <f>IFERROR(__xludf.DUMMYFUNCTION("""COMPUTED_VALUE"""),1948030.0)</f>
        <v>1948030</v>
      </c>
      <c r="AA302" s="495"/>
      <c r="AB302" s="495"/>
      <c r="AC302" s="495"/>
      <c r="AD302" s="495" t="str">
        <f>IFERROR(__xludf.DUMMYFUNCTION("""COMPUTED_VALUE"""),"RC-063_26")</f>
        <v>RC-063_26</v>
      </c>
    </row>
    <row r="303">
      <c r="A303" s="495" t="str">
        <f t="shared" si="1"/>
        <v>RC-062_26</v>
      </c>
      <c r="B303" s="497">
        <f>IFERROR(__xludf.DUMMYFUNCTION("""COMPUTED_VALUE"""),46113.73260724537)</f>
        <v>46113.73261</v>
      </c>
      <c r="C303" s="495" t="str">
        <f>IFERROR(__xludf.DUMMYFUNCTION("""COMPUTED_VALUE"""),"")</f>
        <v/>
      </c>
      <c r="D303" s="495" t="str">
        <f>IFERROR(__xludf.DUMMYFUNCTION("""COMPUTED_VALUE"""),"Carol Huenchual Chañilao")</f>
        <v>Carol Huenchual Chañilao</v>
      </c>
      <c r="E303" s="495"/>
      <c r="F303" s="496" t="str">
        <f>IFERROR(__xludf.DUMMYFUNCTION("""COMPUTED_VALUE"""),"2036-2026")</f>
        <v>2036-2026</v>
      </c>
      <c r="G303" s="495"/>
      <c r="H303" s="495"/>
      <c r="I303" s="495"/>
      <c r="J303" s="495" t="str">
        <f>IFERROR(__xludf.DUMMYFUNCTION("""COMPUTED_VALUE"""),"Campus Monseñor Sergio Contreras Navia - CSC")</f>
        <v>Campus Monseñor Sergio Contreras Navia - CSC</v>
      </c>
      <c r="K303" s="495" t="str">
        <f>IFERROR(__xludf.DUMMYFUNCTION("""COMPUTED_VALUE"""),"01")</f>
        <v>01</v>
      </c>
      <c r="L303" s="495" t="str">
        <f>IFERROR(__xludf.DUMMYFUNCTION("""COMPUTED_VALUE"""),"Flavia Oyarzun ")</f>
        <v>Flavia Oyarzun </v>
      </c>
      <c r="M303" s="495" t="str">
        <f>IFERROR(__xludf.DUMMYFUNCTION("""COMPUTED_VALUE"""),"5.503.590-3")</f>
        <v>5.503.590-3</v>
      </c>
      <c r="N303" s="495" t="str">
        <f>IFERROR(__xludf.DUMMYFUNCTION("""COMPUTED_VALUE"""),"Roberto Lassalle")</f>
        <v>Roberto Lassalle</v>
      </c>
      <c r="O303" s="495" t="str">
        <f>IFERROR(__xludf.DUMMYFUNCTION("""COMPUTED_VALUE"""),"Mantenciones")</f>
        <v>Mantenciones</v>
      </c>
      <c r="P303" s="495" t="str">
        <f>IFERROR(__xludf.DUMMYFUNCTION("""COMPUTED_VALUE"""),"Cerramientos Verticales")</f>
        <v>Cerramientos Verticales</v>
      </c>
      <c r="Q303" s="495"/>
      <c r="R303" s="495"/>
      <c r="S303" s="495"/>
      <c r="T303" s="495"/>
      <c r="U303" s="495"/>
      <c r="V303" s="495" t="str">
        <f>IFERROR(__xludf.DUMMYFUNCTION("""COMPUTED_VALUE"""),"Cambio muro tipo pandereta en recinto interior ")</f>
        <v>Cambio muro tipo pandereta en recinto interior </v>
      </c>
      <c r="W303" s="495" t="str">
        <f>IFERROR(__xludf.DUMMYFUNCTION("""COMPUTED_VALUE"""),"No aplica, se realizo inspección en terreno")</f>
        <v>No aplica, se realizo inspección en terreno</v>
      </c>
      <c r="X303" s="499" t="str">
        <f>IFERROR(__xludf.DUMMYFUNCTION("""COMPUTED_VALUE"""),"https://drive.google.com/open?id=1WoOQX61Q7L4tR3NYwsuq6uhe3ts1i-zv")</f>
        <v>https://drive.google.com/open?id=1WoOQX61Q7L4tR3NYwsuq6uhe3ts1i-zv</v>
      </c>
      <c r="Y303" s="495" t="str">
        <f>IFERROR(__xludf.DUMMYFUNCTION("""COMPUTED_VALUE"""),"roberto.lassalle602@gmail.com")</f>
        <v>roberto.lassalle602@gmail.com</v>
      </c>
      <c r="Z303" s="498">
        <f>IFERROR(__xludf.DUMMYFUNCTION("""COMPUTED_VALUE"""),2690441.0)</f>
        <v>2690441</v>
      </c>
      <c r="AA303" s="495"/>
      <c r="AB303" s="495"/>
      <c r="AC303" s="495"/>
      <c r="AD303" s="495" t="str">
        <f>IFERROR(__xludf.DUMMYFUNCTION("""COMPUTED_VALUE"""),"RC-062_26")</f>
        <v>RC-062_26</v>
      </c>
    </row>
    <row r="304">
      <c r="A304" s="495" t="str">
        <f t="shared" si="1"/>
        <v>RC-061_26</v>
      </c>
      <c r="B304" s="497">
        <f>IFERROR(__xludf.DUMMYFUNCTION("""COMPUTED_VALUE"""),46113.42632641204)</f>
        <v>46113.42633</v>
      </c>
      <c r="C304" s="495" t="str">
        <f>IFERROR(__xludf.DUMMYFUNCTION("""COMPUTED_VALUE"""),"")</f>
        <v/>
      </c>
      <c r="D304" s="495" t="str">
        <f>IFERROR(__xludf.DUMMYFUNCTION("""COMPUTED_VALUE"""),"Mauricio Matus Belmar")</f>
        <v>Mauricio Matus Belmar</v>
      </c>
      <c r="E304" s="495"/>
      <c r="F304" s="496" t="str">
        <f>IFERROR(__xludf.DUMMYFUNCTION("""COMPUTED_VALUE"""),"1951-2026")</f>
        <v>1951-2026</v>
      </c>
      <c r="G304" s="495"/>
      <c r="H304" s="495"/>
      <c r="I304" s="495"/>
      <c r="J304" s="495" t="str">
        <f>IFERROR(__xludf.DUMMYFUNCTION("""COMPUTED_VALUE"""),"Campus San Juan Pablo II - CJP")</f>
        <v>Campus San Juan Pablo II - CJP</v>
      </c>
      <c r="K304" s="495" t="str">
        <f>IFERROR(__xludf.DUMMYFUNCTION("""COMPUTED_VALUE"""),"01")</f>
        <v>01</v>
      </c>
      <c r="L304" s="495" t="str">
        <f>IFERROR(__xludf.DUMMYFUNCTION("""COMPUTED_VALUE"""),"GATICAR SPA")</f>
        <v>GATICAR SPA</v>
      </c>
      <c r="M304" s="495" t="str">
        <f>IFERROR(__xludf.DUMMYFUNCTION("""COMPUTED_VALUE"""),"77.578.487-3")</f>
        <v>77.578.487-3</v>
      </c>
      <c r="N304" s="495" t="str">
        <f>IFERROR(__xludf.DUMMYFUNCTION("""COMPUTED_VALUE"""),"HECTOR GATICA")</f>
        <v>HECTOR GATICA</v>
      </c>
      <c r="O304" s="495" t="str">
        <f>IFERROR(__xludf.DUMMYFUNCTION("""COMPUTED_VALUE"""),"Mantenciones")</f>
        <v>Mantenciones</v>
      </c>
      <c r="P304" s="495" t="str">
        <f>IFERROR(__xludf.DUMMYFUNCTION("""COMPUTED_VALUE"""),"Requerimientos Emergentes e Imprevistos")</f>
        <v>Requerimientos Emergentes e Imprevistos</v>
      </c>
      <c r="Q304" s="495"/>
      <c r="R304" s="495"/>
      <c r="S304" s="495"/>
      <c r="T304" s="495"/>
      <c r="U304" s="495"/>
      <c r="V304" s="495" t="str">
        <f>IFERROR(__xludf.DUMMYFUNCTION("""COMPUTED_VALUE"""),"CAMBIO DE FLUXOMETRO Y WC EDIFICIO CJP01,")</f>
        <v>CAMBIO DE FLUXOMETRO Y WC EDIFICIO CJP01,</v>
      </c>
      <c r="W304" s="495"/>
      <c r="X304" s="495" t="str">
        <f>IFERROR(__xludf.DUMMYFUNCTION("""COMPUTED_VALUE"""),"https://drive.google.com/open?id=15QEeFnHrsxED7kFCYkpOPZ6LIF2kuaWC, https://drive.google.com/open?id=1EUpYdR9Xfm3aNT-8okSh_ahhpdhG10Km, https://drive.google.com/open?id=1kinGHCL7z5-PMH87rkQ0R-EAkyEVu8QV")</f>
        <v>https://drive.google.com/open?id=15QEeFnHrsxED7kFCYkpOPZ6LIF2kuaWC, https://drive.google.com/open?id=1EUpYdR9Xfm3aNT-8okSh_ahhpdhG10Km, https://drive.google.com/open?id=1kinGHCL7z5-PMH87rkQ0R-EAkyEVu8QV</v>
      </c>
      <c r="Y304" s="495" t="str">
        <f>IFERROR(__xludf.DUMMYFUNCTION("""COMPUTED_VALUE"""),"serviciogaticar@gmail.com")</f>
        <v>serviciogaticar@gmail.com</v>
      </c>
      <c r="Z304" s="498">
        <f>IFERROR(__xludf.DUMMYFUNCTION("""COMPUTED_VALUE"""),577150.0)</f>
        <v>577150</v>
      </c>
      <c r="AA304" s="495"/>
      <c r="AB304" s="495"/>
      <c r="AC304" s="495"/>
      <c r="AD304" s="495" t="str">
        <f>IFERROR(__xludf.DUMMYFUNCTION("""COMPUTED_VALUE"""),"RC-061_26")</f>
        <v>RC-061_26</v>
      </c>
    </row>
    <row r="305">
      <c r="A305" s="495" t="str">
        <f t="shared" si="1"/>
        <v>RC-272</v>
      </c>
      <c r="B305" s="497">
        <f>IFERROR(__xludf.DUMMYFUNCTION("""COMPUTED_VALUE"""),46080.678648298606)</f>
        <v>46080.67865</v>
      </c>
      <c r="C305" s="495" t="str">
        <f>IFERROR(__xludf.DUMMYFUNCTION("""COMPUTED_VALUE"""),"")</f>
        <v/>
      </c>
      <c r="D305" s="495" t="str">
        <f>IFERROR(__xludf.DUMMYFUNCTION("""COMPUTED_VALUE"""),"Leonor Ríos Morales")</f>
        <v>Leonor Ríos Morales</v>
      </c>
      <c r="E305" s="495"/>
      <c r="F305" s="496" t="str">
        <f>IFERROR(__xludf.DUMMYFUNCTION("""COMPUTED_VALUE"""),"13108 - 2025    ")</f>
        <v>13108 - 2025    </v>
      </c>
      <c r="G305" s="495"/>
      <c r="H305" s="495"/>
      <c r="I305" s="495"/>
      <c r="J305" s="495" t="str">
        <f>IFERROR(__xludf.DUMMYFUNCTION("""COMPUTED_VALUE"""),"Campus San Juan Pablo II - CJP")</f>
        <v>Campus San Juan Pablo II - CJP</v>
      </c>
      <c r="K305" s="495" t="str">
        <f>IFERROR(__xludf.DUMMYFUNCTION("""COMPUTED_VALUE"""),"03")</f>
        <v>03</v>
      </c>
      <c r="L305" s="495" t="str">
        <f>IFERROR(__xludf.DUMMYFUNCTION("""COMPUTED_VALUE"""),"PUA DISEÑO SPA")</f>
        <v>PUA DISEÑO SPA</v>
      </c>
      <c r="M305" s="495" t="str">
        <f>IFERROR(__xludf.DUMMYFUNCTION("""COMPUTED_VALUE"""),"76962330-2")</f>
        <v>76962330-2</v>
      </c>
      <c r="N305" s="495" t="str">
        <f>IFERROR(__xludf.DUMMYFUNCTION("""COMPUTED_VALUE"""),"Jorge Martínez  -   Supervisor de Instalaciones")</f>
        <v>Jorge Martínez  -   Supervisor de Instalaciones</v>
      </c>
      <c r="O305" s="495" t="str">
        <f>IFERROR(__xludf.DUMMYFUNCTION("""COMPUTED_VALUE"""),"Obras y Especialidades")</f>
        <v>Obras y Especialidades</v>
      </c>
      <c r="P305" s="495"/>
      <c r="Q305" s="495"/>
      <c r="R305" s="495" t="str">
        <f>IFERROR(__xludf.DUMMYFUNCTION("""COMPUTED_VALUE"""),"Remodelación")</f>
        <v>Remodelación</v>
      </c>
      <c r="S305" s="495" t="str">
        <f>IFERROR(__xludf.DUMMYFUNCTION("""COMPUTED_VALUE"""),"Recepción de Obra - RC")</f>
        <v>Recepción de Obra - RC</v>
      </c>
      <c r="T305" s="495"/>
      <c r="U305" s="495"/>
      <c r="V305" s="495" t="str">
        <f>IFERROR(__xludf.DUMMYFUNCTION("""COMPUTED_VALUE"""),"Instalación de señalética ""Solo Motocicletas"" en Campus CJP para Área de estacionamiento en lugar indicado por la mandante Leonor Ríos. Instalado con poyo a 60 cm relleno de cemento.
Instalación de programa de edificio en CJP03 en los 3 pisos del mismo"&amp;" en lugar indicado previamente por la mandante.
Instalación de programa por edificio en edificios CSF 03, 12, 13, 14 y 16 en lugares indicados previamente por la mandante.
Instalación de direccionales (x2) en pilares de campus CSF en lugares indicados p"&amp;"reviamente por la mandante.")</f>
        <v>Instalación de señalética "Solo Motocicletas" en Campus CJP para Área de estacionamiento en lugar indicado por la mandante Leonor Ríos. Instalado con poyo a 60 cm relleno de cemento.
Instalación de programa de edificio en CJP03 en los 3 pisos del mismo en lugar indicado previamente por la mandante.
Instalación de programa por edificio en edificios CSF 03, 12, 13, 14 y 16 en lugares indicados previamente por la mandante.
Instalación de direccionales (x2) en pilares de campus CSF en lugares indicados previamente por la mandante.</v>
      </c>
      <c r="W305" s="495" t="str">
        <f>IFERROR(__xludf.DUMMYFUNCTION("""COMPUTED_VALUE"""),"Queda pendiente de instalación los Identificadores de edificios. Información entregada y en acuerdo con la mandante Leonor Ríos.")</f>
        <v>Queda pendiente de instalación los Identificadores de edificios. Información entregada y en acuerdo con la mandante Leonor Ríos.</v>
      </c>
      <c r="X305" s="495" t="str">
        <f>IFERROR(__xludf.DUMMYFUNCTION("""COMPUTED_VALUE"""),"https://drive.google.com/open?id=1jDdBtpaDDVcEJR9tnu-xf66hmkxwEDnq, https://drive.google.com/open?id=1_XssqXeqsvF8n3LEgnVY86TnKa-all69, https://drive.google.com/open?id=17qrWWq5V8R-St61SFrEXrt9tFy4TQieN, https://drive.google.com/open?id=1Nqt2Bjo-WVq1aMs5t"&amp;"JxRUfpbxqxZY7b0, https://drive.google.com/open?id=1-bsBJ5BSmwFYeY7E146LhV-J9UnbHITo")</f>
        <v>https://drive.google.com/open?id=1jDdBtpaDDVcEJR9tnu-xf66hmkxwEDnq, https://drive.google.com/open?id=1_XssqXeqsvF8n3LEgnVY86TnKa-all69, https://drive.google.com/open?id=17qrWWq5V8R-St61SFrEXrt9tFy4TQieN, https://drive.google.com/open?id=1Nqt2Bjo-WVq1aMs5tJxRUfpbxqxZY7b0, https://drive.google.com/open?id=1-bsBJ5BSmwFYeY7E146LhV-J9UnbHITo</v>
      </c>
      <c r="Y305" s="495" t="str">
        <f>IFERROR(__xludf.DUMMYFUNCTION("""COMPUTED_VALUE"""),"diseno@pua.cl")</f>
        <v>diseno@pua.cl</v>
      </c>
      <c r="Z305" s="495"/>
      <c r="AA305" s="495"/>
      <c r="AB305" s="495"/>
      <c r="AC305" s="495"/>
      <c r="AD305" s="495" t="str">
        <f>IFERROR(__xludf.DUMMYFUNCTION("""COMPUTED_VALUE"""),"RC-272")</f>
        <v>RC-272</v>
      </c>
    </row>
    <row r="306">
      <c r="A306" s="495" t="str">
        <f t="shared" si="1"/>
        <v>RC-060_26</v>
      </c>
      <c r="B306" s="497">
        <f>IFERROR(__xludf.DUMMYFUNCTION("""COMPUTED_VALUE"""),46112.371046134256)</f>
        <v>46112.37105</v>
      </c>
      <c r="C306" s="495" t="str">
        <f>IFERROR(__xludf.DUMMYFUNCTION("""COMPUTED_VALUE"""),"")</f>
        <v/>
      </c>
      <c r="D306" s="495" t="str">
        <f>IFERROR(__xludf.DUMMYFUNCTION("""COMPUTED_VALUE"""),"Felipe Anselme Grandón")</f>
        <v>Felipe Anselme Grandón</v>
      </c>
      <c r="E306" s="495"/>
      <c r="F306" s="496" t="str">
        <f>IFERROR(__xludf.DUMMYFUNCTION("""COMPUTED_VALUE"""),"1957 - 2026")</f>
        <v>1957 - 2026</v>
      </c>
      <c r="G306" s="495"/>
      <c r="H306" s="495"/>
      <c r="I306" s="495"/>
      <c r="J306" s="495" t="str">
        <f>IFERROR(__xludf.DUMMYFUNCTION("""COMPUTED_VALUE"""),"Campus San Francisco - CSF")</f>
        <v>Campus San Francisco - CSF</v>
      </c>
      <c r="K306" s="495">
        <f>IFERROR(__xludf.DUMMYFUNCTION("""COMPUTED_VALUE"""),12.0)</f>
        <v>12</v>
      </c>
      <c r="L306" s="495" t="str">
        <f>IFERROR(__xludf.DUMMYFUNCTION("""COMPUTED_VALUE"""),"Flavia Oyarzun Soto")</f>
        <v>Flavia Oyarzun Soto</v>
      </c>
      <c r="M306" s="495" t="str">
        <f>IFERROR(__xludf.DUMMYFUNCTION("""COMPUTED_VALUE"""),"5.503.590-3")</f>
        <v>5.503.590-3</v>
      </c>
      <c r="N306" s="495" t="str">
        <f>IFERROR(__xludf.DUMMYFUNCTION("""COMPUTED_VALUE"""),"Roberto Lassalle Prado  Supervisor")</f>
        <v>Roberto Lassalle Prado  Supervisor</v>
      </c>
      <c r="O306" s="495" t="str">
        <f>IFERROR(__xludf.DUMMYFUNCTION("""COMPUTED_VALUE"""),"Mantenciones")</f>
        <v>Mantenciones</v>
      </c>
      <c r="P306" s="495" t="str">
        <f>IFERROR(__xludf.DUMMYFUNCTION("""COMPUTED_VALUE"""),"Terminaciones Interiores")</f>
        <v>Terminaciones Interiores</v>
      </c>
      <c r="Q306" s="495"/>
      <c r="R306" s="495"/>
      <c r="S306" s="495"/>
      <c r="T306" s="495"/>
      <c r="U306" s="495"/>
      <c r="V306" s="495" t="str">
        <f>IFERROR(__xludf.DUMMYFUNCTION("""COMPUTED_VALUE"""),"Pintura  Fabricación de mueble sellado ventana")</f>
        <v>Pintura  Fabricación de mueble sellado ventana</v>
      </c>
      <c r="W306" s="495" t="str">
        <f>IFERROR(__xludf.DUMMYFUNCTION("""COMPUTED_VALUE"""),"No hay")</f>
        <v>No hay</v>
      </c>
      <c r="X306" s="495" t="str">
        <f>IFERROR(__xludf.DUMMYFUNCTION("""COMPUTED_VALUE"""),"https://drive.google.com/open?id=1PG06HZo0J6xQny3Zs0JHAm3HIreDlYyU, https://drive.google.com/open?id=1cAqy939QoqXpJrDS87UBsUrwMh5WuLNX, https://drive.google.com/open?id=1K8P55eR1tCOhqigGLdp2AiGyN5YGiVwD, https://drive.google.com/open?id=1BUELzQoq5bE3CPfdb"&amp;"g225rfpxUvQF43b, https://drive.google.com/open?id=1FdbEUHscvXAyvAWh_9QOFNq9wnwL634-")</f>
        <v>https://drive.google.com/open?id=1PG06HZo0J6xQny3Zs0JHAm3HIreDlYyU, https://drive.google.com/open?id=1cAqy939QoqXpJrDS87UBsUrwMh5WuLNX, https://drive.google.com/open?id=1K8P55eR1tCOhqigGLdp2AiGyN5YGiVwD, https://drive.google.com/open?id=1BUELzQoq5bE3CPfdbg225rfpxUvQF43b, https://drive.google.com/open?id=1FdbEUHscvXAyvAWh_9QOFNq9wnwL634-</v>
      </c>
      <c r="Y306" s="495" t="str">
        <f>IFERROR(__xludf.DUMMYFUNCTION("""COMPUTED_VALUE"""),"roberto.lassalle@gmail.com")</f>
        <v>roberto.lassalle@gmail.com</v>
      </c>
      <c r="Z306" s="498">
        <f>IFERROR(__xludf.DUMMYFUNCTION("""COMPUTED_VALUE"""),1544015.0)</f>
        <v>1544015</v>
      </c>
      <c r="AA306" s="495"/>
      <c r="AB306" s="495"/>
      <c r="AC306" s="495"/>
      <c r="AD306" s="495" t="str">
        <f>IFERROR(__xludf.DUMMYFUNCTION("""COMPUTED_VALUE"""),"RC-060_26")</f>
        <v>RC-060_26</v>
      </c>
    </row>
    <row r="307">
      <c r="A307" s="495" t="str">
        <f t="shared" si="1"/>
        <v>RC-059_26</v>
      </c>
      <c r="B307" s="497">
        <f>IFERROR(__xludf.DUMMYFUNCTION("""COMPUTED_VALUE"""),46111.81196965278)</f>
        <v>46111.81197</v>
      </c>
      <c r="C307" s="495" t="str">
        <f>IFERROR(__xludf.DUMMYFUNCTION("""COMPUTED_VALUE"""),"")</f>
        <v/>
      </c>
      <c r="D307" s="495" t="str">
        <f>IFERROR(__xludf.DUMMYFUNCTION("""COMPUTED_VALUE"""),"Felipe Anselme Grandón")</f>
        <v>Felipe Anselme Grandón</v>
      </c>
      <c r="E307" s="495"/>
      <c r="F307" s="496" t="str">
        <f>IFERROR(__xludf.DUMMYFUNCTION("""COMPUTED_VALUE"""),"1957 - 2026")</f>
        <v>1957 - 2026</v>
      </c>
      <c r="G307" s="495"/>
      <c r="H307" s="495"/>
      <c r="I307" s="495"/>
      <c r="J307" s="495" t="str">
        <f>IFERROR(__xludf.DUMMYFUNCTION("""COMPUTED_VALUE"""),"Campus San Francisco - CSF")</f>
        <v>Campus San Francisco - CSF</v>
      </c>
      <c r="K307" s="495">
        <f>IFERROR(__xludf.DUMMYFUNCTION("""COMPUTED_VALUE"""),12.0)</f>
        <v>12</v>
      </c>
      <c r="L307" s="495" t="str">
        <f>IFERROR(__xludf.DUMMYFUNCTION("""COMPUTED_VALUE"""),"Flavia Oyarzun Soto")</f>
        <v>Flavia Oyarzun Soto</v>
      </c>
      <c r="M307" s="495" t="str">
        <f>IFERROR(__xludf.DUMMYFUNCTION("""COMPUTED_VALUE"""),"5.503.590-3")</f>
        <v>5.503.590-3</v>
      </c>
      <c r="N307" s="495" t="str">
        <f>IFERROR(__xludf.DUMMYFUNCTION("""COMPUTED_VALUE"""),"Roberto Lassalle Prado  Supervisor")</f>
        <v>Roberto Lassalle Prado  Supervisor</v>
      </c>
      <c r="O307" s="495" t="str">
        <f>IFERROR(__xludf.DUMMYFUNCTION("""COMPUTED_VALUE"""),"Mantenciones")</f>
        <v>Mantenciones</v>
      </c>
      <c r="P307" s="495" t="str">
        <f>IFERROR(__xludf.DUMMYFUNCTION("""COMPUTED_VALUE"""),"Terminaciones Interiores")</f>
        <v>Terminaciones Interiores</v>
      </c>
      <c r="Q307" s="495"/>
      <c r="R307" s="495"/>
      <c r="S307" s="495"/>
      <c r="T307" s="495"/>
      <c r="U307" s="495"/>
      <c r="V307" s="495" t="str">
        <f>IFERROR(__xludf.DUMMYFUNCTION("""COMPUTED_VALUE"""),"Pintura, Fabricación de mueble y Sellado de ventana")</f>
        <v>Pintura, Fabricación de mueble y Sellado de ventana</v>
      </c>
      <c r="W307" s="495" t="str">
        <f>IFERROR(__xludf.DUMMYFUNCTION("""COMPUTED_VALUE"""),"no  hay ")</f>
        <v>no  hay </v>
      </c>
      <c r="X307" s="495" t="str">
        <f>IFERROR(__xludf.DUMMYFUNCTION("""COMPUTED_VALUE"""),"https://drive.google.com/open?id=1adXgtmtzxvojIdhyHxmwOGu9hfayOuAC, https://drive.google.com/open?id=1EJDESCV1WwBYF1ZI46C7Pmg9LtV-8hz8, https://drive.google.com/open?id=1kjfmIwFdA60PgpcSYb1726HFWijPTI91, https://drive.google.com/open?id=1z5il3x1EmYcTtCgBL"&amp;"b9VcYD8fVWDGZNB, https://drive.google.com/open?id=1gJbaZvkatnzS2L0iOfpOUnkLBtmkX1e2")</f>
        <v>https://drive.google.com/open?id=1adXgtmtzxvojIdhyHxmwOGu9hfayOuAC, https://drive.google.com/open?id=1EJDESCV1WwBYF1ZI46C7Pmg9LtV-8hz8, https://drive.google.com/open?id=1kjfmIwFdA60PgpcSYb1726HFWijPTI91, https://drive.google.com/open?id=1z5il3x1EmYcTtCgBLb9VcYD8fVWDGZNB, https://drive.google.com/open?id=1gJbaZvkatnzS2L0iOfpOUnkLBtmkX1e2</v>
      </c>
      <c r="Y307" s="495" t="str">
        <f>IFERROR(__xludf.DUMMYFUNCTION("""COMPUTED_VALUE"""),"roberto.lassalle@gmail.com")</f>
        <v>roberto.lassalle@gmail.com</v>
      </c>
      <c r="Z307" s="498">
        <f>IFERROR(__xludf.DUMMYFUNCTION("""COMPUTED_VALUE"""),1544015.0)</f>
        <v>1544015</v>
      </c>
      <c r="AA307" s="495"/>
      <c r="AB307" s="495"/>
      <c r="AC307" s="495"/>
      <c r="AD307" s="495" t="str">
        <f>IFERROR(__xludf.DUMMYFUNCTION("""COMPUTED_VALUE"""),"RC-059_26")</f>
        <v>RC-059_26</v>
      </c>
    </row>
    <row r="308">
      <c r="A308" s="495" t="str">
        <f t="shared" si="1"/>
        <v>RC-058_26</v>
      </c>
      <c r="B308" s="497">
        <f>IFERROR(__xludf.DUMMYFUNCTION("""COMPUTED_VALUE"""),46111.73156299768)</f>
        <v>46111.73156</v>
      </c>
      <c r="C308" s="495" t="str">
        <f>IFERROR(__xludf.DUMMYFUNCTION("""COMPUTED_VALUE"""),"")</f>
        <v/>
      </c>
      <c r="D308" s="495" t="str">
        <f>IFERROR(__xludf.DUMMYFUNCTION("""COMPUTED_VALUE"""),"Carol Huenchual Chañilao")</f>
        <v>Carol Huenchual Chañilao</v>
      </c>
      <c r="E308" s="495"/>
      <c r="F308" s="496" t="str">
        <f>IFERROR(__xludf.DUMMYFUNCTION("""COMPUTED_VALUE"""),"1933 - 2026")</f>
        <v>1933 - 2026</v>
      </c>
      <c r="G308" s="495"/>
      <c r="H308" s="495"/>
      <c r="I308" s="495"/>
      <c r="J308" s="495" t="str">
        <f>IFERROR(__xludf.DUMMYFUNCTION("""COMPUTED_VALUE"""),"Campus San Francisco - CSF")</f>
        <v>Campus San Francisco - CSF</v>
      </c>
      <c r="K308" s="495" t="str">
        <f>IFERROR(__xludf.DUMMYFUNCTION("""COMPUTED_VALUE"""),"05")</f>
        <v>05</v>
      </c>
      <c r="L308" s="495" t="str">
        <f>IFERROR(__xludf.DUMMYFUNCTION("""COMPUTED_VALUE"""),"SOC. GONZALEZ GAJARDO Y CIA.LTDA")</f>
        <v>SOC. GONZALEZ GAJARDO Y CIA.LTDA</v>
      </c>
      <c r="M308" s="495" t="str">
        <f>IFERROR(__xludf.DUMMYFUNCTION("""COMPUTED_VALUE"""),"76.265.749-K")</f>
        <v>76.265.749-K</v>
      </c>
      <c r="N308" s="495" t="str">
        <f>IFERROR(__xludf.DUMMYFUNCTION("""COMPUTED_VALUE"""),"MARCELO GONZALEZ - SUPERVISOR")</f>
        <v>MARCELO GONZALEZ - SUPERVISOR</v>
      </c>
      <c r="O308" s="495" t="str">
        <f>IFERROR(__xludf.DUMMYFUNCTION("""COMPUTED_VALUE"""),"Mantenciones")</f>
        <v>Mantenciones</v>
      </c>
      <c r="P308" s="495" t="str">
        <f>IFERROR(__xludf.DUMMYFUNCTION("""COMPUTED_VALUE"""),"Instalaciones de Agua Potable")</f>
        <v>Instalaciones de Agua Potable</v>
      </c>
      <c r="Q308" s="495"/>
      <c r="R308" s="495"/>
      <c r="S308" s="495"/>
      <c r="T308" s="495"/>
      <c r="U308" s="495"/>
      <c r="V308" s="495" t="str">
        <f>IFERROR(__xludf.DUMMYFUNCTION("""COMPUTED_VALUE"""),"MANTENCION CORRECTIVA GENERAL SECTOR LAGUNA, EDIFICIO CJP05, CENTRO EVENTOS, EDIFICIO CJP07")</f>
        <v>MANTENCION CORRECTIVA GENERAL SECTOR LAGUNA, EDIFICIO CJP05, CENTRO EVENTOS, EDIFICIO CJP07</v>
      </c>
      <c r="W308" s="495" t="str">
        <f>IFERROR(__xludf.DUMMYFUNCTION("""COMPUTED_VALUE"""),"MANTENCION CORRECTIVA EN SALAS DE BOMBAS DEL CAMPUS JUAN PABLO II (CJPII). CJPII GENERAL SECTOR LAGUNA,
EDIFICIO CJP05, CENTRO EVENTOS, EDIFICIO CJP07, RICARDO FERRANDO, SEGUN COTIZACIONES NRO. 2084 - 2085 Y 2086.")</f>
        <v>MANTENCION CORRECTIVA EN SALAS DE BOMBAS DEL CAMPUS JUAN PABLO II (CJPII). CJPII GENERAL SECTOR LAGUNA,
EDIFICIO CJP05, CENTRO EVENTOS, EDIFICIO CJP07, RICARDO FERRANDO, SEGUN COTIZACIONES NRO. 2084 - 2085 Y 2086.</v>
      </c>
      <c r="X308" s="495" t="str">
        <f>IFERROR(__xludf.DUMMYFUNCTION("""COMPUTED_VALUE"""),"https://drive.google.com/open?id=16gFm-e-4tixIp09bHErbimSjCwDe2A4p, https://drive.google.com/open?id=1feLW5y8aMV91ghGzEdmq_IJUYdYpdhiQ, https://drive.google.com/open?id=1-_PI8GWW1iWxSjtZIUAcy2CfvzFJm6wi, https://drive.google.com/open?id=1bv0L2e1GVSenoIfJj"&amp;"rFPs7MiG2nFfxsl")</f>
        <v>https://drive.google.com/open?id=16gFm-e-4tixIp09bHErbimSjCwDe2A4p, https://drive.google.com/open?id=1feLW5y8aMV91ghGzEdmq_IJUYdYpdhiQ, https://drive.google.com/open?id=1-_PI8GWW1iWxSjtZIUAcy2CfvzFJm6wi, https://drive.google.com/open?id=1bv0L2e1GVSenoIfJjrFPs7MiG2nFfxsl</v>
      </c>
      <c r="Y308" s="495" t="str">
        <f>IFERROR(__xludf.DUMMYFUNCTION("""COMPUTED_VALUE"""),"operaciones@tecfull.cl")</f>
        <v>operaciones@tecfull.cl</v>
      </c>
      <c r="Z308" s="498">
        <f>IFERROR(__xludf.DUMMYFUNCTION("""COMPUTED_VALUE"""),630700.0)</f>
        <v>630700</v>
      </c>
      <c r="AA308" s="495"/>
      <c r="AB308" s="495"/>
      <c r="AC308" s="495"/>
      <c r="AD308" s="495" t="str">
        <f>IFERROR(__xludf.DUMMYFUNCTION("""COMPUTED_VALUE"""),"RC-058_26")</f>
        <v>RC-058_26</v>
      </c>
    </row>
    <row r="309">
      <c r="A309" s="495" t="str">
        <f t="shared" si="1"/>
        <v>RC-057_26</v>
      </c>
      <c r="B309" s="497">
        <f>IFERROR(__xludf.DUMMYFUNCTION("""COMPUTED_VALUE"""),46111.65723394676)</f>
        <v>46111.65723</v>
      </c>
      <c r="C309" s="495" t="str">
        <f>IFERROR(__xludf.DUMMYFUNCTION("""COMPUTED_VALUE"""),"")</f>
        <v/>
      </c>
      <c r="D309" s="495" t="str">
        <f>IFERROR(__xludf.DUMMYFUNCTION("""COMPUTED_VALUE"""),"Carol Huenchual Chañilao")</f>
        <v>Carol Huenchual Chañilao</v>
      </c>
      <c r="E309" s="495"/>
      <c r="F309" s="496" t="str">
        <f>IFERROR(__xludf.DUMMYFUNCTION("""COMPUTED_VALUE"""),"1942 - 2026")</f>
        <v>1942 - 2026</v>
      </c>
      <c r="G309" s="495"/>
      <c r="H309" s="495"/>
      <c r="I309" s="495"/>
      <c r="J309" s="495" t="str">
        <f>IFERROR(__xludf.DUMMYFUNCTION("""COMPUTED_VALUE"""),"Campus Dr. Luis Rivas del Canto - CRC")</f>
        <v>Campus Dr. Luis Rivas del Canto - CRC</v>
      </c>
      <c r="K309" s="495" t="str">
        <f>IFERROR(__xludf.DUMMYFUNCTION("""COMPUTED_VALUE"""),"09")</f>
        <v>09</v>
      </c>
      <c r="L309" s="495" t="str">
        <f>IFERROR(__xludf.DUMMYFUNCTION("""COMPUTED_VALUE"""),"SOC. GONZALEZ GAJARDO Y CIA.LTDA")</f>
        <v>SOC. GONZALEZ GAJARDO Y CIA.LTDA</v>
      </c>
      <c r="M309" s="495" t="str">
        <f>IFERROR(__xludf.DUMMYFUNCTION("""COMPUTED_VALUE"""),"76.265.749-K")</f>
        <v>76.265.749-K</v>
      </c>
      <c r="N309" s="495" t="str">
        <f>IFERROR(__xludf.DUMMYFUNCTION("""COMPUTED_VALUE"""),"MARCELO GONZALEZ - SUPERVISOR")</f>
        <v>MARCELO GONZALEZ - SUPERVISOR</v>
      </c>
      <c r="O309" s="495" t="str">
        <f>IFERROR(__xludf.DUMMYFUNCTION("""COMPUTED_VALUE"""),"Mantenciones")</f>
        <v>Mantenciones</v>
      </c>
      <c r="P309" s="495" t="str">
        <f>IFERROR(__xludf.DUMMYFUNCTION("""COMPUTED_VALUE"""),"Instalaciones de Agua Potable")</f>
        <v>Instalaciones de Agua Potable</v>
      </c>
      <c r="Q309" s="495"/>
      <c r="R309" s="495"/>
      <c r="S309" s="495"/>
      <c r="T309" s="495"/>
      <c r="U309" s="495"/>
      <c r="V309" s="495" t="str">
        <f>IFERROR(__xludf.DUMMYFUNCTION("""COMPUTED_VALUE"""),"PROVISION E INSTALACION DE ELECTROBOMBA EN SALA DE BOMBAS CASA CENTRAL
BRAE CRC09")</f>
        <v>PROVISION E INSTALACION DE ELECTROBOMBA EN SALA DE BOMBAS CASA CENTRAL
BRAE CRC09</v>
      </c>
      <c r="W309" s="495" t="str">
        <f>IFERROR(__xludf.DUMMYFUNCTION("""COMPUTED_VALUE"""),"NO")</f>
        <v>NO</v>
      </c>
      <c r="X309" s="499" t="str">
        <f>IFERROR(__xludf.DUMMYFUNCTION("""COMPUTED_VALUE"""),"https://drive.google.com/open?id=1bIU0wS8hfMc1B11FawLAe2L1Ku8Ck0hD")</f>
        <v>https://drive.google.com/open?id=1bIU0wS8hfMc1B11FawLAe2L1Ku8Ck0hD</v>
      </c>
      <c r="Y309" s="495" t="str">
        <f>IFERROR(__xludf.DUMMYFUNCTION("""COMPUTED_VALUE"""),"operaciones@tecfull.cl")</f>
        <v>operaciones@tecfull.cl</v>
      </c>
      <c r="Z309" s="498">
        <f>IFERROR(__xludf.DUMMYFUNCTION("""COMPUTED_VALUE"""),345100.0)</f>
        <v>345100</v>
      </c>
      <c r="AA309" s="495"/>
      <c r="AB309" s="495"/>
      <c r="AC309" s="495"/>
      <c r="AD309" s="495" t="str">
        <f>IFERROR(__xludf.DUMMYFUNCTION("""COMPUTED_VALUE"""),"RC-057_26")</f>
        <v>RC-057_26</v>
      </c>
    </row>
    <row r="310">
      <c r="A310" s="495" t="str">
        <f t="shared" si="1"/>
        <v>RC-056_26</v>
      </c>
      <c r="B310" s="497">
        <f>IFERROR(__xludf.DUMMYFUNCTION("""COMPUTED_VALUE"""),46111.514136655096)</f>
        <v>46111.51414</v>
      </c>
      <c r="C310" s="495" t="str">
        <f>IFERROR(__xludf.DUMMYFUNCTION("""COMPUTED_VALUE"""),"")</f>
        <v/>
      </c>
      <c r="D310" s="495" t="str">
        <f>IFERROR(__xludf.DUMMYFUNCTION("""COMPUTED_VALUE"""),"Felipe Anselme Grandón")</f>
        <v>Felipe Anselme Grandón</v>
      </c>
      <c r="E310" s="495"/>
      <c r="F310" s="496" t="str">
        <f>IFERROR(__xludf.DUMMYFUNCTION("""COMPUTED_VALUE"""),"1875-2026")</f>
        <v>1875-2026</v>
      </c>
      <c r="G310" s="495"/>
      <c r="H310" s="495"/>
      <c r="I310" s="495"/>
      <c r="J310" s="495" t="str">
        <f>IFERROR(__xludf.DUMMYFUNCTION("""COMPUTED_VALUE"""),"Campus San Juan Pablo II - CJP")</f>
        <v>Campus San Juan Pablo II - CJP</v>
      </c>
      <c r="K310" s="495" t="str">
        <f>IFERROR(__xludf.DUMMYFUNCTION("""COMPUTED_VALUE"""),"02")</f>
        <v>02</v>
      </c>
      <c r="L310" s="495" t="str">
        <f>IFERROR(__xludf.DUMMYFUNCTION("""COMPUTED_VALUE"""),"Servicio climatización Gustavo Espinoza eirl ")</f>
        <v>Servicio climatización Gustavo Espinoza eirl </v>
      </c>
      <c r="M310" s="495" t="str">
        <f>IFERROR(__xludf.DUMMYFUNCTION("""COMPUTED_VALUE"""),"77.506.311-4")</f>
        <v>77.506.311-4</v>
      </c>
      <c r="N310" s="495" t="str">
        <f>IFERROR(__xludf.DUMMYFUNCTION("""COMPUTED_VALUE"""),"Gustavo Espinoza supervisor ")</f>
        <v>Gustavo Espinoza supervisor </v>
      </c>
      <c r="O310" s="495" t="str">
        <f>IFERROR(__xludf.DUMMYFUNCTION("""COMPUTED_VALUE"""),"Mantenciones")</f>
        <v>Mantenciones</v>
      </c>
      <c r="P310" s="495" t="str">
        <f>IFERROR(__xludf.DUMMYFUNCTION("""COMPUTED_VALUE"""),"Instalaciones Eléctricas")</f>
        <v>Instalaciones Eléctricas</v>
      </c>
      <c r="Q310" s="495"/>
      <c r="R310" s="495"/>
      <c r="S310" s="495"/>
      <c r="T310" s="495"/>
      <c r="U310" s="495"/>
      <c r="V310" s="495" t="str">
        <f>IFERROR(__xludf.DUMMYFUNCTION("""COMPUTED_VALUE"""),"Cambio ubicación iluminación casino")</f>
        <v>Cambio ubicación iluminación casino</v>
      </c>
      <c r="W310" s="495"/>
      <c r="X310" s="499" t="str">
        <f>IFERROR(__xludf.DUMMYFUNCTION("""COMPUTED_VALUE"""),"https://drive.google.com/open?id=1eufv8zMU1DcW1X4OkMDqw34uPUQn-Tpf")</f>
        <v>https://drive.google.com/open?id=1eufv8zMU1DcW1X4OkMDqw34uPUQn-Tpf</v>
      </c>
      <c r="Y310" s="495" t="str">
        <f>IFERROR(__xludf.DUMMYFUNCTION("""COMPUTED_VALUE"""),"realclima22@hotmail.com")</f>
        <v>realclima22@hotmail.com</v>
      </c>
      <c r="Z310" s="498">
        <f>IFERROR(__xludf.DUMMYFUNCTION("""COMPUTED_VALUE"""),380800.0)</f>
        <v>380800</v>
      </c>
      <c r="AA310" s="495"/>
      <c r="AB310" s="495"/>
      <c r="AC310" s="495"/>
      <c r="AD310" s="495" t="str">
        <f>IFERROR(__xludf.DUMMYFUNCTION("""COMPUTED_VALUE"""),"RC-056_26")</f>
        <v>RC-056_26</v>
      </c>
    </row>
    <row r="311">
      <c r="A311" s="495" t="str">
        <f t="shared" si="1"/>
        <v>RC-055_26</v>
      </c>
      <c r="B311" s="497">
        <f>IFERROR(__xludf.DUMMYFUNCTION("""COMPUTED_VALUE"""),46111.492424421296)</f>
        <v>46111.49242</v>
      </c>
      <c r="C311" s="495" t="str">
        <f>IFERROR(__xludf.DUMMYFUNCTION("""COMPUTED_VALUE"""),"")</f>
        <v/>
      </c>
      <c r="D311" s="495" t="str">
        <f>IFERROR(__xludf.DUMMYFUNCTION("""COMPUTED_VALUE"""),"Cristóbal Correa del Río")</f>
        <v>Cristóbal Correa del Río</v>
      </c>
      <c r="E311" s="495"/>
      <c r="F311" s="496" t="str">
        <f>IFERROR(__xludf.DUMMYFUNCTION("""COMPUTED_VALUE"""),"1850-22026")</f>
        <v>1850-22026</v>
      </c>
      <c r="G311" s="495"/>
      <c r="H311" s="495"/>
      <c r="I311" s="495"/>
      <c r="J311" s="495" t="str">
        <f>IFERROR(__xludf.DUMMYFUNCTION("""COMPUTED_VALUE"""),"Campus San Nicolás (Curacautín) - CSN")</f>
        <v>Campus San Nicolás (Curacautín) - CSN</v>
      </c>
      <c r="K311" s="495" t="str">
        <f>IFERROR(__xludf.DUMMYFUNCTION("""COMPUTED_VALUE"""),"09")</f>
        <v>09</v>
      </c>
      <c r="L311" s="495" t="str">
        <f>IFERROR(__xludf.DUMMYFUNCTION("""COMPUTED_VALUE"""),"mkn")</f>
        <v>mkn</v>
      </c>
      <c r="M311" s="495" t="str">
        <f>IFERROR(__xludf.DUMMYFUNCTION("""COMPUTED_VALUE"""),"98.235.223-9")</f>
        <v>98.235.223-9</v>
      </c>
      <c r="N311" s="495">
        <f>IFERROR(__xludf.DUMMYFUNCTION("""COMPUTED_VALUE"""),142.0)</f>
        <v>142</v>
      </c>
      <c r="O311" s="495" t="str">
        <f>IFERROR(__xludf.DUMMYFUNCTION("""COMPUTED_VALUE"""),"Mantenciones")</f>
        <v>Mantenciones</v>
      </c>
      <c r="P311" s="495" t="str">
        <f>IFERROR(__xludf.DUMMYFUNCTION("""COMPUTED_VALUE"""),"Instalaciones Eléctricas")</f>
        <v>Instalaciones Eléctricas</v>
      </c>
      <c r="Q311" s="495"/>
      <c r="R311" s="495"/>
      <c r="S311" s="495"/>
      <c r="T311" s="495"/>
      <c r="U311" s="495"/>
      <c r="V311" s="495" t="str">
        <f>IFERROR(__xludf.DUMMYFUNCTION("""COMPUTED_VALUE"""),"cfd")</f>
        <v>cfd</v>
      </c>
      <c r="W311" s="495" t="str">
        <f>IFERROR(__xludf.DUMMYFUNCTION("""COMPUTED_VALUE"""),"-")</f>
        <v>-</v>
      </c>
      <c r="X311" s="499" t="str">
        <f>IFERROR(__xludf.DUMMYFUNCTION("""COMPUTED_VALUE"""),"https://drive.google.com/open?id=1ntVcdtnwz5DFng1Tc5Q6g7C7d1zWHOqP")</f>
        <v>https://drive.google.com/open?id=1ntVcdtnwz5DFng1Tc5Q6g7C7d1zWHOqP</v>
      </c>
      <c r="Y311" s="495" t="str">
        <f>IFERROR(__xludf.DUMMYFUNCTION("""COMPUTED_VALUE"""),"fanselme@uct.cl")</f>
        <v>fanselme@uct.cl</v>
      </c>
      <c r="Z311" s="498">
        <f>IFERROR(__xludf.DUMMYFUNCTION("""COMPUTED_VALUE"""),12250.0)</f>
        <v>12250</v>
      </c>
      <c r="AA311" s="495"/>
      <c r="AB311" s="495"/>
      <c r="AC311" s="495"/>
      <c r="AD311" s="495" t="str">
        <f>IFERROR(__xludf.DUMMYFUNCTION("""COMPUTED_VALUE"""),"RC-055_26")</f>
        <v>RC-055_26</v>
      </c>
    </row>
    <row r="312">
      <c r="A312" s="495" t="str">
        <f t="shared" si="1"/>
        <v>RC-279</v>
      </c>
      <c r="B312" s="497">
        <f>IFERROR(__xludf.DUMMYFUNCTION("""COMPUTED_VALUE"""),46083.54024501157)</f>
        <v>46083.54025</v>
      </c>
      <c r="C312" s="495" t="str">
        <f>IFERROR(__xludf.DUMMYFUNCTION("""COMPUTED_VALUE"""),"")</f>
        <v/>
      </c>
      <c r="D312" s="495" t="str">
        <f>IFERROR(__xludf.DUMMYFUNCTION("""COMPUTED_VALUE"""),"Juan Ignacio Solís de Ovando")</f>
        <v>Juan Ignacio Solís de Ovando</v>
      </c>
      <c r="E312" s="495"/>
      <c r="F312" s="496" t="str">
        <f>IFERROR(__xludf.DUMMYFUNCTION("""COMPUTED_VALUE"""),"733-2026")</f>
        <v>733-2026</v>
      </c>
      <c r="G312" s="495"/>
      <c r="H312" s="495"/>
      <c r="I312" s="495"/>
      <c r="J312" s="495" t="str">
        <f>IFERROR(__xludf.DUMMYFUNCTION("""COMPUTED_VALUE"""),"Campus Dr. Luis Rivas del Canto - CRC")</f>
        <v>Campus Dr. Luis Rivas del Canto - CRC</v>
      </c>
      <c r="K312" s="495" t="str">
        <f>IFERROR(__xludf.DUMMYFUNCTION("""COMPUTED_VALUE"""),"Exterior")</f>
        <v>Exterior</v>
      </c>
      <c r="L312" s="495" t="str">
        <f>IFERROR(__xludf.DUMMYFUNCTION("""COMPUTED_VALUE"""),"Constructora Alplas spa")</f>
        <v>Constructora Alplas spa</v>
      </c>
      <c r="M312" s="495" t="str">
        <f>IFERROR(__xludf.DUMMYFUNCTION("""COMPUTED_VALUE"""),"77.190.049-6")</f>
        <v>77.190.049-6</v>
      </c>
      <c r="N312" s="495" t="str">
        <f>IFERROR(__xludf.DUMMYFUNCTION("""COMPUTED_VALUE"""),"Camila obando, Ing civil")</f>
        <v>Camila obando, Ing civil</v>
      </c>
      <c r="O312" s="495" t="str">
        <f>IFERROR(__xludf.DUMMYFUNCTION("""COMPUTED_VALUE"""),"Obras y Especialidades")</f>
        <v>Obras y Especialidades</v>
      </c>
      <c r="P312" s="495"/>
      <c r="Q312" s="495"/>
      <c r="R312" s="495" t="str">
        <f>IFERROR(__xludf.DUMMYFUNCTION("""COMPUTED_VALUE"""),"Remodelación")</f>
        <v>Remodelación</v>
      </c>
      <c r="S312" s="495" t="str">
        <f>IFERROR(__xludf.DUMMYFUNCTION("""COMPUTED_VALUE"""),"Estado de Pago - EP")</f>
        <v>Estado de Pago - EP</v>
      </c>
      <c r="T312" s="495">
        <f>IFERROR(__xludf.DUMMYFUNCTION("""COMPUTED_VALUE"""),1.0)</f>
        <v>1</v>
      </c>
      <c r="U312" s="498">
        <f>IFERROR(__xludf.DUMMYFUNCTION("""COMPUTED_VALUE"""),1.0713519E7)</f>
        <v>10713519</v>
      </c>
      <c r="V312" s="495" t="str">
        <f>IFERROR(__xludf.DUMMYFUNCTION("""COMPUTED_VALUE"""),"Construcción de pañol Y rehabilitación de frontis CRC18")</f>
        <v>Construcción de pañol Y rehabilitación de frontis CRC18</v>
      </c>
      <c r="W312" s="495"/>
      <c r="X312" s="495" t="str">
        <f>IFERROR(__xludf.DUMMYFUNCTION("""COMPUTED_VALUE"""),"https://drive.google.com/open?id=1ifyFC71OOmMtWIjYPSefILd1i4gMUYGY, https://drive.google.com/open?id=1071oOt-AtoynaUP87sWP-ZYiJEzn62dj, https://drive.google.com/open?id=1KNIKQWXSyOOXzzFJxvGYbMie44pRTz6e")</f>
        <v>https://drive.google.com/open?id=1ifyFC71OOmMtWIjYPSefILd1i4gMUYGY, https://drive.google.com/open?id=1071oOt-AtoynaUP87sWP-ZYiJEzn62dj, https://drive.google.com/open?id=1KNIKQWXSyOOXzzFJxvGYbMie44pRTz6e</v>
      </c>
      <c r="Y312" s="495" t="str">
        <f>IFERROR(__xludf.DUMMYFUNCTION("""COMPUTED_VALUE"""),"ventas@alplas.cl")</f>
        <v>ventas@alplas.cl</v>
      </c>
      <c r="Z312" s="495"/>
      <c r="AA312" s="495"/>
      <c r="AB312" s="495"/>
      <c r="AC312" s="495"/>
      <c r="AD312" s="495" t="str">
        <f>IFERROR(__xludf.DUMMYFUNCTION("""COMPUTED_VALUE"""),"RC-279")</f>
        <v>RC-279</v>
      </c>
    </row>
    <row r="313">
      <c r="A313" s="495" t="str">
        <f t="shared" si="1"/>
        <v>RC-052_26</v>
      </c>
      <c r="B313" s="497">
        <f>IFERROR(__xludf.DUMMYFUNCTION("""COMPUTED_VALUE"""),46108.4155240625)</f>
        <v>46108.41552</v>
      </c>
      <c r="C313" s="495" t="str">
        <f>IFERROR(__xludf.DUMMYFUNCTION("""COMPUTED_VALUE"""),"")</f>
        <v/>
      </c>
      <c r="D313" s="495" t="str">
        <f>IFERROR(__xludf.DUMMYFUNCTION("""COMPUTED_VALUE"""),"Mauricio Matus Belmar")</f>
        <v>Mauricio Matus Belmar</v>
      </c>
      <c r="E313" s="495"/>
      <c r="F313" s="496" t="str">
        <f>IFERROR(__xludf.DUMMYFUNCTION("""COMPUTED_VALUE"""),"1547 -2026")</f>
        <v>1547 -2026</v>
      </c>
      <c r="G313" s="495"/>
      <c r="H313" s="495"/>
      <c r="I313" s="495"/>
      <c r="J313" s="495" t="str">
        <f>IFERROR(__xludf.DUMMYFUNCTION("""COMPUTED_VALUE"""),"Campus Dr. Luis Rivas del Canto - CRC")</f>
        <v>Campus Dr. Luis Rivas del Canto - CRC</v>
      </c>
      <c r="K313" s="495" t="str">
        <f>IFERROR(__xludf.DUMMYFUNCTION("""COMPUTED_VALUE"""),"09")</f>
        <v>09</v>
      </c>
      <c r="L313" s="495" t="str">
        <f>IFERROR(__xludf.DUMMYFUNCTION("""COMPUTED_VALUE"""),"Flavia Oyarzun Soto")</f>
        <v>Flavia Oyarzun Soto</v>
      </c>
      <c r="M313" s="495" t="str">
        <f>IFERROR(__xludf.DUMMYFUNCTION("""COMPUTED_VALUE"""),"5.503.590-3")</f>
        <v>5.503.590-3</v>
      </c>
      <c r="N313" s="495" t="str">
        <f>IFERROR(__xludf.DUMMYFUNCTION("""COMPUTED_VALUE"""),"Roberto Lassalle Prado ( Supervisor )")</f>
        <v>Roberto Lassalle Prado ( Supervisor )</v>
      </c>
      <c r="O313" s="495" t="str">
        <f>IFERROR(__xludf.DUMMYFUNCTION("""COMPUTED_VALUE"""),"Mantenciones")</f>
        <v>Mantenciones</v>
      </c>
      <c r="P313" s="495" t="str">
        <f>IFERROR(__xludf.DUMMYFUNCTION("""COMPUTED_VALUE"""),"Cubiertas")</f>
        <v>Cubiertas</v>
      </c>
      <c r="Q313" s="495"/>
      <c r="R313" s="495"/>
      <c r="S313" s="495"/>
      <c r="T313" s="495"/>
      <c r="U313" s="495"/>
      <c r="V313" s="495" t="str">
        <f>IFERROR(__xludf.DUMMYFUNCTION("""COMPUTED_VALUE"""),"Sellado de cubierta y canaletas")</f>
        <v>Sellado de cubierta y canaletas</v>
      </c>
      <c r="W313" s="495" t="str">
        <f>IFERROR(__xludf.DUMMYFUNCTION("""COMPUTED_VALUE"""),"no hay")</f>
        <v>no hay</v>
      </c>
      <c r="X313" s="495" t="str">
        <f>IFERROR(__xludf.DUMMYFUNCTION("""COMPUTED_VALUE"""),"https://drive.google.com/open?id=1d5TSXn7itVkmxt6lE8_mIwpAoirmMX7r, https://drive.google.com/open?id=1E4PLceEIPf67golIuIrThH6W-je1tUf3, https://drive.google.com/open?id=1KYPq7TLNrV74H6Y_B30OKObYobWz44Gc, https://drive.google.com/open?id=1MhkqgbnbSzarZR71t"&amp;"miU3vEvd8NPg0ZD")</f>
        <v>https://drive.google.com/open?id=1d5TSXn7itVkmxt6lE8_mIwpAoirmMX7r, https://drive.google.com/open?id=1E4PLceEIPf67golIuIrThH6W-je1tUf3, https://drive.google.com/open?id=1KYPq7TLNrV74H6Y_B30OKObYobWz44Gc, https://drive.google.com/open?id=1MhkqgbnbSzarZR71tmiU3vEvd8NPg0ZD</v>
      </c>
      <c r="Y313" s="495" t="str">
        <f>IFERROR(__xludf.DUMMYFUNCTION("""COMPUTED_VALUE"""),"roberto.lassalle@gmail.com")</f>
        <v>roberto.lassalle@gmail.com</v>
      </c>
      <c r="Z313" s="495"/>
      <c r="AA313" s="495"/>
      <c r="AB313" s="495"/>
      <c r="AC313" s="495"/>
      <c r="AD313" s="495" t="str">
        <f>IFERROR(__xludf.DUMMYFUNCTION("""COMPUTED_VALUE"""),"RC-052_26")</f>
        <v>RC-052_26</v>
      </c>
    </row>
    <row r="314">
      <c r="A314" s="495" t="str">
        <f t="shared" si="1"/>
        <v>RC-281</v>
      </c>
      <c r="B314" s="497">
        <f>IFERROR(__xludf.DUMMYFUNCTION("""COMPUTED_VALUE"""),46083.56324040509)</f>
        <v>46083.56324</v>
      </c>
      <c r="C314" s="495" t="str">
        <f>IFERROR(__xludf.DUMMYFUNCTION("""COMPUTED_VALUE"""),"")</f>
        <v/>
      </c>
      <c r="D314" s="495" t="str">
        <f>IFERROR(__xludf.DUMMYFUNCTION("""COMPUTED_VALUE"""),"Juan Ignacio Solís de Ovando")</f>
        <v>Juan Ignacio Solís de Ovando</v>
      </c>
      <c r="E314" s="495"/>
      <c r="F314" s="496" t="str">
        <f>IFERROR(__xludf.DUMMYFUNCTION("""COMPUTED_VALUE"""),"449-2026")</f>
        <v>449-2026</v>
      </c>
      <c r="G314" s="495"/>
      <c r="H314" s="495"/>
      <c r="I314" s="495"/>
      <c r="J314" s="495" t="str">
        <f>IFERROR(__xludf.DUMMYFUNCTION("""COMPUTED_VALUE"""),"Campus San Francisco - CSF")</f>
        <v>Campus San Francisco - CSF</v>
      </c>
      <c r="K314" s="495" t="str">
        <f>IFERROR(__xludf.DUMMYFUNCTION("""COMPUTED_VALUE"""),"Sin número")</f>
        <v>Sin número</v>
      </c>
      <c r="L314" s="495" t="str">
        <f>IFERROR(__xludf.DUMMYFUNCTION("""COMPUTED_VALUE"""),"INGTRAPP spa")</f>
        <v>INGTRAPP spa</v>
      </c>
      <c r="M314" s="495" t="str">
        <f>IFERROR(__xludf.DUMMYFUNCTION("""COMPUTED_VALUE"""),"78202133-8")</f>
        <v>78202133-8</v>
      </c>
      <c r="N314" s="495" t="str">
        <f>IFERROR(__xludf.DUMMYFUNCTION("""COMPUTED_VALUE"""),"PATRICK Gutiérrez jefe de obra")</f>
        <v>PATRICK Gutiérrez jefe de obra</v>
      </c>
      <c r="O314" s="495" t="str">
        <f>IFERROR(__xludf.DUMMYFUNCTION("""COMPUTED_VALUE"""),"Obras y Especialidades")</f>
        <v>Obras y Especialidades</v>
      </c>
      <c r="P314" s="495"/>
      <c r="Q314" s="495"/>
      <c r="R314" s="495" t="str">
        <f>IFERROR(__xludf.DUMMYFUNCTION("""COMPUTED_VALUE"""),"Remodelación")</f>
        <v>Remodelación</v>
      </c>
      <c r="S314" s="495" t="str">
        <f>IFERROR(__xludf.DUMMYFUNCTION("""COMPUTED_VALUE"""),"Recepción de Obra - RC")</f>
        <v>Recepción de Obra - RC</v>
      </c>
      <c r="T314" s="495"/>
      <c r="U314" s="495"/>
      <c r="V314" s="495" t="str">
        <f>IFERROR(__xludf.DUMMYFUNCTION("""COMPUTED_VALUE"""),"AUMENTO DE OBRA OC 11875 DEL 2025. REMODELACION OFICINAS Y ATENCION A PUBLICO CSF01 ED. CAEP, SEGUN
COTIZACION NRO. 1352. ")</f>
        <v>AUMENTO DE OBRA OC 11875 DEL 2025. REMODELACION OFICINAS Y ATENCION A PUBLICO CSF01 ED. CAEP, SEGUN
COTIZACION NRO. 1352. </v>
      </c>
      <c r="W314" s="495"/>
      <c r="X314" s="495" t="str">
        <f>IFERROR(__xludf.DUMMYFUNCTION("""COMPUTED_VALUE"""),"https://drive.google.com/open?id=1p0wFt9mQNgqBwob_VTlCtZXERWhR5Bo2, https://drive.google.com/open?id=1t6MGWpCBfcMlNQsQk3Al2SEzy4n0fazu, https://drive.google.com/open?id=1g-tiy-0CxpP3pByc5RvYS0yQyXcXDyuD")</f>
        <v>https://drive.google.com/open?id=1p0wFt9mQNgqBwob_VTlCtZXERWhR5Bo2, https://drive.google.com/open?id=1t6MGWpCBfcMlNQsQk3Al2SEzy4n0fazu, https://drive.google.com/open?id=1g-tiy-0CxpP3pByc5RvYS0yQyXcXDyuD</v>
      </c>
      <c r="Y314" s="495" t="str">
        <f>IFERROR(__xludf.DUMMYFUNCTION("""COMPUTED_VALUE"""),"constructoraingtrappspa@gmail.com")</f>
        <v>constructoraingtrappspa@gmail.com</v>
      </c>
      <c r="Z314" s="495"/>
      <c r="AA314" s="495"/>
      <c r="AB314" s="495"/>
      <c r="AC314" s="495"/>
      <c r="AD314" s="495" t="str">
        <f>IFERROR(__xludf.DUMMYFUNCTION("""COMPUTED_VALUE"""),"RC-281")</f>
        <v>RC-281</v>
      </c>
    </row>
    <row r="315">
      <c r="A315" s="495" t="str">
        <f t="shared" si="1"/>
        <v>RC-282</v>
      </c>
      <c r="B315" s="497">
        <f>IFERROR(__xludf.DUMMYFUNCTION("""COMPUTED_VALUE"""),46083.71074938658)</f>
        <v>46083.71075</v>
      </c>
      <c r="C315" s="495" t="str">
        <f>IFERROR(__xludf.DUMMYFUNCTION("""COMPUTED_VALUE"""),"")</f>
        <v/>
      </c>
      <c r="D315" s="495" t="str">
        <f>IFERROR(__xludf.DUMMYFUNCTION("""COMPUTED_VALUE"""),"David Silva Roco")</f>
        <v>David Silva Roco</v>
      </c>
      <c r="E315" s="495"/>
      <c r="F315" s="496" t="str">
        <f>IFERROR(__xludf.DUMMYFUNCTION("""COMPUTED_VALUE"""),"705 - 2026")</f>
        <v>705 - 2026</v>
      </c>
      <c r="G315" s="495"/>
      <c r="H315" s="495"/>
      <c r="I315" s="495"/>
      <c r="J315" s="495" t="str">
        <f>IFERROR(__xludf.DUMMYFUNCTION("""COMPUTED_VALUE"""),"Campus San Nicolás (Curacautín) - CSN")</f>
        <v>Campus San Nicolás (Curacautín) - CSN</v>
      </c>
      <c r="K315" s="495" t="str">
        <f>IFERROR(__xludf.DUMMYFUNCTION("""COMPUTED_VALUE"""),"Sin número")</f>
        <v>Sin número</v>
      </c>
      <c r="L315" s="495" t="str">
        <f>IFERROR(__xludf.DUMMYFUNCTION("""COMPUTED_VALUE"""),"DSIETE SPA ")</f>
        <v>DSIETE SPA </v>
      </c>
      <c r="M315" s="495" t="str">
        <f>IFERROR(__xludf.DUMMYFUNCTION("""COMPUTED_VALUE"""),"77.964.311-5")</f>
        <v>77.964.311-5</v>
      </c>
      <c r="N315" s="495" t="str">
        <f>IFERROR(__xludf.DUMMYFUNCTION("""COMPUTED_VALUE"""),"DANIELLA VIDAL ")</f>
        <v>DANIELLA VIDAL </v>
      </c>
      <c r="O315" s="495" t="str">
        <f>IFERROR(__xludf.DUMMYFUNCTION("""COMPUTED_VALUE"""),"Obras y Especialidades")</f>
        <v>Obras y Especialidades</v>
      </c>
      <c r="P315" s="495"/>
      <c r="Q315" s="495"/>
      <c r="R315" s="495" t="str">
        <f>IFERROR(__xludf.DUMMYFUNCTION("""COMPUTED_VALUE"""),"Exteriores")</f>
        <v>Exteriores</v>
      </c>
      <c r="S315" s="495" t="str">
        <f>IFERROR(__xludf.DUMMYFUNCTION("""COMPUTED_VALUE"""),"Recepción de Obra - RC")</f>
        <v>Recepción de Obra - RC</v>
      </c>
      <c r="T315" s="495"/>
      <c r="U315" s="495"/>
      <c r="V315" s="495" t="str">
        <f>IFERROR(__xludf.DUMMYFUNCTION("""COMPUTED_VALUE"""),"SEÑALETICAS DIRECCIONALES ")</f>
        <v>SEÑALETICAS DIRECCIONALES </v>
      </c>
      <c r="W315" s="495"/>
      <c r="X315" s="495" t="str">
        <f>IFERROR(__xludf.DUMMYFUNCTION("""COMPUTED_VALUE"""),"https://drive.google.com/open?id=1HlHoXk9tIbVL7p3Sign4d8OrSSLPy6MO, https://drive.google.com/open?id=1MPewl-CIxCkgK0tqszz5XulvoW_U0hqQ, https://drive.google.com/open?id=1fs8jQfOSHE2ON7CLuinyQnY17cgWWYSi, https://drive.google.com/open?id=1kOkB-Bxz_MuPoIfAs"&amp;"oPfOdqXn63IK2sL, https://drive.google.com/open?id=1bFdJptNBR40Xhi7Ojn_hp5uWrndPPurH")</f>
        <v>https://drive.google.com/open?id=1HlHoXk9tIbVL7p3Sign4d8OrSSLPy6MO, https://drive.google.com/open?id=1MPewl-CIxCkgK0tqszz5XulvoW_U0hqQ, https://drive.google.com/open?id=1fs8jQfOSHE2ON7CLuinyQnY17cgWWYSi, https://drive.google.com/open?id=1kOkB-Bxz_MuPoIfAsoPfOdqXn63IK2sL, https://drive.google.com/open?id=1bFdJptNBR40Xhi7Ojn_hp5uWrndPPurH</v>
      </c>
      <c r="Y315" s="495" t="str">
        <f>IFERROR(__xludf.DUMMYFUNCTION("""COMPUTED_VALUE"""),"dsiete.design@gmail.com")</f>
        <v>dsiete.design@gmail.com</v>
      </c>
      <c r="Z315" s="495"/>
      <c r="AA315" s="495"/>
      <c r="AB315" s="495"/>
      <c r="AC315" s="495"/>
      <c r="AD315" s="495" t="str">
        <f>IFERROR(__xludf.DUMMYFUNCTION("""COMPUTED_VALUE"""),"RC-282")</f>
        <v>RC-282</v>
      </c>
    </row>
    <row r="316">
      <c r="A316" s="495" t="str">
        <f t="shared" si="1"/>
        <v>RC-051_26</v>
      </c>
      <c r="B316" s="497">
        <f>IFERROR(__xludf.DUMMYFUNCTION("""COMPUTED_VALUE"""),46108.40880818287)</f>
        <v>46108.40881</v>
      </c>
      <c r="C316" s="495" t="str">
        <f>IFERROR(__xludf.DUMMYFUNCTION("""COMPUTED_VALUE"""),"")</f>
        <v/>
      </c>
      <c r="D316" s="495" t="str">
        <f>IFERROR(__xludf.DUMMYFUNCTION("""COMPUTED_VALUE"""),"Mauricio Matus Belmar")</f>
        <v>Mauricio Matus Belmar</v>
      </c>
      <c r="E316" s="495"/>
      <c r="F316" s="496" t="str">
        <f>IFERROR(__xludf.DUMMYFUNCTION("""COMPUTED_VALUE"""),"1614 - 2026")</f>
        <v>1614 - 2026</v>
      </c>
      <c r="G316" s="495"/>
      <c r="H316" s="495"/>
      <c r="I316" s="495"/>
      <c r="J316" s="495" t="str">
        <f>IFERROR(__xludf.DUMMYFUNCTION("""COMPUTED_VALUE"""),"Campus Dr. Luis Rivas del Canto - CRC")</f>
        <v>Campus Dr. Luis Rivas del Canto - CRC</v>
      </c>
      <c r="K316" s="495" t="str">
        <f>IFERROR(__xludf.DUMMYFUNCTION("""COMPUTED_VALUE"""),"07")</f>
        <v>07</v>
      </c>
      <c r="L316" s="495" t="str">
        <f>IFERROR(__xludf.DUMMYFUNCTION("""COMPUTED_VALUE"""),"Flavia Oyarzun Soto")</f>
        <v>Flavia Oyarzun Soto</v>
      </c>
      <c r="M316" s="495" t="str">
        <f>IFERROR(__xludf.DUMMYFUNCTION("""COMPUTED_VALUE"""),"5.503.590-3")</f>
        <v>5.503.590-3</v>
      </c>
      <c r="N316" s="495" t="str">
        <f>IFERROR(__xludf.DUMMYFUNCTION("""COMPUTED_VALUE"""),"Roberto Lassalle Prado  ( Supervisor )")</f>
        <v>Roberto Lassalle Prado  ( Supervisor )</v>
      </c>
      <c r="O316" s="495" t="str">
        <f>IFERROR(__xludf.DUMMYFUNCTION("""COMPUTED_VALUE"""),"Mantenciones")</f>
        <v>Mantenciones</v>
      </c>
      <c r="P316" s="495" t="str">
        <f>IFERROR(__xludf.DUMMYFUNCTION("""COMPUTED_VALUE"""),"Cubiertas")</f>
        <v>Cubiertas</v>
      </c>
      <c r="Q316" s="495"/>
      <c r="R316" s="495"/>
      <c r="S316" s="495"/>
      <c r="T316" s="495"/>
      <c r="U316" s="495"/>
      <c r="V316" s="495" t="str">
        <f>IFERROR(__xludf.DUMMYFUNCTION("""COMPUTED_VALUE"""),"Reposición de 9,00 metros de canal aguas lluvias")</f>
        <v>Reposición de 9,00 metros de canal aguas lluvias</v>
      </c>
      <c r="W316" s="495" t="str">
        <f>IFERROR(__xludf.DUMMYFUNCTION("""COMPUTED_VALUE"""),"no hay ")</f>
        <v>no hay </v>
      </c>
      <c r="X316" s="495" t="str">
        <f>IFERROR(__xludf.DUMMYFUNCTION("""COMPUTED_VALUE"""),"https://drive.google.com/open?id=18jWt4g498dBVCCOmdHKHYXnpmUtIeLSq, https://drive.google.com/open?id=1RnYhQ2DTMTZf5xaZJq3LK6Cqwdc6Lqw1, https://drive.google.com/open?id=16AxK5lfWcp9a9n94xvGoXOajhNsFM0Y9")</f>
        <v>https://drive.google.com/open?id=18jWt4g498dBVCCOmdHKHYXnpmUtIeLSq, https://drive.google.com/open?id=1RnYhQ2DTMTZf5xaZJq3LK6Cqwdc6Lqw1, https://drive.google.com/open?id=16AxK5lfWcp9a9n94xvGoXOajhNsFM0Y9</v>
      </c>
      <c r="Y316" s="495" t="str">
        <f>IFERROR(__xludf.DUMMYFUNCTION("""COMPUTED_VALUE"""),"roberto.lassalle@gmail.com")</f>
        <v>roberto.lassalle@gmail.com</v>
      </c>
      <c r="Z316" s="495"/>
      <c r="AA316" s="495"/>
      <c r="AB316" s="495"/>
      <c r="AC316" s="495"/>
      <c r="AD316" s="495" t="str">
        <f>IFERROR(__xludf.DUMMYFUNCTION("""COMPUTED_VALUE"""),"RC-051_26")</f>
        <v>RC-051_26</v>
      </c>
    </row>
    <row r="317">
      <c r="A317" s="495" t="str">
        <f t="shared" si="1"/>
        <v>RC-050_26</v>
      </c>
      <c r="B317" s="497">
        <f>IFERROR(__xludf.DUMMYFUNCTION("""COMPUTED_VALUE"""),46107.73393074074)</f>
        <v>46107.73393</v>
      </c>
      <c r="C317" s="495" t="str">
        <f>IFERROR(__xludf.DUMMYFUNCTION("""COMPUTED_VALUE"""),"")</f>
        <v/>
      </c>
      <c r="D317" s="495" t="str">
        <f>IFERROR(__xludf.DUMMYFUNCTION("""COMPUTED_VALUE"""),"Carol Huenchual Chañilao")</f>
        <v>Carol Huenchual Chañilao</v>
      </c>
      <c r="E317" s="495"/>
      <c r="F317" s="496" t="str">
        <f>IFERROR(__xludf.DUMMYFUNCTION("""COMPUTED_VALUE"""),"1592-2026")</f>
        <v>1592-2026</v>
      </c>
      <c r="G317" s="495"/>
      <c r="H317" s="495"/>
      <c r="I317" s="495"/>
      <c r="J317" s="495" t="str">
        <f>IFERROR(__xludf.DUMMYFUNCTION("""COMPUTED_VALUE"""),"Campus San Francisco - CSF")</f>
        <v>Campus San Francisco - CSF</v>
      </c>
      <c r="K317" s="495">
        <f>IFERROR(__xludf.DUMMYFUNCTION("""COMPUTED_VALUE"""),17.0)</f>
        <v>17</v>
      </c>
      <c r="L317" s="495" t="str">
        <f>IFERROR(__xludf.DUMMYFUNCTION("""COMPUTED_VALUE"""),"Flavia Oyarzun Soto ")</f>
        <v>Flavia Oyarzun Soto </v>
      </c>
      <c r="M317" s="495" t="str">
        <f>IFERROR(__xludf.DUMMYFUNCTION("""COMPUTED_VALUE"""),"5.503.590-3 ")</f>
        <v>5.503.590-3 </v>
      </c>
      <c r="N317" s="495" t="str">
        <f>IFERROR(__xludf.DUMMYFUNCTION("""COMPUTED_VALUE"""),"Roberto Lassalle ")</f>
        <v>Roberto Lassalle </v>
      </c>
      <c r="O317" s="495" t="str">
        <f>IFERROR(__xludf.DUMMYFUNCTION("""COMPUTED_VALUE"""),"Mantenciones")</f>
        <v>Mantenciones</v>
      </c>
      <c r="P317" s="495" t="str">
        <f>IFERROR(__xludf.DUMMYFUNCTION("""COMPUTED_VALUE"""),"Cerramientos Verticales")</f>
        <v>Cerramientos Verticales</v>
      </c>
      <c r="Q317" s="495"/>
      <c r="R317" s="495"/>
      <c r="S317" s="495"/>
      <c r="T317" s="495"/>
      <c r="U317" s="495"/>
      <c r="V317" s="495" t="str">
        <f>IFERROR(__xludf.DUMMYFUNCTION("""COMPUTED_VALUE"""),"Reparación de pintura en muro interior y exterior.")</f>
        <v>Reparación de pintura en muro interior y exterior.</v>
      </c>
      <c r="W317" s="495" t="str">
        <f>IFERROR(__xludf.DUMMYFUNCTION("""COMPUTED_VALUE"""),"No Aplica ")</f>
        <v>No Aplica </v>
      </c>
      <c r="X317" s="495" t="str">
        <f>IFERROR(__xludf.DUMMYFUNCTION("""COMPUTED_VALUE"""),"https://drive.google.com/open?id=1IADqXjNtkgmQY_a9ydgDEKrPtrxIVEZ_, https://drive.google.com/open?id=16wJrppA6UlXW_NpLyzdt46lsiazYbPCq")</f>
        <v>https://drive.google.com/open?id=1IADqXjNtkgmQY_a9ydgDEKrPtrxIVEZ_, https://drive.google.com/open?id=16wJrppA6UlXW_NpLyzdt46lsiazYbPCq</v>
      </c>
      <c r="Y317" s="495" t="str">
        <f>IFERROR(__xludf.DUMMYFUNCTION("""COMPUTED_VALUE"""),"roberto.lassalle@gmail.com")</f>
        <v>roberto.lassalle@gmail.com</v>
      </c>
      <c r="Z317" s="495"/>
      <c r="AA317" s="495"/>
      <c r="AB317" s="495"/>
      <c r="AC317" s="495"/>
      <c r="AD317" s="495" t="str">
        <f>IFERROR(__xludf.DUMMYFUNCTION("""COMPUTED_VALUE"""),"RC-050_26")</f>
        <v>RC-050_26</v>
      </c>
    </row>
    <row r="318">
      <c r="A318" s="495" t="str">
        <f t="shared" si="1"/>
        <v>RC-049_26</v>
      </c>
      <c r="B318" s="497">
        <f>IFERROR(__xludf.DUMMYFUNCTION("""COMPUTED_VALUE"""),46107.73231465278)</f>
        <v>46107.73231</v>
      </c>
      <c r="C318" s="495" t="str">
        <f>IFERROR(__xludf.DUMMYFUNCTION("""COMPUTED_VALUE"""),"")</f>
        <v/>
      </c>
      <c r="D318" s="495" t="str">
        <f>IFERROR(__xludf.DUMMYFUNCTION("""COMPUTED_VALUE"""),"Carol Huenchual Chañilao")</f>
        <v>Carol Huenchual Chañilao</v>
      </c>
      <c r="E318" s="495"/>
      <c r="F318" s="496" t="str">
        <f>IFERROR(__xludf.DUMMYFUNCTION("""COMPUTED_VALUE"""),"1613 -2026")</f>
        <v>1613 -2026</v>
      </c>
      <c r="G318" s="495"/>
      <c r="H318" s="495"/>
      <c r="I318" s="495"/>
      <c r="J318" s="495" t="str">
        <f>IFERROR(__xludf.DUMMYFUNCTION("""COMPUTED_VALUE"""),"Campus San Francisco - CSF")</f>
        <v>Campus San Francisco - CSF</v>
      </c>
      <c r="K318" s="495">
        <f>IFERROR(__xludf.DUMMYFUNCTION("""COMPUTED_VALUE"""),11.0)</f>
        <v>11</v>
      </c>
      <c r="L318" s="495" t="str">
        <f>IFERROR(__xludf.DUMMYFUNCTION("""COMPUTED_VALUE"""),"Flavia Oyarzun Soto ")</f>
        <v>Flavia Oyarzun Soto </v>
      </c>
      <c r="M318" s="495" t="str">
        <f>IFERROR(__xludf.DUMMYFUNCTION("""COMPUTED_VALUE"""),"5.503.590-3 ")</f>
        <v>5.503.590-3 </v>
      </c>
      <c r="N318" s="495" t="str">
        <f>IFERROR(__xludf.DUMMYFUNCTION("""COMPUTED_VALUE"""),"Roberto Lassalle ")</f>
        <v>Roberto Lassalle </v>
      </c>
      <c r="O318" s="495" t="str">
        <f>IFERROR(__xludf.DUMMYFUNCTION("""COMPUTED_VALUE"""),"Mantenciones")</f>
        <v>Mantenciones</v>
      </c>
      <c r="P318" s="495" t="str">
        <f>IFERROR(__xludf.DUMMYFUNCTION("""COMPUTED_VALUE"""),"Cerramientos Verticales")</f>
        <v>Cerramientos Verticales</v>
      </c>
      <c r="Q318" s="495"/>
      <c r="R318" s="495"/>
      <c r="S318" s="495"/>
      <c r="T318" s="495"/>
      <c r="U318" s="495"/>
      <c r="V318" s="495" t="str">
        <f>IFERROR(__xludf.DUMMYFUNCTION("""COMPUTED_VALUE"""),"Reparación muro de hormigón exterior")</f>
        <v>Reparación muro de hormigón exterior</v>
      </c>
      <c r="W318" s="495" t="str">
        <f>IFERROR(__xludf.DUMMYFUNCTION("""COMPUTED_VALUE"""),"No aplica")</f>
        <v>No aplica</v>
      </c>
      <c r="X318" s="495" t="str">
        <f>IFERROR(__xludf.DUMMYFUNCTION("""COMPUTED_VALUE"""),"https://drive.google.com/open?id=1BDj24QlUzBcET1Jxn0wYmByzVop0JEIz, https://drive.google.com/open?id=1EiR4lieWLQErdflCqGCCna240UOYedDb, https://drive.google.com/open?id=119yxrb1Sxa6xAL7s16vFdGzHF-3Ao3Wx")</f>
        <v>https://drive.google.com/open?id=1BDj24QlUzBcET1Jxn0wYmByzVop0JEIz, https://drive.google.com/open?id=1EiR4lieWLQErdflCqGCCna240UOYedDb, https://drive.google.com/open?id=119yxrb1Sxa6xAL7s16vFdGzHF-3Ao3Wx</v>
      </c>
      <c r="Y318" s="495" t="str">
        <f>IFERROR(__xludf.DUMMYFUNCTION("""COMPUTED_VALUE"""),"roberto.lassalle@gmail.com")</f>
        <v>roberto.lassalle@gmail.com</v>
      </c>
      <c r="Z318" s="495"/>
      <c r="AA318" s="495"/>
      <c r="AB318" s="495"/>
      <c r="AC318" s="495"/>
      <c r="AD318" s="495" t="str">
        <f>IFERROR(__xludf.DUMMYFUNCTION("""COMPUTED_VALUE"""),"RC-049_26")</f>
        <v>RC-049_26</v>
      </c>
    </row>
    <row r="319">
      <c r="A319" s="495" t="str">
        <f t="shared" si="1"/>
        <v>RC-286</v>
      </c>
      <c r="B319" s="497">
        <f>IFERROR(__xludf.DUMMYFUNCTION("""COMPUTED_VALUE"""),46085.61953780093)</f>
        <v>46085.61954</v>
      </c>
      <c r="C319" s="495" t="str">
        <f>IFERROR(__xludf.DUMMYFUNCTION("""COMPUTED_VALUE"""),"")</f>
        <v/>
      </c>
      <c r="D319" s="495" t="str">
        <f>IFERROR(__xludf.DUMMYFUNCTION("""COMPUTED_VALUE"""),"Juan Ignacio Solís de Ovando")</f>
        <v>Juan Ignacio Solís de Ovando</v>
      </c>
      <c r="E319" s="495"/>
      <c r="F319" s="496" t="str">
        <f>IFERROR(__xludf.DUMMYFUNCTION("""COMPUTED_VALUE"""),"66-2026")</f>
        <v>66-2026</v>
      </c>
      <c r="G319" s="495"/>
      <c r="H319" s="495"/>
      <c r="I319" s="495"/>
      <c r="J319" s="495" t="str">
        <f>IFERROR(__xludf.DUMMYFUNCTION("""COMPUTED_VALUE"""),"Campus Dr. Luis Rivas del Canto - CRC")</f>
        <v>Campus Dr. Luis Rivas del Canto - CRC</v>
      </c>
      <c r="K319" s="495" t="str">
        <f>IFERROR(__xludf.DUMMYFUNCTION("""COMPUTED_VALUE"""),"Sin número")</f>
        <v>Sin número</v>
      </c>
      <c r="L319" s="495" t="str">
        <f>IFERROR(__xludf.DUMMYFUNCTION("""COMPUTED_VALUE"""),"LSA INGENIERIA Y CONSTRUCCION EIRL")</f>
        <v>LSA INGENIERIA Y CONSTRUCCION EIRL</v>
      </c>
      <c r="M319" s="495" t="str">
        <f>IFERROR(__xludf.DUMMYFUNCTION("""COMPUTED_VALUE"""),"76.219.281-0")</f>
        <v>76.219.281-0</v>
      </c>
      <c r="N319" s="495" t="str">
        <f>IFERROR(__xludf.DUMMYFUNCTION("""COMPUTED_VALUE"""),"CLAUDIA SANZANA SAEZ")</f>
        <v>CLAUDIA SANZANA SAEZ</v>
      </c>
      <c r="O319" s="495" t="str">
        <f>IFERROR(__xludf.DUMMYFUNCTION("""COMPUTED_VALUE"""),"Obras y Especialidades")</f>
        <v>Obras y Especialidades</v>
      </c>
      <c r="P319" s="495"/>
      <c r="Q319" s="495"/>
      <c r="R319" s="495" t="str">
        <f>IFERROR(__xludf.DUMMYFUNCTION("""COMPUTED_VALUE"""),"Nuevo Edificio")</f>
        <v>Nuevo Edificio</v>
      </c>
      <c r="S319" s="495" t="str">
        <f>IFERROR(__xludf.DUMMYFUNCTION("""COMPUTED_VALUE"""),"Estado de Pago - EP")</f>
        <v>Estado de Pago - EP</v>
      </c>
      <c r="T319" s="495">
        <f>IFERROR(__xludf.DUMMYFUNCTION("""COMPUTED_VALUE"""),4.0)</f>
        <v>4</v>
      </c>
      <c r="U319" s="495">
        <f>IFERROR(__xludf.DUMMYFUNCTION("""COMPUTED_VALUE"""),2.09275005E8)</f>
        <v>209275005</v>
      </c>
      <c r="V319" s="495" t="str">
        <f>IFERROR(__xludf.DUMMYFUNCTION("""COMPUTED_VALUE"""),"TRABAJOS DE EDIFICICACION EDIFICIO TEC")</f>
        <v>TRABAJOS DE EDIFICICACION EDIFICIO TEC</v>
      </c>
      <c r="W319" s="495"/>
      <c r="X319" s="495" t="str">
        <f>IFERROR(__xludf.DUMMYFUNCTION("""COMPUTED_VALUE"""),"https://drive.google.com/open?id=1NA1ffH2Z8NpopEBHaVnkaHU9t-Lwz0JS, https://drive.google.com/open?id=1hcOgj4znV1qjwxiiuIjW8turcpVzYVZ3, https://drive.google.com/open?id=15SqSgupGe2vfRvfkYpc88VELqBtlReQJ, https://drive.google.com/open?id=1a7oHpoCPePRElGoE-"&amp;"zUGiyDwC-Arr7oO, https://drive.google.com/open?id=1d67aS_RbP3iaoQ2u40188Ddz1AEIPvfk")</f>
        <v>https://drive.google.com/open?id=1NA1ffH2Z8NpopEBHaVnkaHU9t-Lwz0JS, https://drive.google.com/open?id=1hcOgj4znV1qjwxiiuIjW8turcpVzYVZ3, https://drive.google.com/open?id=15SqSgupGe2vfRvfkYpc88VELqBtlReQJ, https://drive.google.com/open?id=1a7oHpoCPePRElGoE-zUGiyDwC-Arr7oO, https://drive.google.com/open?id=1d67aS_RbP3iaoQ2u40188Ddz1AEIPvfk</v>
      </c>
      <c r="Y319" s="495" t="str">
        <f>IFERROR(__xludf.DUMMYFUNCTION("""COMPUTED_VALUE"""),"claudiasanzana@Lsaingenieria.cl")</f>
        <v>claudiasanzana@Lsaingenieria.cl</v>
      </c>
      <c r="Z319" s="495"/>
      <c r="AA319" s="495"/>
      <c r="AB319" s="495"/>
      <c r="AC319" s="495"/>
      <c r="AD319" s="495" t="str">
        <f>IFERROR(__xludf.DUMMYFUNCTION("""COMPUTED_VALUE"""),"RC-286")</f>
        <v>RC-286</v>
      </c>
    </row>
    <row r="320">
      <c r="A320" s="495" t="str">
        <f t="shared" si="1"/>
        <v>RC-287</v>
      </c>
      <c r="B320" s="497">
        <f>IFERROR(__xludf.DUMMYFUNCTION("""COMPUTED_VALUE"""),46085.640553136574)</f>
        <v>46085.64055</v>
      </c>
      <c r="C320" s="495" t="str">
        <f>IFERROR(__xludf.DUMMYFUNCTION("""COMPUTED_VALUE"""),"")</f>
        <v/>
      </c>
      <c r="D320" s="495" t="str">
        <f>IFERROR(__xludf.DUMMYFUNCTION("""COMPUTED_VALUE"""),"Leonor Ríos Morales")</f>
        <v>Leonor Ríos Morales</v>
      </c>
      <c r="E320" s="495"/>
      <c r="F320" s="496" t="str">
        <f>IFERROR(__xludf.DUMMYFUNCTION("""COMPUTED_VALUE"""),"12438-2025")</f>
        <v>12438-2025</v>
      </c>
      <c r="G320" s="495"/>
      <c r="H320" s="495"/>
      <c r="I320" s="495"/>
      <c r="J320" s="495" t="str">
        <f>IFERROR(__xludf.DUMMYFUNCTION("""COMPUTED_VALUE"""),"Campus San Juan Pablo II - CJP")</f>
        <v>Campus San Juan Pablo II - CJP</v>
      </c>
      <c r="K320" s="495" t="str">
        <f>IFERROR(__xludf.DUMMYFUNCTION("""COMPUTED_VALUE"""),"Exterior")</f>
        <v>Exterior</v>
      </c>
      <c r="L320" s="495" t="str">
        <f>IFERROR(__xludf.DUMMYFUNCTION("""COMPUTED_VALUE"""),"nicolas riquelme lizama")</f>
        <v>nicolas riquelme lizama</v>
      </c>
      <c r="M320" s="495" t="str">
        <f>IFERROR(__xludf.DUMMYFUNCTION("""COMPUTED_VALUE"""),"9937535-3")</f>
        <v>9937535-3</v>
      </c>
      <c r="N320" s="495" t="str">
        <f>IFERROR(__xludf.DUMMYFUNCTION("""COMPUTED_VALUE"""),"Leonor Rios Morales-Dirección de Gestión y Desarrollo de Campus")</f>
        <v>Leonor Rios Morales-Dirección de Gestión y Desarrollo de Campus</v>
      </c>
      <c r="O320" s="495" t="str">
        <f>IFERROR(__xludf.DUMMYFUNCTION("""COMPUTED_VALUE"""),"Obras y Especialidades")</f>
        <v>Obras y Especialidades</v>
      </c>
      <c r="P320" s="495"/>
      <c r="Q320" s="495"/>
      <c r="R320" s="495" t="str">
        <f>IFERROR(__xludf.DUMMYFUNCTION("""COMPUTED_VALUE"""),"Exteriores")</f>
        <v>Exteriores</v>
      </c>
      <c r="S320" s="495" t="str">
        <f>IFERROR(__xludf.DUMMYFUNCTION("""COMPUTED_VALUE"""),"Recepción de Obra - RC")</f>
        <v>Recepción de Obra - RC</v>
      </c>
      <c r="T320" s="495"/>
      <c r="U320" s="495"/>
      <c r="V320" s="495" t="str">
        <f>IFERROR(__xludf.DUMMYFUNCTION("""COMPUTED_VALUE"""),"64 números de estacionamiento en CJP Base aluminio compuesto 3mm 15x15 cms. impresión desde el número 1 al 64 según diseño Instalación incluida")</f>
        <v>64 números de estacionamiento en CJP Base aluminio compuesto 3mm 15x15 cms. impresión desde el número 1 al 64 según diseño Instalación incluida</v>
      </c>
      <c r="W320" s="495" t="str">
        <f>IFERROR(__xludf.DUMMYFUNCTION("""COMPUTED_VALUE"""),"se recomienda pintura en postes soporte de cartelería")</f>
        <v>se recomienda pintura en postes soporte de cartelería</v>
      </c>
      <c r="X320" s="499" t="str">
        <f>IFERROR(__xludf.DUMMYFUNCTION("""COMPUTED_VALUE"""),"https://drive.google.com/open?id=1_pghPBtTyuyMJjtBjFz3q0E5IONxpv5E")</f>
        <v>https://drive.google.com/open?id=1_pghPBtTyuyMJjtBjFz3q0E5IONxpv5E</v>
      </c>
      <c r="Y320" s="495" t="str">
        <f>IFERROR(__xludf.DUMMYFUNCTION("""COMPUTED_VALUE"""),"nicolas.rotulados@gmail.com")</f>
        <v>nicolas.rotulados@gmail.com</v>
      </c>
      <c r="Z320" s="495"/>
      <c r="AA320" s="495"/>
      <c r="AB320" s="495"/>
      <c r="AC320" s="495"/>
      <c r="AD320" s="495" t="str">
        <f>IFERROR(__xludf.DUMMYFUNCTION("""COMPUTED_VALUE"""),"RC-287")</f>
        <v>RC-287</v>
      </c>
    </row>
    <row r="321">
      <c r="A321" s="495" t="str">
        <f t="shared" si="1"/>
        <v>RC-048_26</v>
      </c>
      <c r="B321" s="497">
        <f>IFERROR(__xludf.DUMMYFUNCTION("""COMPUTED_VALUE"""),46107.580192442125)</f>
        <v>46107.58019</v>
      </c>
      <c r="C321" s="495" t="str">
        <f>IFERROR(__xludf.DUMMYFUNCTION("""COMPUTED_VALUE"""),"")</f>
        <v/>
      </c>
      <c r="D321" s="495" t="str">
        <f>IFERROR(__xludf.DUMMYFUNCTION("""COMPUTED_VALUE"""),"Arturo Meza Vega")</f>
        <v>Arturo Meza Vega</v>
      </c>
      <c r="E321" s="495"/>
      <c r="F321" s="496" t="str">
        <f>IFERROR(__xludf.DUMMYFUNCTION("""COMPUTED_VALUE"""),"1786 - 2026")</f>
        <v>1786 - 2026</v>
      </c>
      <c r="G321" s="495"/>
      <c r="H321" s="495"/>
      <c r="I321" s="495"/>
      <c r="J321" s="495" t="str">
        <f>IFERROR(__xludf.DUMMYFUNCTION("""COMPUTED_VALUE"""),"Campus Dr. Luis Rivas del Canto - CRC")</f>
        <v>Campus Dr. Luis Rivas del Canto - CRC</v>
      </c>
      <c r="K321" s="495" t="str">
        <f>IFERROR(__xludf.DUMMYFUNCTION("""COMPUTED_VALUE"""),"Exterior")</f>
        <v>Exterior</v>
      </c>
      <c r="L321" s="495" t="str">
        <f>IFERROR(__xludf.DUMMYFUNCTION("""COMPUTED_VALUE"""),"Gyg servicios spa")</f>
        <v>Gyg servicios spa</v>
      </c>
      <c r="M321" s="495" t="str">
        <f>IFERROR(__xludf.DUMMYFUNCTION("""COMPUTED_VALUE"""),"77.215.624-3")</f>
        <v>77.215.624-3</v>
      </c>
      <c r="N321" s="495" t="str">
        <f>IFERROR(__xludf.DUMMYFUNCTION("""COMPUTED_VALUE"""),"Gustavo Fuentes")</f>
        <v>Gustavo Fuentes</v>
      </c>
      <c r="O321" s="495" t="str">
        <f>IFERROR(__xludf.DUMMYFUNCTION("""COMPUTED_VALUE"""),"Mantenciones")</f>
        <v>Mantenciones</v>
      </c>
      <c r="P321" s="495" t="str">
        <f>IFERROR(__xludf.DUMMYFUNCTION("""COMPUTED_VALUE"""),"Instalaciones Eléctricas")</f>
        <v>Instalaciones Eléctricas</v>
      </c>
      <c r="Q321" s="495"/>
      <c r="R321" s="495"/>
      <c r="S321" s="495"/>
      <c r="T321" s="495"/>
      <c r="U321" s="495"/>
      <c r="V321" s="495" t="str">
        <f>IFERROR(__xludf.DUMMYFUNCTION("""COMPUTED_VALUE"""),"Venta de televisores y transporte")</f>
        <v>Venta de televisores y transporte</v>
      </c>
      <c r="W321" s="495"/>
      <c r="X321" s="499" t="str">
        <f>IFERROR(__xludf.DUMMYFUNCTION("""COMPUTED_VALUE"""),"https://drive.google.com/open?id=1dbUMkjE4gAm5ePa_IvorVvZ1Az3rstzV")</f>
        <v>https://drive.google.com/open?id=1dbUMkjE4gAm5ePa_IvorVvZ1Az3rstzV</v>
      </c>
      <c r="Y321" s="495" t="str">
        <f>IFERROR(__xludf.DUMMYFUNCTION("""COMPUTED_VALUE"""),"contacto@gygtecnologias.com")</f>
        <v>contacto@gygtecnologias.com</v>
      </c>
      <c r="Z321" s="495"/>
      <c r="AA321" s="495"/>
      <c r="AB321" s="495"/>
      <c r="AC321" s="495"/>
      <c r="AD321" s="495" t="str">
        <f>IFERROR(__xludf.DUMMYFUNCTION("""COMPUTED_VALUE"""),"RC-048_26")</f>
        <v>RC-048_26</v>
      </c>
    </row>
    <row r="322">
      <c r="A322" s="495" t="str">
        <f t="shared" si="1"/>
        <v>RC-289</v>
      </c>
      <c r="B322" s="497">
        <f>IFERROR(__xludf.DUMMYFUNCTION("""COMPUTED_VALUE"""),46085.736186458336)</f>
        <v>46085.73619</v>
      </c>
      <c r="C322" s="495" t="str">
        <f>IFERROR(__xludf.DUMMYFUNCTION("""COMPUTED_VALUE"""),"")</f>
        <v/>
      </c>
      <c r="D322" s="495" t="str">
        <f>IFERROR(__xludf.DUMMYFUNCTION("""COMPUTED_VALUE"""),"Leonor Ríos Morales")</f>
        <v>Leonor Ríos Morales</v>
      </c>
      <c r="E322" s="495"/>
      <c r="F322" s="496" t="str">
        <f>IFERROR(__xludf.DUMMYFUNCTION("""COMPUTED_VALUE"""),"12557-2025")</f>
        <v>12557-2025</v>
      </c>
      <c r="G322" s="495"/>
      <c r="H322" s="495"/>
      <c r="I322" s="495"/>
      <c r="J322" s="495" t="str">
        <f>IFERROR(__xludf.DUMMYFUNCTION("""COMPUTED_VALUE"""),"Campus San Francisco - CSF")</f>
        <v>Campus San Francisco - CSF</v>
      </c>
      <c r="K322" s="495" t="str">
        <f>IFERROR(__xludf.DUMMYFUNCTION("""COMPUTED_VALUE"""),"02")</f>
        <v>02</v>
      </c>
      <c r="L322" s="495" t="str">
        <f>IFERROR(__xludf.DUMMYFUNCTION("""COMPUTED_VALUE"""),"Termopaneles y aluminios ThermoAlum SpA")</f>
        <v>Termopaneles y aluminios ThermoAlum SpA</v>
      </c>
      <c r="M322" s="495" t="str">
        <f>IFERROR(__xludf.DUMMYFUNCTION("""COMPUTED_VALUE"""),"77.030.305-2")</f>
        <v>77.030.305-2</v>
      </c>
      <c r="N322" s="495" t="str">
        <f>IFERROR(__xludf.DUMMYFUNCTION("""COMPUTED_VALUE"""),"Marjorie Galindo, jefe de ventas")</f>
        <v>Marjorie Galindo, jefe de ventas</v>
      </c>
      <c r="O322" s="495" t="str">
        <f>IFERROR(__xludf.DUMMYFUNCTION("""COMPUTED_VALUE"""),"Obras y Especialidades")</f>
        <v>Obras y Especialidades</v>
      </c>
      <c r="P322" s="495"/>
      <c r="Q322" s="495"/>
      <c r="R322" s="495" t="str">
        <f>IFERROR(__xludf.DUMMYFUNCTION("""COMPUTED_VALUE"""),"Remodelación")</f>
        <v>Remodelación</v>
      </c>
      <c r="S322" s="495" t="str">
        <f>IFERROR(__xludf.DUMMYFUNCTION("""COMPUTED_VALUE"""),"Recepción de Obra - RC")</f>
        <v>Recepción de Obra - RC</v>
      </c>
      <c r="T322" s="495"/>
      <c r="U322" s="495"/>
      <c r="V322" s="495" t="str">
        <f>IFERROR(__xludf.DUMMYFUNCTION("""COMPUTED_VALUE"""),"Cambio de las puerta de entrada a la biblioteca. Se retiraron las puertas anteriores y se pusieron puertas nuevas")</f>
        <v>Cambio de las puerta de entrada a la biblioteca. Se retiraron las puertas anteriores y se pusieron puertas nuevas</v>
      </c>
      <c r="W322" s="495"/>
      <c r="X322" s="495" t="str">
        <f>IFERROR(__xludf.DUMMYFUNCTION("""COMPUTED_VALUE"""),"https://drive.google.com/open?id=14ZSc4nVyXReSpT0zj26ajNb2rdicFU1P, https://drive.google.com/open?id=18borc8L7cGXkw1BkYDy8XM9AuWAcu0sM, https://drive.google.com/open?id=1FUWuFce4IoTzxGTQmyoyziraHUD-wr9o, https://drive.google.com/open?id=1Y71nzldJsAkZIZQEm"&amp;"HOsZlIy91EX9WKy, https://drive.google.com/open?id=11avAxlfWuzPc03MDVFQnbv9iFQYGFB0-")</f>
        <v>https://drive.google.com/open?id=14ZSc4nVyXReSpT0zj26ajNb2rdicFU1P, https://drive.google.com/open?id=18borc8L7cGXkw1BkYDy8XM9AuWAcu0sM, https://drive.google.com/open?id=1FUWuFce4IoTzxGTQmyoyziraHUD-wr9o, https://drive.google.com/open?id=1Y71nzldJsAkZIZQEmHOsZlIy91EX9WKy, https://drive.google.com/open?id=11avAxlfWuzPc03MDVFQnbv9iFQYGFB0-</v>
      </c>
      <c r="Y322" s="495" t="str">
        <f>IFERROR(__xludf.DUMMYFUNCTION("""COMPUTED_VALUE"""),"contacto@thermoventanas.cl")</f>
        <v>contacto@thermoventanas.cl</v>
      </c>
      <c r="Z322" s="495"/>
      <c r="AA322" s="495"/>
      <c r="AB322" s="495"/>
      <c r="AC322" s="495"/>
      <c r="AD322" s="495" t="str">
        <f>IFERROR(__xludf.DUMMYFUNCTION("""COMPUTED_VALUE"""),"RC-289")</f>
        <v>RC-289</v>
      </c>
    </row>
    <row r="323">
      <c r="A323" s="495" t="str">
        <f t="shared" si="1"/>
        <v>RC-047_26</v>
      </c>
      <c r="B323" s="497">
        <f>IFERROR(__xludf.DUMMYFUNCTION("""COMPUTED_VALUE"""),46107.46312186343)</f>
        <v>46107.46312</v>
      </c>
      <c r="C323" s="495" t="str">
        <f>IFERROR(__xludf.DUMMYFUNCTION("""COMPUTED_VALUE"""),"")</f>
        <v/>
      </c>
      <c r="D323" s="495" t="str">
        <f>IFERROR(__xludf.DUMMYFUNCTION("""COMPUTED_VALUE"""),"Mauricio Matus Belmar")</f>
        <v>Mauricio Matus Belmar</v>
      </c>
      <c r="E323" s="495"/>
      <c r="F323" s="496" t="str">
        <f>IFERROR(__xludf.DUMMYFUNCTION("""COMPUTED_VALUE"""),"1620 - 2026")</f>
        <v>1620 - 2026</v>
      </c>
      <c r="G323" s="495"/>
      <c r="H323" s="495"/>
      <c r="I323" s="495"/>
      <c r="J323" s="495" t="str">
        <f>IFERROR(__xludf.DUMMYFUNCTION("""COMPUTED_VALUE"""),"Campus San Francisco - CSF")</f>
        <v>Campus San Francisco - CSF</v>
      </c>
      <c r="K323" s="495" t="str">
        <f>IFERROR(__xludf.DUMMYFUNCTION("""COMPUTED_VALUE"""),"01")</f>
        <v>01</v>
      </c>
      <c r="L323" s="495" t="str">
        <f>IFERROR(__xludf.DUMMYFUNCTION("""COMPUTED_VALUE"""),"Gyg servicios spa")</f>
        <v>Gyg servicios spa</v>
      </c>
      <c r="M323" s="495" t="str">
        <f>IFERROR(__xludf.DUMMYFUNCTION("""COMPUTED_VALUE"""),"77.215.624-3")</f>
        <v>77.215.624-3</v>
      </c>
      <c r="N323" s="495" t="str">
        <f>IFERROR(__xludf.DUMMYFUNCTION("""COMPUTED_VALUE"""),"Gustavo Fuentes - Supervisor Tecnico")</f>
        <v>Gustavo Fuentes - Supervisor Tecnico</v>
      </c>
      <c r="O323" s="495" t="str">
        <f>IFERROR(__xludf.DUMMYFUNCTION("""COMPUTED_VALUE"""),"Mantenciones")</f>
        <v>Mantenciones</v>
      </c>
      <c r="P323" s="495" t="str">
        <f>IFERROR(__xludf.DUMMYFUNCTION("""COMPUTED_VALUE"""),"Instalaciones Eléctricas")</f>
        <v>Instalaciones Eléctricas</v>
      </c>
      <c r="Q323" s="495"/>
      <c r="R323" s="495"/>
      <c r="S323" s="495"/>
      <c r="T323" s="495"/>
      <c r="U323" s="495"/>
      <c r="V323" s="495" t="str">
        <f>IFERROR(__xludf.DUMMYFUNCTION("""COMPUTED_VALUE"""),"Reparación de portón casa Phillipi y casa el bosque")</f>
        <v>Reparación de portón casa Phillipi y casa el bosque</v>
      </c>
      <c r="W323" s="495"/>
      <c r="X323" s="495" t="str">
        <f>IFERROR(__xludf.DUMMYFUNCTION("""COMPUTED_VALUE"""),"https://drive.google.com/open?id=1VtBGhd9MT_VqEBTJKsNtUMdUEFMYXYB2, https://drive.google.com/open?id=1O8N8_HG-WQ15wKA4uyGfj1TH3umltgEG, https://drive.google.com/open?id=1dLiKhbl2d_yi_ZsVkfyUDVHgCz-9xPRD, https://drive.google.com/open?id=1DYvcrkwJmO70DgkhX"&amp;"ObvggHeBDR212nV")</f>
        <v>https://drive.google.com/open?id=1VtBGhd9MT_VqEBTJKsNtUMdUEFMYXYB2, https://drive.google.com/open?id=1O8N8_HG-WQ15wKA4uyGfj1TH3umltgEG, https://drive.google.com/open?id=1dLiKhbl2d_yi_ZsVkfyUDVHgCz-9xPRD, https://drive.google.com/open?id=1DYvcrkwJmO70DgkhXObvggHeBDR212nV</v>
      </c>
      <c r="Y323" s="495" t="str">
        <f>IFERROR(__xludf.DUMMYFUNCTION("""COMPUTED_VALUE"""),"contacto@gygtecnologias.com")</f>
        <v>contacto@gygtecnologias.com</v>
      </c>
      <c r="Z323" s="495"/>
      <c r="AA323" s="495"/>
      <c r="AB323" s="495"/>
      <c r="AC323" s="495"/>
      <c r="AD323" s="495" t="str">
        <f>IFERROR(__xludf.DUMMYFUNCTION("""COMPUTED_VALUE"""),"RC-047_26")</f>
        <v>RC-047_26</v>
      </c>
    </row>
    <row r="324">
      <c r="A324" s="495" t="str">
        <f t="shared" si="1"/>
        <v>RC-046_26</v>
      </c>
      <c r="B324" s="497">
        <f>IFERROR(__xludf.DUMMYFUNCTION("""COMPUTED_VALUE"""),46107.44406306713)</f>
        <v>46107.44406</v>
      </c>
      <c r="C324" s="495" t="str">
        <f>IFERROR(__xludf.DUMMYFUNCTION("""COMPUTED_VALUE"""),"")</f>
        <v/>
      </c>
      <c r="D324" s="495" t="str">
        <f>IFERROR(__xludf.DUMMYFUNCTION("""COMPUTED_VALUE"""),"Mauricio Zurita Aldea")</f>
        <v>Mauricio Zurita Aldea</v>
      </c>
      <c r="E324" s="495"/>
      <c r="F324" s="496" t="str">
        <f>IFERROR(__xludf.DUMMYFUNCTION("""COMPUTED_VALUE"""),"600 - 2026")</f>
        <v>600 - 2026</v>
      </c>
      <c r="G324" s="495"/>
      <c r="H324" s="495"/>
      <c r="I324" s="495"/>
      <c r="J324" s="495" t="str">
        <f>IFERROR(__xludf.DUMMYFUNCTION("""COMPUTED_VALUE"""),"Campus San Juan Pablo II - CJP")</f>
        <v>Campus San Juan Pablo II - CJP</v>
      </c>
      <c r="K324" s="495" t="str">
        <f>IFERROR(__xludf.DUMMYFUNCTION("""COMPUTED_VALUE"""),"01")</f>
        <v>01</v>
      </c>
      <c r="L324" s="495" t="str">
        <f>IFERROR(__xludf.DUMMYFUNCTION("""COMPUTED_VALUE"""),"Gyg servicios spa. ")</f>
        <v>Gyg servicios spa. </v>
      </c>
      <c r="M324" s="495" t="str">
        <f>IFERROR(__xludf.DUMMYFUNCTION("""COMPUTED_VALUE"""),"77.215.624-3")</f>
        <v>77.215.624-3</v>
      </c>
      <c r="N324" s="495" t="str">
        <f>IFERROR(__xludf.DUMMYFUNCTION("""COMPUTED_VALUE"""),"Gustavo Fuentes - Supervisor técnico")</f>
        <v>Gustavo Fuentes - Supervisor técnico</v>
      </c>
      <c r="O324" s="495" t="str">
        <f>IFERROR(__xludf.DUMMYFUNCTION("""COMPUTED_VALUE"""),"Mantenciones")</f>
        <v>Mantenciones</v>
      </c>
      <c r="P324" s="495" t="str">
        <f>IFERROR(__xludf.DUMMYFUNCTION("""COMPUTED_VALUE"""),"Instalaciones Eléctricas")</f>
        <v>Instalaciones Eléctricas</v>
      </c>
      <c r="Q324" s="495"/>
      <c r="R324" s="495"/>
      <c r="S324" s="495"/>
      <c r="T324" s="495"/>
      <c r="U324" s="495"/>
      <c r="V324" s="495" t="str">
        <f>IFERROR(__xludf.DUMMYFUNCTION("""COMPUTED_VALUE"""),"Reparación eléctrica en linea de servicios del Casino")</f>
        <v>Reparación eléctrica en linea de servicios del Casino</v>
      </c>
      <c r="W324" s="495"/>
      <c r="X324" s="495" t="str">
        <f>IFERROR(__xludf.DUMMYFUNCTION("""COMPUTED_VALUE"""),"https://drive.google.com/open?id=1RAjxcht3jkQxeNGPzxVMPegmn9l75BPu, https://drive.google.com/open?id=1yYvYklCha9DLiYA4k_7kMGwF3r9me6g7")</f>
        <v>https://drive.google.com/open?id=1RAjxcht3jkQxeNGPzxVMPegmn9l75BPu, https://drive.google.com/open?id=1yYvYklCha9DLiYA4k_7kMGwF3r9me6g7</v>
      </c>
      <c r="Y324" s="495" t="str">
        <f>IFERROR(__xludf.DUMMYFUNCTION("""COMPUTED_VALUE"""),"contacto@gygtecnologias.com")</f>
        <v>contacto@gygtecnologias.com</v>
      </c>
      <c r="Z324" s="495"/>
      <c r="AA324" s="495"/>
      <c r="AB324" s="495"/>
      <c r="AC324" s="495"/>
      <c r="AD324" s="495" t="str">
        <f>IFERROR(__xludf.DUMMYFUNCTION("""COMPUTED_VALUE"""),"RC-046_26")</f>
        <v>RC-046_26</v>
      </c>
    </row>
    <row r="325">
      <c r="A325" s="495" t="str">
        <f t="shared" si="1"/>
        <v>RC-002_26</v>
      </c>
      <c r="B325" s="497">
        <f>IFERROR(__xludf.DUMMYFUNCTION("""COMPUTED_VALUE"""),46090.473305011576)</f>
        <v>46090.47331</v>
      </c>
      <c r="C325" s="495" t="str">
        <f>IFERROR(__xludf.DUMMYFUNCTION("""COMPUTED_VALUE"""),"")</f>
        <v/>
      </c>
      <c r="D325" s="495" t="str">
        <f>IFERROR(__xludf.DUMMYFUNCTION("""COMPUTED_VALUE"""),"David Silva Roco")</f>
        <v>David Silva Roco</v>
      </c>
      <c r="E325" s="495"/>
      <c r="F325" s="496" t="str">
        <f>IFERROR(__xludf.DUMMYFUNCTION("""COMPUTED_VALUE"""),"858-2026")</f>
        <v>858-2026</v>
      </c>
      <c r="G325" s="495"/>
      <c r="H325" s="495"/>
      <c r="I325" s="495"/>
      <c r="J325" s="495" t="str">
        <f>IFERROR(__xludf.DUMMYFUNCTION("""COMPUTED_VALUE"""),"Campus San Francisco - CSF")</f>
        <v>Campus San Francisco - CSF</v>
      </c>
      <c r="K325" s="495">
        <f>IFERROR(__xludf.DUMMYFUNCTION("""COMPUTED_VALUE"""),14.0)</f>
        <v>14</v>
      </c>
      <c r="L325" s="495" t="str">
        <f>IFERROR(__xludf.DUMMYFUNCTION("""COMPUTED_VALUE"""),"CONSTRUCCIONES AVANTI LIMITADA")</f>
        <v>CONSTRUCCIONES AVANTI LIMITADA</v>
      </c>
      <c r="M325" s="495" t="str">
        <f>IFERROR(__xludf.DUMMYFUNCTION("""COMPUTED_VALUE"""),"77.790.223-7")</f>
        <v>77.790.223-7</v>
      </c>
      <c r="N325" s="495" t="str">
        <f>IFERROR(__xludf.DUMMYFUNCTION("""COMPUTED_VALUE"""),"RODRIGO RIOS SALAZAR - GERENTE GENERAL")</f>
        <v>RODRIGO RIOS SALAZAR - GERENTE GENERAL</v>
      </c>
      <c r="O325" s="495" t="str">
        <f>IFERROR(__xludf.DUMMYFUNCTION("""COMPUTED_VALUE"""),"Obras y Especialidades")</f>
        <v>Obras y Especialidades</v>
      </c>
      <c r="P325" s="495"/>
      <c r="Q325" s="495"/>
      <c r="R325" s="495" t="str">
        <f>IFERROR(__xludf.DUMMYFUNCTION("""COMPUTED_VALUE"""),"Exteriores")</f>
        <v>Exteriores</v>
      </c>
      <c r="S325" s="495" t="str">
        <f>IFERROR(__xludf.DUMMYFUNCTION("""COMPUTED_VALUE"""),"Estado de Pago - EP")</f>
        <v>Estado de Pago - EP</v>
      </c>
      <c r="T325" s="495">
        <f>IFERROR(__xludf.DUMMYFUNCTION("""COMPUTED_VALUE"""),1.0)</f>
        <v>1</v>
      </c>
      <c r="U325" s="498">
        <f>IFERROR(__xludf.DUMMYFUNCTION("""COMPUTED_VALUE"""),6.8426229E7)</f>
        <v>68426229</v>
      </c>
      <c r="V325" s="495" t="str">
        <f>IFERROR(__xludf.DUMMYFUNCTION("""COMPUTED_VALUE"""),"PREPARACION Y LIMPIEZA DE ESTRUCTURA DE MADERA LAMINADA Y CIELO RASO EXTERIOR DEL EDIFICIO
LIJADO DE ESTRUCTURA MADERA LAMINADA Y CIELO RASO EXTERIOR DEL EDIFICIO
APLICACION DE PINTURA CUTECK EN VIGAS Y PILARES 
APLICACION DE SELLO IMPERMEABILIZANTE EN CI"&amp;"ELO RASO Y MUROS DE EMPALIZADO
INSTALACION DE PROTECCIONES METALICAS EN PILARES
PODA DE ENREDADERAS ")</f>
        <v>PREPARACION Y LIMPIEZA DE ESTRUCTURA DE MADERA LAMINADA Y CIELO RASO EXTERIOR DEL EDIFICIO
LIJADO DE ESTRUCTURA MADERA LAMINADA Y CIELO RASO EXTERIOR DEL EDIFICIO
APLICACION DE PINTURA CUTECK EN VIGAS Y PILARES 
APLICACION DE SELLO IMPERMEABILIZANTE EN CIELO RASO Y MUROS DE EMPALIZADO
INSTALACION DE PROTECCIONES METALICAS EN PILARES
PODA DE ENREDADERAS </v>
      </c>
      <c r="W325" s="495"/>
      <c r="X325" s="495" t="str">
        <f>IFERROR(__xludf.DUMMYFUNCTION("""COMPUTED_VALUE"""),"https://drive.google.com/open?id=1gBkdNPKxqUvPoTulbe9BLDQEPeYD_VbN, https://drive.google.com/open?id=1G6UMT9sWAai--uSQ-h6-NbP8P8o6UEse, https://drive.google.com/open?id=1imNgWFrc8qzSq7cuZ0t59NgsE1Wghpja, https://drive.google.com/open?id=1FAKuWkeUtgHvN5nW6"&amp;"noZz2E3UERxQjzK, https://drive.google.com/open?id=1OkvfDCeyC7B8LLV9yf8g5glNovrszNQv")</f>
        <v>https://drive.google.com/open?id=1gBkdNPKxqUvPoTulbe9BLDQEPeYD_VbN, https://drive.google.com/open?id=1G6UMT9sWAai--uSQ-h6-NbP8P8o6UEse, https://drive.google.com/open?id=1imNgWFrc8qzSq7cuZ0t59NgsE1Wghpja, https://drive.google.com/open?id=1FAKuWkeUtgHvN5nW6noZz2E3UERxQjzK, https://drive.google.com/open?id=1OkvfDCeyC7B8LLV9yf8g5glNovrszNQv</v>
      </c>
      <c r="Y325" s="495" t="str">
        <f>IFERROR(__xludf.DUMMYFUNCTION("""COMPUTED_VALUE"""),"rrios.avanti@gmail.com")</f>
        <v>rrios.avanti@gmail.com</v>
      </c>
      <c r="Z325" s="495"/>
      <c r="AA325" s="495"/>
      <c r="AB325" s="495"/>
      <c r="AC325" s="495"/>
      <c r="AD325" s="495" t="str">
        <f>IFERROR(__xludf.DUMMYFUNCTION("""COMPUTED_VALUE"""),"RC-002_26")</f>
        <v>RC-002_26</v>
      </c>
    </row>
    <row r="326">
      <c r="A326" s="495" t="str">
        <f t="shared" si="1"/>
        <v>RC-003_26</v>
      </c>
      <c r="B326" s="497">
        <f>IFERROR(__xludf.DUMMYFUNCTION("""COMPUTED_VALUE"""),46090.65265068287)</f>
        <v>46090.65265</v>
      </c>
      <c r="C326" s="495" t="str">
        <f>IFERROR(__xludf.DUMMYFUNCTION("""COMPUTED_VALUE"""),"")</f>
        <v/>
      </c>
      <c r="D326" s="495" t="str">
        <f>IFERROR(__xludf.DUMMYFUNCTION("""COMPUTED_VALUE"""),"Juan Ignacio Solís de Ovando")</f>
        <v>Juan Ignacio Solís de Ovando</v>
      </c>
      <c r="E326" s="495"/>
      <c r="F326" s="496" t="str">
        <f>IFERROR(__xludf.DUMMYFUNCTION("""COMPUTED_VALUE"""),"732-2026")</f>
        <v>732-2026</v>
      </c>
      <c r="G326" s="495"/>
      <c r="H326" s="495"/>
      <c r="I326" s="495"/>
      <c r="J326" s="495" t="str">
        <f>IFERROR(__xludf.DUMMYFUNCTION("""COMPUTED_VALUE"""),"Campus Dr. Luis Rivas del Canto - CRC")</f>
        <v>Campus Dr. Luis Rivas del Canto - CRC</v>
      </c>
      <c r="K326" s="495">
        <f>IFERROR(__xludf.DUMMYFUNCTION("""COMPUTED_VALUE"""),10.0)</f>
        <v>10</v>
      </c>
      <c r="L326" s="495" t="str">
        <f>IFERROR(__xludf.DUMMYFUNCTION("""COMPUTED_VALUE"""),"Sociedad Comercial Espacio Muebles Ltda")</f>
        <v>Sociedad Comercial Espacio Muebles Ltda</v>
      </c>
      <c r="M326" s="495" t="str">
        <f>IFERROR(__xludf.DUMMYFUNCTION("""COMPUTED_VALUE"""),"77544225-5")</f>
        <v>77544225-5</v>
      </c>
      <c r="N326" s="495" t="str">
        <f>IFERROR(__xludf.DUMMYFUNCTION("""COMPUTED_VALUE"""),"Emilio Aburto - Diseñador")</f>
        <v>Emilio Aburto - Diseñador</v>
      </c>
      <c r="O326" s="495" t="str">
        <f>IFERROR(__xludf.DUMMYFUNCTION("""COMPUTED_VALUE"""),"Obras y Especialidades")</f>
        <v>Obras y Especialidades</v>
      </c>
      <c r="P326" s="495"/>
      <c r="Q326" s="495"/>
      <c r="R326" s="495" t="str">
        <f>IFERROR(__xludf.DUMMYFUNCTION("""COMPUTED_VALUE"""),"Especialidades")</f>
        <v>Especialidades</v>
      </c>
      <c r="S326" s="495" t="str">
        <f>IFERROR(__xludf.DUMMYFUNCTION("""COMPUTED_VALUE"""),"Recepción de Obra - RC")</f>
        <v>Recepción de Obra - RC</v>
      </c>
      <c r="T326" s="495"/>
      <c r="U326" s="495"/>
      <c r="V326" s="495" t="str">
        <f>IFERROR(__xludf.DUMMYFUNCTION("""COMPUTED_VALUE"""),"Fabricaión e instalación mesone computación")</f>
        <v>Fabricaión e instalación mesone computación</v>
      </c>
      <c r="W326" s="495"/>
      <c r="X326" s="495" t="str">
        <f>IFERROR(__xludf.DUMMYFUNCTION("""COMPUTED_VALUE"""),"https://drive.google.com/open?id=1kReVioCRPS2WS7nOs3UHo1ZkfVqFeflz, https://drive.google.com/open?id=10G7h_YIcn3t2RsA81rwHI0p5TN7Rnaos")</f>
        <v>https://drive.google.com/open?id=1kReVioCRPS2WS7nOs3UHo1ZkfVqFeflz, https://drive.google.com/open?id=10G7h_YIcn3t2RsA81rwHI0p5TN7Rnaos</v>
      </c>
      <c r="Y326" s="495" t="str">
        <f>IFERROR(__xludf.DUMMYFUNCTION("""COMPUTED_VALUE"""),"emilioaburto.muebles@gmail.com")</f>
        <v>emilioaburto.muebles@gmail.com</v>
      </c>
      <c r="Z326" s="495"/>
      <c r="AA326" s="495"/>
      <c r="AB326" s="495"/>
      <c r="AC326" s="495"/>
      <c r="AD326" s="495" t="str">
        <f>IFERROR(__xludf.DUMMYFUNCTION("""COMPUTED_VALUE"""),"RC-003_26")</f>
        <v>RC-003_26</v>
      </c>
    </row>
    <row r="327">
      <c r="A327" s="495" t="str">
        <f t="shared" si="1"/>
        <v>RC-004_26</v>
      </c>
      <c r="B327" s="497">
        <f>IFERROR(__xludf.DUMMYFUNCTION("""COMPUTED_VALUE"""),46090.66840127315)</f>
        <v>46090.6684</v>
      </c>
      <c r="C327" s="495" t="str">
        <f>IFERROR(__xludf.DUMMYFUNCTION("""COMPUTED_VALUE"""),"")</f>
        <v/>
      </c>
      <c r="D327" s="495" t="str">
        <f>IFERROR(__xludf.DUMMYFUNCTION("""COMPUTED_VALUE"""),"Juan Ignacio Solís de Ovando")</f>
        <v>Juan Ignacio Solís de Ovando</v>
      </c>
      <c r="E327" s="495"/>
      <c r="F327" s="496" t="str">
        <f>IFERROR(__xludf.DUMMYFUNCTION("""COMPUTED_VALUE"""),"731-2026")</f>
        <v>731-2026</v>
      </c>
      <c r="G327" s="495"/>
      <c r="H327" s="495"/>
      <c r="I327" s="495"/>
      <c r="J327" s="495" t="str">
        <f>IFERROR(__xludf.DUMMYFUNCTION("""COMPUTED_VALUE"""),"Campus Dr. Luis Rivas del Canto - CRC")</f>
        <v>Campus Dr. Luis Rivas del Canto - CRC</v>
      </c>
      <c r="K327" s="495">
        <f>IFERROR(__xludf.DUMMYFUNCTION("""COMPUTED_VALUE"""),10.0)</f>
        <v>10</v>
      </c>
      <c r="L327" s="495" t="str">
        <f>IFERROR(__xludf.DUMMYFUNCTION("""COMPUTED_VALUE"""),"Sociedad Comercial Espacio muebles Ltda")</f>
        <v>Sociedad Comercial Espacio muebles Ltda</v>
      </c>
      <c r="M327" s="495" t="str">
        <f>IFERROR(__xludf.DUMMYFUNCTION("""COMPUTED_VALUE"""),"77544225-5")</f>
        <v>77544225-5</v>
      </c>
      <c r="N327" s="495" t="str">
        <f>IFERROR(__xludf.DUMMYFUNCTION("""COMPUTED_VALUE"""),"Emilio Aburto - Diseñador")</f>
        <v>Emilio Aburto - Diseñador</v>
      </c>
      <c r="O327" s="495" t="str">
        <f>IFERROR(__xludf.DUMMYFUNCTION("""COMPUTED_VALUE"""),"Obras y Especialidades")</f>
        <v>Obras y Especialidades</v>
      </c>
      <c r="P327" s="495"/>
      <c r="Q327" s="495"/>
      <c r="R327" s="495" t="str">
        <f>IFERROR(__xludf.DUMMYFUNCTION("""COMPUTED_VALUE"""),"Especialidades")</f>
        <v>Especialidades</v>
      </c>
      <c r="S327" s="495" t="str">
        <f>IFERROR(__xludf.DUMMYFUNCTION("""COMPUTED_VALUE"""),"Recepción de Obra - RC")</f>
        <v>Recepción de Obra - RC</v>
      </c>
      <c r="T327" s="495"/>
      <c r="U327" s="495"/>
      <c r="V327" s="495" t="str">
        <f>IFERROR(__xludf.DUMMYFUNCTION("""COMPUTED_VALUE"""),"Fabricación de muebles tercer piso")</f>
        <v>Fabricación de muebles tercer piso</v>
      </c>
      <c r="W327" s="495"/>
      <c r="X327" s="495" t="str">
        <f>IFERROR(__xludf.DUMMYFUNCTION("""COMPUTED_VALUE"""),"https://drive.google.com/open?id=1Y0efLy9GXgvsUn0LZKRK0LbB8bCOFhq_, https://drive.google.com/open?id=1K0Nuf8BCeztKCzpRanNYZTZqE5y2EB2C, https://drive.google.com/open?id=1aT7OCrsa1LUeOxC_HjhML6slxD6BW7dt")</f>
        <v>https://drive.google.com/open?id=1Y0efLy9GXgvsUn0LZKRK0LbB8bCOFhq_, https://drive.google.com/open?id=1K0Nuf8BCeztKCzpRanNYZTZqE5y2EB2C, https://drive.google.com/open?id=1aT7OCrsa1LUeOxC_HjhML6slxD6BW7dt</v>
      </c>
      <c r="Y327" s="495" t="str">
        <f>IFERROR(__xludf.DUMMYFUNCTION("""COMPUTED_VALUE"""),"emilioaburto.muebles@gmail.com")</f>
        <v>emilioaburto.muebles@gmail.com</v>
      </c>
      <c r="Z327" s="495"/>
      <c r="AA327" s="495"/>
      <c r="AB327" s="495"/>
      <c r="AC327" s="495"/>
      <c r="AD327" s="495" t="str">
        <f>IFERROR(__xludf.DUMMYFUNCTION("""COMPUTED_VALUE"""),"RC-004_26")</f>
        <v>RC-004_26</v>
      </c>
    </row>
    <row r="328">
      <c r="A328" s="495" t="str">
        <f t="shared" si="1"/>
        <v>RC-005_26</v>
      </c>
      <c r="B328" s="497">
        <f>IFERROR(__xludf.DUMMYFUNCTION("""COMPUTED_VALUE"""),46090.70653201389)</f>
        <v>46090.70653</v>
      </c>
      <c r="C328" s="495" t="str">
        <f>IFERROR(__xludf.DUMMYFUNCTION("""COMPUTED_VALUE"""),"")</f>
        <v/>
      </c>
      <c r="D328" s="495" t="str">
        <f>IFERROR(__xludf.DUMMYFUNCTION("""COMPUTED_VALUE"""),"Juan Ignacio Solís de Ovando")</f>
        <v>Juan Ignacio Solís de Ovando</v>
      </c>
      <c r="E328" s="495"/>
      <c r="F328" s="496" t="str">
        <f>IFERROR(__xludf.DUMMYFUNCTION("""COMPUTED_VALUE"""),"732-2026")</f>
        <v>732-2026</v>
      </c>
      <c r="G328" s="495"/>
      <c r="H328" s="495"/>
      <c r="I328" s="495"/>
      <c r="J328" s="495" t="str">
        <f>IFERROR(__xludf.DUMMYFUNCTION("""COMPUTED_VALUE"""),"Campus Dr. Luis Rivas del Canto - CRC")</f>
        <v>Campus Dr. Luis Rivas del Canto - CRC</v>
      </c>
      <c r="K328" s="495">
        <f>IFERROR(__xludf.DUMMYFUNCTION("""COMPUTED_VALUE"""),10.0)</f>
        <v>10</v>
      </c>
      <c r="L328" s="495" t="str">
        <f>IFERROR(__xludf.DUMMYFUNCTION("""COMPUTED_VALUE"""),"Sociedad Comercial Espacio Muebles Ltda")</f>
        <v>Sociedad Comercial Espacio Muebles Ltda</v>
      </c>
      <c r="M328" s="495" t="str">
        <f>IFERROR(__xludf.DUMMYFUNCTION("""COMPUTED_VALUE"""),"77544225-5")</f>
        <v>77544225-5</v>
      </c>
      <c r="N328" s="495" t="str">
        <f>IFERROR(__xludf.DUMMYFUNCTION("""COMPUTED_VALUE"""),"Emilio Aburto - Diseñador")</f>
        <v>Emilio Aburto - Diseñador</v>
      </c>
      <c r="O328" s="495" t="str">
        <f>IFERROR(__xludf.DUMMYFUNCTION("""COMPUTED_VALUE"""),"Obras y Especialidades")</f>
        <v>Obras y Especialidades</v>
      </c>
      <c r="P328" s="495"/>
      <c r="Q328" s="495"/>
      <c r="R328" s="495" t="str">
        <f>IFERROR(__xludf.DUMMYFUNCTION("""COMPUTED_VALUE"""),"Especialidades")</f>
        <v>Especialidades</v>
      </c>
      <c r="S328" s="495" t="str">
        <f>IFERROR(__xludf.DUMMYFUNCTION("""COMPUTED_VALUE"""),"Estado de Pago - EP")</f>
        <v>Estado de Pago - EP</v>
      </c>
      <c r="T328" s="495">
        <f>IFERROR(__xludf.DUMMYFUNCTION("""COMPUTED_VALUE"""),1.0)</f>
        <v>1</v>
      </c>
      <c r="U328" s="498">
        <f>IFERROR(__xludf.DUMMYFUNCTION("""COMPUTED_VALUE"""),5897640.0)</f>
        <v>5897640</v>
      </c>
      <c r="V328" s="495" t="str">
        <f>IFERROR(__xludf.DUMMYFUNCTION("""COMPUTED_VALUE"""),"Fabricación mesones computación")</f>
        <v>Fabricación mesones computación</v>
      </c>
      <c r="W328" s="495"/>
      <c r="X328" s="495" t="str">
        <f>IFERROR(__xludf.DUMMYFUNCTION("""COMPUTED_VALUE"""),"https://drive.google.com/open?id=1gmOJGrHhnjN0A6LxW0yglqn0pIKkvWR6, https://drive.google.com/open?id=1SE9qf0cSHP_Tz92gCsLwr84ZdZd131fB")</f>
        <v>https://drive.google.com/open?id=1gmOJGrHhnjN0A6LxW0yglqn0pIKkvWR6, https://drive.google.com/open?id=1SE9qf0cSHP_Tz92gCsLwr84ZdZd131fB</v>
      </c>
      <c r="Y328" s="495" t="str">
        <f>IFERROR(__xludf.DUMMYFUNCTION("""COMPUTED_VALUE"""),"emilioaburto.muebles@gmail.com")</f>
        <v>emilioaburto.muebles@gmail.com</v>
      </c>
      <c r="Z328" s="495"/>
      <c r="AA328" s="495"/>
      <c r="AB328" s="495"/>
      <c r="AC328" s="495"/>
      <c r="AD328" s="495" t="str">
        <f>IFERROR(__xludf.DUMMYFUNCTION("""COMPUTED_VALUE"""),"RC-005_26")</f>
        <v>RC-005_26</v>
      </c>
    </row>
    <row r="329">
      <c r="A329" s="495" t="str">
        <f t="shared" si="1"/>
        <v>RC-006_26</v>
      </c>
      <c r="B329" s="497">
        <f>IFERROR(__xludf.DUMMYFUNCTION("""COMPUTED_VALUE"""),46090.70880444444)</f>
        <v>46090.7088</v>
      </c>
      <c r="C329" s="495" t="str">
        <f>IFERROR(__xludf.DUMMYFUNCTION("""COMPUTED_VALUE"""),"")</f>
        <v/>
      </c>
      <c r="D329" s="495" t="str">
        <f>IFERROR(__xludf.DUMMYFUNCTION("""COMPUTED_VALUE"""),"Juan Ignacio Solís de Ovando")</f>
        <v>Juan Ignacio Solís de Ovando</v>
      </c>
      <c r="E329" s="495"/>
      <c r="F329" s="496" t="str">
        <f>IFERROR(__xludf.DUMMYFUNCTION("""COMPUTED_VALUE"""),"731-2026")</f>
        <v>731-2026</v>
      </c>
      <c r="G329" s="495"/>
      <c r="H329" s="495"/>
      <c r="I329" s="495"/>
      <c r="J329" s="495" t="str">
        <f>IFERROR(__xludf.DUMMYFUNCTION("""COMPUTED_VALUE"""),"Campus Dr. Luis Rivas del Canto - CRC")</f>
        <v>Campus Dr. Luis Rivas del Canto - CRC</v>
      </c>
      <c r="K329" s="495">
        <f>IFERROR(__xludf.DUMMYFUNCTION("""COMPUTED_VALUE"""),10.0)</f>
        <v>10</v>
      </c>
      <c r="L329" s="495" t="str">
        <f>IFERROR(__xludf.DUMMYFUNCTION("""COMPUTED_VALUE"""),"Sociedad Comercial Espacio Muebles Ltda")</f>
        <v>Sociedad Comercial Espacio Muebles Ltda</v>
      </c>
      <c r="M329" s="495" t="str">
        <f>IFERROR(__xludf.DUMMYFUNCTION("""COMPUTED_VALUE"""),"77.544.225-5")</f>
        <v>77.544.225-5</v>
      </c>
      <c r="N329" s="495" t="str">
        <f>IFERROR(__xludf.DUMMYFUNCTION("""COMPUTED_VALUE"""),"Emilio Aburto - Diseñador")</f>
        <v>Emilio Aburto - Diseñador</v>
      </c>
      <c r="O329" s="495" t="str">
        <f>IFERROR(__xludf.DUMMYFUNCTION("""COMPUTED_VALUE"""),"Obras y Especialidades")</f>
        <v>Obras y Especialidades</v>
      </c>
      <c r="P329" s="495"/>
      <c r="Q329" s="495"/>
      <c r="R329" s="495" t="str">
        <f>IFERROR(__xludf.DUMMYFUNCTION("""COMPUTED_VALUE"""),"Especialidades")</f>
        <v>Especialidades</v>
      </c>
      <c r="S329" s="495" t="str">
        <f>IFERROR(__xludf.DUMMYFUNCTION("""COMPUTED_VALUE"""),"Estado de Pago - EP")</f>
        <v>Estado de Pago - EP</v>
      </c>
      <c r="T329" s="495">
        <f>IFERROR(__xludf.DUMMYFUNCTION("""COMPUTED_VALUE"""),1.0)</f>
        <v>1</v>
      </c>
      <c r="U329" s="498">
        <f>IFERROR(__xludf.DUMMYFUNCTION("""COMPUTED_VALUE"""),1.78666E7)</f>
        <v>17866600</v>
      </c>
      <c r="V329" s="495" t="str">
        <f>IFERROR(__xludf.DUMMYFUNCTION("""COMPUTED_VALUE"""),"Implementación muebles varios 3piso")</f>
        <v>Implementación muebles varios 3piso</v>
      </c>
      <c r="W329" s="495"/>
      <c r="X329" s="495" t="str">
        <f>IFERROR(__xludf.DUMMYFUNCTION("""COMPUTED_VALUE"""),"https://drive.google.com/open?id=1Sq-pnILBaqdb08avL73T-wtAlKhlQ-6_, https://drive.google.com/open?id=180P0YvlRC_TnNq5AEku2ZZFgjTv7Pzr_, https://drive.google.com/open?id=1IIAP6nkZ4H_CO-XhnnH8Z7li4-bnVCt1")</f>
        <v>https://drive.google.com/open?id=1Sq-pnILBaqdb08avL73T-wtAlKhlQ-6_, https://drive.google.com/open?id=180P0YvlRC_TnNq5AEku2ZZFgjTv7Pzr_, https://drive.google.com/open?id=1IIAP6nkZ4H_CO-XhnnH8Z7li4-bnVCt1</v>
      </c>
      <c r="Y329" s="495" t="str">
        <f>IFERROR(__xludf.DUMMYFUNCTION("""COMPUTED_VALUE"""),"emilioaburto.muebles@gmail.com")</f>
        <v>emilioaburto.muebles@gmail.com</v>
      </c>
      <c r="Z329" s="495"/>
      <c r="AA329" s="495"/>
      <c r="AB329" s="495"/>
      <c r="AC329" s="495"/>
      <c r="AD329" s="495" t="str">
        <f>IFERROR(__xludf.DUMMYFUNCTION("""COMPUTED_VALUE"""),"RC-006_26")</f>
        <v>RC-006_26</v>
      </c>
    </row>
    <row r="330">
      <c r="A330" s="495" t="str">
        <f t="shared" si="1"/>
        <v>RC-045_26</v>
      </c>
      <c r="B330" s="497">
        <f>IFERROR(__xludf.DUMMYFUNCTION("""COMPUTED_VALUE"""),46107.434108182875)</f>
        <v>46107.43411</v>
      </c>
      <c r="C330" s="495" t="str">
        <f>IFERROR(__xludf.DUMMYFUNCTION("""COMPUTED_VALUE"""),"")</f>
        <v/>
      </c>
      <c r="D330" s="495" t="str">
        <f>IFERROR(__xludf.DUMMYFUNCTION("""COMPUTED_VALUE"""),"Mauricio Zurita Aldea")</f>
        <v>Mauricio Zurita Aldea</v>
      </c>
      <c r="E330" s="495"/>
      <c r="F330" s="496" t="str">
        <f>IFERROR(__xludf.DUMMYFUNCTION("""COMPUTED_VALUE"""),"703 - 2026")</f>
        <v>703 - 2026</v>
      </c>
      <c r="G330" s="495"/>
      <c r="H330" s="495"/>
      <c r="I330" s="495"/>
      <c r="J330" s="495" t="str">
        <f>IFERROR(__xludf.DUMMYFUNCTION("""COMPUTED_VALUE"""),"Campus Dr. Luis Rivas del Canto - CRC")</f>
        <v>Campus Dr. Luis Rivas del Canto - CRC</v>
      </c>
      <c r="K330" s="495" t="str">
        <f>IFERROR(__xludf.DUMMYFUNCTION("""COMPUTED_VALUE"""),"01")</f>
        <v>01</v>
      </c>
      <c r="L330" s="495" t="str">
        <f>IFERROR(__xludf.DUMMYFUNCTION("""COMPUTED_VALUE"""),"Gyg servicios spa")</f>
        <v>Gyg servicios spa</v>
      </c>
      <c r="M330" s="495" t="str">
        <f>IFERROR(__xludf.DUMMYFUNCTION("""COMPUTED_VALUE"""),"77.215.624-3")</f>
        <v>77.215.624-3</v>
      </c>
      <c r="N330" s="495" t="str">
        <f>IFERROR(__xludf.DUMMYFUNCTION("""COMPUTED_VALUE"""),"Gustavo Fuentes - Supervisor Tecnico")</f>
        <v>Gustavo Fuentes - Supervisor Tecnico</v>
      </c>
      <c r="O330" s="495" t="str">
        <f>IFERROR(__xludf.DUMMYFUNCTION("""COMPUTED_VALUE"""),"Mantenciones")</f>
        <v>Mantenciones</v>
      </c>
      <c r="P330" s="495" t="str">
        <f>IFERROR(__xludf.DUMMYFUNCTION("""COMPUTED_VALUE"""),"Instalaciones Eléctricas")</f>
        <v>Instalaciones Eléctricas</v>
      </c>
      <c r="Q330" s="495"/>
      <c r="R330" s="495"/>
      <c r="S330" s="495"/>
      <c r="T330" s="495"/>
      <c r="U330" s="495"/>
      <c r="V330" s="495" t="str">
        <f>IFERROR(__xludf.DUMMYFUNCTION("""COMPUTED_VALUE"""),"Instalacion de access point ")</f>
        <v>Instalacion de access point </v>
      </c>
      <c r="W330" s="495"/>
      <c r="X330" s="495" t="str">
        <f>IFERROR(__xludf.DUMMYFUNCTION("""COMPUTED_VALUE"""),"https://drive.google.com/open?id=1GB6hUuFokniYCVNb4hbuGqyYAJwxfhfz, https://drive.google.com/open?id=146n-DqlcKea9xBykFssknbkNC7ZC70Vc, https://drive.google.com/open?id=1J4SF40iIf8bPRAsAkLGEOWAASw_IcQVr")</f>
        <v>https://drive.google.com/open?id=1GB6hUuFokniYCVNb4hbuGqyYAJwxfhfz, https://drive.google.com/open?id=146n-DqlcKea9xBykFssknbkNC7ZC70Vc, https://drive.google.com/open?id=1J4SF40iIf8bPRAsAkLGEOWAASw_IcQVr</v>
      </c>
      <c r="Y330" s="495" t="str">
        <f>IFERROR(__xludf.DUMMYFUNCTION("""COMPUTED_VALUE"""),"contacto@gygtecnologias.com")</f>
        <v>contacto@gygtecnologias.com</v>
      </c>
      <c r="Z330" s="495"/>
      <c r="AA330" s="495"/>
      <c r="AB330" s="495"/>
      <c r="AC330" s="495"/>
      <c r="AD330" s="495" t="str">
        <f>IFERROR(__xludf.DUMMYFUNCTION("""COMPUTED_VALUE"""),"RC-045_26")</f>
        <v>RC-045_26</v>
      </c>
    </row>
    <row r="331">
      <c r="A331" s="495" t="str">
        <f t="shared" si="1"/>
        <v>RC-008_26</v>
      </c>
      <c r="B331" s="497">
        <f>IFERROR(__xludf.DUMMYFUNCTION("""COMPUTED_VALUE"""),46091.61634581018)</f>
        <v>46091.61635</v>
      </c>
      <c r="C331" s="495" t="str">
        <f>IFERROR(__xludf.DUMMYFUNCTION("""COMPUTED_VALUE"""),"")</f>
        <v/>
      </c>
      <c r="D331" s="495" t="str">
        <f>IFERROR(__xludf.DUMMYFUNCTION("""COMPUTED_VALUE"""),"Arturo Meza Vega")</f>
        <v>Arturo Meza Vega</v>
      </c>
      <c r="E331" s="495"/>
      <c r="F331" s="496" t="str">
        <f>IFERROR(__xludf.DUMMYFUNCTION("""COMPUTED_VALUE"""),"860 2026")</f>
        <v>860 2026</v>
      </c>
      <c r="G331" s="495"/>
      <c r="H331" s="495"/>
      <c r="I331" s="495"/>
      <c r="J331" s="495" t="str">
        <f>IFERROR(__xludf.DUMMYFUNCTION("""COMPUTED_VALUE"""),"Campus Dr. Luis Rivas del Canto - CRC")</f>
        <v>Campus Dr. Luis Rivas del Canto - CRC</v>
      </c>
      <c r="K331" s="495">
        <f>IFERROR(__xludf.DUMMYFUNCTION("""COMPUTED_VALUE"""),16.0)</f>
        <v>16</v>
      </c>
      <c r="L331" s="495" t="str">
        <f>IFERROR(__xludf.DUMMYFUNCTION("""COMPUTED_VALUE"""),"Ingertemuco Ingenieria Spa ")</f>
        <v>Ingertemuco Ingenieria Spa </v>
      </c>
      <c r="M331" s="495" t="str">
        <f>IFERROR(__xludf.DUMMYFUNCTION("""COMPUTED_VALUE"""),"77.369.471-0")</f>
        <v>77.369.471-0</v>
      </c>
      <c r="N331" s="495" t="str">
        <f>IFERROR(__xludf.DUMMYFUNCTION("""COMPUTED_VALUE"""),"Jaime Troncoso ")</f>
        <v>Jaime Troncoso </v>
      </c>
      <c r="O331" s="495" t="str">
        <f>IFERROR(__xludf.DUMMYFUNCTION("""COMPUTED_VALUE"""),"Obras y Especialidades")</f>
        <v>Obras y Especialidades</v>
      </c>
      <c r="P331" s="495"/>
      <c r="Q331" s="495"/>
      <c r="R331" s="495" t="str">
        <f>IFERROR(__xludf.DUMMYFUNCTION("""COMPUTED_VALUE"""),"Remodelación")</f>
        <v>Remodelación</v>
      </c>
      <c r="S331" s="495" t="str">
        <f>IFERROR(__xludf.DUMMYFUNCTION("""COMPUTED_VALUE"""),"Recepción de Obra - RC")</f>
        <v>Recepción de Obra - RC</v>
      </c>
      <c r="T331" s="495"/>
      <c r="U331" s="495"/>
      <c r="V331" s="495" t="str">
        <f>IFERROR(__xludf.DUMMYFUNCTION("""COMPUTED_VALUE"""),"Instalación eléctrica y CCDD en laboratorio 210")</f>
        <v>Instalación eléctrica y CCDD en laboratorio 210</v>
      </c>
      <c r="W331" s="495"/>
      <c r="X331" s="495" t="str">
        <f>IFERROR(__xludf.DUMMYFUNCTION("""COMPUTED_VALUE"""),"https://drive.google.com/open?id=1B2H3OrmdZiIGvmdK4TRFwFZSMt6Ws4ML, https://drive.google.com/open?id=14JmVYwovSyvQd7hQGZQ5AFNhoa3vptmV, https://drive.google.com/open?id=13_sgaxVDMTRqBMRhweFT1b7FaWQrKE4h, https://drive.google.com/open?id=17a3vn_0-zf7RuTUCY"&amp;"Zw7uxymrS5WBSgV, https://drive.google.com/open?id=1Lks9sIqjaTx5SU7xMlSXVSNWhaTWHYQU")</f>
        <v>https://drive.google.com/open?id=1B2H3OrmdZiIGvmdK4TRFwFZSMt6Ws4ML, https://drive.google.com/open?id=14JmVYwovSyvQd7hQGZQ5AFNhoa3vptmV, https://drive.google.com/open?id=13_sgaxVDMTRqBMRhweFT1b7FaWQrKE4h, https://drive.google.com/open?id=17a3vn_0-zf7RuTUCYZw7uxymrS5WBSgV, https://drive.google.com/open?id=1Lks9sIqjaTx5SU7xMlSXVSNWhaTWHYQU</v>
      </c>
      <c r="Y331" s="495" t="str">
        <f>IFERROR(__xludf.DUMMYFUNCTION("""COMPUTED_VALUE"""),"comercialingertemuco@gmail.com")</f>
        <v>comercialingertemuco@gmail.com</v>
      </c>
      <c r="Z331" s="495"/>
      <c r="AA331" s="495"/>
      <c r="AB331" s="495"/>
      <c r="AC331" s="495"/>
      <c r="AD331" s="495" t="str">
        <f>IFERROR(__xludf.DUMMYFUNCTION("""COMPUTED_VALUE"""),"RC-008_26")</f>
        <v>RC-008_26</v>
      </c>
    </row>
    <row r="332">
      <c r="A332" s="495" t="str">
        <f t="shared" si="1"/>
        <v>RC-044_26</v>
      </c>
      <c r="B332" s="497">
        <f>IFERROR(__xludf.DUMMYFUNCTION("""COMPUTED_VALUE"""),46107.40548509259)</f>
        <v>46107.40549</v>
      </c>
      <c r="C332" s="495" t="str">
        <f>IFERROR(__xludf.DUMMYFUNCTION("""COMPUTED_VALUE"""),"")</f>
        <v/>
      </c>
      <c r="D332" s="495" t="str">
        <f>IFERROR(__xludf.DUMMYFUNCTION("""COMPUTED_VALUE"""),"Mauricio Zurita Aldea")</f>
        <v>Mauricio Zurita Aldea</v>
      </c>
      <c r="E332" s="495"/>
      <c r="F332" s="496" t="str">
        <f>IFERROR(__xludf.DUMMYFUNCTION("""COMPUTED_VALUE"""),"618 - 2026")</f>
        <v>618 - 2026</v>
      </c>
      <c r="G332" s="495"/>
      <c r="H332" s="495"/>
      <c r="I332" s="495"/>
      <c r="J332" s="495" t="str">
        <f>IFERROR(__xludf.DUMMYFUNCTION("""COMPUTED_VALUE"""),"Campus San Juan Pablo II - CJP")</f>
        <v>Campus San Juan Pablo II - CJP</v>
      </c>
      <c r="K332" s="495" t="str">
        <f>IFERROR(__xludf.DUMMYFUNCTION("""COMPUTED_VALUE"""),"01")</f>
        <v>01</v>
      </c>
      <c r="L332" s="495" t="str">
        <f>IFERROR(__xludf.DUMMYFUNCTION("""COMPUTED_VALUE"""),"Gyg servicios Spa")</f>
        <v>Gyg servicios Spa</v>
      </c>
      <c r="M332" s="495" t="str">
        <f>IFERROR(__xludf.DUMMYFUNCTION("""COMPUTED_VALUE"""),"77.215.624-3")</f>
        <v>77.215.624-3</v>
      </c>
      <c r="N332" s="495" t="str">
        <f>IFERROR(__xludf.DUMMYFUNCTION("""COMPUTED_VALUE"""),"Gustavo Fuentes - Supervisor tecnico")</f>
        <v>Gustavo Fuentes - Supervisor tecnico</v>
      </c>
      <c r="O332" s="495" t="str">
        <f>IFERROR(__xludf.DUMMYFUNCTION("""COMPUTED_VALUE"""),"Mantenciones")</f>
        <v>Mantenciones</v>
      </c>
      <c r="P332" s="495" t="str">
        <f>IFERROR(__xludf.DUMMYFUNCTION("""COMPUTED_VALUE"""),"Instalaciones Eléctricas")</f>
        <v>Instalaciones Eléctricas</v>
      </c>
      <c r="Q332" s="495"/>
      <c r="R332" s="495"/>
      <c r="S332" s="495"/>
      <c r="T332" s="495"/>
      <c r="U332" s="495"/>
      <c r="V332" s="495" t="str">
        <f>IFERROR(__xludf.DUMMYFUNCTION("""COMPUTED_VALUE"""),"Instalacion de soporte metálico para fijación de monitores de grabación ")</f>
        <v>Instalacion de soporte metálico para fijación de monitores de grabación </v>
      </c>
      <c r="W332" s="495"/>
      <c r="X332" s="495" t="str">
        <f>IFERROR(__xludf.DUMMYFUNCTION("""COMPUTED_VALUE"""),"https://drive.google.com/open?id=1pycq3I7mokxaxQhtyHT9eJfJOdQOlElC, https://drive.google.com/open?id=17iOk_Pydxfy2YmF7hmpHLoHFmex4skCl, https://drive.google.com/open?id=1kiY1Ie02BR7Hn3axBDEvDBhgUn8UT2Fy")</f>
        <v>https://drive.google.com/open?id=1pycq3I7mokxaxQhtyHT9eJfJOdQOlElC, https://drive.google.com/open?id=17iOk_Pydxfy2YmF7hmpHLoHFmex4skCl, https://drive.google.com/open?id=1kiY1Ie02BR7Hn3axBDEvDBhgUn8UT2Fy</v>
      </c>
      <c r="Y332" s="495" t="str">
        <f>IFERROR(__xludf.DUMMYFUNCTION("""COMPUTED_VALUE"""),"contacto@gygtecnologias.com")</f>
        <v>contacto@gygtecnologias.com</v>
      </c>
      <c r="Z332" s="495"/>
      <c r="AA332" s="495"/>
      <c r="AB332" s="495"/>
      <c r="AC332" s="495"/>
      <c r="AD332" s="495" t="str">
        <f>IFERROR(__xludf.DUMMYFUNCTION("""COMPUTED_VALUE"""),"RC-044_26")</f>
        <v>RC-044_26</v>
      </c>
    </row>
    <row r="333">
      <c r="A333" s="495" t="str">
        <f t="shared" si="1"/>
        <v>RC-043_26</v>
      </c>
      <c r="B333" s="497">
        <f>IFERROR(__xludf.DUMMYFUNCTION("""COMPUTED_VALUE"""),46105.724490810186)</f>
        <v>46105.72449</v>
      </c>
      <c r="C333" s="495" t="str">
        <f>IFERROR(__xludf.DUMMYFUNCTION("""COMPUTED_VALUE"""),"")</f>
        <v/>
      </c>
      <c r="D333" s="495" t="str">
        <f>IFERROR(__xludf.DUMMYFUNCTION("""COMPUTED_VALUE"""),"Mauricio Zurita Aldea")</f>
        <v>Mauricio Zurita Aldea</v>
      </c>
      <c r="E333" s="495"/>
      <c r="F333" s="496" t="str">
        <f>IFERROR(__xludf.DUMMYFUNCTION("""COMPUTED_VALUE"""),"551 - 2026")</f>
        <v>551 - 2026</v>
      </c>
      <c r="G333" s="495"/>
      <c r="H333" s="495"/>
      <c r="I333" s="495"/>
      <c r="J333" s="495" t="str">
        <f>IFERROR(__xludf.DUMMYFUNCTION("""COMPUTED_VALUE"""),"Campus Monseñor Alejandro Menchaca Lira - CML")</f>
        <v>Campus Monseñor Alejandro Menchaca Lira - CML</v>
      </c>
      <c r="K333" s="495" t="str">
        <f>IFERROR(__xludf.DUMMYFUNCTION("""COMPUTED_VALUE"""),"01")</f>
        <v>01</v>
      </c>
      <c r="L333" s="495" t="str">
        <f>IFERROR(__xludf.DUMMYFUNCTION("""COMPUTED_VALUE"""),"Gyg servicios spa")</f>
        <v>Gyg servicios spa</v>
      </c>
      <c r="M333" s="495" t="str">
        <f>IFERROR(__xludf.DUMMYFUNCTION("""COMPUTED_VALUE"""),"77.215.624-3")</f>
        <v>77.215.624-3</v>
      </c>
      <c r="N333" s="495" t="str">
        <f>IFERROR(__xludf.DUMMYFUNCTION("""COMPUTED_VALUE"""),"Gustavo Fuentes - Supervisor técnico ")</f>
        <v>Gustavo Fuentes - Supervisor técnico </v>
      </c>
      <c r="O333" s="495" t="str">
        <f>IFERROR(__xludf.DUMMYFUNCTION("""COMPUTED_VALUE"""),"Mantenciones")</f>
        <v>Mantenciones</v>
      </c>
      <c r="P333" s="495" t="str">
        <f>IFERROR(__xludf.DUMMYFUNCTION("""COMPUTED_VALUE"""),"Instalaciones Eléctricas")</f>
        <v>Instalaciones Eléctricas</v>
      </c>
      <c r="Q333" s="495"/>
      <c r="R333" s="495"/>
      <c r="S333" s="495"/>
      <c r="T333" s="495"/>
      <c r="U333" s="495"/>
      <c r="V333" s="495" t="str">
        <f>IFERROR(__xludf.DUMMYFUNCTION("""COMPUTED_VALUE"""),"Instalacion de brazos hidráulicos y retenedor magnético")</f>
        <v>Instalacion de brazos hidráulicos y retenedor magnético</v>
      </c>
      <c r="W333" s="495"/>
      <c r="X333" s="495" t="str">
        <f>IFERROR(__xludf.DUMMYFUNCTION("""COMPUTED_VALUE"""),"https://drive.google.com/open?id=1tTC6XjaKrMOgvlQ2O9ZWiPVSDehkwEUm, https://drive.google.com/open?id=10iLCsC_llVC_uo_hViogOzPUCfB4m1Py, https://drive.google.com/open?id=1EYLIQSu_R_wfKBV_4osReTUg6FzNJ_39, https://drive.google.com/open?id=1Anh2iM6YUflfFCrvR"&amp;"WXNqfEG1IzUdb-M")</f>
        <v>https://drive.google.com/open?id=1tTC6XjaKrMOgvlQ2O9ZWiPVSDehkwEUm, https://drive.google.com/open?id=10iLCsC_llVC_uo_hViogOzPUCfB4m1Py, https://drive.google.com/open?id=1EYLIQSu_R_wfKBV_4osReTUg6FzNJ_39, https://drive.google.com/open?id=1Anh2iM6YUflfFCrvRWXNqfEG1IzUdb-M</v>
      </c>
      <c r="Y333" s="495" t="str">
        <f>IFERROR(__xludf.DUMMYFUNCTION("""COMPUTED_VALUE"""),"contacto@gygtecnologias.com")</f>
        <v>contacto@gygtecnologias.com</v>
      </c>
      <c r="Z333" s="495"/>
      <c r="AA333" s="495"/>
      <c r="AB333" s="495"/>
      <c r="AC333" s="495"/>
      <c r="AD333" s="495" t="str">
        <f>IFERROR(__xludf.DUMMYFUNCTION("""COMPUTED_VALUE"""),"RC-043_26")</f>
        <v>RC-043_26</v>
      </c>
    </row>
    <row r="334">
      <c r="A334" s="495" t="str">
        <f t="shared" si="1"/>
        <v>RC-042_26</v>
      </c>
      <c r="B334" s="497">
        <f>IFERROR(__xludf.DUMMYFUNCTION("""COMPUTED_VALUE"""),46105.60445353009)</f>
        <v>46105.60445</v>
      </c>
      <c r="C334" s="495" t="str">
        <f>IFERROR(__xludf.DUMMYFUNCTION("""COMPUTED_VALUE"""),"")</f>
        <v/>
      </c>
      <c r="D334" s="495" t="str">
        <f>IFERROR(__xludf.DUMMYFUNCTION("""COMPUTED_VALUE"""),"Carol Huenchual Chañilao")</f>
        <v>Carol Huenchual Chañilao</v>
      </c>
      <c r="E334" s="495"/>
      <c r="F334" s="496" t="str">
        <f>IFERROR(__xludf.DUMMYFUNCTION("""COMPUTED_VALUE"""),"11413 - 2025")</f>
        <v>11413 - 2025</v>
      </c>
      <c r="G334" s="495"/>
      <c r="H334" s="495"/>
      <c r="I334" s="495"/>
      <c r="J334" s="495" t="str">
        <f>IFERROR(__xludf.DUMMYFUNCTION("""COMPUTED_VALUE"""),"Campus San Francisco - CSF")</f>
        <v>Campus San Francisco - CSF</v>
      </c>
      <c r="K334" s="495">
        <f>IFERROR(__xludf.DUMMYFUNCTION("""COMPUTED_VALUE"""),15.0)</f>
        <v>15</v>
      </c>
      <c r="L334" s="495" t="str">
        <f>IFERROR(__xludf.DUMMYFUNCTION("""COMPUTED_VALUE"""),"Empresa Constructor IGECE Ltda.")</f>
        <v>Empresa Constructor IGECE Ltda.</v>
      </c>
      <c r="M334" s="495" t="str">
        <f>IFERROR(__xludf.DUMMYFUNCTION("""COMPUTED_VALUE"""),"76.878.824-3")</f>
        <v>76.878.824-3</v>
      </c>
      <c r="N334" s="495" t="str">
        <f>IFERROR(__xludf.DUMMYFUNCTION("""COMPUTED_VALUE"""),"Carlos Troncoso - Gerente General ")</f>
        <v>Carlos Troncoso - Gerente General </v>
      </c>
      <c r="O334" s="495" t="str">
        <f>IFERROR(__xludf.DUMMYFUNCTION("""COMPUTED_VALUE"""),"Mantenciones")</f>
        <v>Mantenciones</v>
      </c>
      <c r="P334" s="495" t="str">
        <f>IFERROR(__xludf.DUMMYFUNCTION("""COMPUTED_VALUE"""),"Requerimientos Emergentes e Imprevistos")</f>
        <v>Requerimientos Emergentes e Imprevistos</v>
      </c>
      <c r="Q334" s="495"/>
      <c r="R334" s="495"/>
      <c r="S334" s="495"/>
      <c r="T334" s="495"/>
      <c r="U334" s="495"/>
      <c r="V334" s="495" t="str">
        <f>IFERROR(__xludf.DUMMYFUNCTION("""COMPUTED_VALUE"""),"Limpieza vidrios fachada gimnasio CSF15
Limpieza de vidrios puentes de conexión laterales")</f>
        <v>Limpieza vidrios fachada gimnasio CSF15
Limpieza de vidrios puentes de conexión laterales</v>
      </c>
      <c r="W334" s="495"/>
      <c r="X334" s="499" t="str">
        <f>IFERROR(__xludf.DUMMYFUNCTION("""COMPUTED_VALUE"""),"https://drive.google.com/open?id=1_gGGLqgLJyl4kp4f3hTkxJQD8ODcDBBU")</f>
        <v>https://drive.google.com/open?id=1_gGGLqgLJyl4kp4f3hTkxJQD8ODcDBBU</v>
      </c>
      <c r="Y334" s="495" t="str">
        <f>IFERROR(__xludf.DUMMYFUNCTION("""COMPUTED_VALUE"""),"carlostroncosom@hotmail.com")</f>
        <v>carlostroncosom@hotmail.com</v>
      </c>
      <c r="Z334" s="495"/>
      <c r="AA334" s="495"/>
      <c r="AB334" s="495"/>
      <c r="AC334" s="495"/>
      <c r="AD334" s="495" t="str">
        <f>IFERROR(__xludf.DUMMYFUNCTION("""COMPUTED_VALUE"""),"RC-042_26")</f>
        <v>RC-042_26</v>
      </c>
    </row>
    <row r="335">
      <c r="A335" s="495" t="str">
        <f t="shared" si="1"/>
        <v>RC-039_26</v>
      </c>
      <c r="B335" s="497">
        <f>IFERROR(__xludf.DUMMYFUNCTION("""COMPUTED_VALUE"""),46104.683057268514)</f>
        <v>46104.68306</v>
      </c>
      <c r="C335" s="495" t="str">
        <f>IFERROR(__xludf.DUMMYFUNCTION("""COMPUTED_VALUE"""),"")</f>
        <v/>
      </c>
      <c r="D335" s="495" t="str">
        <f>IFERROR(__xludf.DUMMYFUNCTION("""COMPUTED_VALUE"""),"Carol Huenchual Chañilao")</f>
        <v>Carol Huenchual Chañilao</v>
      </c>
      <c r="E335" s="495"/>
      <c r="F335" s="496" t="str">
        <f>IFERROR(__xludf.DUMMYFUNCTION("""COMPUTED_VALUE"""),"1592 -2026")</f>
        <v>1592 -2026</v>
      </c>
      <c r="G335" s="495"/>
      <c r="H335" s="495"/>
      <c r="I335" s="495"/>
      <c r="J335" s="495" t="str">
        <f>IFERROR(__xludf.DUMMYFUNCTION("""COMPUTED_VALUE"""),"Campus San Francisco - CSF")</f>
        <v>Campus San Francisco - CSF</v>
      </c>
      <c r="K335" s="495">
        <f>IFERROR(__xludf.DUMMYFUNCTION("""COMPUTED_VALUE"""),11.0)</f>
        <v>11</v>
      </c>
      <c r="L335" s="495" t="str">
        <f>IFERROR(__xludf.DUMMYFUNCTION("""COMPUTED_VALUE"""),"Flavia Oyarzun Soto")</f>
        <v>Flavia Oyarzun Soto</v>
      </c>
      <c r="M335" s="495" t="str">
        <f>IFERROR(__xludf.DUMMYFUNCTION("""COMPUTED_VALUE"""),"5.503.590-3")</f>
        <v>5.503.590-3</v>
      </c>
      <c r="N335" s="495" t="str">
        <f>IFERROR(__xludf.DUMMYFUNCTION("""COMPUTED_VALUE"""),"Roberto Lassalle Prado    Supervisor")</f>
        <v>Roberto Lassalle Prado    Supervisor</v>
      </c>
      <c r="O335" s="495" t="str">
        <f>IFERROR(__xludf.DUMMYFUNCTION("""COMPUTED_VALUE"""),"Mantenciones")</f>
        <v>Mantenciones</v>
      </c>
      <c r="P335" s="495" t="str">
        <f>IFERROR(__xludf.DUMMYFUNCTION("""COMPUTED_VALUE"""),"Requerimientos Emergentes e Imprevistos")</f>
        <v>Requerimientos Emergentes e Imprevistos</v>
      </c>
      <c r="Q335" s="495"/>
      <c r="R335" s="495"/>
      <c r="S335" s="495"/>
      <c r="T335" s="495"/>
      <c r="U335" s="495"/>
      <c r="V335" s="495" t="str">
        <f>IFERROR(__xludf.DUMMYFUNCTION("""COMPUTED_VALUE"""),"Reparación cierre perimetral")</f>
        <v>Reparación cierre perimetral</v>
      </c>
      <c r="W335" s="495" t="str">
        <f>IFERROR(__xludf.DUMMYFUNCTION("""COMPUTED_VALUE"""),"no")</f>
        <v>no</v>
      </c>
      <c r="X335" s="495" t="str">
        <f>IFERROR(__xludf.DUMMYFUNCTION("""COMPUTED_VALUE"""),"https://drive.google.com/open?id=1aZhsolE_j6iZzSwAF7SoHdxMe6XaSmdP, https://drive.google.com/open?id=1Y9wg0Cg5Q0kBLTEUNT21nDUyqo8rZ1e6, https://drive.google.com/open?id=18lL9QX3T1F0B6NYsHj6QfB8hiRg8fMBe, https://drive.google.com/open?id=1Uqm-5vPkQUkSikOVm"&amp;"3JyyOhI8JFDV1My")</f>
        <v>https://drive.google.com/open?id=1aZhsolE_j6iZzSwAF7SoHdxMe6XaSmdP, https://drive.google.com/open?id=1Y9wg0Cg5Q0kBLTEUNT21nDUyqo8rZ1e6, https://drive.google.com/open?id=18lL9QX3T1F0B6NYsHj6QfB8hiRg8fMBe, https://drive.google.com/open?id=1Uqm-5vPkQUkSikOVm3JyyOhI8JFDV1My</v>
      </c>
      <c r="Y335" s="495" t="str">
        <f>IFERROR(__xludf.DUMMYFUNCTION("""COMPUTED_VALUE"""),"roberto.lassalle@gmail.com")</f>
        <v>roberto.lassalle@gmail.com</v>
      </c>
      <c r="Z335" s="495"/>
      <c r="AA335" s="495"/>
      <c r="AB335" s="495"/>
      <c r="AC335" s="495"/>
      <c r="AD335" s="495" t="str">
        <f>IFERROR(__xludf.DUMMYFUNCTION("""COMPUTED_VALUE"""),"RC-039_26")</f>
        <v>RC-039_26</v>
      </c>
    </row>
    <row r="336">
      <c r="A336" s="495" t="str">
        <f t="shared" si="1"/>
        <v>RC-038_26</v>
      </c>
      <c r="B336" s="497">
        <f>IFERROR(__xludf.DUMMYFUNCTION("""COMPUTED_VALUE"""),46104.6743441088)</f>
        <v>46104.67434</v>
      </c>
      <c r="C336" s="495" t="str">
        <f>IFERROR(__xludf.DUMMYFUNCTION("""COMPUTED_VALUE"""),"")</f>
        <v/>
      </c>
      <c r="D336" s="495" t="str">
        <f>IFERROR(__xludf.DUMMYFUNCTION("""COMPUTED_VALUE"""),"Carol Huenchual Chañilao")</f>
        <v>Carol Huenchual Chañilao</v>
      </c>
      <c r="E336" s="495"/>
      <c r="F336" s="496" t="str">
        <f>IFERROR(__xludf.DUMMYFUNCTION("""COMPUTED_VALUE"""),"1592 - 2026")</f>
        <v>1592 - 2026</v>
      </c>
      <c r="G336" s="495"/>
      <c r="H336" s="495"/>
      <c r="I336" s="495"/>
      <c r="J336" s="495" t="str">
        <f>IFERROR(__xludf.DUMMYFUNCTION("""COMPUTED_VALUE"""),"Campus San Francisco - CSF")</f>
        <v>Campus San Francisco - CSF</v>
      </c>
      <c r="K336" s="495">
        <f>IFERROR(__xludf.DUMMYFUNCTION("""COMPUTED_VALUE"""),17.0)</f>
        <v>17</v>
      </c>
      <c r="L336" s="495" t="str">
        <f>IFERROR(__xludf.DUMMYFUNCTION("""COMPUTED_VALUE"""),"Flavia Oyarzun Soto")</f>
        <v>Flavia Oyarzun Soto</v>
      </c>
      <c r="M336" s="495" t="str">
        <f>IFERROR(__xludf.DUMMYFUNCTION("""COMPUTED_VALUE"""),"5.503.590-3")</f>
        <v>5.503.590-3</v>
      </c>
      <c r="N336" s="495" t="str">
        <f>IFERROR(__xludf.DUMMYFUNCTION("""COMPUTED_VALUE"""),"Roberto Lassalle Prado   Supervisor")</f>
        <v>Roberto Lassalle Prado   Supervisor</v>
      </c>
      <c r="O336" s="495" t="str">
        <f>IFERROR(__xludf.DUMMYFUNCTION("""COMPUTED_VALUE"""),"Mantenciones")</f>
        <v>Mantenciones</v>
      </c>
      <c r="P336" s="495" t="str">
        <f>IFERROR(__xludf.DUMMYFUNCTION("""COMPUTED_VALUE"""),"Terminaciones Interiores")</f>
        <v>Terminaciones Interiores</v>
      </c>
      <c r="Q336" s="495"/>
      <c r="R336" s="495"/>
      <c r="S336" s="495"/>
      <c r="T336" s="495"/>
      <c r="U336" s="495"/>
      <c r="V336" s="495" t="str">
        <f>IFERROR(__xludf.DUMMYFUNCTION("""COMPUTED_VALUE"""),"Pintura interior")</f>
        <v>Pintura interior</v>
      </c>
      <c r="W336" s="495" t="str">
        <f>IFERROR(__xludf.DUMMYFUNCTION("""COMPUTED_VALUE"""),"no hay")</f>
        <v>no hay</v>
      </c>
      <c r="X336" s="495" t="str">
        <f>IFERROR(__xludf.DUMMYFUNCTION("""COMPUTED_VALUE"""),"https://drive.google.com/open?id=1rUXESCZjJxjp_1F05hMprHd6pmZ9Mth8, https://drive.google.com/open?id=1nXpBpsAcPw6Nn1JyfTV1tFW_44Dbt4qd, https://drive.google.com/open?id=12tYb8eSHliMIwN6R9ZhM6JRkWqmXkEtP")</f>
        <v>https://drive.google.com/open?id=1rUXESCZjJxjp_1F05hMprHd6pmZ9Mth8, https://drive.google.com/open?id=1nXpBpsAcPw6Nn1JyfTV1tFW_44Dbt4qd, https://drive.google.com/open?id=12tYb8eSHliMIwN6R9ZhM6JRkWqmXkEtP</v>
      </c>
      <c r="Y336" s="495" t="str">
        <f>IFERROR(__xludf.DUMMYFUNCTION("""COMPUTED_VALUE"""),"roberto.lassalle@gmail.com")</f>
        <v>roberto.lassalle@gmail.com</v>
      </c>
      <c r="Z336" s="495"/>
      <c r="AA336" s="495"/>
      <c r="AB336" s="495"/>
      <c r="AC336" s="495"/>
      <c r="AD336" s="495" t="str">
        <f>IFERROR(__xludf.DUMMYFUNCTION("""COMPUTED_VALUE"""),"RC-038_26")</f>
        <v>RC-038_26</v>
      </c>
    </row>
    <row r="337">
      <c r="A337" s="495" t="str">
        <f t="shared" si="1"/>
        <v>RC-037_26</v>
      </c>
      <c r="B337" s="497">
        <f>IFERROR(__xludf.DUMMYFUNCTION("""COMPUTED_VALUE"""),46104.649732488426)</f>
        <v>46104.64973</v>
      </c>
      <c r="C337" s="495" t="str">
        <f>IFERROR(__xludf.DUMMYFUNCTION("""COMPUTED_VALUE"""),"")</f>
        <v/>
      </c>
      <c r="D337" s="495" t="str">
        <f>IFERROR(__xludf.DUMMYFUNCTION("""COMPUTED_VALUE"""),"Isabel Riquelme Arias")</f>
        <v>Isabel Riquelme Arias</v>
      </c>
      <c r="E337" s="495"/>
      <c r="F337" s="496" t="str">
        <f>IFERROR(__xludf.DUMMYFUNCTION("""COMPUTED_VALUE"""),"1619 - 2026")</f>
        <v>1619 - 2026</v>
      </c>
      <c r="G337" s="495"/>
      <c r="H337" s="495"/>
      <c r="I337" s="495"/>
      <c r="J337" s="495" t="str">
        <f>IFERROR(__xludf.DUMMYFUNCTION("""COMPUTED_VALUE"""),"Campus San Juan Pablo II - CJP")</f>
        <v>Campus San Juan Pablo II - CJP</v>
      </c>
      <c r="K337" s="495" t="str">
        <f>IFERROR(__xludf.DUMMYFUNCTION("""COMPUTED_VALUE"""),"01")</f>
        <v>01</v>
      </c>
      <c r="L337" s="495" t="str">
        <f>IFERROR(__xludf.DUMMYFUNCTION("""COMPUTED_VALUE"""),"Gyg servicios Spa")</f>
        <v>Gyg servicios Spa</v>
      </c>
      <c r="M337" s="495" t="str">
        <f>IFERROR(__xludf.DUMMYFUNCTION("""COMPUTED_VALUE"""),"77.215.624-3")</f>
        <v>77.215.624-3</v>
      </c>
      <c r="N337" s="495" t="str">
        <f>IFERROR(__xludf.DUMMYFUNCTION("""COMPUTED_VALUE"""),"Gustavo Fuentes")</f>
        <v>Gustavo Fuentes</v>
      </c>
      <c r="O337" s="495" t="str">
        <f>IFERROR(__xludf.DUMMYFUNCTION("""COMPUTED_VALUE"""),"Mantenciones")</f>
        <v>Mantenciones</v>
      </c>
      <c r="P337" s="495" t="str">
        <f>IFERROR(__xludf.DUMMYFUNCTION("""COMPUTED_VALUE"""),"Instalaciones Eléctricas")</f>
        <v>Instalaciones Eléctricas</v>
      </c>
      <c r="Q337" s="495"/>
      <c r="R337" s="495"/>
      <c r="S337" s="495"/>
      <c r="T337" s="495"/>
      <c r="U337" s="495"/>
      <c r="V337" s="495" t="str">
        <f>IFERROR(__xludf.DUMMYFUNCTION("""COMPUTED_VALUE"""),"Reparación de barrera vehicular y bicicletero")</f>
        <v>Reparación de barrera vehicular y bicicletero</v>
      </c>
      <c r="W337" s="495"/>
      <c r="X337" s="495" t="str">
        <f>IFERROR(__xludf.DUMMYFUNCTION("""COMPUTED_VALUE"""),"https://drive.google.com/open?id=1Zbmc8Jm3mpEab1w59BmXwB1Qh02jTsr9, https://drive.google.com/open?id=11gPjxr_x5JR2dgWwQElA_SU4IZ7_rHGa, https://drive.google.com/open?id=1YxWNWgBsZy5g5NPP00BmyLN_cgUtzbbE, https://drive.google.com/open?id=12-evCkZgZjmtyMxTk"&amp;"Utoj9Ayg-Pd6xIB, https://drive.google.com/open?id=1qp_k3oA9_rjoRs-MKJA_XBxn5IOyi-Gl")</f>
        <v>https://drive.google.com/open?id=1Zbmc8Jm3mpEab1w59BmXwB1Qh02jTsr9, https://drive.google.com/open?id=11gPjxr_x5JR2dgWwQElA_SU4IZ7_rHGa, https://drive.google.com/open?id=1YxWNWgBsZy5g5NPP00BmyLN_cgUtzbbE, https://drive.google.com/open?id=12-evCkZgZjmtyMxTkUtoj9Ayg-Pd6xIB, https://drive.google.com/open?id=1qp_k3oA9_rjoRs-MKJA_XBxn5IOyi-Gl</v>
      </c>
      <c r="Y337" s="495" t="str">
        <f>IFERROR(__xludf.DUMMYFUNCTION("""COMPUTED_VALUE"""),"contacto@gygtecnologia.com")</f>
        <v>contacto@gygtecnologia.com</v>
      </c>
      <c r="Z337" s="495"/>
      <c r="AA337" s="495"/>
      <c r="AB337" s="495"/>
      <c r="AC337" s="495"/>
      <c r="AD337" s="495" t="str">
        <f>IFERROR(__xludf.DUMMYFUNCTION("""COMPUTED_VALUE"""),"RC-037_26")</f>
        <v>RC-037_26</v>
      </c>
    </row>
    <row r="338">
      <c r="A338" s="495" t="str">
        <f t="shared" si="1"/>
        <v>RC-036_26</v>
      </c>
      <c r="B338" s="497">
        <f>IFERROR(__xludf.DUMMYFUNCTION("""COMPUTED_VALUE"""),46101.45989572917)</f>
        <v>46101.4599</v>
      </c>
      <c r="C338" s="495" t="str">
        <f>IFERROR(__xludf.DUMMYFUNCTION("""COMPUTED_VALUE"""),"")</f>
        <v/>
      </c>
      <c r="D338" s="495" t="str">
        <f>IFERROR(__xludf.DUMMYFUNCTION("""COMPUTED_VALUE"""),"Arturo Meza Vega")</f>
        <v>Arturo Meza Vega</v>
      </c>
      <c r="E338" s="495"/>
      <c r="F338" s="496" t="str">
        <f>IFERROR(__xludf.DUMMYFUNCTION("""COMPUTED_VALUE"""),"1578 - 2026")</f>
        <v>1578 - 2026</v>
      </c>
      <c r="G338" s="495"/>
      <c r="H338" s="495"/>
      <c r="I338" s="495"/>
      <c r="J338" s="495" t="str">
        <f>IFERROR(__xludf.DUMMYFUNCTION("""COMPUTED_VALUE"""),"Campus Dr. Luis Rivas del Canto - CRC")</f>
        <v>Campus Dr. Luis Rivas del Canto - CRC</v>
      </c>
      <c r="K338" s="495" t="str">
        <f>IFERROR(__xludf.DUMMYFUNCTION("""COMPUTED_VALUE"""),"01")</f>
        <v>01</v>
      </c>
      <c r="L338" s="495" t="str">
        <f>IFERROR(__xludf.DUMMYFUNCTION("""COMPUTED_VALUE"""),"Gyg servicio SPA")</f>
        <v>Gyg servicio SPA</v>
      </c>
      <c r="M338" s="495" t="str">
        <f>IFERROR(__xludf.DUMMYFUNCTION("""COMPUTED_VALUE"""),"77.215.624-3")</f>
        <v>77.215.624-3</v>
      </c>
      <c r="N338" s="495" t="str">
        <f>IFERROR(__xludf.DUMMYFUNCTION("""COMPUTED_VALUE"""),"Gustavo Fuentes - Supervisor técnico ")</f>
        <v>Gustavo Fuentes - Supervisor técnico </v>
      </c>
      <c r="O338" s="495" t="str">
        <f>IFERROR(__xludf.DUMMYFUNCTION("""COMPUTED_VALUE"""),"Mantenciones")</f>
        <v>Mantenciones</v>
      </c>
      <c r="P338" s="495" t="str">
        <f>IFERROR(__xludf.DUMMYFUNCTION("""COMPUTED_VALUE"""),"Instalaciones Eléctricas")</f>
        <v>Instalaciones Eléctricas</v>
      </c>
      <c r="Q338" s="495"/>
      <c r="R338" s="495"/>
      <c r="S338" s="495"/>
      <c r="T338" s="495"/>
      <c r="U338" s="495"/>
      <c r="V338" s="495" t="str">
        <f>IFERROR(__xludf.DUMMYFUNCTION("""COMPUTED_VALUE"""),"Instalación de rack de comunicación para servidor ")</f>
        <v>Instalación de rack de comunicación para servidor </v>
      </c>
      <c r="W338" s="495"/>
      <c r="X338" s="495" t="str">
        <f>IFERROR(__xludf.DUMMYFUNCTION("""COMPUTED_VALUE"""),"https://drive.google.com/open?id=1k6zrsWMmXaYuiN7Imtiv_5Me1maAz9fu, https://drive.google.com/open?id=1x8QPYjxjWkTg-PIfeFdHdmQhGYFnBVep, https://drive.google.com/open?id=1FSYksvlTSqrBodD9O_8QyL-WvzxaQtMn")</f>
        <v>https://drive.google.com/open?id=1k6zrsWMmXaYuiN7Imtiv_5Me1maAz9fu, https://drive.google.com/open?id=1x8QPYjxjWkTg-PIfeFdHdmQhGYFnBVep, https://drive.google.com/open?id=1FSYksvlTSqrBodD9O_8QyL-WvzxaQtMn</v>
      </c>
      <c r="Y338" s="495" t="str">
        <f>IFERROR(__xludf.DUMMYFUNCTION("""COMPUTED_VALUE"""),"contacto@gygtecnologias.com")</f>
        <v>contacto@gygtecnologias.com</v>
      </c>
      <c r="Z338" s="495"/>
      <c r="AA338" s="495"/>
      <c r="AB338" s="495"/>
      <c r="AC338" s="495"/>
      <c r="AD338" s="495" t="str">
        <f>IFERROR(__xludf.DUMMYFUNCTION("""COMPUTED_VALUE"""),"RC-036_26")</f>
        <v>RC-036_26</v>
      </c>
    </row>
    <row r="339">
      <c r="A339" s="495" t="str">
        <f t="shared" si="1"/>
        <v>RC-035_26</v>
      </c>
      <c r="B339" s="497">
        <f>IFERROR(__xludf.DUMMYFUNCTION("""COMPUTED_VALUE"""),46100.899457499996)</f>
        <v>46100.89946</v>
      </c>
      <c r="C339" s="495" t="str">
        <f>IFERROR(__xludf.DUMMYFUNCTION("""COMPUTED_VALUE"""),"")</f>
        <v/>
      </c>
      <c r="D339" s="495" t="str">
        <f>IFERROR(__xludf.DUMMYFUNCTION("""COMPUTED_VALUE"""),"Mauricio Matus Belmar")</f>
        <v>Mauricio Matus Belmar</v>
      </c>
      <c r="E339" s="495"/>
      <c r="F339" s="496" t="str">
        <f>IFERROR(__xludf.DUMMYFUNCTION("""COMPUTED_VALUE"""),"1546 - 2026")</f>
        <v>1546 - 2026</v>
      </c>
      <c r="G339" s="495"/>
      <c r="H339" s="495"/>
      <c r="I339" s="495"/>
      <c r="J339" s="495" t="str">
        <f>IFERROR(__xludf.DUMMYFUNCTION("""COMPUTED_VALUE"""),"Campus Monseñor Alejandro Menchaca Lira - CML")</f>
        <v>Campus Monseñor Alejandro Menchaca Lira - CML</v>
      </c>
      <c r="K339" s="495" t="str">
        <f>IFERROR(__xludf.DUMMYFUNCTION("""COMPUTED_VALUE"""),"Exterior")</f>
        <v>Exterior</v>
      </c>
      <c r="L339" s="495" t="str">
        <f>IFERROR(__xludf.DUMMYFUNCTION("""COMPUTED_VALUE"""),"Flavia Oyarzun Soto")</f>
        <v>Flavia Oyarzun Soto</v>
      </c>
      <c r="M339" s="495" t="str">
        <f>IFERROR(__xludf.DUMMYFUNCTION("""COMPUTED_VALUE"""),"5.503.590.-3")</f>
        <v>5.503.590.-3</v>
      </c>
      <c r="N339" s="495" t="str">
        <f>IFERROR(__xludf.DUMMYFUNCTION("""COMPUTED_VALUE"""),"Roberto Lassalle Prado")</f>
        <v>Roberto Lassalle Prado</v>
      </c>
      <c r="O339" s="495" t="str">
        <f>IFERROR(__xludf.DUMMYFUNCTION("""COMPUTED_VALUE"""),"Mantenciones")</f>
        <v>Mantenciones</v>
      </c>
      <c r="P339" s="495" t="str">
        <f>IFERROR(__xludf.DUMMYFUNCTION("""COMPUTED_VALUE"""),"Requerimientos Emergentes e Imprevistos")</f>
        <v>Requerimientos Emergentes e Imprevistos</v>
      </c>
      <c r="Q339" s="495"/>
      <c r="R339" s="495"/>
      <c r="S339" s="495"/>
      <c r="T339" s="495"/>
      <c r="U339" s="495"/>
      <c r="V339" s="495" t="str">
        <f>IFERROR(__xludf.DUMMYFUNCTION("""COMPUTED_VALUE"""),"Demoler base de hormigón ")</f>
        <v>Demoler base de hormigón </v>
      </c>
      <c r="W339" s="495" t="str">
        <f>IFERROR(__xludf.DUMMYFUNCTION("""COMPUTED_VALUE"""),"no hay")</f>
        <v>no hay</v>
      </c>
      <c r="X339" s="495" t="str">
        <f>IFERROR(__xludf.DUMMYFUNCTION("""COMPUTED_VALUE"""),"https://drive.google.com/open?id=13zATk46TtvACdiSmiLno00P-ctgOe3ya, https://drive.google.com/open?id=13ptJB12CJQ63DrNegwQPA6sC9VKux02w, https://drive.google.com/open?id=1RIvFPJaZ3dlW7wOCy_S6qPZtmPlMjoYk")</f>
        <v>https://drive.google.com/open?id=13zATk46TtvACdiSmiLno00P-ctgOe3ya, https://drive.google.com/open?id=13ptJB12CJQ63DrNegwQPA6sC9VKux02w, https://drive.google.com/open?id=1RIvFPJaZ3dlW7wOCy_S6qPZtmPlMjoYk</v>
      </c>
      <c r="Y339" s="495" t="str">
        <f>IFERROR(__xludf.DUMMYFUNCTION("""COMPUTED_VALUE"""),"roberto.lassalle@gmail.com")</f>
        <v>roberto.lassalle@gmail.com</v>
      </c>
      <c r="Z339" s="495"/>
      <c r="AA339" s="495"/>
      <c r="AB339" s="495"/>
      <c r="AC339" s="495"/>
      <c r="AD339" s="495" t="str">
        <f>IFERROR(__xludf.DUMMYFUNCTION("""COMPUTED_VALUE"""),"RC-035_26")</f>
        <v>RC-035_26</v>
      </c>
    </row>
    <row r="340">
      <c r="A340" s="495" t="str">
        <f t="shared" si="1"/>
        <v>RC-017_26</v>
      </c>
      <c r="B340" s="497">
        <f>IFERROR(__xludf.DUMMYFUNCTION("""COMPUTED_VALUE"""),46092.705000173606)</f>
        <v>46092.705</v>
      </c>
      <c r="C340" s="495" t="str">
        <f>IFERROR(__xludf.DUMMYFUNCTION("""COMPUTED_VALUE"""),"")</f>
        <v/>
      </c>
      <c r="D340" s="495" t="str">
        <f>IFERROR(__xludf.DUMMYFUNCTION("""COMPUTED_VALUE"""),"Mauricio Zurita Aldea")</f>
        <v>Mauricio Zurita Aldea</v>
      </c>
      <c r="E340" s="495"/>
      <c r="F340" s="496" t="str">
        <f>IFERROR(__xludf.DUMMYFUNCTION("""COMPUTED_VALUE"""),"13338(parcial) ")</f>
        <v>13338(parcial) </v>
      </c>
      <c r="G340" s="495"/>
      <c r="H340" s="495"/>
      <c r="I340" s="495"/>
      <c r="J340" s="495" t="str">
        <f>IFERROR(__xludf.DUMMYFUNCTION("""COMPUTED_VALUE"""),"Campus San Francisco - CSF")</f>
        <v>Campus San Francisco - CSF</v>
      </c>
      <c r="K340" s="495">
        <f>IFERROR(__xludf.DUMMYFUNCTION("""COMPUTED_VALUE"""),11.0)</f>
        <v>11</v>
      </c>
      <c r="L340" s="495" t="str">
        <f>IFERROR(__xludf.DUMMYFUNCTION("""COMPUTED_VALUE"""),"GYO TECHNOLOGIES INVESTMENT SPA")</f>
        <v>GYO TECHNOLOGIES INVESTMENT SPA</v>
      </c>
      <c r="M340" s="495" t="str">
        <f>IFERROR(__xludf.DUMMYFUNCTION("""COMPUTED_VALUE"""),"78097456-7")</f>
        <v>78097456-7</v>
      </c>
      <c r="N340" s="495" t="str">
        <f>IFERROR(__xludf.DUMMYFUNCTION("""COMPUTED_VALUE"""),"FELIPE OPORTO ROA / DIRECTOR DE OPERACIONES")</f>
        <v>FELIPE OPORTO ROA / DIRECTOR DE OPERACIONES</v>
      </c>
      <c r="O340" s="495" t="str">
        <f>IFERROR(__xludf.DUMMYFUNCTION("""COMPUTED_VALUE"""),"Obras y Especialidades")</f>
        <v>Obras y Especialidades</v>
      </c>
      <c r="P340" s="495"/>
      <c r="Q340" s="495"/>
      <c r="R340" s="495" t="str">
        <f>IFERROR(__xludf.DUMMYFUNCTION("""COMPUTED_VALUE"""),"Especialidades")</f>
        <v>Especialidades</v>
      </c>
      <c r="S340" s="495" t="str">
        <f>IFERROR(__xludf.DUMMYFUNCTION("""COMPUTED_VALUE"""),"Estado de Pago - EP")</f>
        <v>Estado de Pago - EP</v>
      </c>
      <c r="T340" s="495" t="str">
        <f>IFERROR(__xludf.DUMMYFUNCTION("""COMPUTED_VALUE"""),"0 (Anticipo)")</f>
        <v>0 (Anticipo)</v>
      </c>
      <c r="U340" s="498">
        <f>IFERROR(__xludf.DUMMYFUNCTION("""COMPUTED_VALUE"""),6959044.0)</f>
        <v>6959044</v>
      </c>
      <c r="V340" s="495" t="str">
        <f>IFERROR(__xludf.DUMMYFUNCTION("""COMPUTED_VALUE"""),"HABILITACION DE MONITOREO DE TEMPERATURAS EN EDIFICIO SAN FRANCISCO, 5 PISOS")</f>
        <v>HABILITACION DE MONITOREO DE TEMPERATURAS EN EDIFICIO SAN FRANCISCO, 5 PISOS</v>
      </c>
      <c r="W340" s="495" t="str">
        <f>IFERROR(__xludf.DUMMYFUNCTION("""COMPUTED_VALUE"""),"SIN OBSERVACIONES, SISTEMA INTERCONECTARA AL CONTROL AUTOMATICO DE BOMBAS DE CALDERA")</f>
        <v>SIN OBSERVACIONES, SISTEMA INTERCONECTARA AL CONTROL AUTOMATICO DE BOMBAS DE CALDERA</v>
      </c>
      <c r="X340" s="495" t="str">
        <f>IFERROR(__xludf.DUMMYFUNCTION("""COMPUTED_VALUE"""),"https://drive.google.com/open?id=1-ST8d9uqjDp0YX5mTdDMrijhV_BSVzl2, https://drive.google.com/open?id=1FIJ8K_soJi0NrDVGK6iMAxA742yWqZph, https://drive.google.com/open?id=1Ga6RZI5x3qkOS-7g9Bac5bR2Jkj6fhZv, https://drive.google.com/open?id=1n3MvS4_Odc7VVisvj"&amp;"vldgzUlvsbpqMG0, https://drive.google.com/open?id=1kSA3AaVR_uH9YU5ojWBZ8a-JSUWVVbQo, https://drive.google.com/open?id=1YOolsD42Wz_j-LpZ4cIil1h4YNedmoRd")</f>
        <v>https://drive.google.com/open?id=1-ST8d9uqjDp0YX5mTdDMrijhV_BSVzl2, https://drive.google.com/open?id=1FIJ8K_soJi0NrDVGK6iMAxA742yWqZph, https://drive.google.com/open?id=1Ga6RZI5x3qkOS-7g9Bac5bR2Jkj6fhZv, https://drive.google.com/open?id=1n3MvS4_Odc7VVisvjvldgzUlvsbpqMG0, https://drive.google.com/open?id=1kSA3AaVR_uH9YU5ojWBZ8a-JSUWVVbQo, https://drive.google.com/open?id=1YOolsD42Wz_j-LpZ4cIil1h4YNedmoRd</v>
      </c>
      <c r="Y340" s="495" t="str">
        <f>IFERROR(__xludf.DUMMYFUNCTION("""COMPUTED_VALUE"""),"contacto@gyotechnologies.com")</f>
        <v>contacto@gyotechnologies.com</v>
      </c>
      <c r="Z340" s="495"/>
      <c r="AA340" s="495"/>
      <c r="AB340" s="495"/>
      <c r="AC340" s="495"/>
      <c r="AD340" s="495" t="str">
        <f>IFERROR(__xludf.DUMMYFUNCTION("""COMPUTED_VALUE"""),"RC-017_26")</f>
        <v>RC-017_26</v>
      </c>
    </row>
    <row r="341">
      <c r="A341" s="495" t="str">
        <f t="shared" si="1"/>
        <v>RC-034_26</v>
      </c>
      <c r="B341" s="497">
        <f>IFERROR(__xludf.DUMMYFUNCTION("""COMPUTED_VALUE"""),46099.779081932866)</f>
        <v>46099.77908</v>
      </c>
      <c r="C341" s="495" t="str">
        <f>IFERROR(__xludf.DUMMYFUNCTION("""COMPUTED_VALUE"""),"")</f>
        <v/>
      </c>
      <c r="D341" s="495" t="str">
        <f>IFERROR(__xludf.DUMMYFUNCTION("""COMPUTED_VALUE"""),"Mauricio Zurita Aldea")</f>
        <v>Mauricio Zurita Aldea</v>
      </c>
      <c r="E341" s="495"/>
      <c r="F341" s="496" t="str">
        <f>IFERROR(__xludf.DUMMYFUNCTION("""COMPUTED_VALUE"""),"680-2026")</f>
        <v>680-2026</v>
      </c>
      <c r="G341" s="495"/>
      <c r="H341" s="495"/>
      <c r="I341" s="495"/>
      <c r="J341" s="495" t="str">
        <f>IFERROR(__xludf.DUMMYFUNCTION("""COMPUTED_VALUE"""),"Campus Dr. Luis Rivas del Canto - CRC")</f>
        <v>Campus Dr. Luis Rivas del Canto - CRC</v>
      </c>
      <c r="K341" s="495">
        <f>IFERROR(__xludf.DUMMYFUNCTION("""COMPUTED_VALUE"""),18.0)</f>
        <v>18</v>
      </c>
      <c r="L341" s="495" t="str">
        <f>IFERROR(__xludf.DUMMYFUNCTION("""COMPUTED_VALUE"""),"G y g servicios SPA")</f>
        <v>G y g servicios SPA</v>
      </c>
      <c r="M341" s="495" t="str">
        <f>IFERROR(__xludf.DUMMYFUNCTION("""COMPUTED_VALUE"""),"77.215.624-3")</f>
        <v>77.215.624-3</v>
      </c>
      <c r="N341" s="495" t="str">
        <f>IFERROR(__xludf.DUMMYFUNCTION("""COMPUTED_VALUE"""),"Gustavo Fuentes- supervisor técnico")</f>
        <v>Gustavo Fuentes- supervisor técnico</v>
      </c>
      <c r="O341" s="495" t="str">
        <f>IFERROR(__xludf.DUMMYFUNCTION("""COMPUTED_VALUE"""),"Mantenciones")</f>
        <v>Mantenciones</v>
      </c>
      <c r="P341" s="495" t="str">
        <f>IFERROR(__xludf.DUMMYFUNCTION("""COMPUTED_VALUE"""),"Alarmas de Incendio")</f>
        <v>Alarmas de Incendio</v>
      </c>
      <c r="Q341" s="495"/>
      <c r="R341" s="495"/>
      <c r="S341" s="495"/>
      <c r="T341" s="495"/>
      <c r="U341" s="495"/>
      <c r="V341" s="495" t="str">
        <f>IFERROR(__xludf.DUMMYFUNCTION("""COMPUTED_VALUE"""),"Instalación de alarma de intrusión CRC 18.")</f>
        <v>Instalación de alarma de intrusión CRC 18.</v>
      </c>
      <c r="W341" s="495" t="str">
        <f>IFERROR(__xludf.DUMMYFUNCTION("""COMPUTED_VALUE"""),"Se capacita a personal encargado y auxiliar de servicio.")</f>
        <v>Se capacita a personal encargado y auxiliar de servicio.</v>
      </c>
      <c r="X341" s="495" t="str">
        <f>IFERROR(__xludf.DUMMYFUNCTION("""COMPUTED_VALUE"""),"https://drive.google.com/open?id=1Bz4ViFyF08BScwg8YcJBx2HqOPSwAart, https://drive.google.com/open?id=1xwZvm1PeuE6nW4l5Vgqg0gHcYyl82fQp, https://drive.google.com/open?id=1yPjdTD4cjDpxRxaGAHxdtld_m8bw-8RW")</f>
        <v>https://drive.google.com/open?id=1Bz4ViFyF08BScwg8YcJBx2HqOPSwAart, https://drive.google.com/open?id=1xwZvm1PeuE6nW4l5Vgqg0gHcYyl82fQp, https://drive.google.com/open?id=1yPjdTD4cjDpxRxaGAHxdtld_m8bw-8RW</v>
      </c>
      <c r="Y341" s="495" t="str">
        <f>IFERROR(__xludf.DUMMYFUNCTION("""COMPUTED_VALUE"""),"contacto@gygtecnologias.com")</f>
        <v>contacto@gygtecnologias.com</v>
      </c>
      <c r="Z341" s="495"/>
      <c r="AA341" s="498">
        <f>IFERROR(__xludf.DUMMYFUNCTION("""COMPUTED_VALUE"""),1616020.0)</f>
        <v>1616020</v>
      </c>
      <c r="AB341" s="495"/>
      <c r="AC341" s="495"/>
      <c r="AD341" s="495" t="str">
        <f>IFERROR(__xludf.DUMMYFUNCTION("""COMPUTED_VALUE"""),"RC-034_26")</f>
        <v>RC-034_26</v>
      </c>
    </row>
    <row r="342">
      <c r="A342" s="495" t="str">
        <f t="shared" si="1"/>
        <v>RC-032_26</v>
      </c>
      <c r="B342" s="497">
        <f>IFERROR(__xludf.DUMMYFUNCTION("""COMPUTED_VALUE"""),46099.44846194444)</f>
        <v>46099.44846</v>
      </c>
      <c r="C342" s="495" t="str">
        <f>IFERROR(__xludf.DUMMYFUNCTION("""COMPUTED_VALUE"""),"")</f>
        <v/>
      </c>
      <c r="D342" s="495" t="str">
        <f>IFERROR(__xludf.DUMMYFUNCTION("""COMPUTED_VALUE"""),"Leonor Ríos Morales")</f>
        <v>Leonor Ríos Morales</v>
      </c>
      <c r="E342" s="495"/>
      <c r="F342" s="496" t="str">
        <f>IFERROR(__xludf.DUMMYFUNCTION("""COMPUTED_VALUE"""),"1282-2025")</f>
        <v>1282-2025</v>
      </c>
      <c r="G342" s="495"/>
      <c r="H342" s="495"/>
      <c r="I342" s="495"/>
      <c r="J342" s="495" t="str">
        <f>IFERROR(__xludf.DUMMYFUNCTION("""COMPUTED_VALUE"""),"Campus San Francisco - CSF")</f>
        <v>Campus San Francisco - CSF</v>
      </c>
      <c r="K342" s="495">
        <f>IFERROR(__xludf.DUMMYFUNCTION("""COMPUTED_VALUE"""),12.0)</f>
        <v>12</v>
      </c>
      <c r="L342" s="495" t="str">
        <f>IFERROR(__xludf.DUMMYFUNCTION("""COMPUTED_VALUE"""),"ENILDA TERESA FIGUEROA MELLADO")</f>
        <v>ENILDA TERESA FIGUEROA MELLADO</v>
      </c>
      <c r="M342" s="495" t="str">
        <f>IFERROR(__xludf.DUMMYFUNCTION("""COMPUTED_VALUE"""),"6.189.318-0")</f>
        <v>6.189.318-0</v>
      </c>
      <c r="N342" s="495" t="str">
        <f>IFERROR(__xludf.DUMMYFUNCTION("""COMPUTED_VALUE"""),"RODRIGO MEZA - VENDEDOR EN TERRENO")</f>
        <v>RODRIGO MEZA - VENDEDOR EN TERRENO</v>
      </c>
      <c r="O342" s="495" t="str">
        <f>IFERROR(__xludf.DUMMYFUNCTION("""COMPUTED_VALUE"""),"Mantenciones")</f>
        <v>Mantenciones</v>
      </c>
      <c r="P342" s="495" t="str">
        <f>IFERROR(__xludf.DUMMYFUNCTION("""COMPUTED_VALUE"""),"Requerimientos Emergentes e Imprevistos")</f>
        <v>Requerimientos Emergentes e Imprevistos</v>
      </c>
      <c r="Q342" s="495"/>
      <c r="R342" s="495"/>
      <c r="S342" s="495"/>
      <c r="T342" s="495"/>
      <c r="U342" s="495"/>
      <c r="V342" s="495" t="str">
        <f>IFERROR(__xludf.DUMMYFUNCTION("""COMPUTED_VALUE"""),"01 CENTRO DE TRABAJO DE MEDIDAS 160X110X76 CMS. Y 01 MUEBLE ESTANTE FABRICADO EN MELAMINA 18 MM, 500
CICLOS, MARCA MASISA, SEGUN COTIZACION NRO. 2860/25. PARA DOCENTES CSF12_224. (LEONOR RIOS).")</f>
        <v>01 CENTRO DE TRABAJO DE MEDIDAS 160X110X76 CMS. Y 01 MUEBLE ESTANTE FABRICADO EN MELAMINA 18 MM, 500
CICLOS, MARCA MASISA, SEGUN COTIZACION NRO. 2860/25. PARA DOCENTES CSF12_224. (LEONOR RIOS).</v>
      </c>
      <c r="W342" s="495"/>
      <c r="X342" s="495" t="str">
        <f>IFERROR(__xludf.DUMMYFUNCTION("""COMPUTED_VALUE"""),"https://drive.google.com/open?id=126l8DipFKMsrQ4XEa4UdDnxHOa6Y6cuh, https://drive.google.com/open?id=1yXGLu4dc-9WEUpudZ8u_Hq1g2wSrk7Z3, https://drive.google.com/open?id=1cjNZlElJwhN2JwkYD3tPqpz4KdOLM13J")</f>
        <v>https://drive.google.com/open?id=126l8DipFKMsrQ4XEa4UdDnxHOa6Y6cuh, https://drive.google.com/open?id=1yXGLu4dc-9WEUpudZ8u_Hq1g2wSrk7Z3, https://drive.google.com/open?id=1cjNZlElJwhN2JwkYD3tPqpz4KdOLM13J</v>
      </c>
      <c r="Y342" s="495" t="str">
        <f>IFERROR(__xludf.DUMMYFUNCTION("""COMPUTED_VALUE"""),"multimueblestemuco@gmail.com")</f>
        <v>multimueblestemuco@gmail.com</v>
      </c>
      <c r="Z342" s="495"/>
      <c r="AA342" s="495"/>
      <c r="AB342" s="495"/>
      <c r="AC342" s="495"/>
      <c r="AD342" s="495" t="str">
        <f>IFERROR(__xludf.DUMMYFUNCTION("""COMPUTED_VALUE"""),"RC-032_26")</f>
        <v>RC-032_26</v>
      </c>
    </row>
    <row r="343">
      <c r="A343" s="495" t="str">
        <f t="shared" si="1"/>
        <v>RC-030_26</v>
      </c>
      <c r="B343" s="497">
        <f>IFERROR(__xludf.DUMMYFUNCTION("""COMPUTED_VALUE"""),46098.58086434028)</f>
        <v>46098.58086</v>
      </c>
      <c r="C343" s="495" t="str">
        <f>IFERROR(__xludf.DUMMYFUNCTION("""COMPUTED_VALUE"""),"")</f>
        <v/>
      </c>
      <c r="D343" s="495" t="str">
        <f>IFERROR(__xludf.DUMMYFUNCTION("""COMPUTED_VALUE"""),"Carol Huenchual Chañilao")</f>
        <v>Carol Huenchual Chañilao</v>
      </c>
      <c r="E343" s="495"/>
      <c r="F343" s="496" t="str">
        <f>IFERROR(__xludf.DUMMYFUNCTION("""COMPUTED_VALUE"""),"810-2026")</f>
        <v>810-2026</v>
      </c>
      <c r="G343" s="495"/>
      <c r="H343" s="495"/>
      <c r="I343" s="495"/>
      <c r="J343" s="495" t="str">
        <f>IFERROR(__xludf.DUMMYFUNCTION("""COMPUTED_VALUE"""),"Campus San Francisco - CSF")</f>
        <v>Campus San Francisco - CSF</v>
      </c>
      <c r="K343" s="495" t="str">
        <f>IFERROR(__xludf.DUMMYFUNCTION("""COMPUTED_VALUE"""),"02")</f>
        <v>02</v>
      </c>
      <c r="L343" s="495" t="str">
        <f>IFERROR(__xludf.DUMMYFUNCTION("""COMPUTED_VALUE"""),"COMERCIAL K SPA")</f>
        <v>COMERCIAL K SPA</v>
      </c>
      <c r="M343" s="495" t="str">
        <f>IFERROR(__xludf.DUMMYFUNCTION("""COMPUTED_VALUE"""),"77137860-9")</f>
        <v>77137860-9</v>
      </c>
      <c r="N343" s="495" t="str">
        <f>IFERROR(__xludf.DUMMYFUNCTION("""COMPUTED_VALUE"""),"Raquel Villegas")</f>
        <v>Raquel Villegas</v>
      </c>
      <c r="O343" s="495" t="str">
        <f>IFERROR(__xludf.DUMMYFUNCTION("""COMPUTED_VALUE"""),"Mantenciones")</f>
        <v>Mantenciones</v>
      </c>
      <c r="P343" s="495" t="str">
        <f>IFERROR(__xludf.DUMMYFUNCTION("""COMPUTED_VALUE"""),"Requerimientos Emergentes e Imprevistos")</f>
        <v>Requerimientos Emergentes e Imprevistos</v>
      </c>
      <c r="Q343" s="495"/>
      <c r="R343" s="495"/>
      <c r="S343" s="495"/>
      <c r="T343" s="495"/>
      <c r="U343" s="495"/>
      <c r="V343" s="495" t="str">
        <f>IFERROR(__xludf.DUMMYFUNCTION("""COMPUTED_VALUE"""),"Compra dos mudadores para Baños dama - varones edificio CSF02")</f>
        <v>Compra dos mudadores para Baños dama - varones edificio CSF02</v>
      </c>
      <c r="W343" s="495" t="str">
        <f>IFERROR(__xludf.DUMMYFUNCTION("""COMPUTED_VALUE"""),"Compra dos productos")</f>
        <v>Compra dos productos</v>
      </c>
      <c r="X343" s="499" t="str">
        <f>IFERROR(__xludf.DUMMYFUNCTION("""COMPUTED_VALUE"""),"https://drive.google.com/open?id=1D2XcwABNRdI8gvNHVhb10qgKhromGm4N")</f>
        <v>https://drive.google.com/open?id=1D2XcwABNRdI8gvNHVhb10qgKhromGm4N</v>
      </c>
      <c r="Y343" s="495" t="str">
        <f>IFERROR(__xludf.DUMMYFUNCTION("""COMPUTED_VALUE"""),"chuenchual@uct.cl")</f>
        <v>chuenchual@uct.cl</v>
      </c>
      <c r="Z343" s="495"/>
      <c r="AA343" s="495"/>
      <c r="AB343" s="495"/>
      <c r="AC343" s="495"/>
      <c r="AD343" s="495" t="str">
        <f>IFERROR(__xludf.DUMMYFUNCTION("""COMPUTED_VALUE"""),"RC-030_26")</f>
        <v>RC-030_26</v>
      </c>
    </row>
    <row r="344">
      <c r="A344" s="495" t="str">
        <f t="shared" si="1"/>
        <v>RC-029_26</v>
      </c>
      <c r="B344" s="497">
        <f>IFERROR(__xludf.DUMMYFUNCTION("""COMPUTED_VALUE"""),46098.416606875)</f>
        <v>46098.41661</v>
      </c>
      <c r="C344" s="495" t="str">
        <f>IFERROR(__xludf.DUMMYFUNCTION("""COMPUTED_VALUE"""),"")</f>
        <v/>
      </c>
      <c r="D344" s="495" t="str">
        <f>IFERROR(__xludf.DUMMYFUNCTION("""COMPUTED_VALUE"""),"Mauricio Zurita Aldea")</f>
        <v>Mauricio Zurita Aldea</v>
      </c>
      <c r="E344" s="495"/>
      <c r="F344" s="496" t="str">
        <f>IFERROR(__xludf.DUMMYFUNCTION("""COMPUTED_VALUE"""),"12772-2025")</f>
        <v>12772-2025</v>
      </c>
      <c r="G344" s="495"/>
      <c r="H344" s="495"/>
      <c r="I344" s="495"/>
      <c r="J344" s="495" t="str">
        <f>IFERROR(__xludf.DUMMYFUNCTION("""COMPUTED_VALUE"""),"Campus San Francisco - CSF")</f>
        <v>Campus San Francisco - CSF</v>
      </c>
      <c r="K344" s="495">
        <f>IFERROR(__xludf.DUMMYFUNCTION("""COMPUTED_VALUE"""),21.0)</f>
        <v>21</v>
      </c>
      <c r="L344" s="495" t="str">
        <f>IFERROR(__xludf.DUMMYFUNCTION("""COMPUTED_VALUE"""),"INGENIERIA Y CONSTRUCCIONES ELEKTRICA SPA")</f>
        <v>INGENIERIA Y CONSTRUCCIONES ELEKTRICA SPA</v>
      </c>
      <c r="M344" s="495" t="str">
        <f>IFERROR(__xludf.DUMMYFUNCTION("""COMPUTED_VALUE"""),"76.884.395-3")</f>
        <v>76.884.395-3</v>
      </c>
      <c r="N344" s="495" t="str">
        <f>IFERROR(__xludf.DUMMYFUNCTION("""COMPUTED_VALUE"""),"Marco Paine Salgado-Gerente")</f>
        <v>Marco Paine Salgado-Gerente</v>
      </c>
      <c r="O344" s="495" t="str">
        <f>IFERROR(__xludf.DUMMYFUNCTION("""COMPUTED_VALUE"""),"Mantenciones")</f>
        <v>Mantenciones</v>
      </c>
      <c r="P344" s="495" t="str">
        <f>IFERROR(__xludf.DUMMYFUNCTION("""COMPUTED_VALUE"""),"Instalaciones Eléctricas")</f>
        <v>Instalaciones Eléctricas</v>
      </c>
      <c r="Q344" s="495"/>
      <c r="R344" s="495"/>
      <c r="S344" s="495"/>
      <c r="T344" s="495"/>
      <c r="U344" s="495"/>
      <c r="V344" s="495" t="str">
        <f>IFERROR(__xludf.DUMMYFUNCTION("""COMPUTED_VALUE"""),"ESTADO DE PAGO POR 50% REMODELACION DE INSTALACIONES ELECTRICAS DE SALA CSF21_230 PARA LABORATORIO CARRERA TUINF. SEGUN PRESUPUESTO 1886-0")</f>
        <v>ESTADO DE PAGO POR 50% REMODELACION DE INSTALACIONES ELECTRICAS DE SALA CSF21_230 PARA LABORATORIO CARRERA TUINF. SEGUN PRESUPUESTO 1886-0</v>
      </c>
      <c r="W344" s="495"/>
      <c r="X344" s="495" t="str">
        <f>IFERROR(__xludf.DUMMYFUNCTION("""COMPUTED_VALUE"""),"https://drive.google.com/open?id=168bg6Zg4uHfQA7-GnAbGMEyKo0WIqoGh, https://drive.google.com/open?id=1kGWzs84R5BKiouCqQ4Xy06yG1e9_67Tp, https://drive.google.com/open?id=1qJ7Ab5Bycr4KSiGSAvE25lgbQ3kd8BVR, https://drive.google.com/open?id=1Loao8NLIQLoNdrp7l"&amp;"6MeIy0vVd8fBjmw")</f>
        <v>https://drive.google.com/open?id=168bg6Zg4uHfQA7-GnAbGMEyKo0WIqoGh, https://drive.google.com/open?id=1kGWzs84R5BKiouCqQ4Xy06yG1e9_67Tp, https://drive.google.com/open?id=1qJ7Ab5Bycr4KSiGSAvE25lgbQ3kd8BVR, https://drive.google.com/open?id=1Loao8NLIQLoNdrp7l6MeIy0vVd8fBjmw</v>
      </c>
      <c r="Y344" s="495" t="str">
        <f>IFERROR(__xludf.DUMMYFUNCTION("""COMPUTED_VALUE"""),"marcopaine@gmail.com")</f>
        <v>marcopaine@gmail.com</v>
      </c>
      <c r="Z344" s="495"/>
      <c r="AA344" s="495"/>
      <c r="AB344" s="495"/>
      <c r="AC344" s="495"/>
      <c r="AD344" s="495" t="str">
        <f>IFERROR(__xludf.DUMMYFUNCTION("""COMPUTED_VALUE"""),"RC-029_26")</f>
        <v>RC-029_26</v>
      </c>
    </row>
    <row r="345">
      <c r="A345" s="495" t="str">
        <f t="shared" si="1"/>
        <v>RC-028_26</v>
      </c>
      <c r="B345" s="497">
        <f>IFERROR(__xludf.DUMMYFUNCTION("""COMPUTED_VALUE"""),46097.86064221065)</f>
        <v>46097.86064</v>
      </c>
      <c r="C345" s="495" t="str">
        <f>IFERROR(__xludf.DUMMYFUNCTION("""COMPUTED_VALUE"""),"")</f>
        <v/>
      </c>
      <c r="D345" s="495" t="str">
        <f>IFERROR(__xludf.DUMMYFUNCTION("""COMPUTED_VALUE"""),"Carol Huenchual Chañilao")</f>
        <v>Carol Huenchual Chañilao</v>
      </c>
      <c r="E345" s="495"/>
      <c r="F345" s="496" t="str">
        <f>IFERROR(__xludf.DUMMYFUNCTION("""COMPUTED_VALUE"""),"12928-2025")</f>
        <v>12928-2025</v>
      </c>
      <c r="G345" s="495"/>
      <c r="H345" s="495"/>
      <c r="I345" s="495"/>
      <c r="J345" s="495" t="str">
        <f>IFERROR(__xludf.DUMMYFUNCTION("""COMPUTED_VALUE"""),"Campus San Juan Pablo II - CJP")</f>
        <v>Campus San Juan Pablo II - CJP</v>
      </c>
      <c r="K345" s="495" t="str">
        <f>IFERROR(__xludf.DUMMYFUNCTION("""COMPUTED_VALUE"""),"05")</f>
        <v>05</v>
      </c>
      <c r="L345" s="495" t="str">
        <f>IFERROR(__xludf.DUMMYFUNCTION("""COMPUTED_VALUE"""),"Sergio Flores Garrido ")</f>
        <v>Sergio Flores Garrido </v>
      </c>
      <c r="M345" s="495" t="str">
        <f>IFERROR(__xludf.DUMMYFUNCTION("""COMPUTED_VALUE"""),"12.928.980-5")</f>
        <v>12.928.980-5</v>
      </c>
      <c r="N345" s="495" t="str">
        <f>IFERROR(__xludf.DUMMYFUNCTION("""COMPUTED_VALUE"""),"Sergio Flores Garrido ")</f>
        <v>Sergio Flores Garrido </v>
      </c>
      <c r="O345" s="495" t="str">
        <f>IFERROR(__xludf.DUMMYFUNCTION("""COMPUTED_VALUE"""),"Mantenciones")</f>
        <v>Mantenciones</v>
      </c>
      <c r="P345" s="495" t="str">
        <f>IFERROR(__xludf.DUMMYFUNCTION("""COMPUTED_VALUE"""),"Cerramientos Verticales")</f>
        <v>Cerramientos Verticales</v>
      </c>
      <c r="Q345" s="495"/>
      <c r="R345" s="495"/>
      <c r="S345" s="495"/>
      <c r="T345" s="495"/>
      <c r="U345" s="495"/>
      <c r="V345" s="495" t="str">
        <f>IFERROR(__xludf.DUMMYFUNCTION("""COMPUTED_VALUE"""),"Cambio de cristales y termopaneles quebrados.")</f>
        <v>Cambio de cristales y termopaneles quebrados.</v>
      </c>
      <c r="W345" s="495" t="str">
        <f>IFERROR(__xludf.DUMMYFUNCTION("""COMPUTED_VALUE"""),"No requiere seguimiento.")</f>
        <v>No requiere seguimiento.</v>
      </c>
      <c r="X345" s="495" t="str">
        <f>IFERROR(__xludf.DUMMYFUNCTION("""COMPUTED_VALUE"""),"https://drive.google.com/open?id=16HO-XbEV-FbnOeGypuH19J47bQnzhX1R, https://drive.google.com/open?id=1mtsOSrwJCG9mNWxLjiKljfptLEf6Y9oR, https://drive.google.com/open?id=19K-MinlDxfKRhoy1H7j3gwZufaBDLc00")</f>
        <v>https://drive.google.com/open?id=16HO-XbEV-FbnOeGypuH19J47bQnzhX1R, https://drive.google.com/open?id=1mtsOSrwJCG9mNWxLjiKljfptLEf6Y9oR, https://drive.google.com/open?id=19K-MinlDxfKRhoy1H7j3gwZufaBDLc00</v>
      </c>
      <c r="Y345" s="495" t="str">
        <f>IFERROR(__xludf.DUMMYFUNCTION("""COMPUTED_VALUE"""),"sergiofloresgarrido19731217@gmail.com")</f>
        <v>sergiofloresgarrido19731217@gmail.com</v>
      </c>
      <c r="Z345" s="495"/>
      <c r="AA345" s="495"/>
      <c r="AB345" s="495"/>
      <c r="AC345" s="495"/>
      <c r="AD345" s="495" t="str">
        <f>IFERROR(__xludf.DUMMYFUNCTION("""COMPUTED_VALUE"""),"RC-028_26")</f>
        <v>RC-028_26</v>
      </c>
    </row>
    <row r="346">
      <c r="A346" s="495" t="str">
        <f t="shared" si="1"/>
        <v>RC-026_26</v>
      </c>
      <c r="B346" s="497">
        <f>IFERROR(__xludf.DUMMYFUNCTION("""COMPUTED_VALUE"""),46093.79081931713)</f>
        <v>46093.79082</v>
      </c>
      <c r="C346" s="495" t="str">
        <f>IFERROR(__xludf.DUMMYFUNCTION("""COMPUTED_VALUE"""),"")</f>
        <v/>
      </c>
      <c r="D346" s="495" t="str">
        <f>IFERROR(__xludf.DUMMYFUNCTION("""COMPUTED_VALUE"""),"Felipe Anselme Grandón")</f>
        <v>Felipe Anselme Grandón</v>
      </c>
      <c r="E346" s="495"/>
      <c r="F346" s="496" t="str">
        <f>IFERROR(__xludf.DUMMYFUNCTION("""COMPUTED_VALUE"""),"1223-2026")</f>
        <v>1223-2026</v>
      </c>
      <c r="G346" s="495"/>
      <c r="H346" s="495"/>
      <c r="I346" s="495"/>
      <c r="J346" s="495" t="str">
        <f>IFERROR(__xludf.DUMMYFUNCTION("""COMPUTED_VALUE"""),"Campus San Francisco - CSF")</f>
        <v>Campus San Francisco - CSF</v>
      </c>
      <c r="K346" s="495">
        <f>IFERROR(__xludf.DUMMYFUNCTION("""COMPUTED_VALUE"""),11.0)</f>
        <v>11</v>
      </c>
      <c r="L346" s="495" t="str">
        <f>IFERROR(__xludf.DUMMYFUNCTION("""COMPUTED_VALUE"""),"Flavia Oyarzun Soto")</f>
        <v>Flavia Oyarzun Soto</v>
      </c>
      <c r="M346" s="495" t="str">
        <f>IFERROR(__xludf.DUMMYFUNCTION("""COMPUTED_VALUE"""),"5.503.590-3")</f>
        <v>5.503.590-3</v>
      </c>
      <c r="N346" s="495" t="str">
        <f>IFERROR(__xludf.DUMMYFUNCTION("""COMPUTED_VALUE"""),"Roberto Lassalle Prado - Supervisor de obra")</f>
        <v>Roberto Lassalle Prado - Supervisor de obra</v>
      </c>
      <c r="O346" s="495" t="str">
        <f>IFERROR(__xludf.DUMMYFUNCTION("""COMPUTED_VALUE"""),"Mantenciones")</f>
        <v>Mantenciones</v>
      </c>
      <c r="P346" s="495" t="str">
        <f>IFERROR(__xludf.DUMMYFUNCTION("""COMPUTED_VALUE"""),"Cubiertas")</f>
        <v>Cubiertas</v>
      </c>
      <c r="Q346" s="495"/>
      <c r="R346" s="495"/>
      <c r="S346" s="495"/>
      <c r="T346" s="495"/>
      <c r="U346" s="495"/>
      <c r="V346" s="495" t="str">
        <f>IFERROR(__xludf.DUMMYFUNCTION("""COMPUTED_VALUE"""),"Reposición de tornillos de techo, sellado de tornillos de techo, limpieza de canales por lluvia y aplicación de igol premium e igol denso.")</f>
        <v>Reposición de tornillos de techo, sellado de tornillos de techo, limpieza de canales por lluvia y aplicación de igol premium e igol denso.</v>
      </c>
      <c r="W346" s="495" t="str">
        <f>IFERROR(__xludf.DUMMYFUNCTION("""COMPUTED_VALUE"""),"No.")</f>
        <v>No.</v>
      </c>
      <c r="X346" s="495" t="str">
        <f>IFERROR(__xludf.DUMMYFUNCTION("""COMPUTED_VALUE"""),"https://drive.google.com/open?id=1Kg-Cthxa9dMFY2HLvwk6F7e71cUUvZbI, https://drive.google.com/open?id=1Qrs9dO3ZJbDszV9HBaLP4kb_MtfDDNRl, https://drive.google.com/open?id=1soWlKIfKz6g6axu6iPw1MaVECahP6joa, https://drive.google.com/open?id=1MY7Moc1Y2JpZRz23h"&amp;"6o1zImrbHd5G7JD")</f>
        <v>https://drive.google.com/open?id=1Kg-Cthxa9dMFY2HLvwk6F7e71cUUvZbI, https://drive.google.com/open?id=1Qrs9dO3ZJbDszV9HBaLP4kb_MtfDDNRl, https://drive.google.com/open?id=1soWlKIfKz6g6axu6iPw1MaVECahP6joa, https://drive.google.com/open?id=1MY7Moc1Y2JpZRz23h6o1zImrbHd5G7JD</v>
      </c>
      <c r="Y346" s="495" t="str">
        <f>IFERROR(__xludf.DUMMYFUNCTION("""COMPUTED_VALUE"""),"roberto.lassalle@gmail.com")</f>
        <v>roberto.lassalle@gmail.com</v>
      </c>
      <c r="Z346" s="495"/>
      <c r="AA346" s="495"/>
      <c r="AB346" s="495"/>
      <c r="AC346" s="495"/>
      <c r="AD346" s="495" t="str">
        <f>IFERROR(__xludf.DUMMYFUNCTION("""COMPUTED_VALUE"""),"RC-026_26")</f>
        <v>RC-026_26</v>
      </c>
    </row>
    <row r="347">
      <c r="A347" s="495" t="str">
        <f t="shared" si="1"/>
        <v>RC-024_26</v>
      </c>
      <c r="B347" s="497">
        <f>IFERROR(__xludf.DUMMYFUNCTION("""COMPUTED_VALUE"""),46093.467645069446)</f>
        <v>46093.46765</v>
      </c>
      <c r="C347" s="495" t="str">
        <f>IFERROR(__xludf.DUMMYFUNCTION("""COMPUTED_VALUE"""),"")</f>
        <v/>
      </c>
      <c r="D347" s="495" t="str">
        <f>IFERROR(__xludf.DUMMYFUNCTION("""COMPUTED_VALUE"""),"Mauricio Zurita Aldea")</f>
        <v>Mauricio Zurita Aldea</v>
      </c>
      <c r="E347" s="495"/>
      <c r="F347" s="496" t="str">
        <f>IFERROR(__xludf.DUMMYFUNCTION("""COMPUTED_VALUE"""),"681-2026")</f>
        <v>681-2026</v>
      </c>
      <c r="G347" s="495"/>
      <c r="H347" s="495"/>
      <c r="I347" s="495"/>
      <c r="J347" s="495" t="str">
        <f>IFERROR(__xludf.DUMMYFUNCTION("""COMPUTED_VALUE"""),"Campus San Francisco - CSF")</f>
        <v>Campus San Francisco - CSF</v>
      </c>
      <c r="K347" s="495" t="str">
        <f>IFERROR(__xludf.DUMMYFUNCTION("""COMPUTED_VALUE"""),"Sin número")</f>
        <v>Sin número</v>
      </c>
      <c r="L347" s="495" t="str">
        <f>IFERROR(__xludf.DUMMYFUNCTION("""COMPUTED_VALUE"""),"Gyg servicios SPA")</f>
        <v>Gyg servicios SPA</v>
      </c>
      <c r="M347" s="495" t="str">
        <f>IFERROR(__xludf.DUMMYFUNCTION("""COMPUTED_VALUE"""),"77.215.624-3")</f>
        <v>77.215.624-3</v>
      </c>
      <c r="N347" s="495" t="str">
        <f>IFERROR(__xludf.DUMMYFUNCTION("""COMPUTED_VALUE"""),"Gustavo Fuentes , supervisor técnico.")</f>
        <v>Gustavo Fuentes , supervisor técnico.</v>
      </c>
      <c r="O347" s="495" t="str">
        <f>IFERROR(__xludf.DUMMYFUNCTION("""COMPUTED_VALUE"""),"Mantenciones")</f>
        <v>Mantenciones</v>
      </c>
      <c r="P347" s="495" t="str">
        <f>IFERROR(__xludf.DUMMYFUNCTION("""COMPUTED_VALUE"""),"Instalaciones Eléctricas")</f>
        <v>Instalaciones Eléctricas</v>
      </c>
      <c r="Q347" s="495"/>
      <c r="R347" s="495"/>
      <c r="S347" s="495"/>
      <c r="T347" s="495"/>
      <c r="U347" s="495"/>
      <c r="V347" s="495" t="str">
        <f>IFERROR(__xludf.DUMMYFUNCTION("""COMPUTED_VALUE"""),"INSTALACIÓN 4 PUNTOS DE RED Y ENCHUFES PARA TOTEM")</f>
        <v>INSTALACIÓN 4 PUNTOS DE RED Y ENCHUFES PARA TOTEM</v>
      </c>
      <c r="W347" s="495" t="str">
        <f>IFERROR(__xludf.DUMMYFUNCTION("""COMPUTED_VALUE"""),"INSTALACIÓN EJECUTADA CORRECTAMENTE")</f>
        <v>INSTALACIÓN EJECUTADA CORRECTAMENTE</v>
      </c>
      <c r="X347" s="495" t="str">
        <f>IFERROR(__xludf.DUMMYFUNCTION("""COMPUTED_VALUE"""),"https://drive.google.com/open?id=1Wh_xvkJQZXShGCNIwCAVRqkDQJnW91zF, https://drive.google.com/open?id=1AjtDq0kmouiJxcvC9pBZq2mvfKQx8AHi, https://drive.google.com/open?id=12u13-U2D9r0Dxwyujl-hrMdQ-_BRlLv-, https://drive.google.com/open?id=1EWO1rwAxknOULqBoA"&amp;"WLMKuFFDKrtspzd")</f>
        <v>https://drive.google.com/open?id=1Wh_xvkJQZXShGCNIwCAVRqkDQJnW91zF, https://drive.google.com/open?id=1AjtDq0kmouiJxcvC9pBZq2mvfKQx8AHi, https://drive.google.com/open?id=12u13-U2D9r0Dxwyujl-hrMdQ-_BRlLv-, https://drive.google.com/open?id=1EWO1rwAxknOULqBoAWLMKuFFDKrtspzd</v>
      </c>
      <c r="Y347" s="495" t="str">
        <f>IFERROR(__xludf.DUMMYFUNCTION("""COMPUTED_VALUE"""),"contacto@gygtecnologias.com")</f>
        <v>contacto@gygtecnologias.com</v>
      </c>
      <c r="Z347" s="495"/>
      <c r="AA347" s="495"/>
      <c r="AB347" s="495"/>
      <c r="AC347" s="495"/>
      <c r="AD347" s="495" t="str">
        <f>IFERROR(__xludf.DUMMYFUNCTION("""COMPUTED_VALUE"""),"RC-024_26")</f>
        <v>RC-024_26</v>
      </c>
    </row>
    <row r="348">
      <c r="A348" s="495" t="str">
        <f t="shared" si="1"/>
        <v>RC-025_26</v>
      </c>
      <c r="B348" s="497">
        <f>IFERROR(__xludf.DUMMYFUNCTION("""COMPUTED_VALUE"""),46093.47989574074)</f>
        <v>46093.4799</v>
      </c>
      <c r="C348" s="495" t="str">
        <f>IFERROR(__xludf.DUMMYFUNCTION("""COMPUTED_VALUE"""),"")</f>
        <v/>
      </c>
      <c r="D348" s="495" t="str">
        <f>IFERROR(__xludf.DUMMYFUNCTION("""COMPUTED_VALUE"""),"Mauricio Zurita Aldea")</f>
        <v>Mauricio Zurita Aldea</v>
      </c>
      <c r="E348" s="495"/>
      <c r="F348" s="496" t="str">
        <f>IFERROR(__xludf.DUMMYFUNCTION("""COMPUTED_VALUE"""),"13338 parcial")</f>
        <v>13338 parcial</v>
      </c>
      <c r="G348" s="495"/>
      <c r="H348" s="495"/>
      <c r="I348" s="495"/>
      <c r="J348" s="495" t="str">
        <f>IFERROR(__xludf.DUMMYFUNCTION("""COMPUTED_VALUE"""),"Campus San Francisco - CSF")</f>
        <v>Campus San Francisco - CSF</v>
      </c>
      <c r="K348" s="495">
        <f>IFERROR(__xludf.DUMMYFUNCTION("""COMPUTED_VALUE"""),11.0)</f>
        <v>11</v>
      </c>
      <c r="L348" s="495" t="str">
        <f>IFERROR(__xludf.DUMMYFUNCTION("""COMPUTED_VALUE"""),"GYO TECHNOLOGIES INVESTMENT SPA")</f>
        <v>GYO TECHNOLOGIES INVESTMENT SPA</v>
      </c>
      <c r="M348" s="495" t="str">
        <f>IFERROR(__xludf.DUMMYFUNCTION("""COMPUTED_VALUE"""),"78097456-7")</f>
        <v>78097456-7</v>
      </c>
      <c r="N348" s="495" t="str">
        <f>IFERROR(__xludf.DUMMYFUNCTION("""COMPUTED_VALUE"""),"FELIPE OPORTO ROA")</f>
        <v>FELIPE OPORTO ROA</v>
      </c>
      <c r="O348" s="495" t="str">
        <f>IFERROR(__xludf.DUMMYFUNCTION("""COMPUTED_VALUE"""),"Obras y Especialidades")</f>
        <v>Obras y Especialidades</v>
      </c>
      <c r="P348" s="495"/>
      <c r="Q348" s="495"/>
      <c r="R348" s="495" t="str">
        <f>IFERROR(__xludf.DUMMYFUNCTION("""COMPUTED_VALUE"""),"Especialidades")</f>
        <v>Especialidades</v>
      </c>
      <c r="S348" s="495" t="str">
        <f>IFERROR(__xludf.DUMMYFUNCTION("""COMPUTED_VALUE"""),"Estado de Pago - EP")</f>
        <v>Estado de Pago - EP</v>
      </c>
      <c r="T348" s="495" t="str">
        <f>IFERROR(__xludf.DUMMYFUNCTION("""COMPUTED_VALUE"""),"0 (Anticipo)")</f>
        <v>0 (Anticipo)</v>
      </c>
      <c r="U348" s="495">
        <f>IFERROR(__xludf.DUMMYFUNCTION("""COMPUTED_VALUE"""),7087282.0)</f>
        <v>7087282</v>
      </c>
      <c r="V348" s="495" t="str">
        <f>IFERROR(__xludf.DUMMYFUNCTION("""COMPUTED_VALUE"""),"MONITOREO TEMPERATURAS EDIFICIO, CONECTIVIDAD A AUTOMATIZACION DE FLUJO DE CALDERAS (BOMBAS)")</f>
        <v>MONITOREO TEMPERATURAS EDIFICIO, CONECTIVIDAD A AUTOMATIZACION DE FLUJO DE CALDERAS (BOMBAS)</v>
      </c>
      <c r="W348" s="495" t="str">
        <f>IFERROR(__xludf.DUMMYFUNCTION("""COMPUTED_VALUE"""),"SIN OBSERVACIONES")</f>
        <v>SIN OBSERVACIONES</v>
      </c>
      <c r="X348" s="495" t="str">
        <f>IFERROR(__xludf.DUMMYFUNCTION("""COMPUTED_VALUE"""),"https://drive.google.com/open?id=19ajBq6yb1Yhpl_yRGFfHtuexrqhnJ8Nj, https://drive.google.com/open?id=1ra-VcJEgRJRaiDlrWBIgGkl6Kbr82KVd, https://drive.google.com/open?id=1PqCF0tlstj0wFMema7phI6rwIkQoHedZ, https://drive.google.com/open?id=1lt4PWYHoMeTuCpTb3"&amp;"kU3HFqRxPkO9q6e, https://drive.google.com/open?id=1PgisxMWR7kOZh-UvXnPa9WM8fZzHBFG0, https://drive.google.com/open?id=1lRUye8xFEcc1atPWxBdC5gYz0dmpJsl2")</f>
        <v>https://drive.google.com/open?id=19ajBq6yb1Yhpl_yRGFfHtuexrqhnJ8Nj, https://drive.google.com/open?id=1ra-VcJEgRJRaiDlrWBIgGkl6Kbr82KVd, https://drive.google.com/open?id=1PqCF0tlstj0wFMema7phI6rwIkQoHedZ, https://drive.google.com/open?id=1lt4PWYHoMeTuCpTb3kU3HFqRxPkO9q6e, https://drive.google.com/open?id=1PgisxMWR7kOZh-UvXnPa9WM8fZzHBFG0, https://drive.google.com/open?id=1lRUye8xFEcc1atPWxBdC5gYz0dmpJsl2</v>
      </c>
      <c r="Y348" s="495" t="str">
        <f>IFERROR(__xludf.DUMMYFUNCTION("""COMPUTED_VALUE"""),"contacto@gyotechnologies.com")</f>
        <v>contacto@gyotechnologies.com</v>
      </c>
      <c r="Z348" s="495"/>
      <c r="AA348" s="495"/>
      <c r="AB348" s="495"/>
      <c r="AC348" s="495"/>
      <c r="AD348" s="495" t="str">
        <f>IFERROR(__xludf.DUMMYFUNCTION("""COMPUTED_VALUE"""),"RC-025_26")</f>
        <v>RC-025_26</v>
      </c>
    </row>
    <row r="349">
      <c r="A349" s="495" t="str">
        <f t="shared" si="1"/>
        <v>RC-023_26</v>
      </c>
      <c r="B349" s="497">
        <f>IFERROR(__xludf.DUMMYFUNCTION("""COMPUTED_VALUE"""),46093.381796851856)</f>
        <v>46093.3818</v>
      </c>
      <c r="C349" s="495" t="str">
        <f>IFERROR(__xludf.DUMMYFUNCTION("""COMPUTED_VALUE"""),"")</f>
        <v/>
      </c>
      <c r="D349" s="495" t="str">
        <f>IFERROR(__xludf.DUMMYFUNCTION("""COMPUTED_VALUE"""),"Mauricio Zurita Aldea")</f>
        <v>Mauricio Zurita Aldea</v>
      </c>
      <c r="E349" s="495"/>
      <c r="F349" s="496" t="str">
        <f>IFERROR(__xludf.DUMMYFUNCTION("""COMPUTED_VALUE"""),"13119 2025")</f>
        <v>13119 2025</v>
      </c>
      <c r="G349" s="495"/>
      <c r="H349" s="495"/>
      <c r="I349" s="495"/>
      <c r="J349" s="495" t="str">
        <f>IFERROR(__xludf.DUMMYFUNCTION("""COMPUTED_VALUE"""),"Campus San Francisco - CSF")</f>
        <v>Campus San Francisco - CSF</v>
      </c>
      <c r="K349" s="495">
        <f>IFERROR(__xludf.DUMMYFUNCTION("""COMPUTED_VALUE"""),21.0)</f>
        <v>21</v>
      </c>
      <c r="L349" s="495" t="str">
        <f>IFERROR(__xludf.DUMMYFUNCTION("""COMPUTED_VALUE"""),"Ingertemuco Ingeniería Spa ")</f>
        <v>Ingertemuco Ingeniería Spa </v>
      </c>
      <c r="M349" s="495" t="str">
        <f>IFERROR(__xludf.DUMMYFUNCTION("""COMPUTED_VALUE"""),"77.369.471-0")</f>
        <v>77.369.471-0</v>
      </c>
      <c r="N349" s="495" t="str">
        <f>IFERROR(__xludf.DUMMYFUNCTION("""COMPUTED_VALUE"""),"Jaime Troncoso ")</f>
        <v>Jaime Troncoso </v>
      </c>
      <c r="O349" s="495" t="str">
        <f>IFERROR(__xludf.DUMMYFUNCTION("""COMPUTED_VALUE"""),"Mantenciones")</f>
        <v>Mantenciones</v>
      </c>
      <c r="P349" s="495" t="str">
        <f>IFERROR(__xludf.DUMMYFUNCTION("""COMPUTED_VALUE"""),"Instalaciones Eléctricas")</f>
        <v>Instalaciones Eléctricas</v>
      </c>
      <c r="Q349" s="495"/>
      <c r="R349" s="495"/>
      <c r="S349" s="495"/>
      <c r="T349" s="495"/>
      <c r="U349" s="495"/>
      <c r="V349" s="495" t="str">
        <f>IFERROR(__xludf.DUMMYFUNCTION("""COMPUTED_VALUE"""),"Adecuaciones de KNX ")</f>
        <v>Adecuaciones de KNX </v>
      </c>
      <c r="W349" s="495"/>
      <c r="X349" s="495" t="str">
        <f>IFERROR(__xludf.DUMMYFUNCTION("""COMPUTED_VALUE"""),"https://drive.google.com/open?id=1oahMJN4wM_SOsODDvEY11Epo9-T_qmbD, https://drive.google.com/open?id=10YByiX9kkh3yGrIXYDYHgvqJuXIqpcrX, https://drive.google.com/open?id=18t9PLZRo_x1uN5j1C7yZ71Dj7BWSkn1u, https://drive.google.com/open?id=1czZ4RI5t5hym8P8_I"&amp;"asAqqKHXIybXCgF")</f>
        <v>https://drive.google.com/open?id=1oahMJN4wM_SOsODDvEY11Epo9-T_qmbD, https://drive.google.com/open?id=10YByiX9kkh3yGrIXYDYHgvqJuXIqpcrX, https://drive.google.com/open?id=18t9PLZRo_x1uN5j1C7yZ71Dj7BWSkn1u, https://drive.google.com/open?id=1czZ4RI5t5hym8P8_IasAqqKHXIybXCgF</v>
      </c>
      <c r="Y349" s="495" t="str">
        <f>IFERROR(__xludf.DUMMYFUNCTION("""COMPUTED_VALUE"""),"comercialingertemuco@gmail.com")</f>
        <v>comercialingertemuco@gmail.com</v>
      </c>
      <c r="Z349" s="495"/>
      <c r="AA349" s="495"/>
      <c r="AB349" s="495"/>
      <c r="AC349" s="495"/>
      <c r="AD349" s="495" t="str">
        <f>IFERROR(__xludf.DUMMYFUNCTION("""COMPUTED_VALUE"""),"RC-023_26")</f>
        <v>RC-023_26</v>
      </c>
    </row>
    <row r="350">
      <c r="A350" s="495" t="str">
        <f t="shared" si="1"/>
        <v>RC-027_26</v>
      </c>
      <c r="B350" s="497">
        <f>IFERROR(__xludf.DUMMYFUNCTION("""COMPUTED_VALUE"""),46097.404239606476)</f>
        <v>46097.40424</v>
      </c>
      <c r="C350" s="495" t="str">
        <f>IFERROR(__xludf.DUMMYFUNCTION("""COMPUTED_VALUE"""),"")</f>
        <v/>
      </c>
      <c r="D350" s="495" t="str">
        <f>IFERROR(__xludf.DUMMYFUNCTION("""COMPUTED_VALUE"""),"Juan Ignacio Solís de Ovando")</f>
        <v>Juan Ignacio Solís de Ovando</v>
      </c>
      <c r="E350" s="495"/>
      <c r="F350" s="496" t="str">
        <f>IFERROR(__xludf.DUMMYFUNCTION("""COMPUTED_VALUE"""),"742-2026")</f>
        <v>742-2026</v>
      </c>
      <c r="G350" s="495"/>
      <c r="H350" s="495"/>
      <c r="I350" s="495"/>
      <c r="J350" s="495" t="str">
        <f>IFERROR(__xludf.DUMMYFUNCTION("""COMPUTED_VALUE"""),"Campus Phillippi - CPH")</f>
        <v>Campus Phillippi - CPH</v>
      </c>
      <c r="K350" s="495" t="str">
        <f>IFERROR(__xludf.DUMMYFUNCTION("""COMPUTED_VALUE"""),"Sin número")</f>
        <v>Sin número</v>
      </c>
      <c r="L350" s="495" t="str">
        <f>IFERROR(__xludf.DUMMYFUNCTION("""COMPUTED_VALUE"""),"Constructora ingtrapp spa")</f>
        <v>Constructora ingtrapp spa</v>
      </c>
      <c r="M350" s="495" t="str">
        <f>IFERROR(__xludf.DUMMYFUNCTION("""COMPUTED_VALUE"""),"78202133-8")</f>
        <v>78202133-8</v>
      </c>
      <c r="N350" s="495" t="str">
        <f>IFERROR(__xludf.DUMMYFUNCTION("""COMPUTED_VALUE"""),"PATRICK GUTIERREZ")</f>
        <v>PATRICK GUTIERREZ</v>
      </c>
      <c r="O350" s="495" t="str">
        <f>IFERROR(__xludf.DUMMYFUNCTION("""COMPUTED_VALUE"""),"Obras y Especialidades")</f>
        <v>Obras y Especialidades</v>
      </c>
      <c r="P350" s="495"/>
      <c r="Q350" s="495"/>
      <c r="R350" s="495" t="str">
        <f>IFERROR(__xludf.DUMMYFUNCTION("""COMPUTED_VALUE"""),"Modificación de Espacio")</f>
        <v>Modificación de Espacio</v>
      </c>
      <c r="S350" s="495" t="str">
        <f>IFERROR(__xludf.DUMMYFUNCTION("""COMPUTED_VALUE"""),"Estado de Pago - EP")</f>
        <v>Estado de Pago - EP</v>
      </c>
      <c r="T350" s="495">
        <f>IFERROR(__xludf.DUMMYFUNCTION("""COMPUTED_VALUE"""),1.0)</f>
        <v>1</v>
      </c>
      <c r="U350" s="495" t="str">
        <f>IFERROR(__xludf.DUMMYFUNCTION("""COMPUTED_VALUE"""),"$21.319.172")</f>
        <v>$21.319.172</v>
      </c>
      <c r="V350" s="495" t="str">
        <f>IFERROR(__xludf.DUMMYFUNCTION("""COMPUTED_VALUE"""),"ADECUACION DE ESPACIOS PARA OFICINAS CPH02 ESPACIOS EX LABORATORIO DE SUELOS (PHILLIPPI B)")</f>
        <v>ADECUACION DE ESPACIOS PARA OFICINAS CPH02 ESPACIOS EX LABORATORIO DE SUELOS (PHILLIPPI B)</v>
      </c>
      <c r="W350" s="495"/>
      <c r="X350" s="495" t="str">
        <f>IFERROR(__xludf.DUMMYFUNCTION("""COMPUTED_VALUE"""),"https://drive.google.com/open?id=1tY1AycYGDHpXnpw0-7jrad4pCwbXKeYR, https://drive.google.com/open?id=1Uuz-dVrtD5THukcnVmcgVcZFSQxywXus, https://drive.google.com/open?id=1lWSoyNbssRUww8zyaWbSPw1l5tr9mWaL, https://drive.google.com/open?id=1tAH_PNPzqJGc0Jlam"&amp;"tAta_ihh37tqXW2, https://drive.google.com/open?id=1DC3D_6RLUy4DM01oF3BMlz_bwXkNLuFp, https://drive.google.com/open?id=1YG2HwGFcjvNW7Tn-XS0OgwK5cxGTgFiY")</f>
        <v>https://drive.google.com/open?id=1tY1AycYGDHpXnpw0-7jrad4pCwbXKeYR, https://drive.google.com/open?id=1Uuz-dVrtD5THukcnVmcgVcZFSQxywXus, https://drive.google.com/open?id=1lWSoyNbssRUww8zyaWbSPw1l5tr9mWaL, https://drive.google.com/open?id=1tAH_PNPzqJGc0JlamtAta_ihh37tqXW2, https://drive.google.com/open?id=1DC3D_6RLUy4DM01oF3BMlz_bwXkNLuFp, https://drive.google.com/open?id=1YG2HwGFcjvNW7Tn-XS0OgwK5cxGTgFiY</v>
      </c>
      <c r="Y350" s="495" t="str">
        <f>IFERROR(__xludf.DUMMYFUNCTION("""COMPUTED_VALUE"""),"constructoraingtrappspa@gmail.com")</f>
        <v>constructoraingtrappspa@gmail.com</v>
      </c>
      <c r="Z350" s="495"/>
      <c r="AA350" s="495"/>
      <c r="AB350" s="495"/>
      <c r="AC350" s="495"/>
      <c r="AD350" s="495" t="str">
        <f>IFERROR(__xludf.DUMMYFUNCTION("""COMPUTED_VALUE"""),"RC-027_26")</f>
        <v>RC-027_26</v>
      </c>
    </row>
    <row r="351">
      <c r="A351" s="495" t="str">
        <f t="shared" si="1"/>
        <v>RC-022_26</v>
      </c>
      <c r="B351" s="497">
        <f>IFERROR(__xludf.DUMMYFUNCTION("""COMPUTED_VALUE"""),46093.33236677083)</f>
        <v>46093.33237</v>
      </c>
      <c r="C351" s="495" t="str">
        <f>IFERROR(__xludf.DUMMYFUNCTION("""COMPUTED_VALUE"""),"")</f>
        <v/>
      </c>
      <c r="D351" s="495" t="str">
        <f>IFERROR(__xludf.DUMMYFUNCTION("""COMPUTED_VALUE"""),"Carol Huenchual Chañilao")</f>
        <v>Carol Huenchual Chañilao</v>
      </c>
      <c r="E351" s="495"/>
      <c r="F351" s="496" t="str">
        <f>IFERROR(__xludf.DUMMYFUNCTION("""COMPUTED_VALUE"""),"465-2026")</f>
        <v>465-2026</v>
      </c>
      <c r="G351" s="495"/>
      <c r="H351" s="495"/>
      <c r="I351" s="495"/>
      <c r="J351" s="495" t="str">
        <f>IFERROR(__xludf.DUMMYFUNCTION("""COMPUTED_VALUE"""),"Campus San Juan Pablo II - CJP")</f>
        <v>Campus San Juan Pablo II - CJP</v>
      </c>
      <c r="K351" s="495">
        <f>IFERROR(__xludf.DUMMYFUNCTION("""COMPUTED_VALUE"""),11.0)</f>
        <v>11</v>
      </c>
      <c r="L351" s="495" t="str">
        <f>IFERROR(__xludf.DUMMYFUNCTION("""COMPUTED_VALUE"""),"MR ELECTROCLIMA SPA")</f>
        <v>MR ELECTROCLIMA SPA</v>
      </c>
      <c r="M351" s="495" t="str">
        <f>IFERROR(__xludf.DUMMYFUNCTION("""COMPUTED_VALUE"""),"773773.634-5")</f>
        <v>773773.634-5</v>
      </c>
      <c r="N351" s="495" t="str">
        <f>IFERROR(__xludf.DUMMYFUNCTION("""COMPUTED_VALUE"""),"Patricio Manriquez Riffo")</f>
        <v>Patricio Manriquez Riffo</v>
      </c>
      <c r="O351" s="495" t="str">
        <f>IFERROR(__xludf.DUMMYFUNCTION("""COMPUTED_VALUE"""),"Mantenciones")</f>
        <v>Mantenciones</v>
      </c>
      <c r="P351" s="495" t="str">
        <f>IFERROR(__xludf.DUMMYFUNCTION("""COMPUTED_VALUE"""),"Ventilacion")</f>
        <v>Ventilacion</v>
      </c>
      <c r="Q351" s="495"/>
      <c r="R351" s="495"/>
      <c r="S351" s="495"/>
      <c r="T351" s="495"/>
      <c r="U351" s="495"/>
      <c r="V351" s="495" t="str">
        <f>IFERROR(__xludf.DUMMYFUNCTION("""COMPUTED_VALUE"""),"Reparación control temperatura chiller. Modificación parámetros y termostatos de control.")</f>
        <v>Reparación control temperatura chiller. Modificación parámetros y termostatos de control.</v>
      </c>
      <c r="W351" s="495" t="str">
        <f>IFERROR(__xludf.DUMMYFUNCTION("""COMPUTED_VALUE"""),"sin observaciones.")</f>
        <v>sin observaciones.</v>
      </c>
      <c r="X351" s="495" t="str">
        <f>IFERROR(__xludf.DUMMYFUNCTION("""COMPUTED_VALUE"""),"https://drive.google.com/open?id=16Wmvsyy8chrMVN5qWLRLVv0jxjKIF4YL, https://drive.google.com/open?id=1CLJ8a9jnTJhP6x-oRcnd15Yukzy28q-E, https://drive.google.com/open?id=1_sDzvENMtDV1pRY3p9ED9YiUgmLweQww, https://drive.google.com/open?id=1ibbjtZ2zD28y2K8_m"&amp;"yGkInjENQ4n-utE, https://drive.google.com/open?id=1tHQafaIm665X3udVpKV2M-YjVCikX795")</f>
        <v>https://drive.google.com/open?id=16Wmvsyy8chrMVN5qWLRLVv0jxjKIF4YL, https://drive.google.com/open?id=1CLJ8a9jnTJhP6x-oRcnd15Yukzy28q-E, https://drive.google.com/open?id=1_sDzvENMtDV1pRY3p9ED9YiUgmLweQww, https://drive.google.com/open?id=1ibbjtZ2zD28y2K8_myGkInjENQ4n-utE, https://drive.google.com/open?id=1tHQafaIm665X3udVpKV2M-YjVCikX795</v>
      </c>
      <c r="Y351" s="495" t="str">
        <f>IFERROR(__xludf.DUMMYFUNCTION("""COMPUTED_VALUE"""),"patriciomanriquezr@gmail.com")</f>
        <v>patriciomanriquezr@gmail.com</v>
      </c>
      <c r="Z351" s="495"/>
      <c r="AA351" s="495"/>
      <c r="AB351" s="495"/>
      <c r="AC351" s="495"/>
      <c r="AD351" s="495" t="str">
        <f>IFERROR(__xludf.DUMMYFUNCTION("""COMPUTED_VALUE"""),"RC-022_26")</f>
        <v>RC-022_26</v>
      </c>
    </row>
    <row r="352">
      <c r="A352" s="495" t="str">
        <f t="shared" si="1"/>
        <v>RC-021_26</v>
      </c>
      <c r="B352" s="497">
        <f>IFERROR(__xludf.DUMMYFUNCTION("""COMPUTED_VALUE"""),46092.82554179398)</f>
        <v>46092.82554</v>
      </c>
      <c r="C352" s="495" t="str">
        <f>IFERROR(__xludf.DUMMYFUNCTION("""COMPUTED_VALUE"""),"")</f>
        <v/>
      </c>
      <c r="D352" s="495" t="str">
        <f>IFERROR(__xludf.DUMMYFUNCTION("""COMPUTED_VALUE"""),"Felipe Anselme Grandón")</f>
        <v>Felipe Anselme Grandón</v>
      </c>
      <c r="E352" s="495"/>
      <c r="F352" s="496" t="str">
        <f>IFERROR(__xludf.DUMMYFUNCTION("""COMPUTED_VALUE"""),"1230-2026")</f>
        <v>1230-2026</v>
      </c>
      <c r="G352" s="495"/>
      <c r="H352" s="495"/>
      <c r="I352" s="495"/>
      <c r="J352" s="495" t="str">
        <f>IFERROR(__xludf.DUMMYFUNCTION("""COMPUTED_VALUE"""),"Campus San Juan Pablo II - CJP")</f>
        <v>Campus San Juan Pablo II - CJP</v>
      </c>
      <c r="K352" s="495" t="str">
        <f>IFERROR(__xludf.DUMMYFUNCTION("""COMPUTED_VALUE"""),"Exterior")</f>
        <v>Exterior</v>
      </c>
      <c r="L352" s="495" t="str">
        <f>IFERROR(__xludf.DUMMYFUNCTION("""COMPUTED_VALUE"""),"GATICAR SPA")</f>
        <v>GATICAR SPA</v>
      </c>
      <c r="M352" s="495" t="str">
        <f>IFERROR(__xludf.DUMMYFUNCTION("""COMPUTED_VALUE"""),"77.578.487-3")</f>
        <v>77.578.487-3</v>
      </c>
      <c r="N352" s="495" t="str">
        <f>IFERROR(__xludf.DUMMYFUNCTION("""COMPUTED_VALUE"""),"HECTOR GATICA")</f>
        <v>HECTOR GATICA</v>
      </c>
      <c r="O352" s="495" t="str">
        <f>IFERROR(__xludf.DUMMYFUNCTION("""COMPUTED_VALUE"""),"Mantenciones")</f>
        <v>Mantenciones</v>
      </c>
      <c r="P352" s="495" t="str">
        <f>IFERROR(__xludf.DUMMYFUNCTION("""COMPUTED_VALUE"""),"Requerimientos Emergentes e Imprevistos")</f>
        <v>Requerimientos Emergentes e Imprevistos</v>
      </c>
      <c r="Q352" s="495"/>
      <c r="R352" s="495"/>
      <c r="S352" s="495"/>
      <c r="T352" s="495"/>
      <c r="U352" s="495"/>
      <c r="V352" s="495" t="str">
        <f>IFERROR(__xludf.DUMMYFUNCTION("""COMPUTED_VALUE"""),"INSTALACION DE CANAL DE AGUAS LLUVIAS Y POLICARBONATO EN PARED TRAS ENCHUFES BICIBLETERO CAMPUS LUIS RIVAS DEL CANTO")</f>
        <v>INSTALACION DE CANAL DE AGUAS LLUVIAS Y POLICARBONATO EN PARED TRAS ENCHUFES BICIBLETERO CAMPUS LUIS RIVAS DEL CANTO</v>
      </c>
      <c r="W352" s="495"/>
      <c r="X352" s="495" t="str">
        <f>IFERROR(__xludf.DUMMYFUNCTION("""COMPUTED_VALUE"""),"https://drive.google.com/open?id=1MUuWkHjzEkjo84Tuwa06n40ZSTVaPKhE, https://drive.google.com/open?id=1OTEaiSYC18Rm6dgxdv31hHzmh42BKzZA")</f>
        <v>https://drive.google.com/open?id=1MUuWkHjzEkjo84Tuwa06n40ZSTVaPKhE, https://drive.google.com/open?id=1OTEaiSYC18Rm6dgxdv31hHzmh42BKzZA</v>
      </c>
      <c r="Y352" s="495" t="str">
        <f>IFERROR(__xludf.DUMMYFUNCTION("""COMPUTED_VALUE"""),"serviciogaticar@gmail.com")</f>
        <v>serviciogaticar@gmail.com</v>
      </c>
      <c r="Z352" s="495"/>
      <c r="AA352" s="495"/>
      <c r="AB352" s="495"/>
      <c r="AC352" s="495"/>
      <c r="AD352" s="495" t="str">
        <f>IFERROR(__xludf.DUMMYFUNCTION("""COMPUTED_VALUE"""),"RC-021_26")</f>
        <v>RC-021_26</v>
      </c>
    </row>
    <row r="353">
      <c r="A353" s="495" t="str">
        <f t="shared" si="1"/>
        <v>RC-020_26</v>
      </c>
      <c r="B353" s="497">
        <f>IFERROR(__xludf.DUMMYFUNCTION("""COMPUTED_VALUE"""),46092.822197326386)</f>
        <v>46092.8222</v>
      </c>
      <c r="C353" s="495" t="str">
        <f>IFERROR(__xludf.DUMMYFUNCTION("""COMPUTED_VALUE"""),"")</f>
        <v/>
      </c>
      <c r="D353" s="495" t="str">
        <f>IFERROR(__xludf.DUMMYFUNCTION("""COMPUTED_VALUE"""),"Felipe Anselme Grandón")</f>
        <v>Felipe Anselme Grandón</v>
      </c>
      <c r="E353" s="495"/>
      <c r="F353" s="496" t="str">
        <f>IFERROR(__xludf.DUMMYFUNCTION("""COMPUTED_VALUE"""),"1224-2026")</f>
        <v>1224-2026</v>
      </c>
      <c r="G353" s="495"/>
      <c r="H353" s="495"/>
      <c r="I353" s="495"/>
      <c r="J353" s="495" t="str">
        <f>IFERROR(__xludf.DUMMYFUNCTION("""COMPUTED_VALUE"""),"Campus San Juan Pablo II - CJP")</f>
        <v>Campus San Juan Pablo II - CJP</v>
      </c>
      <c r="K353" s="495" t="str">
        <f>IFERROR(__xludf.DUMMYFUNCTION("""COMPUTED_VALUE"""),"Exterior")</f>
        <v>Exterior</v>
      </c>
      <c r="L353" s="495" t="str">
        <f>IFERROR(__xludf.DUMMYFUNCTION("""COMPUTED_VALUE"""),"GATICAR SPA")</f>
        <v>GATICAR SPA</v>
      </c>
      <c r="M353" s="495" t="str">
        <f>IFERROR(__xludf.DUMMYFUNCTION("""COMPUTED_VALUE"""),"77.578.487-3")</f>
        <v>77.578.487-3</v>
      </c>
      <c r="N353" s="495" t="str">
        <f>IFERROR(__xludf.DUMMYFUNCTION("""COMPUTED_VALUE"""),"HECTOR GATICA ")</f>
        <v>HECTOR GATICA </v>
      </c>
      <c r="O353" s="495" t="str">
        <f>IFERROR(__xludf.DUMMYFUNCTION("""COMPUTED_VALUE"""),"Mantenciones")</f>
        <v>Mantenciones</v>
      </c>
      <c r="P353" s="495" t="str">
        <f>IFERROR(__xludf.DUMMYFUNCTION("""COMPUTED_VALUE"""),"Requerimientos Emergentes e Imprevistos")</f>
        <v>Requerimientos Emergentes e Imprevistos</v>
      </c>
      <c r="Q353" s="495"/>
      <c r="R353" s="495"/>
      <c r="S353" s="495"/>
      <c r="T353" s="495"/>
      <c r="U353" s="495"/>
      <c r="V353" s="495" t="str">
        <f>IFERROR(__xludf.DUMMYFUNCTION("""COMPUTED_VALUE"""),"INSTALACION DE PERFILES METALICOS COMO TENSORES PARA PILARES DE CERCO")</f>
        <v>INSTALACION DE PERFILES METALICOS COMO TENSORES PARA PILARES DE CERCO</v>
      </c>
      <c r="W353" s="495"/>
      <c r="X353" s="495" t="str">
        <f>IFERROR(__xludf.DUMMYFUNCTION("""COMPUTED_VALUE"""),"https://drive.google.com/open?id=1NWH-I_uBBXUM0L0i1_Ukip4O8VvmTPG3, https://drive.google.com/open?id=12xjYAF-o9r9T5rt3_h7_QpPgAWsMCdhI")</f>
        <v>https://drive.google.com/open?id=1NWH-I_uBBXUM0L0i1_Ukip4O8VvmTPG3, https://drive.google.com/open?id=12xjYAF-o9r9T5rt3_h7_QpPgAWsMCdhI</v>
      </c>
      <c r="Y353" s="495" t="str">
        <f>IFERROR(__xludf.DUMMYFUNCTION("""COMPUTED_VALUE"""),"serviciogaticar@gmail.com")</f>
        <v>serviciogaticar@gmail.com</v>
      </c>
      <c r="Z353" s="495"/>
      <c r="AA353" s="495"/>
      <c r="AB353" s="495"/>
      <c r="AC353" s="495"/>
      <c r="AD353" s="495" t="str">
        <f>IFERROR(__xludf.DUMMYFUNCTION("""COMPUTED_VALUE"""),"RC-020_26")</f>
        <v>RC-020_26</v>
      </c>
    </row>
    <row r="354">
      <c r="A354" s="495" t="str">
        <f t="shared" si="1"/>
        <v>RC-031_26</v>
      </c>
      <c r="B354" s="497">
        <f>IFERROR(__xludf.DUMMYFUNCTION("""COMPUTED_VALUE"""),46099.43353756944)</f>
        <v>46099.43354</v>
      </c>
      <c r="C354" s="495" t="str">
        <f>IFERROR(__xludf.DUMMYFUNCTION("""COMPUTED_VALUE"""),"")</f>
        <v/>
      </c>
      <c r="D354" s="495" t="str">
        <f>IFERROR(__xludf.DUMMYFUNCTION("""COMPUTED_VALUE"""),"Cristóbal Correa del Río")</f>
        <v>Cristóbal Correa del Río</v>
      </c>
      <c r="E354" s="495"/>
      <c r="F354" s="496" t="str">
        <f>IFERROR(__xludf.DUMMYFUNCTION("""COMPUTED_VALUE"""),"1475-2026")</f>
        <v>1475-2026</v>
      </c>
      <c r="G354" s="495"/>
      <c r="H354" s="495"/>
      <c r="I354" s="495"/>
      <c r="J354" s="495" t="str">
        <f>IFERROR(__xludf.DUMMYFUNCTION("""COMPUTED_VALUE"""),"Campus San Francisco - CSF")</f>
        <v>Campus San Francisco - CSF</v>
      </c>
      <c r="K354" s="495" t="str">
        <f>IFERROR(__xludf.DUMMYFUNCTION("""COMPUTED_VALUE"""),"Sin número")</f>
        <v>Sin número</v>
      </c>
      <c r="L354" s="495" t="str">
        <f>IFERROR(__xludf.DUMMYFUNCTION("""COMPUTED_VALUE"""),"88 Arquitectos Limitada")</f>
        <v>88 Arquitectos Limitada</v>
      </c>
      <c r="M354" s="495" t="str">
        <f>IFERROR(__xludf.DUMMYFUNCTION("""COMPUTED_VALUE"""),"76.108.094-6")</f>
        <v>76.108.094-6</v>
      </c>
      <c r="N354" s="495" t="str">
        <f>IFERROR(__xludf.DUMMYFUNCTION("""COMPUTED_VALUE"""),"Mauricio Ramírez Molina / Socio")</f>
        <v>Mauricio Ramírez Molina / Socio</v>
      </c>
      <c r="O354" s="495" t="str">
        <f>IFERROR(__xludf.DUMMYFUNCTION("""COMPUTED_VALUE"""),"Obras y Especialidades")</f>
        <v>Obras y Especialidades</v>
      </c>
      <c r="P354" s="495"/>
      <c r="Q354" s="495"/>
      <c r="R354" s="495" t="str">
        <f>IFERROR(__xludf.DUMMYFUNCTION("""COMPUTED_VALUE"""),"Especialidades")</f>
        <v>Especialidades</v>
      </c>
      <c r="S354" s="495" t="str">
        <f>IFERROR(__xludf.DUMMYFUNCTION("""COMPUTED_VALUE"""),"Estado de Pago - EP")</f>
        <v>Estado de Pago - EP</v>
      </c>
      <c r="T354" s="495">
        <f>IFERROR(__xludf.DUMMYFUNCTION("""COMPUTED_VALUE"""),2.0)</f>
        <v>2</v>
      </c>
      <c r="U354" s="498">
        <f>IFERROR(__xludf.DUMMYFUNCTION("""COMPUTED_VALUE"""),1.5015909E7)</f>
        <v>15015909</v>
      </c>
      <c r="V354" s="495" t="str">
        <f>IFERROR(__xludf.DUMMYFUNCTION("""COMPUTED_VALUE"""),"Proceso de verificación y evaluación de carpeta CES para pre-certificación Hospital Simulación Clínica y Pabellón Docente UCT")</f>
        <v>Proceso de verificación y evaluación de carpeta CES para pre-certificación Hospital Simulación Clínica y Pabellón Docente UCT</v>
      </c>
      <c r="W354" s="495" t="str">
        <f>IFERROR(__xludf.DUMMYFUNCTION("""COMPUTED_VALUE"""),"Proceso pasa a etapa de aclaración de observaciones y actualización de la carpeta CES.")</f>
        <v>Proceso pasa a etapa de aclaración de observaciones y actualización de la carpeta CES.</v>
      </c>
      <c r="X354" s="495" t="str">
        <f>IFERROR(__xludf.DUMMYFUNCTION("""COMPUTED_VALUE"""),"https://drive.google.com/open?id=1PprQnj_k6NKyoIorHZhYqwd8eM5H4Zjw, https://drive.google.com/open?id=1espo2k512jrL-PMtRytp9kiU-EnjxFWl")</f>
        <v>https://drive.google.com/open?id=1PprQnj_k6NKyoIorHZhYqwd8eM5H4Zjw, https://drive.google.com/open?id=1espo2k512jrL-PMtRytp9kiU-EnjxFWl</v>
      </c>
      <c r="Y354" s="495" t="str">
        <f>IFERROR(__xludf.DUMMYFUNCTION("""COMPUTED_VALUE"""),"mauricio@88limitada.cl")</f>
        <v>mauricio@88limitada.cl</v>
      </c>
      <c r="Z354" s="495"/>
      <c r="AA354" s="495"/>
      <c r="AB354" s="495"/>
      <c r="AC354" s="495"/>
      <c r="AD354" s="495" t="str">
        <f>IFERROR(__xludf.DUMMYFUNCTION("""COMPUTED_VALUE"""),"RC-031_26")</f>
        <v>RC-031_26</v>
      </c>
    </row>
    <row r="355">
      <c r="A355" s="495" t="str">
        <f t="shared" si="1"/>
        <v>RC-019_26</v>
      </c>
      <c r="B355" s="497">
        <f>IFERROR(__xludf.DUMMYFUNCTION("""COMPUTED_VALUE"""),46092.7507406713)</f>
        <v>46092.75074</v>
      </c>
      <c r="C355" s="495" t="str">
        <f>IFERROR(__xludf.DUMMYFUNCTION("""COMPUTED_VALUE"""),"")</f>
        <v/>
      </c>
      <c r="D355" s="495" t="str">
        <f>IFERROR(__xludf.DUMMYFUNCTION("""COMPUTED_VALUE"""),"Mauricio Zurita Aldea")</f>
        <v>Mauricio Zurita Aldea</v>
      </c>
      <c r="E355" s="495"/>
      <c r="F355" s="496" t="str">
        <f>IFERROR(__xludf.DUMMYFUNCTION("""COMPUTED_VALUE"""),"598-2026")</f>
        <v>598-2026</v>
      </c>
      <c r="G355" s="495"/>
      <c r="H355" s="495"/>
      <c r="I355" s="495"/>
      <c r="J355" s="495" t="str">
        <f>IFERROR(__xludf.DUMMYFUNCTION("""COMPUTED_VALUE"""),"Campus Dr. Luis Rivas del Canto - CRC")</f>
        <v>Campus Dr. Luis Rivas del Canto - CRC</v>
      </c>
      <c r="K355" s="495">
        <f>IFERROR(__xludf.DUMMYFUNCTION("""COMPUTED_VALUE"""),18.0)</f>
        <v>18</v>
      </c>
      <c r="L355" s="495" t="str">
        <f>IFERROR(__xludf.DUMMYFUNCTION("""COMPUTED_VALUE"""),"Gyg servicios SPA")</f>
        <v>Gyg servicios SPA</v>
      </c>
      <c r="M355" s="495" t="str">
        <f>IFERROR(__xludf.DUMMYFUNCTION("""COMPUTED_VALUE"""),"77.215.624-3")</f>
        <v>77.215.624-3</v>
      </c>
      <c r="N355" s="495" t="str">
        <f>IFERROR(__xludf.DUMMYFUNCTION("""COMPUTED_VALUE"""),"Gustavo Fuentes - Supervisor técnico")</f>
        <v>Gustavo Fuentes - Supervisor técnico</v>
      </c>
      <c r="O355" s="495" t="str">
        <f>IFERROR(__xludf.DUMMYFUNCTION("""COMPUTED_VALUE"""),"Mantenciones")</f>
        <v>Mantenciones</v>
      </c>
      <c r="P355" s="495" t="str">
        <f>IFERROR(__xludf.DUMMYFUNCTION("""COMPUTED_VALUE"""),"Instalaciones Eléctricas")</f>
        <v>Instalaciones Eléctricas</v>
      </c>
      <c r="Q355" s="495"/>
      <c r="R355" s="495"/>
      <c r="S355" s="495"/>
      <c r="T355" s="495"/>
      <c r="U355" s="495"/>
      <c r="V355" s="495" t="str">
        <f>IFERROR(__xludf.DUMMYFUNCTION("""COMPUTED_VALUE"""),"REPARACION ELECTRICA TEMPORAL BODEGA CRC18")</f>
        <v>REPARACION ELECTRICA TEMPORAL BODEGA CRC18</v>
      </c>
      <c r="W355" s="495" t="str">
        <f>IFERROR(__xludf.DUMMYFUNCTION("""COMPUTED_VALUE"""),"Se repara circuito eléctrico de alumbrado")</f>
        <v>Se repara circuito eléctrico de alumbrado</v>
      </c>
      <c r="X355" s="495" t="str">
        <f>IFERROR(__xludf.DUMMYFUNCTION("""COMPUTED_VALUE"""),"https://drive.google.com/open?id=1fMp-tdz8xQ2QWNXNjOiThMLX3T-n2Op5, https://drive.google.com/open?id=1RuU4KAD2fLQACVG6G5CSAG_JkCeK1jUZ, https://drive.google.com/open?id=13gTQpG0NG9lmCnz_kWzLUs5StSFNy5kW")</f>
        <v>https://drive.google.com/open?id=1fMp-tdz8xQ2QWNXNjOiThMLX3T-n2Op5, https://drive.google.com/open?id=1RuU4KAD2fLQACVG6G5CSAG_JkCeK1jUZ, https://drive.google.com/open?id=13gTQpG0NG9lmCnz_kWzLUs5StSFNy5kW</v>
      </c>
      <c r="Y355" s="495" t="str">
        <f>IFERROR(__xludf.DUMMYFUNCTION("""COMPUTED_VALUE"""),"contacto@gygtecnologias.com")</f>
        <v>contacto@gygtecnologias.com</v>
      </c>
      <c r="Z355" s="495"/>
      <c r="AA355" s="495"/>
      <c r="AB355" s="495"/>
      <c r="AC355" s="495"/>
      <c r="AD355" s="495" t="str">
        <f>IFERROR(__xludf.DUMMYFUNCTION("""COMPUTED_VALUE"""),"RC-019_26")</f>
        <v>RC-019_26</v>
      </c>
    </row>
    <row r="356">
      <c r="A356" s="495" t="str">
        <f t="shared" si="1"/>
        <v>RC-033_26</v>
      </c>
      <c r="B356" s="497">
        <f>IFERROR(__xludf.DUMMYFUNCTION("""COMPUTED_VALUE"""),46099.45792642361)</f>
        <v>46099.45793</v>
      </c>
      <c r="C356" s="495" t="str">
        <f>IFERROR(__xludf.DUMMYFUNCTION("""COMPUTED_VALUE"""),"")</f>
        <v/>
      </c>
      <c r="D356" s="495" t="str">
        <f>IFERROR(__xludf.DUMMYFUNCTION("""COMPUTED_VALUE"""),"Cristóbal Correa del Río")</f>
        <v>Cristóbal Correa del Río</v>
      </c>
      <c r="E356" s="495"/>
      <c r="F356" s="496" t="str">
        <f>IFERROR(__xludf.DUMMYFUNCTION("""COMPUTED_VALUE"""),"1475-2026")</f>
        <v>1475-2026</v>
      </c>
      <c r="G356" s="495"/>
      <c r="H356" s="495"/>
      <c r="I356" s="495"/>
      <c r="J356" s="495" t="str">
        <f>IFERROR(__xludf.DUMMYFUNCTION("""COMPUTED_VALUE"""),"Campus San Francisco - CSF")</f>
        <v>Campus San Francisco - CSF</v>
      </c>
      <c r="K356" s="495" t="str">
        <f>IFERROR(__xludf.DUMMYFUNCTION("""COMPUTED_VALUE"""),"Sin número")</f>
        <v>Sin número</v>
      </c>
      <c r="L356" s="495" t="str">
        <f>IFERROR(__xludf.DUMMYFUNCTION("""COMPUTED_VALUE"""),"88 Arquitectos Limitada")</f>
        <v>88 Arquitectos Limitada</v>
      </c>
      <c r="M356" s="495" t="str">
        <f>IFERROR(__xludf.DUMMYFUNCTION("""COMPUTED_VALUE"""),"76.108.094-6")</f>
        <v>76.108.094-6</v>
      </c>
      <c r="N356" s="495" t="str">
        <f>IFERROR(__xludf.DUMMYFUNCTION("""COMPUTED_VALUE"""),"Mauricio Ramírez Molina / Socio")</f>
        <v>Mauricio Ramírez Molina / Socio</v>
      </c>
      <c r="O356" s="495" t="str">
        <f>IFERROR(__xludf.DUMMYFUNCTION("""COMPUTED_VALUE"""),"Obras y Especialidades")</f>
        <v>Obras y Especialidades</v>
      </c>
      <c r="P356" s="495"/>
      <c r="Q356" s="495"/>
      <c r="R356" s="495" t="str">
        <f>IFERROR(__xludf.DUMMYFUNCTION("""COMPUTED_VALUE"""),"Especialidades")</f>
        <v>Especialidades</v>
      </c>
      <c r="S356" s="495" t="str">
        <f>IFERROR(__xludf.DUMMYFUNCTION("""COMPUTED_VALUE"""),"Estado de Pago - EP")</f>
        <v>Estado de Pago - EP</v>
      </c>
      <c r="T356" s="495">
        <f>IFERROR(__xludf.DUMMYFUNCTION("""COMPUTED_VALUE"""),1.0)</f>
        <v>1</v>
      </c>
      <c r="U356" s="498">
        <f>IFERROR(__xludf.DUMMYFUNCTION("""COMPUTED_VALUE"""),1.2870779E7)</f>
        <v>12870779</v>
      </c>
      <c r="V356" s="495" t="str">
        <f>IFERROR(__xludf.DUMMYFUNCTION("""COMPUTED_VALUE"""),"Asesoría Certificación Edificio Sustentable. CARPETA CES, TRAMITACIÓN Y OBTENCIÓN DE PRE-CERTIFICACIÓN PARA PABELLÓN DOCENTE UCT CAMPUS SAN FRANCISCO Y HOSPITAL DE SIMULACIÓN CLÍNICA UCT CAMPUS PRIETO NORTE.")</f>
        <v>Asesoría Certificación Edificio Sustentable. CARPETA CES, TRAMITACIÓN Y OBTENCIÓN DE PRE-CERTIFICACIÓN PARA PABELLÓN DOCENTE UCT CAMPUS SAN FRANCISCO Y HOSPITAL DE SIMULACIÓN CLÍNICA UCT CAMPUS PRIETO NORTE.</v>
      </c>
      <c r="W356" s="495" t="str">
        <f>IFERROR(__xludf.DUMMYFUNCTION("""COMPUTED_VALUE"""),"Proceso de Pre-Certificación en desarrollo")</f>
        <v>Proceso de Pre-Certificación en desarrollo</v>
      </c>
      <c r="X356" s="495" t="str">
        <f>IFERROR(__xludf.DUMMYFUNCTION("""COMPUTED_VALUE"""),"https://drive.google.com/open?id=1LrWFey8pgeomQx-OnINKeZV38YJqmeI5, https://drive.google.com/open?id=1j0rg4HDqqbK7uLfE7GfvoFWlef_PX1UJ")</f>
        <v>https://drive.google.com/open?id=1LrWFey8pgeomQx-OnINKeZV38YJqmeI5, https://drive.google.com/open?id=1j0rg4HDqqbK7uLfE7GfvoFWlef_PX1UJ</v>
      </c>
      <c r="Y356" s="495" t="str">
        <f>IFERROR(__xludf.DUMMYFUNCTION("""COMPUTED_VALUE"""),"mauricio@88limitada.cl")</f>
        <v>mauricio@88limitada.cl</v>
      </c>
      <c r="Z356" s="495"/>
      <c r="AA356" s="495"/>
      <c r="AB356" s="495"/>
      <c r="AC356" s="495"/>
      <c r="AD356" s="495" t="str">
        <f>IFERROR(__xludf.DUMMYFUNCTION("""COMPUTED_VALUE"""),"RC-033_26")</f>
        <v>RC-033_26</v>
      </c>
    </row>
    <row r="357">
      <c r="A357" s="495" t="str">
        <f t="shared" si="1"/>
        <v>RC-018_26</v>
      </c>
      <c r="B357" s="497">
        <f>IFERROR(__xludf.DUMMYFUNCTION("""COMPUTED_VALUE"""),46092.72995486111)</f>
        <v>46092.72995</v>
      </c>
      <c r="C357" s="495" t="str">
        <f>IFERROR(__xludf.DUMMYFUNCTION("""COMPUTED_VALUE"""),"")</f>
        <v/>
      </c>
      <c r="D357" s="495" t="str">
        <f>IFERROR(__xludf.DUMMYFUNCTION("""COMPUTED_VALUE"""),"Mauricio Zurita Aldea")</f>
        <v>Mauricio Zurita Aldea</v>
      </c>
      <c r="E357" s="495"/>
      <c r="F357" s="496" t="str">
        <f>IFERROR(__xludf.DUMMYFUNCTION("""COMPUTED_VALUE"""),"620-2026")</f>
        <v>620-2026</v>
      </c>
      <c r="G357" s="495"/>
      <c r="H357" s="495"/>
      <c r="I357" s="495"/>
      <c r="J357" s="495" t="str">
        <f>IFERROR(__xludf.DUMMYFUNCTION("""COMPUTED_VALUE"""),"Campus Dr. Luis Rivas del Canto - CRC")</f>
        <v>Campus Dr. Luis Rivas del Canto - CRC</v>
      </c>
      <c r="K357" s="495" t="str">
        <f>IFERROR(__xludf.DUMMYFUNCTION("""COMPUTED_VALUE"""),"08")</f>
        <v>08</v>
      </c>
      <c r="L357" s="495" t="str">
        <f>IFERROR(__xludf.DUMMYFUNCTION("""COMPUTED_VALUE"""),"Gyg servicios SPA")</f>
        <v>Gyg servicios SPA</v>
      </c>
      <c r="M357" s="495" t="str">
        <f>IFERROR(__xludf.DUMMYFUNCTION("""COMPUTED_VALUE"""),"77.215.624-3")</f>
        <v>77.215.624-3</v>
      </c>
      <c r="N357" s="495" t="str">
        <f>IFERROR(__xludf.DUMMYFUNCTION("""COMPUTED_VALUE"""),"Gustavo Fuentes- Supervisor Técnico")</f>
        <v>Gustavo Fuentes- Supervisor Técnico</v>
      </c>
      <c r="O357" s="495" t="str">
        <f>IFERROR(__xludf.DUMMYFUNCTION("""COMPUTED_VALUE"""),"Mantenciones")</f>
        <v>Mantenciones</v>
      </c>
      <c r="P357" s="495" t="str">
        <f>IFERROR(__xludf.DUMMYFUNCTION("""COMPUTED_VALUE"""),"Instalaciones Eléctricas")</f>
        <v>Instalaciones Eléctricas</v>
      </c>
      <c r="Q357" s="495"/>
      <c r="R357" s="495"/>
      <c r="S357" s="495"/>
      <c r="T357" s="495"/>
      <c r="U357" s="495"/>
      <c r="V357" s="495" t="str">
        <f>IFERROR(__xludf.DUMMYFUNCTION("""COMPUTED_VALUE"""),"INSTALACIÓN DE UN TABLERO ELÉCTRICO")</f>
        <v>INSTALACIÓN DE UN TABLERO ELÉCTRICO</v>
      </c>
      <c r="W357" s="495" t="str">
        <f>IFERROR(__xludf.DUMMYFUNCTION("""COMPUTED_VALUE"""),"Trabajo operativo")</f>
        <v>Trabajo operativo</v>
      </c>
      <c r="X357" s="495" t="str">
        <f>IFERROR(__xludf.DUMMYFUNCTION("""COMPUTED_VALUE"""),"https://drive.google.com/open?id=1pRHqiIxGlmPzQpUgdshrS3_iB-VhkawU, https://drive.google.com/open?id=1FSq_MZ0udV8xGblbgjWeRdKgcmH7KO4C")</f>
        <v>https://drive.google.com/open?id=1pRHqiIxGlmPzQpUgdshrS3_iB-VhkawU, https://drive.google.com/open?id=1FSq_MZ0udV8xGblbgjWeRdKgcmH7KO4C</v>
      </c>
      <c r="Y357" s="495" t="str">
        <f>IFERROR(__xludf.DUMMYFUNCTION("""COMPUTED_VALUE"""),"contacto@gygtecnologia.com")</f>
        <v>contacto@gygtecnologia.com</v>
      </c>
      <c r="Z357" s="495"/>
      <c r="AA357" s="495"/>
      <c r="AB357" s="495"/>
      <c r="AC357" s="495"/>
      <c r="AD357" s="495" t="str">
        <f>IFERROR(__xludf.DUMMYFUNCTION("""COMPUTED_VALUE"""),"RC-018_26")</f>
        <v>RC-018_26</v>
      </c>
    </row>
    <row r="358">
      <c r="A358" s="495" t="str">
        <f t="shared" si="1"/>
        <v>RC-016_26</v>
      </c>
      <c r="B358" s="497">
        <f>IFERROR(__xludf.DUMMYFUNCTION("""COMPUTED_VALUE"""),46092.473483124995)</f>
        <v>46092.47348</v>
      </c>
      <c r="C358" s="495" t="str">
        <f>IFERROR(__xludf.DUMMYFUNCTION("""COMPUTED_VALUE"""),"")</f>
        <v/>
      </c>
      <c r="D358" s="495" t="str">
        <f>IFERROR(__xludf.DUMMYFUNCTION("""COMPUTED_VALUE"""),"Carol Huenchual Chañilao")</f>
        <v>Carol Huenchual Chañilao</v>
      </c>
      <c r="E358" s="495"/>
      <c r="F358" s="496" t="str">
        <f>IFERROR(__xludf.DUMMYFUNCTION("""COMPUTED_VALUE"""),"707-2026")</f>
        <v>707-2026</v>
      </c>
      <c r="G358" s="495"/>
      <c r="H358" s="495"/>
      <c r="I358" s="495"/>
      <c r="J358" s="495" t="str">
        <f>IFERROR(__xludf.DUMMYFUNCTION("""COMPUTED_VALUE"""),"Campus San Juan Pablo II - CJP")</f>
        <v>Campus San Juan Pablo II - CJP</v>
      </c>
      <c r="K358" s="495" t="str">
        <f>IFERROR(__xludf.DUMMYFUNCTION("""COMPUTED_VALUE"""),"Exterior")</f>
        <v>Exterior</v>
      </c>
      <c r="L358" s="495" t="str">
        <f>IFERROR(__xludf.DUMMYFUNCTION("""COMPUTED_VALUE"""),"MR ELECTROCLIMA SPA")</f>
        <v>MR ELECTROCLIMA SPA</v>
      </c>
      <c r="M358" s="495" t="str">
        <f>IFERROR(__xludf.DUMMYFUNCTION("""COMPUTED_VALUE"""),"77773634-5")</f>
        <v>77773634-5</v>
      </c>
      <c r="N358" s="495" t="str">
        <f>IFERROR(__xludf.DUMMYFUNCTION("""COMPUTED_VALUE"""),"Patricio Manriquez Riffo.")</f>
        <v>Patricio Manriquez Riffo.</v>
      </c>
      <c r="O358" s="495" t="str">
        <f>IFERROR(__xludf.DUMMYFUNCTION("""COMPUTED_VALUE"""),"Mantenciones")</f>
        <v>Mantenciones</v>
      </c>
      <c r="P358" s="495" t="str">
        <f>IFERROR(__xludf.DUMMYFUNCTION("""COMPUTED_VALUE"""),"Ventilacion")</f>
        <v>Ventilacion</v>
      </c>
      <c r="Q358" s="495"/>
      <c r="R358" s="495"/>
      <c r="S358" s="495"/>
      <c r="T358" s="495"/>
      <c r="U358" s="495"/>
      <c r="V358" s="495" t="str">
        <f>IFERROR(__xludf.DUMMYFUNCTION("""COMPUTED_VALUE"""),"Instalación de 11 aires acondicionados caseta guardias.")</f>
        <v>Instalación de 11 aires acondicionados caseta guardias.</v>
      </c>
      <c r="W358" s="495" t="str">
        <f>IFERROR(__xludf.DUMMYFUNCTION("""COMPUTED_VALUE"""),"Todos los campus.")</f>
        <v>Todos los campus.</v>
      </c>
      <c r="X358" s="495" t="str">
        <f>IFERROR(__xludf.DUMMYFUNCTION("""COMPUTED_VALUE"""),"https://drive.google.com/open?id=1aga-mb7cd68hpmmenbtwXsGy7FKRUGNo, https://drive.google.com/open?id=1bivwpBH3VaT-Yz7GNuS79JCydyrS7rWv, https://drive.google.com/open?id=11nQCzMreS4qrRQHi5ARIHg8mDdtPxZlx, https://drive.google.com/open?id=1hQNBmcKXTJuJCVtW-"&amp;"ECZHtF-QNPT3xcV, https://drive.google.com/open?id=1VRETLz_C3NW1YJe93UIHYC43oo7ZC5yU, https://drive.google.com/open?id=1YpJ1X9SqZ8BKvZOnECkzh_sPTVNP2Fus, https://drive.google.com/open?id=1h_kYKP-BMhJRioS1pMOIpAqitD7LEvHK, https://drive.google.com/open?id=1"&amp;"yn715VqFERfxpeSKgZqGWVvVutIoWyt6")</f>
        <v>https://drive.google.com/open?id=1aga-mb7cd68hpmmenbtwXsGy7FKRUGNo, https://drive.google.com/open?id=1bivwpBH3VaT-Yz7GNuS79JCydyrS7rWv, https://drive.google.com/open?id=11nQCzMreS4qrRQHi5ARIHg8mDdtPxZlx, https://drive.google.com/open?id=1hQNBmcKXTJuJCVtW-ECZHtF-QNPT3xcV, https://drive.google.com/open?id=1VRETLz_C3NW1YJe93UIHYC43oo7ZC5yU, https://drive.google.com/open?id=1YpJ1X9SqZ8BKvZOnECkzh_sPTVNP2Fus, https://drive.google.com/open?id=1h_kYKP-BMhJRioS1pMOIpAqitD7LEvHK, https://drive.google.com/open?id=1yn715VqFERfxpeSKgZqGWVvVutIoWyt6</v>
      </c>
      <c r="Y358" s="495" t="str">
        <f>IFERROR(__xludf.DUMMYFUNCTION("""COMPUTED_VALUE"""),"patriciomanriquer@gmail.com")</f>
        <v>patriciomanriquer@gmail.com</v>
      </c>
      <c r="Z358" s="495"/>
      <c r="AA358" s="495"/>
      <c r="AB358" s="495"/>
      <c r="AC358" s="495"/>
      <c r="AD358" s="495" t="str">
        <f>IFERROR(__xludf.DUMMYFUNCTION("""COMPUTED_VALUE"""),"RC-016_26")</f>
        <v>RC-016_26</v>
      </c>
    </row>
    <row r="359">
      <c r="A359" s="495" t="str">
        <f t="shared" si="1"/>
        <v>RC-015_26</v>
      </c>
      <c r="B359" s="497">
        <f>IFERROR(__xludf.DUMMYFUNCTION("""COMPUTED_VALUE"""),46092.465407800926)</f>
        <v>46092.46541</v>
      </c>
      <c r="C359" s="495" t="str">
        <f>IFERROR(__xludf.DUMMYFUNCTION("""COMPUTED_VALUE"""),"")</f>
        <v/>
      </c>
      <c r="D359" s="495" t="str">
        <f>IFERROR(__xludf.DUMMYFUNCTION("""COMPUTED_VALUE"""),"Carol Huenchual Chañilao")</f>
        <v>Carol Huenchual Chañilao</v>
      </c>
      <c r="E359" s="495"/>
      <c r="F359" s="496" t="str">
        <f>IFERROR(__xludf.DUMMYFUNCTION("""COMPUTED_VALUE"""),"226-2026")</f>
        <v>226-2026</v>
      </c>
      <c r="G359" s="495"/>
      <c r="H359" s="495"/>
      <c r="I359" s="495"/>
      <c r="J359" s="495" t="str">
        <f>IFERROR(__xludf.DUMMYFUNCTION("""COMPUTED_VALUE"""),"Campus San Francisco - CSF")</f>
        <v>Campus San Francisco - CSF</v>
      </c>
      <c r="K359" s="495">
        <f>IFERROR(__xludf.DUMMYFUNCTION("""COMPUTED_VALUE"""),11.0)</f>
        <v>11</v>
      </c>
      <c r="L359" s="495" t="str">
        <f>IFERROR(__xludf.DUMMYFUNCTION("""COMPUTED_VALUE"""),"MR ELECTROCLIMA SPA")</f>
        <v>MR ELECTROCLIMA SPA</v>
      </c>
      <c r="M359" s="495" t="str">
        <f>IFERROR(__xludf.DUMMYFUNCTION("""COMPUTED_VALUE"""),"77773634-5")</f>
        <v>77773634-5</v>
      </c>
      <c r="N359" s="495" t="str">
        <f>IFERROR(__xludf.DUMMYFUNCTION("""COMPUTED_VALUE"""),"Patricio Manriquez Riffo")</f>
        <v>Patricio Manriquez Riffo</v>
      </c>
      <c r="O359" s="495" t="str">
        <f>IFERROR(__xludf.DUMMYFUNCTION("""COMPUTED_VALUE"""),"Mantenciones")</f>
        <v>Mantenciones</v>
      </c>
      <c r="P359" s="495" t="str">
        <f>IFERROR(__xludf.DUMMYFUNCTION("""COMPUTED_VALUE"""),"Ventilacion")</f>
        <v>Ventilacion</v>
      </c>
      <c r="Q359" s="495"/>
      <c r="R359" s="495"/>
      <c r="S359" s="495"/>
      <c r="T359" s="495"/>
      <c r="U359" s="495"/>
      <c r="V359" s="495" t="str">
        <f>IFERROR(__xludf.DUMMYFUNCTION("""COMPUTED_VALUE"""),"Reparación de control cambio estado invierno a verano. Modificación de parametros y regulación de termostatos.")</f>
        <v>Reparación de control cambio estado invierno a verano. Modificación de parametros y regulación de termostatos.</v>
      </c>
      <c r="W359" s="495" t="str">
        <f>IFERROR(__xludf.DUMMYFUNCTION("""COMPUTED_VALUE"""),"Equipo con regulación termostátos calibrado. Parametros de temperatura adecuados.")</f>
        <v>Equipo con regulación termostátos calibrado. Parametros de temperatura adecuados.</v>
      </c>
      <c r="X359" s="495" t="str">
        <f>IFERROR(__xludf.DUMMYFUNCTION("""COMPUTED_VALUE"""),"https://drive.google.com/open?id=1zsh3CXcGhy8iFDjq8oFGK0FhK9Av8jUB, https://drive.google.com/open?id=1427ZhhKvz48d7hbAKOiIke6l1eje0eBD, https://drive.google.com/open?id=1hPVApPxpqLPC-m6vxtuPEyFF3g_T2vZd, https://drive.google.com/open?id=1aPKbStY-W33ofJmBI"&amp;"Dd3aLaIwKyyTuTF, https://drive.google.com/open?id=16kWkAQwsESlDlfvhczFUvaPD_IdvNHPe")</f>
        <v>https://drive.google.com/open?id=1zsh3CXcGhy8iFDjq8oFGK0FhK9Av8jUB, https://drive.google.com/open?id=1427ZhhKvz48d7hbAKOiIke6l1eje0eBD, https://drive.google.com/open?id=1hPVApPxpqLPC-m6vxtuPEyFF3g_T2vZd, https://drive.google.com/open?id=1aPKbStY-W33ofJmBIDd3aLaIwKyyTuTF, https://drive.google.com/open?id=16kWkAQwsESlDlfvhczFUvaPD_IdvNHPe</v>
      </c>
      <c r="Y359" s="495" t="str">
        <f>IFERROR(__xludf.DUMMYFUNCTION("""COMPUTED_VALUE"""),"patriciomanriquezr@gmail.com")</f>
        <v>patriciomanriquezr@gmail.com</v>
      </c>
      <c r="Z359" s="495"/>
      <c r="AA359" s="495"/>
      <c r="AB359" s="495"/>
      <c r="AC359" s="495"/>
      <c r="AD359" s="495" t="str">
        <f>IFERROR(__xludf.DUMMYFUNCTION("""COMPUTED_VALUE"""),"RC-015_26")</f>
        <v>RC-015_26</v>
      </c>
    </row>
    <row r="360">
      <c r="A360" s="495" t="str">
        <f t="shared" si="1"/>
        <v>RC-014_26</v>
      </c>
      <c r="B360" s="497">
        <f>IFERROR(__xludf.DUMMYFUNCTION("""COMPUTED_VALUE"""),46092.45974864584)</f>
        <v>46092.45975</v>
      </c>
      <c r="C360" s="495" t="str">
        <f>IFERROR(__xludf.DUMMYFUNCTION("""COMPUTED_VALUE"""),"")</f>
        <v/>
      </c>
      <c r="D360" s="495" t="str">
        <f>IFERROR(__xludf.DUMMYFUNCTION("""COMPUTED_VALUE"""),"Carol Huenchual Chañilao")</f>
        <v>Carol Huenchual Chañilao</v>
      </c>
      <c r="E360" s="495"/>
      <c r="F360" s="496" t="str">
        <f>IFERROR(__xludf.DUMMYFUNCTION("""COMPUTED_VALUE"""),"464-2026")</f>
        <v>464-2026</v>
      </c>
      <c r="G360" s="495"/>
      <c r="H360" s="495"/>
      <c r="I360" s="495"/>
      <c r="J360" s="495" t="str">
        <f>IFERROR(__xludf.DUMMYFUNCTION("""COMPUTED_VALUE"""),"Campus Monseñor Alejandro Menchaca Lira - CML")</f>
        <v>Campus Monseñor Alejandro Menchaca Lira - CML</v>
      </c>
      <c r="K360" s="495" t="str">
        <f>IFERROR(__xludf.DUMMYFUNCTION("""COMPUTED_VALUE"""),"01")</f>
        <v>01</v>
      </c>
      <c r="L360" s="495" t="str">
        <f>IFERROR(__xludf.DUMMYFUNCTION("""COMPUTED_VALUE"""),"MR ELECTROCLIMA SPA")</f>
        <v>MR ELECTROCLIMA SPA</v>
      </c>
      <c r="M360" s="495" t="str">
        <f>IFERROR(__xludf.DUMMYFUNCTION("""COMPUTED_VALUE"""),"77773634-5")</f>
        <v>77773634-5</v>
      </c>
      <c r="N360" s="495" t="str">
        <f>IFERROR(__xludf.DUMMYFUNCTION("""COMPUTED_VALUE"""),"Patricio Manriquez Riffo")</f>
        <v>Patricio Manriquez Riffo</v>
      </c>
      <c r="O360" s="495" t="str">
        <f>IFERROR(__xludf.DUMMYFUNCTION("""COMPUTED_VALUE"""),"Mantenciones")</f>
        <v>Mantenciones</v>
      </c>
      <c r="P360" s="495" t="str">
        <f>IFERROR(__xludf.DUMMYFUNCTION("""COMPUTED_VALUE"""),"Ventilacion")</f>
        <v>Ventilacion</v>
      </c>
      <c r="Q360" s="495"/>
      <c r="R360" s="495"/>
      <c r="S360" s="495"/>
      <c r="T360" s="495"/>
      <c r="U360" s="495"/>
      <c r="V360" s="495" t="str">
        <f>IFERROR(__xludf.DUMMYFUNCTION("""COMPUTED_VALUE"""),"Mantenimiento preventivo equipos aire acondicionado edificio 1,2, sala arte y CREA.")</f>
        <v>Mantenimiento preventivo equipos aire acondicionado edificio 1,2, sala arte y CREA.</v>
      </c>
      <c r="W360" s="495" t="str">
        <f>IFERROR(__xludf.DUMMYFUNCTION("""COMPUTED_VALUE"""),"Equipos con funcionamiento Normal post mantenimiento.")</f>
        <v>Equipos con funcionamiento Normal post mantenimiento.</v>
      </c>
      <c r="X360" s="495" t="str">
        <f>IFERROR(__xludf.DUMMYFUNCTION("""COMPUTED_VALUE"""),"https://drive.google.com/open?id=1WwGVWU6v3YyTlrasGU4RvE6y6FVSOOO2, https://drive.google.com/open?id=1WqAssqNvxz2hNd2f3LdNS7BJwT5hl_pg, https://drive.google.com/open?id=10lEeVGGOrC8A4RtC1oYWLOklM7qgfNrx, https://drive.google.com/open?id=1jJARnwM8wnBHwVO9L"&amp;"Sxt6zk_besMHKn8, https://drive.google.com/open?id=1nUokbxCq1mEIyp_5eSpWJtLb1-AWh-jq, https://drive.google.com/open?id=1eGFdMp4cm1OXyDZ7Rgu7pkDs7qRjCuMY")</f>
        <v>https://drive.google.com/open?id=1WwGVWU6v3YyTlrasGU4RvE6y6FVSOOO2, https://drive.google.com/open?id=1WqAssqNvxz2hNd2f3LdNS7BJwT5hl_pg, https://drive.google.com/open?id=10lEeVGGOrC8A4RtC1oYWLOklM7qgfNrx, https://drive.google.com/open?id=1jJARnwM8wnBHwVO9LSxt6zk_besMHKn8, https://drive.google.com/open?id=1nUokbxCq1mEIyp_5eSpWJtLb1-AWh-jq, https://drive.google.com/open?id=1eGFdMp4cm1OXyDZ7Rgu7pkDs7qRjCuMY</v>
      </c>
      <c r="Y360" s="495" t="str">
        <f>IFERROR(__xludf.DUMMYFUNCTION("""COMPUTED_VALUE"""),"Patriciomanriquezr@gmail.com")</f>
        <v>Patriciomanriquezr@gmail.com</v>
      </c>
      <c r="Z360" s="495"/>
      <c r="AA360" s="495"/>
      <c r="AB360" s="495"/>
      <c r="AC360" s="495"/>
      <c r="AD360" s="495" t="str">
        <f>IFERROR(__xludf.DUMMYFUNCTION("""COMPUTED_VALUE"""),"RC-014_26")</f>
        <v>RC-014_26</v>
      </c>
    </row>
    <row r="361">
      <c r="A361" s="495" t="str">
        <f t="shared" si="1"/>
        <v>RC-013_26</v>
      </c>
      <c r="B361" s="497">
        <f>IFERROR(__xludf.DUMMYFUNCTION("""COMPUTED_VALUE"""),46092.45557032408)</f>
        <v>46092.45557</v>
      </c>
      <c r="C361" s="495" t="str">
        <f>IFERROR(__xludf.DUMMYFUNCTION("""COMPUTED_VALUE"""),"")</f>
        <v/>
      </c>
      <c r="D361" s="495" t="str">
        <f>IFERROR(__xludf.DUMMYFUNCTION("""COMPUTED_VALUE"""),"Carol Huenchual Chañilao")</f>
        <v>Carol Huenchual Chañilao</v>
      </c>
      <c r="E361" s="495"/>
      <c r="F361" s="496" t="str">
        <f>IFERROR(__xludf.DUMMYFUNCTION("""COMPUTED_VALUE"""),"465-2026")</f>
        <v>465-2026</v>
      </c>
      <c r="G361" s="495"/>
      <c r="H361" s="495"/>
      <c r="I361" s="495"/>
      <c r="J361" s="495" t="str">
        <f>IFERROR(__xludf.DUMMYFUNCTION("""COMPUTED_VALUE"""),"Campus Monseñor Alejandro Menchaca Lira - CML")</f>
        <v>Campus Monseñor Alejandro Menchaca Lira - CML</v>
      </c>
      <c r="K361" s="495" t="str">
        <f>IFERROR(__xludf.DUMMYFUNCTION("""COMPUTED_VALUE"""),"01")</f>
        <v>01</v>
      </c>
      <c r="L361" s="495" t="str">
        <f>IFERROR(__xludf.DUMMYFUNCTION("""COMPUTED_VALUE"""),"MR Electroclima SPA")</f>
        <v>MR Electroclima SPA</v>
      </c>
      <c r="M361" s="495" t="str">
        <f>IFERROR(__xludf.DUMMYFUNCTION("""COMPUTED_VALUE"""),"77773634-5")</f>
        <v>77773634-5</v>
      </c>
      <c r="N361" s="495" t="str">
        <f>IFERROR(__xludf.DUMMYFUNCTION("""COMPUTED_VALUE"""),"Patricio Manriquez Riffo")</f>
        <v>Patricio Manriquez Riffo</v>
      </c>
      <c r="O361" s="495" t="str">
        <f>IFERROR(__xludf.DUMMYFUNCTION("""COMPUTED_VALUE"""),"Mantenciones")</f>
        <v>Mantenciones</v>
      </c>
      <c r="P361" s="495" t="str">
        <f>IFERROR(__xludf.DUMMYFUNCTION("""COMPUTED_VALUE"""),"Ventilacion")</f>
        <v>Ventilacion</v>
      </c>
      <c r="Q361" s="495"/>
      <c r="R361" s="495"/>
      <c r="S361" s="495"/>
      <c r="T361" s="495"/>
      <c r="U361" s="495"/>
      <c r="V361" s="495" t="str">
        <f>IFERROR(__xludf.DUMMYFUNCTION("""COMPUTED_VALUE"""),"Mantenimiento preventivo aires acondicionados edificios 1, 2, sala arte y CREA.")</f>
        <v>Mantenimiento preventivo aires acondicionados edificios 1, 2, sala arte y CREA.</v>
      </c>
      <c r="W361" s="495" t="str">
        <f>IFERROR(__xludf.DUMMYFUNCTION("""COMPUTED_VALUE"""),"Equipos con funcionamiento correcto post mantenimiento.")</f>
        <v>Equipos con funcionamiento correcto post mantenimiento.</v>
      </c>
      <c r="X361" s="495" t="str">
        <f>IFERROR(__xludf.DUMMYFUNCTION("""COMPUTED_VALUE"""),"https://drive.google.com/open?id=18_G1q1lJg_n5n9z59npJiO9irms_poMu, https://drive.google.com/open?id=19w2zOzNJjLsiOSkW9EU_dN0NIry1Tvv-, https://drive.google.com/open?id=1THyAWFYWfkM30tn-d-NWkgrONg7Irn7z, https://drive.google.com/open?id=16_9RoAVhaiGrvmSUT"&amp;"FWrQQf0MbpH7Ege, https://drive.google.com/open?id=1j2AC-ePqu62uzWlW63GWPayVX3je9I9_, https://drive.google.com/open?id=1WGMq2PqA99Yz1PMY76AAxFsVbY_yD4Ov")</f>
        <v>https://drive.google.com/open?id=18_G1q1lJg_n5n9z59npJiO9irms_poMu, https://drive.google.com/open?id=19w2zOzNJjLsiOSkW9EU_dN0NIry1Tvv-, https://drive.google.com/open?id=1THyAWFYWfkM30tn-d-NWkgrONg7Irn7z, https://drive.google.com/open?id=16_9RoAVhaiGrvmSUTFWrQQf0MbpH7Ege, https://drive.google.com/open?id=1j2AC-ePqu62uzWlW63GWPayVX3je9I9_, https://drive.google.com/open?id=1WGMq2PqA99Yz1PMY76AAxFsVbY_yD4Ov</v>
      </c>
      <c r="Y361" s="495" t="str">
        <f>IFERROR(__xludf.DUMMYFUNCTION("""COMPUTED_VALUE"""),"patriciomanriquer@gmail.com")</f>
        <v>patriciomanriquer@gmail.com</v>
      </c>
      <c r="Z361" s="495"/>
      <c r="AA361" s="495"/>
      <c r="AB361" s="495"/>
      <c r="AC361" s="495"/>
      <c r="AD361" s="495" t="str">
        <f>IFERROR(__xludf.DUMMYFUNCTION("""COMPUTED_VALUE"""),"RC-013_26")</f>
        <v>RC-013_26</v>
      </c>
    </row>
    <row r="362">
      <c r="A362" s="495" t="str">
        <f t="shared" si="1"/>
        <v>RC-012_26</v>
      </c>
      <c r="B362" s="497">
        <f>IFERROR(__xludf.DUMMYFUNCTION("""COMPUTED_VALUE"""),46092.40308981482)</f>
        <v>46092.40309</v>
      </c>
      <c r="C362" s="495" t="str">
        <f>IFERROR(__xludf.DUMMYFUNCTION("""COMPUTED_VALUE"""),"")</f>
        <v/>
      </c>
      <c r="D362" s="495" t="str">
        <f>IFERROR(__xludf.DUMMYFUNCTION("""COMPUTED_VALUE"""),"Felipe Anselme Grandón")</f>
        <v>Felipe Anselme Grandón</v>
      </c>
      <c r="E362" s="495"/>
      <c r="F362" s="496" t="str">
        <f>IFERROR(__xludf.DUMMYFUNCTION("""COMPUTED_VALUE"""),"868-2026")</f>
        <v>868-2026</v>
      </c>
      <c r="G362" s="495"/>
      <c r="H362" s="495"/>
      <c r="I362" s="495"/>
      <c r="J362" s="495" t="str">
        <f>IFERROR(__xludf.DUMMYFUNCTION("""COMPUTED_VALUE"""),"Campus San Juan Pablo II - CJP")</f>
        <v>Campus San Juan Pablo II - CJP</v>
      </c>
      <c r="K362" s="495" t="str">
        <f>IFERROR(__xludf.DUMMYFUNCTION("""COMPUTED_VALUE"""),"02")</f>
        <v>02</v>
      </c>
      <c r="L362" s="495" t="str">
        <f>IFERROR(__xludf.DUMMYFUNCTION("""COMPUTED_VALUE"""),"Servicio climatización Gustavo Espinoza eirl ")</f>
        <v>Servicio climatización Gustavo Espinoza eirl </v>
      </c>
      <c r="M362" s="495" t="str">
        <f>IFERROR(__xludf.DUMMYFUNCTION("""COMPUTED_VALUE"""),"77506311-4")</f>
        <v>77506311-4</v>
      </c>
      <c r="N362" s="495" t="str">
        <f>IFERROR(__xludf.DUMMYFUNCTION("""COMPUTED_VALUE"""),"Gustavo Espinoza tropa supervisor ")</f>
        <v>Gustavo Espinoza tropa supervisor </v>
      </c>
      <c r="O362" s="495" t="str">
        <f>IFERROR(__xludf.DUMMYFUNCTION("""COMPUTED_VALUE"""),"Mantenciones")</f>
        <v>Mantenciones</v>
      </c>
      <c r="P362" s="495" t="str">
        <f>IFERROR(__xludf.DUMMYFUNCTION("""COMPUTED_VALUE"""),"Ventilacion")</f>
        <v>Ventilacion</v>
      </c>
      <c r="Q362" s="495"/>
      <c r="R362" s="495"/>
      <c r="S362" s="495"/>
      <c r="T362" s="495"/>
      <c r="U362" s="495"/>
      <c r="V362" s="495" t="str">
        <f>IFERROR(__xludf.DUMMYFUNCTION("""COMPUTED_VALUE"""),"Se realiza instalación 4 campanas nuevas extracción casino y reparación de las existentes,cambio de motor.")</f>
        <v>Se realiza instalación 4 campanas nuevas extracción casino y reparación de las existentes,cambio de motor.</v>
      </c>
      <c r="W362" s="495" t="str">
        <f>IFERROR(__xludf.DUMMYFUNCTION("""COMPUTED_VALUE"""),"Mantención campanas,motores cada 6 meses ")</f>
        <v>Mantención campanas,motores cada 6 meses </v>
      </c>
      <c r="X362" s="495" t="str">
        <f>IFERROR(__xludf.DUMMYFUNCTION("""COMPUTED_VALUE"""),"https://drive.google.com/open?id=1EGVPbsBFox-BFH56aOATFJ4P6av45CfD, https://drive.google.com/open?id=1WvCK3uakFL7iGGdQFclz2tfLSmWMPgbT, https://drive.google.com/open?id=1edLl5rb8aeojnGHUkCoSpNpXp4ZfUV3n, https://drive.google.com/open?id=1RGNX4iAJJ7YmJTfRj"&amp;"ZJHNe75LoXXPSPK")</f>
        <v>https://drive.google.com/open?id=1EGVPbsBFox-BFH56aOATFJ4P6av45CfD, https://drive.google.com/open?id=1WvCK3uakFL7iGGdQFclz2tfLSmWMPgbT, https://drive.google.com/open?id=1edLl5rb8aeojnGHUkCoSpNpXp4ZfUV3n, https://drive.google.com/open?id=1RGNX4iAJJ7YmJTfRjZJHNe75LoXXPSPK</v>
      </c>
      <c r="Y362" s="495" t="str">
        <f>IFERROR(__xludf.DUMMYFUNCTION("""COMPUTED_VALUE"""),"realclima22@hotmail.com")</f>
        <v>realclima22@hotmail.com</v>
      </c>
      <c r="Z362" s="495"/>
      <c r="AA362" s="495"/>
      <c r="AB362" s="495"/>
      <c r="AC362" s="495"/>
      <c r="AD362" s="495" t="str">
        <f>IFERROR(__xludf.DUMMYFUNCTION("""COMPUTED_VALUE"""),"RC-012_26")</f>
        <v>RC-012_26</v>
      </c>
    </row>
    <row r="363">
      <c r="A363" s="495" t="str">
        <f t="shared" si="1"/>
        <v>RC-040_26</v>
      </c>
      <c r="B363" s="497">
        <f>IFERROR(__xludf.DUMMYFUNCTION("""COMPUTED_VALUE"""),46105.43404978009)</f>
        <v>46105.43405</v>
      </c>
      <c r="C363" s="495" t="str">
        <f>IFERROR(__xludf.DUMMYFUNCTION("""COMPUTED_VALUE"""),"")</f>
        <v/>
      </c>
      <c r="D363" s="495" t="str">
        <f>IFERROR(__xludf.DUMMYFUNCTION("""COMPUTED_VALUE"""),"Juan Ignacio Solís de Ovando")</f>
        <v>Juan Ignacio Solís de Ovando</v>
      </c>
      <c r="E363" s="495"/>
      <c r="F363" s="496" t="str">
        <f>IFERROR(__xludf.DUMMYFUNCTION("""COMPUTED_VALUE"""),"10880-2025")</f>
        <v>10880-2025</v>
      </c>
      <c r="G363" s="495"/>
      <c r="H363" s="495"/>
      <c r="I363" s="495"/>
      <c r="J363" s="495" t="str">
        <f>IFERROR(__xludf.DUMMYFUNCTION("""COMPUTED_VALUE"""),"Campus Dr. Luis Rivas del Canto - CRC")</f>
        <v>Campus Dr. Luis Rivas del Canto - CRC</v>
      </c>
      <c r="K363" s="495" t="str">
        <f>IFERROR(__xludf.DUMMYFUNCTION("""COMPUTED_VALUE"""),"Sin número")</f>
        <v>Sin número</v>
      </c>
      <c r="L363" s="495" t="str">
        <f>IFERROR(__xludf.DUMMYFUNCTION("""COMPUTED_VALUE"""),"luis saez allendes ingenieria y construccion eirl")</f>
        <v>luis saez allendes ingenieria y construccion eirl</v>
      </c>
      <c r="M363" s="495" t="str">
        <f>IFERROR(__xludf.DUMMYFUNCTION("""COMPUTED_VALUE"""),"76219281-0")</f>
        <v>76219281-0</v>
      </c>
      <c r="N363" s="495" t="str">
        <f>IFERROR(__xludf.DUMMYFUNCTION("""COMPUTED_VALUE"""),"Luis Sáez Allendes")</f>
        <v>Luis Sáez Allendes</v>
      </c>
      <c r="O363" s="495" t="str">
        <f>IFERROR(__xludf.DUMMYFUNCTION("""COMPUTED_VALUE"""),"Obras y Especialidades")</f>
        <v>Obras y Especialidades</v>
      </c>
      <c r="P363" s="495"/>
      <c r="Q363" s="495"/>
      <c r="R363" s="495" t="str">
        <f>IFERROR(__xludf.DUMMYFUNCTION("""COMPUTED_VALUE"""),"Especialidades")</f>
        <v>Especialidades</v>
      </c>
      <c r="S363" s="495" t="str">
        <f>IFERROR(__xludf.DUMMYFUNCTION("""COMPUTED_VALUE"""),"Estado de Pago - EP")</f>
        <v>Estado de Pago - EP</v>
      </c>
      <c r="T363" s="495">
        <f>IFERROR(__xludf.DUMMYFUNCTION("""COMPUTED_VALUE"""),1.0)</f>
        <v>1</v>
      </c>
      <c r="U363" s="498">
        <f>IFERROR(__xludf.DUMMYFUNCTION("""COMPUTED_VALUE"""),2808400.0)</f>
        <v>2808400</v>
      </c>
      <c r="V363" s="495" t="str">
        <f>IFERROR(__xludf.DUMMYFUNCTION("""COMPUTED_VALUE"""),"PROYECTO DE CALCULO ESTRUCTURAL NUEVO
EDIFICIO CASINO CRC11")</f>
        <v>PROYECTO DE CALCULO ESTRUCTURAL NUEVO
EDIFICIO CASINO CRC11</v>
      </c>
      <c r="W363" s="495"/>
      <c r="X363" s="499" t="str">
        <f>IFERROR(__xludf.DUMMYFUNCTION("""COMPUTED_VALUE"""),"https://drive.google.com/open?id=1rPaTsB8MDd0V0-9eKYBTj2jiDLDUJo45")</f>
        <v>https://drive.google.com/open?id=1rPaTsB8MDd0V0-9eKYBTj2jiDLDUJo45</v>
      </c>
      <c r="Y363" s="495" t="str">
        <f>IFERROR(__xludf.DUMMYFUNCTION("""COMPUTED_VALUE"""),"luissaez@lsaingenieria.cl")</f>
        <v>luissaez@lsaingenieria.cl</v>
      </c>
      <c r="Z363" s="495"/>
      <c r="AA363" s="495"/>
      <c r="AB363" s="495"/>
      <c r="AC363" s="495"/>
      <c r="AD363" s="495" t="str">
        <f>IFERROR(__xludf.DUMMYFUNCTION("""COMPUTED_VALUE"""),"RC-040_26")</f>
        <v>RC-040_26</v>
      </c>
    </row>
    <row r="364">
      <c r="A364" s="495" t="str">
        <f t="shared" si="1"/>
        <v>RC-041_26</v>
      </c>
      <c r="B364" s="497">
        <f>IFERROR(__xludf.DUMMYFUNCTION("""COMPUTED_VALUE"""),46105.43893891203)</f>
        <v>46105.43894</v>
      </c>
      <c r="C364" s="495" t="str">
        <f>IFERROR(__xludf.DUMMYFUNCTION("""COMPUTED_VALUE"""),"")</f>
        <v/>
      </c>
      <c r="D364" s="495" t="str">
        <f>IFERROR(__xludf.DUMMYFUNCTION("""COMPUTED_VALUE"""),"Juan Ignacio Solís de Ovando")</f>
        <v>Juan Ignacio Solís de Ovando</v>
      </c>
      <c r="E364" s="495"/>
      <c r="F364" s="496" t="str">
        <f>IFERROR(__xludf.DUMMYFUNCTION("""COMPUTED_VALUE"""),"10877-2025")</f>
        <v>10877-2025</v>
      </c>
      <c r="G364" s="495"/>
      <c r="H364" s="495"/>
      <c r="I364" s="495"/>
      <c r="J364" s="495" t="str">
        <f>IFERROR(__xludf.DUMMYFUNCTION("""COMPUTED_VALUE"""),"Campus Dr. Luis Rivas del Canto - CRC")</f>
        <v>Campus Dr. Luis Rivas del Canto - CRC</v>
      </c>
      <c r="K364" s="495" t="str">
        <f>IFERROR(__xludf.DUMMYFUNCTION("""COMPUTED_VALUE"""),"Sin número")</f>
        <v>Sin número</v>
      </c>
      <c r="L364" s="495" t="str">
        <f>IFERROR(__xludf.DUMMYFUNCTION("""COMPUTED_VALUE"""),"luis saez allendes ingenieria y construccion eirl")</f>
        <v>luis saez allendes ingenieria y construccion eirl</v>
      </c>
      <c r="M364" s="495" t="str">
        <f>IFERROR(__xludf.DUMMYFUNCTION("""COMPUTED_VALUE"""),"76.219.281-0")</f>
        <v>76.219.281-0</v>
      </c>
      <c r="N364" s="495" t="str">
        <f>IFERROR(__xludf.DUMMYFUNCTION("""COMPUTED_VALUE"""),"Luis Sáez Allendes")</f>
        <v>Luis Sáez Allendes</v>
      </c>
      <c r="O364" s="495" t="str">
        <f>IFERROR(__xludf.DUMMYFUNCTION("""COMPUTED_VALUE"""),"Obras y Especialidades")</f>
        <v>Obras y Especialidades</v>
      </c>
      <c r="P364" s="495"/>
      <c r="Q364" s="495"/>
      <c r="R364" s="495" t="str">
        <f>IFERROR(__xludf.DUMMYFUNCTION("""COMPUTED_VALUE"""),"Especialidades")</f>
        <v>Especialidades</v>
      </c>
      <c r="S364" s="495" t="str">
        <f>IFERROR(__xludf.DUMMYFUNCTION("""COMPUTED_VALUE"""),"Estado de Pago - EP")</f>
        <v>Estado de Pago - EP</v>
      </c>
      <c r="T364" s="495">
        <f>IFERROR(__xludf.DUMMYFUNCTION("""COMPUTED_VALUE"""),1.0)</f>
        <v>1</v>
      </c>
      <c r="U364" s="498">
        <f>IFERROR(__xludf.DUMMYFUNCTION("""COMPUTED_VALUE"""),2380000.0)</f>
        <v>2380000</v>
      </c>
      <c r="V364" s="495" t="str">
        <f>IFERROR(__xludf.DUMMYFUNCTION("""COMPUTED_VALUE"""),"PROYECTO SANITARIO, PAVIMENTACION Y TOPOGRAFIA NUEVO EDIFICIO CASINO CRC11")</f>
        <v>PROYECTO SANITARIO, PAVIMENTACION Y TOPOGRAFIA NUEVO EDIFICIO CASINO CRC11</v>
      </c>
      <c r="W364" s="495"/>
      <c r="X364" s="495" t="str">
        <f>IFERROR(__xludf.DUMMYFUNCTION("""COMPUTED_VALUE"""),"https://drive.google.com/open?id=1nMAg25DvHr2PdzzM_aWhbD8qS0r0n129, https://drive.google.com/open?id=17pw4heA_nck1Q01RHB4YZLUxr6RQE4nH, https://drive.google.com/open?id=11j2ngY-1qwfXdN8H9qoMit0XvKx6QpFg")</f>
        <v>https://drive.google.com/open?id=1nMAg25DvHr2PdzzM_aWhbD8qS0r0n129, https://drive.google.com/open?id=17pw4heA_nck1Q01RHB4YZLUxr6RQE4nH, https://drive.google.com/open?id=11j2ngY-1qwfXdN8H9qoMit0XvKx6QpFg</v>
      </c>
      <c r="Y364" s="495" t="str">
        <f>IFERROR(__xludf.DUMMYFUNCTION("""COMPUTED_VALUE"""),"LUISSAEZ@lsaingenieria.cl")</f>
        <v>LUISSAEZ@lsaingenieria.cl</v>
      </c>
      <c r="Z364" s="495"/>
      <c r="AA364" s="495"/>
      <c r="AB364" s="495"/>
      <c r="AC364" s="495"/>
      <c r="AD364" s="495" t="str">
        <f>IFERROR(__xludf.DUMMYFUNCTION("""COMPUTED_VALUE"""),"RC-041_26")</f>
        <v>RC-041_26</v>
      </c>
    </row>
    <row r="365">
      <c r="A365" s="495" t="str">
        <f t="shared" si="1"/>
        <v>RC-011_26</v>
      </c>
      <c r="B365" s="497">
        <f>IFERROR(__xludf.DUMMYFUNCTION("""COMPUTED_VALUE"""),46091.75265627315)</f>
        <v>46091.75266</v>
      </c>
      <c r="C365" s="495" t="str">
        <f>IFERROR(__xludf.DUMMYFUNCTION("""COMPUTED_VALUE"""),"")</f>
        <v/>
      </c>
      <c r="D365" s="495" t="str">
        <f>IFERROR(__xludf.DUMMYFUNCTION("""COMPUTED_VALUE"""),"Felipe Anselme Grandón")</f>
        <v>Felipe Anselme Grandón</v>
      </c>
      <c r="E365" s="495"/>
      <c r="F365" s="496" t="str">
        <f>IFERROR(__xludf.DUMMYFUNCTION("""COMPUTED_VALUE"""),"808 - 2026")</f>
        <v>808 - 2026</v>
      </c>
      <c r="G365" s="495"/>
      <c r="H365" s="495"/>
      <c r="I365" s="495"/>
      <c r="J365" s="495" t="str">
        <f>IFERROR(__xludf.DUMMYFUNCTION("""COMPUTED_VALUE"""),"Campus Dr. Luis Rivas del Canto - CRC")</f>
        <v>Campus Dr. Luis Rivas del Canto - CRC</v>
      </c>
      <c r="K365" s="495">
        <f>IFERROR(__xludf.DUMMYFUNCTION("""COMPUTED_VALUE"""),18.0)</f>
        <v>18</v>
      </c>
      <c r="L365" s="495" t="str">
        <f>IFERROR(__xludf.DUMMYFUNCTION("""COMPUTED_VALUE"""),"Empresa Constructora IGECE Ltda")</f>
        <v>Empresa Constructora IGECE Ltda</v>
      </c>
      <c r="M365" s="495" t="str">
        <f>IFERROR(__xludf.DUMMYFUNCTION("""COMPUTED_VALUE"""),"76.878.824-3")</f>
        <v>76.878.824-3</v>
      </c>
      <c r="N365" s="495" t="str">
        <f>IFERROR(__xludf.DUMMYFUNCTION("""COMPUTED_VALUE"""),"Carlos Troncoso - Gerente General ")</f>
        <v>Carlos Troncoso - Gerente General </v>
      </c>
      <c r="O365" s="495" t="str">
        <f>IFERROR(__xludf.DUMMYFUNCTION("""COMPUTED_VALUE"""),"Mantenciones")</f>
        <v>Mantenciones</v>
      </c>
      <c r="P365" s="495" t="str">
        <f>IFERROR(__xludf.DUMMYFUNCTION("""COMPUTED_VALUE"""),"Terminaciones Interiores")</f>
        <v>Terminaciones Interiores</v>
      </c>
      <c r="Q365" s="495"/>
      <c r="R365" s="495"/>
      <c r="S365" s="495"/>
      <c r="T365" s="495"/>
      <c r="U365" s="495"/>
      <c r="V365" s="495" t="str">
        <f>IFERROR(__xludf.DUMMYFUNCTION("""COMPUTED_VALUE"""),"RETIRO ESTRUCTURA PISO: Se realiza retiro estructura completa piso y traslado a bodegas Universidad (material en buen estado)
AFINADO PISO: Según solicitud de mandante, se debe realizar un afinado de piso para dejar en optimas condiciones el pavimento an"&amp;"tes de pintar, este tendrá un espesor aproximado de 2 cm (puente adherente-arena-cemento)
PINTURA EPOXICA: Se realizara la aplicación de 2 manos de pintura epóxica marca cerita color gris en la totalidad del pavimento existente.
RETIRO Y REINSTALACION E"&amp;"LECTRICA: Todo elemento eléctrico en muro s será retirado y una vez terminado el nuevo revestimiento, serán instalados nuevamente en los sectores donde estaban.
REVESTIMIENTO MUROS: Todos los muro del interior del recinto serán revestidos con plancha yes"&amp;"o cartón RF de 12,5 mm de espesor.
PINTURA MUROS: Se aplicaran 2 manos de pintura tipo látex extra cubriente blanco marca sipa, dejando un acabado idóneo.
ORDEN, ASEO Y RETIRO EXEDENTES: Se Realiza aseo general y retiro de todo residuo generado por los "&amp;"trabajos, dejando todo en perfectas condiciones.
")</f>
        <v>RETIRO ESTRUCTURA PISO: Se realiza retiro estructura completa piso y traslado a bodegas Universidad (material en buen estado)
AFINADO PISO: Según solicitud de mandante, se debe realizar un afinado de piso para dejar en optimas condiciones el pavimento antes de pintar, este tendrá un espesor aproximado de 2 cm (puente adherente-arena-cemento)
PINTURA EPOXICA: Se realizara la aplicación de 2 manos de pintura epóxica marca cerita color gris en la totalidad del pavimento existente.
RETIRO Y REINSTALACION ELECTRICA: Todo elemento eléctrico en muro s será retirado y una vez terminado el nuevo revestimiento, serán instalados nuevamente en los sectores donde estaban.
REVESTIMIENTO MUROS: Todos los muro del interior del recinto serán revestidos con plancha yeso cartón RF de 12,5 mm de espesor.
PINTURA MUROS: Se aplicaran 2 manos de pintura tipo látex extra cubriente blanco marca sipa, dejando un acabado idóneo.
ORDEN, ASEO Y RETIRO EXEDENTES: Se Realiza aseo general y retiro de todo residuo generado por los trabajos, dejando todo en perfectas condiciones.
</v>
      </c>
      <c r="W365" s="495"/>
      <c r="X365" s="495" t="str">
        <f>IFERROR(__xludf.DUMMYFUNCTION("""COMPUTED_VALUE"""),"https://drive.google.com/open?id=1vnRdjHPc4QUSyphJX5c32kUAm7ZDCWCJ, https://drive.google.com/open?id=1U-e-9NRtuPBBDUc8piY3MVm3dPJTccXC, https://drive.google.com/open?id=1pz81ryCaH6PLGZI_StH1Hkh1qzSF9Pw_, https://drive.google.com/open?id=1--fZQac8wx4YG_cKA"&amp;"4rxNDCEHEwaXp6J, https://drive.google.com/open?id=1W5mi1-t2dsm-t_stfXqKje8-HqoemxKt, https://drive.google.com/open?id=1y33SlFFJ4eABDIVoPi5LQThmJCHwN5OG, https://drive.google.com/open?id=1xfonF8jT8N6pVpZMnKwTsfNyaTFkoRQn")</f>
        <v>https://drive.google.com/open?id=1vnRdjHPc4QUSyphJX5c32kUAm7ZDCWCJ, https://drive.google.com/open?id=1U-e-9NRtuPBBDUc8piY3MVm3dPJTccXC, https://drive.google.com/open?id=1pz81ryCaH6PLGZI_StH1Hkh1qzSF9Pw_, https://drive.google.com/open?id=1--fZQac8wx4YG_cKA4rxNDCEHEwaXp6J, https://drive.google.com/open?id=1W5mi1-t2dsm-t_stfXqKje8-HqoemxKt, https://drive.google.com/open?id=1y33SlFFJ4eABDIVoPi5LQThmJCHwN5OG, https://drive.google.com/open?id=1xfonF8jT8N6pVpZMnKwTsfNyaTFkoRQn</v>
      </c>
      <c r="Y365" s="495" t="str">
        <f>IFERROR(__xludf.DUMMYFUNCTION("""COMPUTED_VALUE"""),"carlostroncosom@hotmail.com")</f>
        <v>carlostroncosom@hotmail.com</v>
      </c>
      <c r="Z365" s="495"/>
      <c r="AA365" s="495"/>
      <c r="AB365" s="495"/>
      <c r="AC365" s="495"/>
      <c r="AD365" s="495" t="str">
        <f>IFERROR(__xludf.DUMMYFUNCTION("""COMPUTED_VALUE"""),"RC-011_26")</f>
        <v>RC-011_26</v>
      </c>
    </row>
    <row r="366">
      <c r="A366" s="495" t="str">
        <f t="shared" si="1"/>
        <v>RC-010_26</v>
      </c>
      <c r="B366" s="497">
        <f>IFERROR(__xludf.DUMMYFUNCTION("""COMPUTED_VALUE"""),46091.745961423614)</f>
        <v>46091.74596</v>
      </c>
      <c r="C366" s="495" t="str">
        <f>IFERROR(__xludf.DUMMYFUNCTION("""COMPUTED_VALUE"""),"")</f>
        <v/>
      </c>
      <c r="D366" s="495" t="str">
        <f>IFERROR(__xludf.DUMMYFUNCTION("""COMPUTED_VALUE"""),"David Silva Roco")</f>
        <v>David Silva Roco</v>
      </c>
      <c r="E366" s="495"/>
      <c r="F366" s="496" t="str">
        <f>IFERROR(__xludf.DUMMYFUNCTION("""COMPUTED_VALUE"""),"859 - 2026")</f>
        <v>859 - 2026</v>
      </c>
      <c r="G366" s="495"/>
      <c r="H366" s="495"/>
      <c r="I366" s="495"/>
      <c r="J366" s="495" t="str">
        <f>IFERROR(__xludf.DUMMYFUNCTION("""COMPUTED_VALUE"""),"Campus Dr. Luis Rivas del Canto - CRC")</f>
        <v>Campus Dr. Luis Rivas del Canto - CRC</v>
      </c>
      <c r="K366" s="495" t="str">
        <f>IFERROR(__xludf.DUMMYFUNCTION("""COMPUTED_VALUE"""),"05")</f>
        <v>05</v>
      </c>
      <c r="L366" s="495" t="str">
        <f>IFERROR(__xludf.DUMMYFUNCTION("""COMPUTED_VALUE"""),"Empresa Constructora IGECE Ltda.")</f>
        <v>Empresa Constructora IGECE Ltda.</v>
      </c>
      <c r="M366" s="495" t="str">
        <f>IFERROR(__xludf.DUMMYFUNCTION("""COMPUTED_VALUE"""),"76.878.824-3")</f>
        <v>76.878.824-3</v>
      </c>
      <c r="N366" s="495" t="str">
        <f>IFERROR(__xludf.DUMMYFUNCTION("""COMPUTED_VALUE"""),"Carlos Troncoso - Gerente General ")</f>
        <v>Carlos Troncoso - Gerente General </v>
      </c>
      <c r="O366" s="495" t="str">
        <f>IFERROR(__xludf.DUMMYFUNCTION("""COMPUTED_VALUE"""),"Mantenciones")</f>
        <v>Mantenciones</v>
      </c>
      <c r="P366" s="495" t="str">
        <f>IFERROR(__xludf.DUMMYFUNCTION("""COMPUTED_VALUE"""),"Cubiertas")</f>
        <v>Cubiertas</v>
      </c>
      <c r="Q366" s="495"/>
      <c r="R366" s="495"/>
      <c r="S366" s="495"/>
      <c r="T366" s="495"/>
      <c r="U366" s="495"/>
      <c r="V366" s="495" t="str">
        <f>IFERROR(__xludf.DUMMYFUNCTION("""COMPUTED_VALUE"""),"Retiro 6 estructuras metálicas cubierta:  Se realiza retiro estructuras metálicas sobre cubierta. 
Retiro Planchas PV6 Cubierta: Se realizara el retiro completo de plancha PV6 para realizar trabajos, cambio de materiales y retiros de materiales solicitad"&amp;"os.
Retiro Aislación Existente: Se realiza retiro de planchas de poliestireno expandido de 100 mm espesor.
Instalación lana de vidrio 150 mm: Se realiza cambio de poliestireno expandido por lana de vidrio de 150 mm espesor en la totalidad de la cubierta"&amp;".
instalación maderas 2x2 para uniones de OSB donde no coincida con las costaneras 
Instalación encamisado OSB 11 mm: Se aplicar un encamisado de placa OSB de 11 mm de espesor.
Instalación Membrana Hidrofuga: Sobre el encamisado de OSB se instalara un c"&amp;"apa de membrana hidrofuga tipo TYVEK, como barrera de humedad.
Reinstalación Planchas PV6 Cubierta: Se realiza reinstalación plancha PV6, realizando cambio de tornillos y aplicando sellos de poliuretano donde corresponda para evitar filtraciones.
Instal"&amp;"ación ventas termo panel 4 unidades: Se cambiaran las 4 ventas del segundo nivel, por ventanas tipo termo panel ( considera ventanales de extremos , en los 2 frontones ).  
Instalación interior EIFS + pintura Látex: En los muros Inte"&amp;"riores, según lo visto en terreno, se realizara sistema EIFS, para dar un mejor y mayor envolvente térmico, cabe señalar que la terminación será con la pasta lisa y su posterior aplicación de pintura tipo látex extra cubriente blanco.  considera laborator"&amp;"io piso 2 lado norte.
Reinstalación de hojalaterías y cambio de hojalaterías en mal estado, nuevas hojalatería en ventanas tipo Velux, por diferencia de altura.
Orden, aseo y retiro de excedentes: Se Realiza aseo general y retiro de todo residuo generad"&amp;"o por los trabajos, dejando todo en perfectas condiciones.
")</f>
        <v>Retiro 6 estructuras metálicas cubierta:  Se realiza retiro estructuras metálicas sobre cubierta. 
Retiro Planchas PV6 Cubierta: Se realizara el retiro completo de plancha PV6 para realizar trabajos, cambio de materiales y retiros de materiales solicitados.
Retiro Aislación Existente: Se realiza retiro de planchas de poliestireno expandido de 100 mm espesor.
Instalación lana de vidrio 150 mm: Se realiza cambio de poliestireno expandido por lana de vidrio de 150 mm espesor en la totalidad de la cubierta.
instalación maderas 2x2 para uniones de OSB donde no coincida con las costaneras 
Instalación encamisado OSB 11 mm: Se aplicar un encamisado de placa OSB de 11 mm de espesor.
Instalación Membrana Hidrofuga: Sobre el encamisado de OSB se instalara un capa de membrana hidrofuga tipo TYVEK, como barrera de humedad.
Reinstalación Planchas PV6 Cubierta: Se realiza reinstalación plancha PV6, realizando cambio de tornillos y aplicando sellos de poliuretano donde corresponda para evitar filtraciones.
Instalación ventas termo panel 4 unidades: Se cambiaran las 4 ventas del segundo nivel, por ventanas tipo termo panel ( considera ventanales de extremos , en los 2 frontones ).  
Instalación interior EIFS + pintura Látex: En los muros Interiores, según lo visto en terreno, se realizara sistema EIFS, para dar un mejor y mayor envolvente térmico, cabe señalar que la terminación será con la pasta lisa y su posterior aplicación de pintura tipo látex extra cubriente blanco.  considera laboratorio piso 2 lado norte.
Reinstalación de hojalaterías y cambio de hojalaterías en mal estado, nuevas hojalatería en ventanas tipo Velux, por diferencia de altura.
Orden, aseo y retiro de excedentes: Se Realiza aseo general y retiro de todo residuo generado por los trabajos, dejando todo en perfectas condiciones.
</v>
      </c>
      <c r="W366" s="495"/>
      <c r="X366" s="495" t="str">
        <f>IFERROR(__xludf.DUMMYFUNCTION("""COMPUTED_VALUE"""),"https://drive.google.com/open?id=1MCzCXmITm8DMDyItrwExPgg4qyS7m517, https://drive.google.com/open?id=1TwWIm9zh3WLHrgUG62jveNu5meZqBYGn, https://drive.google.com/open?id=1ApWn60QXtY5rD4Ujw-ubvQLe-1eHhJB7, https://drive.google.com/open?id=1GMHWmZM9uBuy77FI5"&amp;"WgiKSV9dib2MW00, https://drive.google.com/open?id=1d1tNGa2L4_VMelgUcuACUd-IXZT2fYIf, https://drive.google.com/open?id=1arE2wI3iknV65yjsDCX209jrvCXWCSjm, https://drive.google.com/open?id=1ywlfN0SEEPDhx3FvuOiPRLf_Bb4B2GQ7, https://drive.google.com/open?id=1"&amp;"jW5gPVNbHtc4RYEmm9rSZHcejp6sVL1c, https://drive.google.com/open?id=1VYPwO4oGBoSeq_Z9caMq8vYl7D2vh3Wr, https://drive.google.com/open?id=1SE70lBCeEVd8GkXTSFSeN4lLrjBnRxYE")</f>
        <v>https://drive.google.com/open?id=1MCzCXmITm8DMDyItrwExPgg4qyS7m517, https://drive.google.com/open?id=1TwWIm9zh3WLHrgUG62jveNu5meZqBYGn, https://drive.google.com/open?id=1ApWn60QXtY5rD4Ujw-ubvQLe-1eHhJB7, https://drive.google.com/open?id=1GMHWmZM9uBuy77FI5WgiKSV9dib2MW00, https://drive.google.com/open?id=1d1tNGa2L4_VMelgUcuACUd-IXZT2fYIf, https://drive.google.com/open?id=1arE2wI3iknV65yjsDCX209jrvCXWCSjm, https://drive.google.com/open?id=1ywlfN0SEEPDhx3FvuOiPRLf_Bb4B2GQ7, https://drive.google.com/open?id=1jW5gPVNbHtc4RYEmm9rSZHcejp6sVL1c, https://drive.google.com/open?id=1VYPwO4oGBoSeq_Z9caMq8vYl7D2vh3Wr, https://drive.google.com/open?id=1SE70lBCeEVd8GkXTSFSeN4lLrjBnRxYE</v>
      </c>
      <c r="Y366" s="495" t="str">
        <f>IFERROR(__xludf.DUMMYFUNCTION("""COMPUTED_VALUE"""),"carlostroncosom@hotmail.com")</f>
        <v>carlostroncosom@hotmail.com</v>
      </c>
      <c r="Z366" s="495"/>
      <c r="AA366" s="495"/>
      <c r="AB366" s="495"/>
      <c r="AC366" s="495"/>
      <c r="AD366" s="495" t="str">
        <f>IFERROR(__xludf.DUMMYFUNCTION("""COMPUTED_VALUE"""),"RC-010_26")</f>
        <v>RC-010_26</v>
      </c>
    </row>
    <row r="367">
      <c r="A367" s="495" t="str">
        <f t="shared" si="1"/>
        <v>RC-009_26</v>
      </c>
      <c r="B367" s="497">
        <f>IFERROR(__xludf.DUMMYFUNCTION("""COMPUTED_VALUE"""),46091.679841944446)</f>
        <v>46091.67984</v>
      </c>
      <c r="C367" s="495" t="str">
        <f>IFERROR(__xludf.DUMMYFUNCTION("""COMPUTED_VALUE"""),"")</f>
        <v/>
      </c>
      <c r="D367" s="495" t="str">
        <f>IFERROR(__xludf.DUMMYFUNCTION("""COMPUTED_VALUE"""),"Mauricio Zurita Aldea")</f>
        <v>Mauricio Zurita Aldea</v>
      </c>
      <c r="E367" s="495"/>
      <c r="F367" s="496" t="str">
        <f>IFERROR(__xludf.DUMMYFUNCTION("""COMPUTED_VALUE"""),"619-2026")</f>
        <v>619-2026</v>
      </c>
      <c r="G367" s="495"/>
      <c r="H367" s="495"/>
      <c r="I367" s="495"/>
      <c r="J367" s="495" t="str">
        <f>IFERROR(__xludf.DUMMYFUNCTION("""COMPUTED_VALUE"""),"Campus Monseñor Alejandro Menchaca Lira - CML")</f>
        <v>Campus Monseñor Alejandro Menchaca Lira - CML</v>
      </c>
      <c r="K367" s="495" t="str">
        <f>IFERROR(__xludf.DUMMYFUNCTION("""COMPUTED_VALUE"""),"Exterior")</f>
        <v>Exterior</v>
      </c>
      <c r="L367" s="495" t="str">
        <f>IFERROR(__xludf.DUMMYFUNCTION("""COMPUTED_VALUE"""),"gaticar spa")</f>
        <v>gaticar spa</v>
      </c>
      <c r="M367" s="495" t="str">
        <f>IFERROR(__xludf.DUMMYFUNCTION("""COMPUTED_VALUE"""),"77.578.487-3")</f>
        <v>77.578.487-3</v>
      </c>
      <c r="N367" s="495" t="str">
        <f>IFERROR(__xludf.DUMMYFUNCTION("""COMPUTED_VALUE"""),"Hector Gatica")</f>
        <v>Hector Gatica</v>
      </c>
      <c r="O367" s="495" t="str">
        <f>IFERROR(__xludf.DUMMYFUNCTION("""COMPUTED_VALUE"""),"Mantenciones")</f>
        <v>Mantenciones</v>
      </c>
      <c r="P367" s="495" t="str">
        <f>IFERROR(__xludf.DUMMYFUNCTION("""COMPUTED_VALUE"""),"Requerimientos Emergentes e Imprevistos")</f>
        <v>Requerimientos Emergentes e Imprevistos</v>
      </c>
      <c r="Q367" s="495"/>
      <c r="R367" s="495"/>
      <c r="S367" s="495"/>
      <c r="T367" s="495"/>
      <c r="U367" s="495"/>
      <c r="V367" s="495" t="str">
        <f>IFERROR(__xludf.DUMMYFUNCTION("""COMPUTED_VALUE"""),"estructura metálica para cubrir tableros electricos ")</f>
        <v>estructura metálica para cubrir tableros electricos </v>
      </c>
      <c r="W367" s="495"/>
      <c r="X367" s="495" t="str">
        <f>IFERROR(__xludf.DUMMYFUNCTION("""COMPUTED_VALUE"""),"https://drive.google.com/open?id=1xR1kKnBlwOr2rqg-mdaqys5YVRyhqsxg, https://drive.google.com/open?id=1zhe2jVzbPv2FfFUvfyJfmnhr29EBeUk8")</f>
        <v>https://drive.google.com/open?id=1xR1kKnBlwOr2rqg-mdaqys5YVRyhqsxg, https://drive.google.com/open?id=1zhe2jVzbPv2FfFUvfyJfmnhr29EBeUk8</v>
      </c>
      <c r="Y367" s="495" t="str">
        <f>IFERROR(__xludf.DUMMYFUNCTION("""COMPUTED_VALUE"""),"serviciogaticar@gmail.com")</f>
        <v>serviciogaticar@gmail.com</v>
      </c>
      <c r="Z367" s="495"/>
      <c r="AA367" s="495"/>
      <c r="AB367" s="495"/>
      <c r="AC367" s="495"/>
      <c r="AD367" s="495" t="str">
        <f>IFERROR(__xludf.DUMMYFUNCTION("""COMPUTED_VALUE"""),"RC-009_26")</f>
        <v>RC-009_26</v>
      </c>
    </row>
    <row r="368">
      <c r="A368" s="495" t="str">
        <f t="shared" si="1"/>
        <v>RC-007_26</v>
      </c>
      <c r="B368" s="497">
        <f>IFERROR(__xludf.DUMMYFUNCTION("""COMPUTED_VALUE"""),46091.53323833333)</f>
        <v>46091.53324</v>
      </c>
      <c r="C368" s="495" t="str">
        <f>IFERROR(__xludf.DUMMYFUNCTION("""COMPUTED_VALUE"""),"")</f>
        <v/>
      </c>
      <c r="D368" s="495" t="str">
        <f>IFERROR(__xludf.DUMMYFUNCTION("""COMPUTED_VALUE"""),"Leonor Ríos Morales")</f>
        <v>Leonor Ríos Morales</v>
      </c>
      <c r="E368" s="495"/>
      <c r="F368" s="496" t="str">
        <f>IFERROR(__xludf.DUMMYFUNCTION("""COMPUTED_VALUE"""),"11674 - 2025")</f>
        <v>11674 - 2025</v>
      </c>
      <c r="G368" s="495"/>
      <c r="H368" s="495"/>
      <c r="I368" s="495"/>
      <c r="J368" s="495" t="str">
        <f>IFERROR(__xludf.DUMMYFUNCTION("""COMPUTED_VALUE"""),"Campus San Francisco - CSF")</f>
        <v>Campus San Francisco - CSF</v>
      </c>
      <c r="K368" s="495">
        <f>IFERROR(__xludf.DUMMYFUNCTION("""COMPUTED_VALUE"""),15.0)</f>
        <v>15</v>
      </c>
      <c r="L368" s="495" t="str">
        <f>IFERROR(__xludf.DUMMYFUNCTION("""COMPUTED_VALUE"""),"Construcciones Luis Exequiel Solis")</f>
        <v>Construcciones Luis Exequiel Solis</v>
      </c>
      <c r="M368" s="495" t="str">
        <f>IFERROR(__xludf.DUMMYFUNCTION("""COMPUTED_VALUE"""),"77.280.635-3")</f>
        <v>77.280.635-3</v>
      </c>
      <c r="N368" s="495" t="str">
        <f>IFERROR(__xludf.DUMMYFUNCTION("""COMPUTED_VALUE"""),"Luis Solis - Jefe")</f>
        <v>Luis Solis - Jefe</v>
      </c>
      <c r="O368" s="495" t="str">
        <f>IFERROR(__xludf.DUMMYFUNCTION("""COMPUTED_VALUE"""),"Mantenciones")</f>
        <v>Mantenciones</v>
      </c>
      <c r="P368" s="495" t="str">
        <f>IFERROR(__xludf.DUMMYFUNCTION("""COMPUTED_VALUE"""),"Terminaciones Interiores")</f>
        <v>Terminaciones Interiores</v>
      </c>
      <c r="Q368" s="495"/>
      <c r="R368" s="495"/>
      <c r="S368" s="495"/>
      <c r="T368" s="495"/>
      <c r="U368" s="495"/>
      <c r="V368" s="495" t="str">
        <f>IFERROR(__xludf.DUMMYFUNCTION("""COMPUTED_VALUE"""),"Instalación de cubrejuntas de aluminio, sector gimnasio último piso, edificio 15")</f>
        <v>Instalación de cubrejuntas de aluminio, sector gimnasio último piso, edificio 15</v>
      </c>
      <c r="W368" s="495" t="str">
        <f>IFERROR(__xludf.DUMMYFUNCTION("""COMPUTED_VALUE"""),"Se recomienda no cargar la zona intervenida con peso excesivo. ")</f>
        <v>Se recomienda no cargar la zona intervenida con peso excesivo. </v>
      </c>
      <c r="X368" s="495" t="str">
        <f>IFERROR(__xludf.DUMMYFUNCTION("""COMPUTED_VALUE"""),"https://drive.google.com/open?id=1Fmbuyr_qDPiBx2oHNKUZvZOm9Iwf49T3, https://drive.google.com/open?id=1kt5zWfe2gHQA5oEb3nvvxbDwOjaGldlH, https://drive.google.com/open?id=1NS6FezfKy5ZZobQxoWfqPRiIF5f_UTM7, https://drive.google.com/open?id=1bv3UGrPFe2SlFMOIF"&amp;"lKZGuPym3CHM5-_, https://drive.google.com/open?id=1eFq5lchoY9bHHDheFvkogvV8Iy8kAvbh, https://drive.google.com/open?id=1yqAQOOJ60eARe9kDoieKxxgwfhNviPYz")</f>
        <v>https://drive.google.com/open?id=1Fmbuyr_qDPiBx2oHNKUZvZOm9Iwf49T3, https://drive.google.com/open?id=1kt5zWfe2gHQA5oEb3nvvxbDwOjaGldlH, https://drive.google.com/open?id=1NS6FezfKy5ZZobQxoWfqPRiIF5f_UTM7, https://drive.google.com/open?id=1bv3UGrPFe2SlFMOIFlKZGuPym3CHM5-_, https://drive.google.com/open?id=1eFq5lchoY9bHHDheFvkogvV8Iy8kAvbh, https://drive.google.com/open?id=1yqAQOOJ60eARe9kDoieKxxgwfhNviPYz</v>
      </c>
      <c r="Y368" s="495" t="str">
        <f>IFERROR(__xludf.DUMMYFUNCTION("""COMPUTED_VALUE"""),"luis.exequielsolis@gmail.com")</f>
        <v>luis.exequielsolis@gmail.com</v>
      </c>
      <c r="Z368" s="495"/>
      <c r="AA368" s="495"/>
      <c r="AB368" s="495"/>
      <c r="AC368" s="495"/>
      <c r="AD368" s="495" t="str">
        <f>IFERROR(__xludf.DUMMYFUNCTION("""COMPUTED_VALUE"""),"RC-007_26")</f>
        <v>RC-007_26</v>
      </c>
    </row>
    <row r="369">
      <c r="A369" s="495" t="str">
        <f t="shared" si="1"/>
        <v>RC-001_26</v>
      </c>
      <c r="B369" s="497">
        <f>IFERROR(__xludf.DUMMYFUNCTION("""COMPUTED_VALUE"""),46086.43908778935)</f>
        <v>46086.43909</v>
      </c>
      <c r="C369" s="495" t="str">
        <f>IFERROR(__xludf.DUMMYFUNCTION("""COMPUTED_VALUE"""),"")</f>
        <v/>
      </c>
      <c r="D369" s="495" t="str">
        <f>IFERROR(__xludf.DUMMYFUNCTION("""COMPUTED_VALUE"""),"Felipe Anselme Grandón")</f>
        <v>Felipe Anselme Grandón</v>
      </c>
      <c r="E369" s="495"/>
      <c r="F369" s="496" t="str">
        <f>IFERROR(__xludf.DUMMYFUNCTION("""COMPUTED_VALUE"""),"424 - 2026")</f>
        <v>424 - 2026</v>
      </c>
      <c r="G369" s="495"/>
      <c r="H369" s="495"/>
      <c r="I369" s="495"/>
      <c r="J369" s="495" t="str">
        <f>IFERROR(__xludf.DUMMYFUNCTION("""COMPUTED_VALUE"""),"Campus San Francisco - CSF")</f>
        <v>Campus San Francisco - CSF</v>
      </c>
      <c r="K369" s="495">
        <f>IFERROR(__xludf.DUMMYFUNCTION("""COMPUTED_VALUE"""),21.0)</f>
        <v>21</v>
      </c>
      <c r="L369" s="495" t="str">
        <f>IFERROR(__xludf.DUMMYFUNCTION("""COMPUTED_VALUE"""),"Caudal Ingeniería Spa")</f>
        <v>Caudal Ingeniería Spa</v>
      </c>
      <c r="M369" s="495" t="str">
        <f>IFERROR(__xludf.DUMMYFUNCTION("""COMPUTED_VALUE"""),"77.206.949-0")</f>
        <v>77.206.949-0</v>
      </c>
      <c r="N369" s="495" t="str">
        <f>IFERROR(__xludf.DUMMYFUNCTION("""COMPUTED_VALUE"""),"Carlos Ortiz (Gerente General)")</f>
        <v>Carlos Ortiz (Gerente General)</v>
      </c>
      <c r="O369" s="495" t="str">
        <f>IFERROR(__xludf.DUMMYFUNCTION("""COMPUTED_VALUE"""),"Mantenciones")</f>
        <v>Mantenciones</v>
      </c>
      <c r="P369" s="495" t="str">
        <f>IFERROR(__xludf.DUMMYFUNCTION("""COMPUTED_VALUE"""),"Instalaciones de Agua Potable")</f>
        <v>Instalaciones de Agua Potable</v>
      </c>
      <c r="Q369" s="495"/>
      <c r="R369" s="495"/>
      <c r="S369" s="495"/>
      <c r="T369" s="495"/>
      <c r="U369" s="495"/>
      <c r="V369" s="495" t="str">
        <f>IFERROR(__xludf.DUMMYFUNCTION("""COMPUTED_VALUE"""),"Mantención Infraestructura, Pabellón Docente, Edificio 21.")</f>
        <v>Mantención Infraestructura, Pabellón Docente, Edificio 21.</v>
      </c>
      <c r="W369" s="495"/>
      <c r="X369" s="495" t="str">
        <f>IFERROR(__xludf.DUMMYFUNCTION("""COMPUTED_VALUE"""),"https://drive.google.com/open?id=1ZRZs-6yA5L5XxMO5x-qHqcNlMd42dCK4, https://drive.google.com/open?id=1Kg0XQjl9mntvG3VhtQQQ6X14YGU9wvfn, https://drive.google.com/open?id=12ASCyxXYX_3rRUMO9e0pfbXoIyOXxp3h, https://drive.google.com/open?id=1tk1YGmLlpaowLaWln"&amp;"rrieJpXACmx_uJo")</f>
        <v>https://drive.google.com/open?id=1ZRZs-6yA5L5XxMO5x-qHqcNlMd42dCK4, https://drive.google.com/open?id=1Kg0XQjl9mntvG3VhtQQQ6X14YGU9wvfn, https://drive.google.com/open?id=12ASCyxXYX_3rRUMO9e0pfbXoIyOXxp3h, https://drive.google.com/open?id=1tk1YGmLlpaowLaWlnrrieJpXACmx_uJo</v>
      </c>
      <c r="Y369" s="495" t="str">
        <f>IFERROR(__xludf.DUMMYFUNCTION("""COMPUTED_VALUE"""),"fvillegas@caudalspa.cl")</f>
        <v>fvillegas@caudalspa.cl</v>
      </c>
      <c r="Z369" s="495"/>
      <c r="AA369" s="495"/>
      <c r="AB369" s="495"/>
      <c r="AC369" s="495"/>
      <c r="AD369" s="495" t="str">
        <f>IFERROR(__xludf.DUMMYFUNCTION("""COMPUTED_VALUE"""),"RC-001_26")</f>
        <v>RC-001_26</v>
      </c>
    </row>
    <row r="370">
      <c r="A370" s="495" t="str">
        <f t="shared" si="1"/>
        <v>RC-290</v>
      </c>
      <c r="B370" s="497">
        <f>IFERROR(__xludf.DUMMYFUNCTION("""COMPUTED_VALUE"""),46085.97536306713)</f>
        <v>46085.97536</v>
      </c>
      <c r="C370" s="495" t="str">
        <f>IFERROR(__xludf.DUMMYFUNCTION("""COMPUTED_VALUE"""),"")</f>
        <v/>
      </c>
      <c r="D370" s="495" t="str">
        <f>IFERROR(__xludf.DUMMYFUNCTION("""COMPUTED_VALUE"""),"Felipe Anselme Grandón")</f>
        <v>Felipe Anselme Grandón</v>
      </c>
      <c r="E370" s="495"/>
      <c r="F370" s="496" t="str">
        <f>IFERROR(__xludf.DUMMYFUNCTION("""COMPUTED_VALUE"""),"12961-2025")</f>
        <v>12961-2025</v>
      </c>
      <c r="G370" s="495"/>
      <c r="H370" s="495"/>
      <c r="I370" s="495"/>
      <c r="J370" s="495" t="str">
        <f>IFERROR(__xludf.DUMMYFUNCTION("""COMPUTED_VALUE"""),"Campus Educación Continua - CEC")</f>
        <v>Campus Educación Continua - CEC</v>
      </c>
      <c r="K370" s="495" t="str">
        <f>IFERROR(__xludf.DUMMYFUNCTION("""COMPUTED_VALUE"""),"01")</f>
        <v>01</v>
      </c>
      <c r="L370" s="495" t="str">
        <f>IFERROR(__xludf.DUMMYFUNCTION("""COMPUTED_VALUE"""),"Alejandro Barría Mateluna ")</f>
        <v>Alejandro Barría Mateluna </v>
      </c>
      <c r="M370" s="495" t="str">
        <f>IFERROR(__xludf.DUMMYFUNCTION("""COMPUTED_VALUE"""),"11.662.472-9")</f>
        <v>11.662.472-9</v>
      </c>
      <c r="N370" s="495" t="str">
        <f>IFERROR(__xludf.DUMMYFUNCTION("""COMPUTED_VALUE"""),"Alejandro Barría Mateluna ")</f>
        <v>Alejandro Barría Mateluna </v>
      </c>
      <c r="O370" s="495" t="str">
        <f>IFERROR(__xludf.DUMMYFUNCTION("""COMPUTED_VALUE"""),"Mantenciones")</f>
        <v>Mantenciones</v>
      </c>
      <c r="P370" s="495" t="str">
        <f>IFERROR(__xludf.DUMMYFUNCTION("""COMPUTED_VALUE"""),"Cerramientos Verticales")</f>
        <v>Cerramientos Verticales</v>
      </c>
      <c r="Q370" s="495"/>
      <c r="R370" s="495"/>
      <c r="S370" s="495"/>
      <c r="T370" s="495"/>
      <c r="U370" s="495"/>
      <c r="V370" s="495" t="str">
        <f>IFERROR(__xludf.DUMMYFUNCTION("""COMPUTED_VALUE"""),"Puertas edificio por los 3 costados ")</f>
        <v>Puertas edificio por los 3 costados </v>
      </c>
      <c r="W370" s="495" t="str">
        <f>IFERROR(__xludf.DUMMYFUNCTION("""COMPUTED_VALUE"""),"No")</f>
        <v>No</v>
      </c>
      <c r="X370" s="495" t="str">
        <f>IFERROR(__xludf.DUMMYFUNCTION("""COMPUTED_VALUE"""),"https://drive.google.com/open?id=1beAiG0BG7jWuiSNZQ_cH_Q9xgqXMavru, https://drive.google.com/open?id=1SPfvL02h0gtxA9iP_IAQJ81ESp4S7dTJ, https://drive.google.com/open?id=1gkY1OC_YjRFwc2HlIG1WM7pv67LWOvmH, https://drive.google.com/open?id=1CDjdr0w2sjQVCwnZ2"&amp;"X10peJcOvp_AyqM, https://drive.google.com/open?id=1LeUkGiHxY4bW4s3dqKkeBH4amzuPYNUc, https://drive.google.com/open?id=1pjqN9qkV0IaWAuO-UnLAxa3Ij-jOtKvP, https://drive.google.com/open?id=1NsLe6zZIu7B6ex0eHLawfemDCAidvXor, https://drive.google.com/open?id=1"&amp;"IcIuJHdef4IcIfEYIdKw8BG08oZKVvB_, https://drive.google.com/open?id=1BD9Z_I0VbNTqEp6Eu-PMVYBZWeQn5Rat")</f>
        <v>https://drive.google.com/open?id=1beAiG0BG7jWuiSNZQ_cH_Q9xgqXMavru, https://drive.google.com/open?id=1SPfvL02h0gtxA9iP_IAQJ81ESp4S7dTJ, https://drive.google.com/open?id=1gkY1OC_YjRFwc2HlIG1WM7pv67LWOvmH, https://drive.google.com/open?id=1CDjdr0w2sjQVCwnZ2X10peJcOvp_AyqM, https://drive.google.com/open?id=1LeUkGiHxY4bW4s3dqKkeBH4amzuPYNUc, https://drive.google.com/open?id=1pjqN9qkV0IaWAuO-UnLAxa3Ij-jOtKvP, https://drive.google.com/open?id=1NsLe6zZIu7B6ex0eHLawfemDCAidvXor, https://drive.google.com/open?id=1IcIuJHdef4IcIfEYIdKw8BG08oZKVvB_, https://drive.google.com/open?id=1BD9Z_I0VbNTqEp6Eu-PMVYBZWeQn5Rat</v>
      </c>
      <c r="Y370" s="495" t="str">
        <f>IFERROR(__xludf.DUMMYFUNCTION("""COMPUTED_VALUE"""),"aabarriam@gmail.com")</f>
        <v>aabarriam@gmail.com</v>
      </c>
      <c r="Z370" s="495"/>
      <c r="AA370" s="495"/>
      <c r="AB370" s="495"/>
      <c r="AC370" s="495"/>
      <c r="AD370" s="495" t="str">
        <f>IFERROR(__xludf.DUMMYFUNCTION("""COMPUTED_VALUE"""),"RC-290")</f>
        <v>RC-290</v>
      </c>
    </row>
    <row r="371">
      <c r="A371" s="495" t="str">
        <f t="shared" si="1"/>
        <v>RC-288</v>
      </c>
      <c r="B371" s="497">
        <f>IFERROR(__xludf.DUMMYFUNCTION("""COMPUTED_VALUE"""),46085.72352189815)</f>
        <v>46085.72352</v>
      </c>
      <c r="C371" s="495" t="str">
        <f>IFERROR(__xludf.DUMMYFUNCTION("""COMPUTED_VALUE"""),"")</f>
        <v/>
      </c>
      <c r="D371" s="495" t="str">
        <f>IFERROR(__xludf.DUMMYFUNCTION("""COMPUTED_VALUE"""),"Mauricio Zurita Aldea")</f>
        <v>Mauricio Zurita Aldea</v>
      </c>
      <c r="E371" s="495"/>
      <c r="F371" s="496" t="str">
        <f>IFERROR(__xludf.DUMMYFUNCTION("""COMPUTED_VALUE"""),"869-2026")</f>
        <v>869-2026</v>
      </c>
      <c r="G371" s="495"/>
      <c r="H371" s="495"/>
      <c r="I371" s="495"/>
      <c r="J371" s="495" t="str">
        <f>IFERROR(__xludf.DUMMYFUNCTION("""COMPUTED_VALUE"""),"Campus San Francisco - CSF")</f>
        <v>Campus San Francisco - CSF</v>
      </c>
      <c r="K371" s="495" t="str">
        <f>IFERROR(__xludf.DUMMYFUNCTION("""COMPUTED_VALUE"""),"02")</f>
        <v>02</v>
      </c>
      <c r="L371" s="495" t="str">
        <f>IFERROR(__xludf.DUMMYFUNCTION("""COMPUTED_VALUE"""),"INGENIERIA Y CONSTRUCCIONES ELEKTRICA SPA")</f>
        <v>INGENIERIA Y CONSTRUCCIONES ELEKTRICA SPA</v>
      </c>
      <c r="M371" s="495" t="str">
        <f>IFERROR(__xludf.DUMMYFUNCTION("""COMPUTED_VALUE"""),"76.884.395-3")</f>
        <v>76.884.395-3</v>
      </c>
      <c r="N371" s="495" t="str">
        <f>IFERROR(__xludf.DUMMYFUNCTION("""COMPUTED_VALUE"""),"Marco Paine - Gerente")</f>
        <v>Marco Paine - Gerente</v>
      </c>
      <c r="O371" s="495" t="str">
        <f>IFERROR(__xludf.DUMMYFUNCTION("""COMPUTED_VALUE"""),"Mantenciones")</f>
        <v>Mantenciones</v>
      </c>
      <c r="P371" s="495" t="str">
        <f>IFERROR(__xludf.DUMMYFUNCTION("""COMPUTED_VALUE"""),"Instalaciones Eléctricas")</f>
        <v>Instalaciones Eléctricas</v>
      </c>
      <c r="Q371" s="495"/>
      <c r="R371" s="495"/>
      <c r="S371" s="495"/>
      <c r="T371" s="495"/>
      <c r="U371" s="495"/>
      <c r="V371" s="495" t="str">
        <f>IFERROR(__xludf.DUMMYFUNCTION("""COMPUTED_VALUE"""),"Estado de pago por 80% de avance de obra: REMODELACION PROYECTO ELECTRICO ETAPA 2 Y 3 EDIFICIO BIBLIOTECA, LABORATORIO DE COMPUTACION CSF02-311 /
CSF02_321, SEGUN PRESUPUESTO NRO. 1846-B.")</f>
        <v>Estado de pago por 80% de avance de obra: REMODELACION PROYECTO ELECTRICO ETAPA 2 Y 3 EDIFICIO BIBLIOTECA, LABORATORIO DE COMPUTACION CSF02-311 /
CSF02_321, SEGUN PRESUPUESTO NRO. 1846-B.</v>
      </c>
      <c r="W371" s="495"/>
      <c r="X371" s="495" t="str">
        <f>IFERROR(__xludf.DUMMYFUNCTION("""COMPUTED_VALUE"""),"https://drive.google.com/open?id=1MANKDOGnecWoZdFMRqmumSlmWGddzAto, https://drive.google.com/open?id=1gT1WFrjGOeBdU-yk9-7ow98SiwG2HC0D, https://drive.google.com/open?id=1ogAOnH9fZWRZ6kE_x6nv4P6vKuK2iV76, https://drive.google.com/open?id=1AJik0qjcFYcd1pi2r"&amp;"sdHX3WLleJCNM63")</f>
        <v>https://drive.google.com/open?id=1MANKDOGnecWoZdFMRqmumSlmWGddzAto, https://drive.google.com/open?id=1gT1WFrjGOeBdU-yk9-7ow98SiwG2HC0D, https://drive.google.com/open?id=1ogAOnH9fZWRZ6kE_x6nv4P6vKuK2iV76, https://drive.google.com/open?id=1AJik0qjcFYcd1pi2rsdHX3WLleJCNM63</v>
      </c>
      <c r="Y371" s="495" t="str">
        <f>IFERROR(__xludf.DUMMYFUNCTION("""COMPUTED_VALUE"""),"marcopaine@gmail.com")</f>
        <v>marcopaine@gmail.com</v>
      </c>
      <c r="Z371" s="495"/>
      <c r="AA371" s="495"/>
      <c r="AB371" s="495"/>
      <c r="AC371" s="495"/>
      <c r="AD371" s="495" t="str">
        <f>IFERROR(__xludf.DUMMYFUNCTION("""COMPUTED_VALUE"""),"RC-288")</f>
        <v>RC-288</v>
      </c>
    </row>
    <row r="372">
      <c r="A372" s="495" t="str">
        <f t="shared" si="1"/>
        <v>RC-285</v>
      </c>
      <c r="B372" s="497">
        <f>IFERROR(__xludf.DUMMYFUNCTION("""COMPUTED_VALUE"""),46085.41361478009)</f>
        <v>46085.41361</v>
      </c>
      <c r="C372" s="495" t="str">
        <f>IFERROR(__xludf.DUMMYFUNCTION("""COMPUTED_VALUE"""),"")</f>
        <v/>
      </c>
      <c r="D372" s="495" t="str">
        <f>IFERROR(__xludf.DUMMYFUNCTION("""COMPUTED_VALUE"""),"Carol Huenchual Chañilao")</f>
        <v>Carol Huenchual Chañilao</v>
      </c>
      <c r="E372" s="495"/>
      <c r="F372" s="496" t="str">
        <f>IFERROR(__xludf.DUMMYFUNCTION("""COMPUTED_VALUE"""),"2026 - 863")</f>
        <v>2026 - 863</v>
      </c>
      <c r="G372" s="495"/>
      <c r="H372" s="495"/>
      <c r="I372" s="495"/>
      <c r="J372" s="495" t="str">
        <f>IFERROR(__xludf.DUMMYFUNCTION("""COMPUTED_VALUE"""),"Campus San Francisco - CSF")</f>
        <v>Campus San Francisco - CSF</v>
      </c>
      <c r="K372" s="495" t="str">
        <f>IFERROR(__xludf.DUMMYFUNCTION("""COMPUTED_VALUE"""),"Exterior")</f>
        <v>Exterior</v>
      </c>
      <c r="L372" s="495" t="str">
        <f>IFERROR(__xludf.DUMMYFUNCTION("""COMPUTED_VALUE"""),"Flavia Oyarzun Soto ")</f>
        <v>Flavia Oyarzun Soto </v>
      </c>
      <c r="M372" s="495" t="str">
        <f>IFERROR(__xludf.DUMMYFUNCTION("""COMPUTED_VALUE"""),"5.503.590-3 ")</f>
        <v>5.503.590-3 </v>
      </c>
      <c r="N372" s="495" t="str">
        <f>IFERROR(__xludf.DUMMYFUNCTION("""COMPUTED_VALUE"""),"Roberto Lassalle ")</f>
        <v>Roberto Lassalle </v>
      </c>
      <c r="O372" s="495" t="str">
        <f>IFERROR(__xludf.DUMMYFUNCTION("""COMPUTED_VALUE"""),"Mantenciones")</f>
        <v>Mantenciones</v>
      </c>
      <c r="P372" s="495" t="str">
        <f>IFERROR(__xludf.DUMMYFUNCTION("""COMPUTED_VALUE"""),"Terminaciones Interiores")</f>
        <v>Terminaciones Interiores</v>
      </c>
      <c r="Q372" s="495"/>
      <c r="R372" s="495"/>
      <c r="S372" s="495"/>
      <c r="T372" s="495"/>
      <c r="U372" s="495"/>
      <c r="V372" s="495" t="str">
        <f>IFERROR(__xludf.DUMMYFUNCTION("""COMPUTED_VALUE"""),"Aplicación de pintura interior en todos los espacios del campus San Francisco, menchaca Lira y sergio contreras navia pintura exterior ")</f>
        <v>Aplicación de pintura interior en todos los espacios del campus San Francisco, menchaca Lira y sergio contreras navia pintura exterior </v>
      </c>
      <c r="W372" s="495" t="str">
        <f>IFERROR(__xludf.DUMMYFUNCTION("""COMPUTED_VALUE"""),"Se consideró reparaciones, tratamiento y luego aplicación de las pinturas, también se consideró reposición de hojalateria ")</f>
        <v>Se consideró reparaciones, tratamiento y luego aplicación de las pinturas, también se consideró reposición de hojalateria </v>
      </c>
      <c r="X372" s="495" t="str">
        <f>IFERROR(__xludf.DUMMYFUNCTION("""COMPUTED_VALUE"""),"https://drive.google.com/open?id=19CqMD1Mbkm99UxN49G-emhOShGnAOuQ1, https://drive.google.com/open?id=1yfLKFrQVuTPLMxGMpXn24x4knWDCmyuw, https://drive.google.com/open?id=11oB8CxxfTkYBnjk9ci7FOc3fOqy6r7GL, https://drive.google.com/open?id=1pFiZsfdrMM5FN-sFa"&amp;"nshHw6dQ0Cs7Iiw, https://drive.google.com/open?id=1bsjn5bcXtPgI3futbRLINXneGgPffsUA, https://drive.google.com/open?id=1rgBWe_MVJ_82Wv8bDfyHO95d4PpWxPRM")</f>
        <v>https://drive.google.com/open?id=19CqMD1Mbkm99UxN49G-emhOShGnAOuQ1, https://drive.google.com/open?id=1yfLKFrQVuTPLMxGMpXn24x4knWDCmyuw, https://drive.google.com/open?id=11oB8CxxfTkYBnjk9ci7FOc3fOqy6r7GL, https://drive.google.com/open?id=1pFiZsfdrMM5FN-sFanshHw6dQ0Cs7Iiw, https://drive.google.com/open?id=1bsjn5bcXtPgI3futbRLINXneGgPffsUA, https://drive.google.com/open?id=1rgBWe_MVJ_82Wv8bDfyHO95d4PpWxPRM</v>
      </c>
      <c r="Y372" s="495" t="str">
        <f>IFERROR(__xludf.DUMMYFUNCTION("""COMPUTED_VALUE"""),"roberto.lassalle@gmail.com")</f>
        <v>roberto.lassalle@gmail.com</v>
      </c>
      <c r="Z372" s="495"/>
      <c r="AA372" s="495"/>
      <c r="AB372" s="495"/>
      <c r="AC372" s="495"/>
      <c r="AD372" s="495" t="str">
        <f>IFERROR(__xludf.DUMMYFUNCTION("""COMPUTED_VALUE"""),"RC-285")</f>
        <v>RC-285</v>
      </c>
    </row>
    <row r="373">
      <c r="A373" s="495" t="str">
        <f t="shared" si="1"/>
        <v>RC-284</v>
      </c>
      <c r="B373" s="497">
        <f>IFERROR(__xludf.DUMMYFUNCTION("""COMPUTED_VALUE"""),46085.410340497685)</f>
        <v>46085.41034</v>
      </c>
      <c r="C373" s="495" t="str">
        <f>IFERROR(__xludf.DUMMYFUNCTION("""COMPUTED_VALUE"""),"")</f>
        <v/>
      </c>
      <c r="D373" s="495" t="str">
        <f>IFERROR(__xludf.DUMMYFUNCTION("""COMPUTED_VALUE"""),"Leonor Ríos Morales")</f>
        <v>Leonor Ríos Morales</v>
      </c>
      <c r="E373" s="495"/>
      <c r="F373" s="496" t="str">
        <f>IFERROR(__xludf.DUMMYFUNCTION("""COMPUTED_VALUE"""),"2026 - 633")</f>
        <v>2026 - 633</v>
      </c>
      <c r="G373" s="495"/>
      <c r="H373" s="495"/>
      <c r="I373" s="495"/>
      <c r="J373" s="495" t="str">
        <f>IFERROR(__xludf.DUMMYFUNCTION("""COMPUTED_VALUE"""),"Campus San Francisco - CSF")</f>
        <v>Campus San Francisco - CSF</v>
      </c>
      <c r="K373" s="495">
        <f>IFERROR(__xludf.DUMMYFUNCTION("""COMPUTED_VALUE"""),10.0)</f>
        <v>10</v>
      </c>
      <c r="L373" s="495" t="str">
        <f>IFERROR(__xludf.DUMMYFUNCTION("""COMPUTED_VALUE"""),"Flavia Oyarzun Soto ")</f>
        <v>Flavia Oyarzun Soto </v>
      </c>
      <c r="M373" s="495" t="str">
        <f>IFERROR(__xludf.DUMMYFUNCTION("""COMPUTED_VALUE"""),"5.503.590-3 ")</f>
        <v>5.503.590-3 </v>
      </c>
      <c r="N373" s="495" t="str">
        <f>IFERROR(__xludf.DUMMYFUNCTION("""COMPUTED_VALUE"""),"Roberto Lassalle ")</f>
        <v>Roberto Lassalle </v>
      </c>
      <c r="O373" s="495" t="str">
        <f>IFERROR(__xludf.DUMMYFUNCTION("""COMPUTED_VALUE"""),"Mantenciones")</f>
        <v>Mantenciones</v>
      </c>
      <c r="P373" s="495" t="str">
        <f>IFERROR(__xludf.DUMMYFUNCTION("""COMPUTED_VALUE"""),"Terminaciones Interiores")</f>
        <v>Terminaciones Interiores</v>
      </c>
      <c r="Q373" s="495"/>
      <c r="R373" s="495"/>
      <c r="S373" s="495"/>
      <c r="T373" s="495"/>
      <c r="U373" s="495"/>
      <c r="V373" s="495" t="str">
        <f>IFERROR(__xludf.DUMMYFUNCTION("""COMPUTED_VALUE"""),"Instalación equipos de aire acondicionado en espacios interiores")</f>
        <v>Instalación equipos de aire acondicionado en espacios interiores</v>
      </c>
      <c r="W373" s="495"/>
      <c r="X373" s="495" t="str">
        <f>IFERROR(__xludf.DUMMYFUNCTION("""COMPUTED_VALUE"""),"https://drive.google.com/open?id=17JB6PB3epM9vZ2zpW_ztogBjr_fU_oam, https://drive.google.com/open?id=1Y_Ug1J9QG6b1bjrlKq0wNZLxRHlCMP3_, https://drive.google.com/open?id=1K1dUF19tDqCAUkA2fke5tOWCQbsVTxM1")</f>
        <v>https://drive.google.com/open?id=17JB6PB3epM9vZ2zpW_ztogBjr_fU_oam, https://drive.google.com/open?id=1Y_Ug1J9QG6b1bjrlKq0wNZLxRHlCMP3_, https://drive.google.com/open?id=1K1dUF19tDqCAUkA2fke5tOWCQbsVTxM1</v>
      </c>
      <c r="Y373" s="495" t="str">
        <f>IFERROR(__xludf.DUMMYFUNCTION("""COMPUTED_VALUE"""),"roberto.lassalle@gmail.com")</f>
        <v>roberto.lassalle@gmail.com</v>
      </c>
      <c r="Z373" s="495"/>
      <c r="AA373" s="495"/>
      <c r="AB373" s="495"/>
      <c r="AC373" s="495"/>
      <c r="AD373" s="495" t="str">
        <f>IFERROR(__xludf.DUMMYFUNCTION("""COMPUTED_VALUE"""),"RC-284")</f>
        <v>RC-284</v>
      </c>
    </row>
    <row r="374">
      <c r="A374" s="495" t="str">
        <f t="shared" si="1"/>
        <v>RC-283</v>
      </c>
      <c r="B374" s="497">
        <f>IFERROR(__xludf.DUMMYFUNCTION("""COMPUTED_VALUE"""),46084.425989027775)</f>
        <v>46084.42599</v>
      </c>
      <c r="C374" s="495" t="str">
        <f>IFERROR(__xludf.DUMMYFUNCTION("""COMPUTED_VALUE"""),"")</f>
        <v/>
      </c>
      <c r="D374" s="495" t="str">
        <f>IFERROR(__xludf.DUMMYFUNCTION("""COMPUTED_VALUE"""),"Isabel Riquelme Arias")</f>
        <v>Isabel Riquelme Arias</v>
      </c>
      <c r="E374" s="495"/>
      <c r="F374" s="496" t="str">
        <f>IFERROR(__xludf.DUMMYFUNCTION("""COMPUTED_VALUE"""),"861-2026")</f>
        <v>861-2026</v>
      </c>
      <c r="G374" s="495"/>
      <c r="H374" s="495"/>
      <c r="I374" s="495"/>
      <c r="J374" s="495" t="str">
        <f>IFERROR(__xludf.DUMMYFUNCTION("""COMPUTED_VALUE"""),"Campus Dr. Luis Rivas del Canto - CRC")</f>
        <v>Campus Dr. Luis Rivas del Canto - CRC</v>
      </c>
      <c r="K374" s="495" t="str">
        <f>IFERROR(__xludf.DUMMYFUNCTION("""COMPUTED_VALUE"""),"Exterior")</f>
        <v>Exterior</v>
      </c>
      <c r="L374" s="495" t="str">
        <f>IFERROR(__xludf.DUMMYFUNCTION("""COMPUTED_VALUE"""),"gaticar spa")</f>
        <v>gaticar spa</v>
      </c>
      <c r="M374" s="495" t="str">
        <f>IFERROR(__xludf.DUMMYFUNCTION("""COMPUTED_VALUE"""),"77.578.487-3")</f>
        <v>77.578.487-3</v>
      </c>
      <c r="N374" s="495" t="str">
        <f>IFERROR(__xludf.DUMMYFUNCTION("""COMPUTED_VALUE"""),"hector gatica")</f>
        <v>hector gatica</v>
      </c>
      <c r="O374" s="495" t="str">
        <f>IFERROR(__xludf.DUMMYFUNCTION("""COMPUTED_VALUE"""),"Mantenciones")</f>
        <v>Mantenciones</v>
      </c>
      <c r="P374" s="495" t="str">
        <f>IFERROR(__xludf.DUMMYFUNCTION("""COMPUTED_VALUE"""),"Requerimientos Emergentes e Imprevistos")</f>
        <v>Requerimientos Emergentes e Imprevistos</v>
      </c>
      <c r="Q374" s="495"/>
      <c r="R374" s="495"/>
      <c r="S374" s="495"/>
      <c r="T374" s="495"/>
      <c r="U374" s="495"/>
      <c r="V374" s="495" t="str">
        <f>IFERROR(__xludf.DUMMYFUNCTION("""COMPUTED_VALUE"""),"CONTRUCCION BICICLETERO")</f>
        <v>CONTRUCCION BICICLETERO</v>
      </c>
      <c r="W374" s="495"/>
      <c r="X374" s="495" t="str">
        <f>IFERROR(__xludf.DUMMYFUNCTION("""COMPUTED_VALUE"""),"https://drive.google.com/open?id=16DgzJ85rBZk8AfiUPCTguUpSgQDEMBEl, https://drive.google.com/open?id=16KDVvIaxjTOj0CwzeGB7CsirXk4rulIG, https://drive.google.com/open?id=1SyJqXG8ypJCUm1ZX9clKQnLL_5JqFEP2, https://drive.google.com/open?id=1KVu0vFw_zgsaazuIA"&amp;"UON8VwEVMw82bk7")</f>
        <v>https://drive.google.com/open?id=16DgzJ85rBZk8AfiUPCTguUpSgQDEMBEl, https://drive.google.com/open?id=16KDVvIaxjTOj0CwzeGB7CsirXk4rulIG, https://drive.google.com/open?id=1SyJqXG8ypJCUm1ZX9clKQnLL_5JqFEP2, https://drive.google.com/open?id=1KVu0vFw_zgsaazuIAUON8VwEVMw82bk7</v>
      </c>
      <c r="Y374" s="495" t="str">
        <f>IFERROR(__xludf.DUMMYFUNCTION("""COMPUTED_VALUE"""),"serviciogaticar@gmail.com")</f>
        <v>serviciogaticar@gmail.com</v>
      </c>
      <c r="Z374" s="495"/>
      <c r="AA374" s="495"/>
      <c r="AB374" s="495"/>
      <c r="AC374" s="495"/>
      <c r="AD374" s="495" t="str">
        <f>IFERROR(__xludf.DUMMYFUNCTION("""COMPUTED_VALUE"""),"RC-283")</f>
        <v>RC-283</v>
      </c>
    </row>
    <row r="375">
      <c r="A375" s="495" t="str">
        <f t="shared" si="1"/>
        <v>RC-280</v>
      </c>
      <c r="B375" s="497">
        <f>IFERROR(__xludf.DUMMYFUNCTION("""COMPUTED_VALUE"""),46083.541851145834)</f>
        <v>46083.54185</v>
      </c>
      <c r="C375" s="495" t="str">
        <f>IFERROR(__xludf.DUMMYFUNCTION("""COMPUTED_VALUE"""),"")</f>
        <v/>
      </c>
      <c r="D375" s="495" t="str">
        <f>IFERROR(__xludf.DUMMYFUNCTION("""COMPUTED_VALUE"""),"Carol Huenchual Chañilao")</f>
        <v>Carol Huenchual Chañilao</v>
      </c>
      <c r="E375" s="495"/>
      <c r="F375" s="496" t="str">
        <f>IFERROR(__xludf.DUMMYFUNCTION("""COMPUTED_VALUE"""),"476 - 2026")</f>
        <v>476 - 2026</v>
      </c>
      <c r="G375" s="495"/>
      <c r="H375" s="495"/>
      <c r="I375" s="495"/>
      <c r="J375" s="495" t="str">
        <f>IFERROR(__xludf.DUMMYFUNCTION("""COMPUTED_VALUE"""),"Campus San Juan Pablo II - CJP")</f>
        <v>Campus San Juan Pablo II - CJP</v>
      </c>
      <c r="K375" s="495" t="str">
        <f>IFERROR(__xludf.DUMMYFUNCTION("""COMPUTED_VALUE"""),"Sin número")</f>
        <v>Sin número</v>
      </c>
      <c r="L375" s="495" t="str">
        <f>IFERROR(__xludf.DUMMYFUNCTION("""COMPUTED_VALUE"""),"SOC. GONZALEZ GAJARDO Y CIA LTDA")</f>
        <v>SOC. GONZALEZ GAJARDO Y CIA LTDA</v>
      </c>
      <c r="M375" s="495" t="str">
        <f>IFERROR(__xludf.DUMMYFUNCTION("""COMPUTED_VALUE"""),"76.265.749-K")</f>
        <v>76.265.749-K</v>
      </c>
      <c r="N375" s="495" t="str">
        <f>IFERROR(__xludf.DUMMYFUNCTION("""COMPUTED_VALUE"""),"MARCELO GONZALEZ - SUPERVISOR")</f>
        <v>MARCELO GONZALEZ - SUPERVISOR</v>
      </c>
      <c r="O375" s="495" t="str">
        <f>IFERROR(__xludf.DUMMYFUNCTION("""COMPUTED_VALUE"""),"Mantenciones")</f>
        <v>Mantenciones</v>
      </c>
      <c r="P375" s="495" t="str">
        <f>IFERROR(__xludf.DUMMYFUNCTION("""COMPUTED_VALUE"""),"Instalaciones de Agua Potable")</f>
        <v>Instalaciones de Agua Potable</v>
      </c>
      <c r="Q375" s="495"/>
      <c r="R375" s="495"/>
      <c r="S375" s="495"/>
      <c r="T375" s="495"/>
      <c r="U375" s="495"/>
      <c r="V375" s="495" t="str">
        <f>IFERROR(__xludf.DUMMYFUNCTION("""COMPUTED_VALUE"""),"MANTENCION A SALAS DE BOMBAS ")</f>
        <v>MANTENCION A SALAS DE BOMBAS </v>
      </c>
      <c r="W375" s="495" t="str">
        <f>IFERROR(__xludf.DUMMYFUNCTION("""COMPUTED_VALUE"""),"NO")</f>
        <v>NO</v>
      </c>
      <c r="X375" s="499" t="str">
        <f>IFERROR(__xludf.DUMMYFUNCTION("""COMPUTED_VALUE"""),"https://drive.google.com/open?id=1ODcUULjdnJuj30oNZB5XPHt4bJXDMnLJ")</f>
        <v>https://drive.google.com/open?id=1ODcUULjdnJuj30oNZB5XPHt4bJXDMnLJ</v>
      </c>
      <c r="Y375" s="495" t="str">
        <f>IFERROR(__xludf.DUMMYFUNCTION("""COMPUTED_VALUE"""),"operaciones@tecfull.cl")</f>
        <v>operaciones@tecfull.cl</v>
      </c>
      <c r="Z375" s="495"/>
      <c r="AA375" s="495"/>
      <c r="AB375" s="495"/>
      <c r="AC375" s="495"/>
      <c r="AD375" s="495" t="str">
        <f>IFERROR(__xludf.DUMMYFUNCTION("""COMPUTED_VALUE"""),"RC-280")</f>
        <v>RC-280</v>
      </c>
    </row>
    <row r="376">
      <c r="A376" s="495" t="str">
        <f t="shared" si="1"/>
        <v>RC-053_26</v>
      </c>
      <c r="B376" s="497">
        <f>IFERROR(__xludf.DUMMYFUNCTION("""COMPUTED_VALUE"""),46108.533088449076)</f>
        <v>46108.53309</v>
      </c>
      <c r="C376" s="495" t="str">
        <f>IFERROR(__xludf.DUMMYFUNCTION("""COMPUTED_VALUE"""),"")</f>
        <v/>
      </c>
      <c r="D376" s="495" t="str">
        <f>IFERROR(__xludf.DUMMYFUNCTION("""COMPUTED_VALUE"""),"Juan Ignacio Solís de Ovando")</f>
        <v>Juan Ignacio Solís de Ovando</v>
      </c>
      <c r="E376" s="495"/>
      <c r="F376" s="496" t="str">
        <f>IFERROR(__xludf.DUMMYFUNCTION("""COMPUTED_VALUE"""),"1426-2026")</f>
        <v>1426-2026</v>
      </c>
      <c r="G376" s="495"/>
      <c r="H376" s="495"/>
      <c r="I376" s="495"/>
      <c r="J376" s="495" t="str">
        <f>IFERROR(__xludf.DUMMYFUNCTION("""COMPUTED_VALUE"""),"Campus Dr. Luis Rivas del Canto - CRC")</f>
        <v>Campus Dr. Luis Rivas del Canto - CRC</v>
      </c>
      <c r="K376" s="495" t="str">
        <f>IFERROR(__xludf.DUMMYFUNCTION("""COMPUTED_VALUE"""),"Sin número")</f>
        <v>Sin número</v>
      </c>
      <c r="L376" s="495" t="str">
        <f>IFERROR(__xludf.DUMMYFUNCTION("""COMPUTED_VALUE"""),"LSA INGENIERIA Y CONSTRUCCION EIRL")</f>
        <v>LSA INGENIERIA Y CONSTRUCCION EIRL</v>
      </c>
      <c r="M376" s="495" t="str">
        <f>IFERROR(__xludf.DUMMYFUNCTION("""COMPUTED_VALUE"""),"76219281-0")</f>
        <v>76219281-0</v>
      </c>
      <c r="N376" s="495" t="str">
        <f>IFERROR(__xludf.DUMMYFUNCTION("""COMPUTED_VALUE"""),"CLAUDIA SANZANA SAEZ, ADMINISTRADOR DE OBRA")</f>
        <v>CLAUDIA SANZANA SAEZ, ADMINISTRADOR DE OBRA</v>
      </c>
      <c r="O376" s="495" t="str">
        <f>IFERROR(__xludf.DUMMYFUNCTION("""COMPUTED_VALUE"""),"Obras y Especialidades")</f>
        <v>Obras y Especialidades</v>
      </c>
      <c r="P376" s="495"/>
      <c r="Q376" s="495"/>
      <c r="R376" s="495" t="str">
        <f>IFERROR(__xludf.DUMMYFUNCTION("""COMPUTED_VALUE"""),"Nuevo Edificio")</f>
        <v>Nuevo Edificio</v>
      </c>
      <c r="S376" s="495" t="str">
        <f>IFERROR(__xludf.DUMMYFUNCTION("""COMPUTED_VALUE"""),"Estado de Pago - EP")</f>
        <v>Estado de Pago - EP</v>
      </c>
      <c r="T376" s="495">
        <f>IFERROR(__xludf.DUMMYFUNCTION("""COMPUTED_VALUE"""),1.0)</f>
        <v>1</v>
      </c>
      <c r="U376" s="498">
        <f>IFERROR(__xludf.DUMMYFUNCTION("""COMPUTED_VALUE"""),1.46005661E8)</f>
        <v>146005661</v>
      </c>
      <c r="V376" s="495" t="str">
        <f>IFERROR(__xludf.DUMMYFUNCTION("""COMPUTED_VALUE"""),"CONSTRUCCION EDIFICIO")</f>
        <v>CONSTRUCCION EDIFICIO</v>
      </c>
      <c r="W376" s="495"/>
      <c r="X376" s="495" t="str">
        <f>IFERROR(__xludf.DUMMYFUNCTION("""COMPUTED_VALUE"""),"https://drive.google.com/open?id=18DN9dVazAGDc51So6Na4SgJKu5vzy4rr, https://drive.google.com/open?id=1Moj0GbMEaJsc8raOD_GGdCcfnS7Phg_2, https://drive.google.com/open?id=14ZpW8kFtslgPJ-8wobpqvDPJx8HyjQnp, https://drive.google.com/open?id=1fxX_wdt0qbuowTXgV"&amp;"MkLoFDaWsz7bdaI, https://drive.google.com/open?id=1e6nvYdy965aWNGmAKNNka7kDSJG6Yyid")</f>
        <v>https://drive.google.com/open?id=18DN9dVazAGDc51So6Na4SgJKu5vzy4rr, https://drive.google.com/open?id=1Moj0GbMEaJsc8raOD_GGdCcfnS7Phg_2, https://drive.google.com/open?id=14ZpW8kFtslgPJ-8wobpqvDPJx8HyjQnp, https://drive.google.com/open?id=1fxX_wdt0qbuowTXgVMkLoFDaWsz7bdaI, https://drive.google.com/open?id=1e6nvYdy965aWNGmAKNNka7kDSJG6Yyid</v>
      </c>
      <c r="Y376" s="495" t="str">
        <f>IFERROR(__xludf.DUMMYFUNCTION("""COMPUTED_VALUE"""),"claudiasanzana@Lsaingenieria.cl")</f>
        <v>claudiasanzana@Lsaingenieria.cl</v>
      </c>
      <c r="Z376" s="495"/>
      <c r="AA376" s="495"/>
      <c r="AB376" s="495"/>
      <c r="AC376" s="495"/>
      <c r="AD376" s="495" t="str">
        <f>IFERROR(__xludf.DUMMYFUNCTION("""COMPUTED_VALUE"""),"RC-053_26")</f>
        <v>RC-053_26</v>
      </c>
    </row>
    <row r="377">
      <c r="A377" s="495" t="str">
        <f t="shared" si="1"/>
        <v>RC-054_26</v>
      </c>
      <c r="B377" s="497">
        <f>IFERROR(__xludf.DUMMYFUNCTION("""COMPUTED_VALUE"""),46108.587639143516)</f>
        <v>46108.58764</v>
      </c>
      <c r="C377" s="495" t="str">
        <f>IFERROR(__xludf.DUMMYFUNCTION("""COMPUTED_VALUE"""),"")</f>
        <v/>
      </c>
      <c r="D377" s="495" t="str">
        <f>IFERROR(__xludf.DUMMYFUNCTION("""COMPUTED_VALUE"""),"Juan Ignacio Solís de Ovando")</f>
        <v>Juan Ignacio Solís de Ovando</v>
      </c>
      <c r="E377" s="495"/>
      <c r="F377" s="496" t="str">
        <f>IFERROR(__xludf.DUMMYFUNCTION("""COMPUTED_VALUE"""),"1426-2026")</f>
        <v>1426-2026</v>
      </c>
      <c r="G377" s="495"/>
      <c r="H377" s="495"/>
      <c r="I377" s="495"/>
      <c r="J377" s="495" t="str">
        <f>IFERROR(__xludf.DUMMYFUNCTION("""COMPUTED_VALUE"""),"Campus Dr. Luis Rivas del Canto - CRC")</f>
        <v>Campus Dr. Luis Rivas del Canto - CRC</v>
      </c>
      <c r="K377" s="495" t="str">
        <f>IFERROR(__xludf.DUMMYFUNCTION("""COMPUTED_VALUE"""),"Sin número")</f>
        <v>Sin número</v>
      </c>
      <c r="L377" s="495" t="str">
        <f>IFERROR(__xludf.DUMMYFUNCTION("""COMPUTED_VALUE"""),"LSA INGENIERIA Y CONSTRUCCION EIRL")</f>
        <v>LSA INGENIERIA Y CONSTRUCCION EIRL</v>
      </c>
      <c r="M377" s="495" t="str">
        <f>IFERROR(__xludf.DUMMYFUNCTION("""COMPUTED_VALUE"""),"76.219.281-0")</f>
        <v>76.219.281-0</v>
      </c>
      <c r="N377" s="495" t="str">
        <f>IFERROR(__xludf.DUMMYFUNCTION("""COMPUTED_VALUE"""),"CLAUDIA SANZANA, ADMINISTRADOR DE OBRA")</f>
        <v>CLAUDIA SANZANA, ADMINISTRADOR DE OBRA</v>
      </c>
      <c r="O377" s="495" t="str">
        <f>IFERROR(__xludf.DUMMYFUNCTION("""COMPUTED_VALUE"""),"Obras y Especialidades")</f>
        <v>Obras y Especialidades</v>
      </c>
      <c r="P377" s="495"/>
      <c r="Q377" s="495"/>
      <c r="R377" s="495" t="str">
        <f>IFERROR(__xludf.DUMMYFUNCTION("""COMPUTED_VALUE"""),"Nuevo Edificio")</f>
        <v>Nuevo Edificio</v>
      </c>
      <c r="S377" s="495" t="str">
        <f>IFERROR(__xludf.DUMMYFUNCTION("""COMPUTED_VALUE"""),"Estado de Pago - EP")</f>
        <v>Estado de Pago - EP</v>
      </c>
      <c r="T377" s="495">
        <f>IFERROR(__xludf.DUMMYFUNCTION("""COMPUTED_VALUE"""),1.0)</f>
        <v>1</v>
      </c>
      <c r="U377" s="498">
        <f>IFERROR(__xludf.DUMMYFUNCTION("""COMPUTED_VALUE"""),1.44479558E8)</f>
        <v>144479558</v>
      </c>
      <c r="V377" s="495" t="str">
        <f>IFERROR(__xludf.DUMMYFUNCTION("""COMPUTED_VALUE"""),"CONSTRUCCION EDIFICIO CASINO")</f>
        <v>CONSTRUCCION EDIFICIO CASINO</v>
      </c>
      <c r="W377" s="495"/>
      <c r="X377" s="495" t="str">
        <f>IFERROR(__xludf.DUMMYFUNCTION("""COMPUTED_VALUE"""),"https://drive.google.com/open?id=1p2zrKsdfyOgiTWs5lg4nU7iyTOesloHL, https://drive.google.com/open?id=1QvxjBxIC5A7t8tOu9udxza_5jAxLqJEz, https://drive.google.com/open?id=1MqnKESydJhSQEiTcYyWIiL4Yk_imgwcG, https://drive.google.com/open?id=1zZ8NVi1uvPoWg62at"&amp;"SwlrLrZy2amVYaW, https://drive.google.com/open?id=1KlChLsi8M_3weYIanaPS4TA6-54iczpC")</f>
        <v>https://drive.google.com/open?id=1p2zrKsdfyOgiTWs5lg4nU7iyTOesloHL, https://drive.google.com/open?id=1QvxjBxIC5A7t8tOu9udxza_5jAxLqJEz, https://drive.google.com/open?id=1MqnKESydJhSQEiTcYyWIiL4Yk_imgwcG, https://drive.google.com/open?id=1zZ8NVi1uvPoWg62atSwlrLrZy2amVYaW, https://drive.google.com/open?id=1KlChLsi8M_3weYIanaPS4TA6-54iczpC</v>
      </c>
      <c r="Y377" s="495" t="str">
        <f>IFERROR(__xludf.DUMMYFUNCTION("""COMPUTED_VALUE"""),"claudiasanzana@Lsaingenieria.cl")</f>
        <v>claudiasanzana@Lsaingenieria.cl</v>
      </c>
      <c r="Z377" s="495"/>
      <c r="AA377" s="495"/>
      <c r="AB377" s="495"/>
      <c r="AC377" s="495"/>
      <c r="AD377" s="495" t="str">
        <f>IFERROR(__xludf.DUMMYFUNCTION("""COMPUTED_VALUE"""),"RC-054_26")</f>
        <v>RC-054_26</v>
      </c>
    </row>
    <row r="378">
      <c r="A378" s="495" t="str">
        <f t="shared" si="1"/>
        <v>RC-278</v>
      </c>
      <c r="B378" s="497">
        <f>IFERROR(__xludf.DUMMYFUNCTION("""COMPUTED_VALUE"""),46083.53614981481)</f>
        <v>46083.53615</v>
      </c>
      <c r="C378" s="495" t="str">
        <f>IFERROR(__xludf.DUMMYFUNCTION("""COMPUTED_VALUE"""),"")</f>
        <v/>
      </c>
      <c r="D378" s="495" t="str">
        <f>IFERROR(__xludf.DUMMYFUNCTION("""COMPUTED_VALUE"""),"Carol Huenchual Chañilao")</f>
        <v>Carol Huenchual Chañilao</v>
      </c>
      <c r="E378" s="495"/>
      <c r="F378" s="496" t="str">
        <f>IFERROR(__xludf.DUMMYFUNCTION("""COMPUTED_VALUE"""),"476 - 2026")</f>
        <v>476 - 2026</v>
      </c>
      <c r="G378" s="495"/>
      <c r="H378" s="495"/>
      <c r="I378" s="495"/>
      <c r="J378" s="495" t="str">
        <f>IFERROR(__xludf.DUMMYFUNCTION("""COMPUTED_VALUE"""),"Campus San Juan Pablo II - CJP")</f>
        <v>Campus San Juan Pablo II - CJP</v>
      </c>
      <c r="K378" s="495" t="str">
        <f>IFERROR(__xludf.DUMMYFUNCTION("""COMPUTED_VALUE"""),"Sin número")</f>
        <v>Sin número</v>
      </c>
      <c r="L378" s="495" t="str">
        <f>IFERROR(__xludf.DUMMYFUNCTION("""COMPUTED_VALUE"""),"SOC. GONZALEZ GAJARDO Y CIA. LTDA")</f>
        <v>SOC. GONZALEZ GAJARDO Y CIA. LTDA</v>
      </c>
      <c r="M378" s="495" t="str">
        <f>IFERROR(__xludf.DUMMYFUNCTION("""COMPUTED_VALUE"""),"76265749-K")</f>
        <v>76265749-K</v>
      </c>
      <c r="N378" s="495" t="str">
        <f>IFERROR(__xludf.DUMMYFUNCTION("""COMPUTED_VALUE"""),"MARCELO GONZALEZ -  SUPERVISOR")</f>
        <v>MARCELO GONZALEZ -  SUPERVISOR</v>
      </c>
      <c r="O378" s="495" t="str">
        <f>IFERROR(__xludf.DUMMYFUNCTION("""COMPUTED_VALUE"""),"Mantenciones")</f>
        <v>Mantenciones</v>
      </c>
      <c r="P378" s="495" t="str">
        <f>IFERROR(__xludf.DUMMYFUNCTION("""COMPUTED_VALUE"""),"Instalaciones de Agua Potable")</f>
        <v>Instalaciones de Agua Potable</v>
      </c>
      <c r="Q378" s="495"/>
      <c r="R378" s="495"/>
      <c r="S378" s="495"/>
      <c r="T378" s="495"/>
      <c r="U378" s="495"/>
      <c r="V378" s="495" t="str">
        <f>IFERROR(__xludf.DUMMYFUNCTION("""COMPUTED_VALUE"""),"LAVADO  SANITIZADO ESTANQUES AGUA POTABLE")</f>
        <v>LAVADO  SANITIZADO ESTANQUES AGUA POTABLE</v>
      </c>
      <c r="W378" s="495" t="str">
        <f>IFERROR(__xludf.DUMMYFUNCTION("""COMPUTED_VALUE"""),"NO")</f>
        <v>NO</v>
      </c>
      <c r="X378" s="499" t="str">
        <f>IFERROR(__xludf.DUMMYFUNCTION("""COMPUTED_VALUE"""),"https://drive.google.com/open?id=1HiLmOAMMJcQ7s5kjeAw5ZdF-OcWa9Ern")</f>
        <v>https://drive.google.com/open?id=1HiLmOAMMJcQ7s5kjeAw5ZdF-OcWa9Ern</v>
      </c>
      <c r="Y378" s="495" t="str">
        <f>IFERROR(__xludf.DUMMYFUNCTION("""COMPUTED_VALUE"""),"operaciones@tecfull.cl")</f>
        <v>operaciones@tecfull.cl</v>
      </c>
      <c r="Z378" s="495"/>
      <c r="AA378" s="495"/>
      <c r="AB378" s="495"/>
      <c r="AC378" s="495"/>
      <c r="AD378" s="495" t="str">
        <f>IFERROR(__xludf.DUMMYFUNCTION("""COMPUTED_VALUE"""),"RC-278")</f>
        <v>RC-278</v>
      </c>
    </row>
    <row r="379">
      <c r="A379" s="495" t="str">
        <f t="shared" si="1"/>
        <v>RC-277</v>
      </c>
      <c r="B379" s="497">
        <f>IFERROR(__xludf.DUMMYFUNCTION("""COMPUTED_VALUE"""),46083.51860872685)</f>
        <v>46083.51861</v>
      </c>
      <c r="C379" s="495" t="str">
        <f>IFERROR(__xludf.DUMMYFUNCTION("""COMPUTED_VALUE"""),"")</f>
        <v/>
      </c>
      <c r="D379" s="495" t="str">
        <f>IFERROR(__xludf.DUMMYFUNCTION("""COMPUTED_VALUE"""),"Mauricio Zurita Aldea")</f>
        <v>Mauricio Zurita Aldea</v>
      </c>
      <c r="E379" s="495"/>
      <c r="F379" s="496" t="str">
        <f>IFERROR(__xludf.DUMMYFUNCTION("""COMPUTED_VALUE"""),"551-2026")</f>
        <v>551-2026</v>
      </c>
      <c r="G379" s="495"/>
      <c r="H379" s="495"/>
      <c r="I379" s="495"/>
      <c r="J379" s="495" t="str">
        <f>IFERROR(__xludf.DUMMYFUNCTION("""COMPUTED_VALUE"""),"Campus Monseñor Alejandro Menchaca Lira - CML")</f>
        <v>Campus Monseñor Alejandro Menchaca Lira - CML</v>
      </c>
      <c r="K379" s="495" t="str">
        <f>IFERROR(__xludf.DUMMYFUNCTION("""COMPUTED_VALUE"""),"01")</f>
        <v>01</v>
      </c>
      <c r="L379" s="495" t="str">
        <f>IFERROR(__xludf.DUMMYFUNCTION("""COMPUTED_VALUE"""),"G Y G SERVICIOS SPA")</f>
        <v>G Y G SERVICIOS SPA</v>
      </c>
      <c r="M379" s="495" t="str">
        <f>IFERROR(__xludf.DUMMYFUNCTION("""COMPUTED_VALUE"""),"77.215.624-3")</f>
        <v>77.215.624-3</v>
      </c>
      <c r="N379" s="495" t="str">
        <f>IFERROR(__xludf.DUMMYFUNCTION("""COMPUTED_VALUE"""),"GERARDO PAILLALEF, SUPERVISOR TECNICO.")</f>
        <v>GERARDO PAILLALEF, SUPERVISOR TECNICO.</v>
      </c>
      <c r="O379" s="495" t="str">
        <f>IFERROR(__xludf.DUMMYFUNCTION("""COMPUTED_VALUE"""),"Mantenciones")</f>
        <v>Mantenciones</v>
      </c>
      <c r="P379" s="495" t="str">
        <f>IFERROR(__xludf.DUMMYFUNCTION("""COMPUTED_VALUE"""),"Requerimientos Emergentes e Imprevistos")</f>
        <v>Requerimientos Emergentes e Imprevistos</v>
      </c>
      <c r="Q379" s="495"/>
      <c r="R379" s="495"/>
      <c r="S379" s="495"/>
      <c r="T379" s="495"/>
      <c r="U379" s="495"/>
      <c r="V379" s="495" t="str">
        <f>IFERROR(__xludf.DUMMYFUNCTION("""COMPUTED_VALUE"""),"REMPLAZOS DE BRAZOS HIDRAULICOS DE  PUERTAS PRINCIPALES Y CAMBIO DE RETENEDOR. ")</f>
        <v>REMPLAZOS DE BRAZOS HIDRAULICOS DE  PUERTAS PRINCIPALES Y CAMBIO DE RETENEDOR. </v>
      </c>
      <c r="W379" s="495"/>
      <c r="X379" s="495" t="str">
        <f>IFERROR(__xludf.DUMMYFUNCTION("""COMPUTED_VALUE"""),"https://drive.google.com/open?id=1gSMkk-w-_G5lE8aK9XGwFjzv0L0Ob_if, https://drive.google.com/open?id=1mku-FbYahq0mQGFHgoFq4oIb4ATATMdQ")</f>
        <v>https://drive.google.com/open?id=1gSMkk-w-_G5lE8aK9XGwFjzv0L0Ob_if, https://drive.google.com/open?id=1mku-FbYahq0mQGFHgoFq4oIb4ATATMdQ</v>
      </c>
      <c r="Y379" s="495" t="str">
        <f>IFERROR(__xludf.DUMMYFUNCTION("""COMPUTED_VALUE"""),"contacto@gygtecnologias.com")</f>
        <v>contacto@gygtecnologias.com</v>
      </c>
      <c r="Z379" s="495"/>
      <c r="AA379" s="495"/>
      <c r="AB379" s="495"/>
      <c r="AC379" s="495"/>
      <c r="AD379" s="495" t="str">
        <f>IFERROR(__xludf.DUMMYFUNCTION("""COMPUTED_VALUE"""),"RC-277")</f>
        <v>RC-277</v>
      </c>
    </row>
    <row r="380">
      <c r="A380" s="495" t="str">
        <f t="shared" si="1"/>
        <v>RC-276</v>
      </c>
      <c r="B380" s="497">
        <f>IFERROR(__xludf.DUMMYFUNCTION("""COMPUTED_VALUE"""),46083.49862564815)</f>
        <v>46083.49863</v>
      </c>
      <c r="C380" s="495" t="str">
        <f>IFERROR(__xludf.DUMMYFUNCTION("""COMPUTED_VALUE"""),"")</f>
        <v/>
      </c>
      <c r="D380" s="495" t="str">
        <f>IFERROR(__xludf.DUMMYFUNCTION("""COMPUTED_VALUE"""),"Mauricio Zurita Aldea")</f>
        <v>Mauricio Zurita Aldea</v>
      </c>
      <c r="E380" s="495"/>
      <c r="F380" s="496" t="str">
        <f>IFERROR(__xludf.DUMMYFUNCTION("""COMPUTED_VALUE"""),"12777-2025")</f>
        <v>12777-2025</v>
      </c>
      <c r="G380" s="495"/>
      <c r="H380" s="495"/>
      <c r="I380" s="495"/>
      <c r="J380" s="495" t="str">
        <f>IFERROR(__xludf.DUMMYFUNCTION("""COMPUTED_VALUE"""),"Campus San Francisco - CSF")</f>
        <v>Campus San Francisco - CSF</v>
      </c>
      <c r="K380" s="495" t="str">
        <f>IFERROR(__xludf.DUMMYFUNCTION("""COMPUTED_VALUE"""),"01")</f>
        <v>01</v>
      </c>
      <c r="L380" s="495" t="str">
        <f>IFERROR(__xludf.DUMMYFUNCTION("""COMPUTED_VALUE"""),"G Y G SERVICIOS SPA.")</f>
        <v>G Y G SERVICIOS SPA.</v>
      </c>
      <c r="M380" s="495" t="str">
        <f>IFERROR(__xludf.DUMMYFUNCTION("""COMPUTED_VALUE"""),"77.215.624-3")</f>
        <v>77.215.624-3</v>
      </c>
      <c r="N380" s="495" t="str">
        <f>IFERROR(__xludf.DUMMYFUNCTION("""COMPUTED_VALUE"""),"Gerardo Paillalef , supervisor tecnico.")</f>
        <v>Gerardo Paillalef , supervisor tecnico.</v>
      </c>
      <c r="O380" s="495" t="str">
        <f>IFERROR(__xludf.DUMMYFUNCTION("""COMPUTED_VALUE"""),"Mantenciones")</f>
        <v>Mantenciones</v>
      </c>
      <c r="P380" s="495" t="str">
        <f>IFERROR(__xludf.DUMMYFUNCTION("""COMPUTED_VALUE"""),"Instalaciones Eléctricas")</f>
        <v>Instalaciones Eléctricas</v>
      </c>
      <c r="Q380" s="495"/>
      <c r="R380" s="495"/>
      <c r="S380" s="495"/>
      <c r="T380" s="495"/>
      <c r="U380" s="495"/>
      <c r="V380" s="495" t="str">
        <f>IFERROR(__xludf.DUMMYFUNCTION("""COMPUTED_VALUE"""),"instalacion de protección eléctrica, cableado y reconexión a tablero de emergencia alimentador garita guardia.")</f>
        <v>instalacion de protección eléctrica, cableado y reconexión a tablero de emergencia alimentador garita guardia.</v>
      </c>
      <c r="W380" s="495"/>
      <c r="X380" s="495" t="str">
        <f>IFERROR(__xludf.DUMMYFUNCTION("""COMPUTED_VALUE"""),"https://drive.google.com/open?id=1XEtC8saYrckj61UH1ZXHi29OtRfoaBn0, https://drive.google.com/open?id=1hKVynr0SiPaV-shMpYhKn0dfqehjdvxA, https://drive.google.com/open?id=1QTVWkGw2uRr8ypEBAWh73XZ2WeiyRFAh")</f>
        <v>https://drive.google.com/open?id=1XEtC8saYrckj61UH1ZXHi29OtRfoaBn0, https://drive.google.com/open?id=1hKVynr0SiPaV-shMpYhKn0dfqehjdvxA, https://drive.google.com/open?id=1QTVWkGw2uRr8ypEBAWh73XZ2WeiyRFAh</v>
      </c>
      <c r="Y380" s="495" t="str">
        <f>IFERROR(__xludf.DUMMYFUNCTION("""COMPUTED_VALUE"""),"contacto@gygtecnologias.com")</f>
        <v>contacto@gygtecnologias.com</v>
      </c>
      <c r="Z380" s="495"/>
      <c r="AA380" s="495"/>
      <c r="AB380" s="495"/>
      <c r="AC380" s="495"/>
      <c r="AD380" s="495" t="str">
        <f>IFERROR(__xludf.DUMMYFUNCTION("""COMPUTED_VALUE"""),"RC-276")</f>
        <v>RC-276</v>
      </c>
    </row>
    <row r="381">
      <c r="A381" s="495" t="str">
        <f t="shared" si="1"/>
        <v>RC-275</v>
      </c>
      <c r="B381" s="497">
        <f>IFERROR(__xludf.DUMMYFUNCTION("""COMPUTED_VALUE"""),46083.48678262731)</f>
        <v>46083.48678</v>
      </c>
      <c r="C381" s="495" t="str">
        <f>IFERROR(__xludf.DUMMYFUNCTION("""COMPUTED_VALUE"""),"")</f>
        <v/>
      </c>
      <c r="D381" s="495" t="str">
        <f>IFERROR(__xludf.DUMMYFUNCTION("""COMPUTED_VALUE"""),"Mauricio Zurita Aldea")</f>
        <v>Mauricio Zurita Aldea</v>
      </c>
      <c r="E381" s="495"/>
      <c r="F381" s="496" t="str">
        <f>IFERROR(__xludf.DUMMYFUNCTION("""COMPUTED_VALUE"""),"12347-2025")</f>
        <v>12347-2025</v>
      </c>
      <c r="G381" s="495"/>
      <c r="H381" s="495"/>
      <c r="I381" s="495"/>
      <c r="J381" s="495" t="str">
        <f>IFERROR(__xludf.DUMMYFUNCTION("""COMPUTED_VALUE"""),"Campus Monseñor Sergio Contreras Navia - CSC")</f>
        <v>Campus Monseñor Sergio Contreras Navia - CSC</v>
      </c>
      <c r="K381" s="495" t="str">
        <f>IFERROR(__xludf.DUMMYFUNCTION("""COMPUTED_VALUE"""),"01")</f>
        <v>01</v>
      </c>
      <c r="L381" s="495" t="str">
        <f>IFERROR(__xludf.DUMMYFUNCTION("""COMPUTED_VALUE"""),"G Y G SERVICIOS SPA.")</f>
        <v>G Y G SERVICIOS SPA.</v>
      </c>
      <c r="M381" s="495" t="str">
        <f>IFERROR(__xludf.DUMMYFUNCTION("""COMPUTED_VALUE"""),"77.215.624-3")</f>
        <v>77.215.624-3</v>
      </c>
      <c r="N381" s="495" t="str">
        <f>IFERROR(__xludf.DUMMYFUNCTION("""COMPUTED_VALUE"""),"Gerardo Paillalef, supervisor tecnico.")</f>
        <v>Gerardo Paillalef, supervisor tecnico.</v>
      </c>
      <c r="O381" s="495" t="str">
        <f>IFERROR(__xludf.DUMMYFUNCTION("""COMPUTED_VALUE"""),"Mantenciones")</f>
        <v>Mantenciones</v>
      </c>
      <c r="P381" s="495" t="str">
        <f>IFERROR(__xludf.DUMMYFUNCTION("""COMPUTED_VALUE"""),"Instalaciones Eléctricas")</f>
        <v>Instalaciones Eléctricas</v>
      </c>
      <c r="Q381" s="495"/>
      <c r="R381" s="495"/>
      <c r="S381" s="495"/>
      <c r="T381" s="495"/>
      <c r="U381" s="495"/>
      <c r="V381" s="495" t="str">
        <f>IFERROR(__xludf.DUMMYFUNCTION("""COMPUTED_VALUE"""),"Reparación de poste exterior ")</f>
        <v>Reparación de poste exterior </v>
      </c>
      <c r="W381" s="495"/>
      <c r="X381" s="495" t="str">
        <f>IFERROR(__xludf.DUMMYFUNCTION("""COMPUTED_VALUE"""),"https://drive.google.com/open?id=14X_8SkHlie0QU8AXCUbS-P0vK-esMSA2, https://drive.google.com/open?id=1quzd2UaGwvGzOX0en9qtRkaANEOuerg2, https://drive.google.com/open?id=1liNWWPKUdhaoZrMQttSWj8Hrk5zFse3S")</f>
        <v>https://drive.google.com/open?id=14X_8SkHlie0QU8AXCUbS-P0vK-esMSA2, https://drive.google.com/open?id=1quzd2UaGwvGzOX0en9qtRkaANEOuerg2, https://drive.google.com/open?id=1liNWWPKUdhaoZrMQttSWj8Hrk5zFse3S</v>
      </c>
      <c r="Y381" s="495" t="str">
        <f>IFERROR(__xludf.DUMMYFUNCTION("""COMPUTED_VALUE"""),"CONTACTO@GYGTECNOLOGIAS.COM")</f>
        <v>CONTACTO@GYGTECNOLOGIAS.COM</v>
      </c>
      <c r="Z381" s="495"/>
      <c r="AA381" s="495"/>
      <c r="AB381" s="495"/>
      <c r="AC381" s="495"/>
      <c r="AD381" s="495" t="str">
        <f>IFERROR(__xludf.DUMMYFUNCTION("""COMPUTED_VALUE"""),"RC-275")</f>
        <v>RC-275</v>
      </c>
    </row>
    <row r="382">
      <c r="A382" s="495" t="str">
        <f t="shared" si="1"/>
        <v>RC-274</v>
      </c>
      <c r="B382" s="497">
        <f>IFERROR(__xludf.DUMMYFUNCTION("""COMPUTED_VALUE"""),46082.98578596065)</f>
        <v>46082.98579</v>
      </c>
      <c r="C382" s="495" t="str">
        <f>IFERROR(__xludf.DUMMYFUNCTION("""COMPUTED_VALUE"""),"")</f>
        <v/>
      </c>
      <c r="D382" s="495" t="str">
        <f>IFERROR(__xludf.DUMMYFUNCTION("""COMPUTED_VALUE"""),"Carol Huenchual Chañilao")</f>
        <v>Carol Huenchual Chañilao</v>
      </c>
      <c r="E382" s="495"/>
      <c r="F382" s="496" t="str">
        <f>IFERROR(__xludf.DUMMYFUNCTION("""COMPUTED_VALUE"""),"13114-2025")</f>
        <v>13114-2025</v>
      </c>
      <c r="G382" s="495"/>
      <c r="H382" s="495"/>
      <c r="I382" s="495"/>
      <c r="J382" s="495" t="str">
        <f>IFERROR(__xludf.DUMMYFUNCTION("""COMPUTED_VALUE"""),"Campus San Juan Pablo II - CJP")</f>
        <v>Campus San Juan Pablo II - CJP</v>
      </c>
      <c r="K382" s="495" t="str">
        <f>IFERROR(__xludf.DUMMYFUNCTION("""COMPUTED_VALUE"""),"07")</f>
        <v>07</v>
      </c>
      <c r="L382" s="495" t="str">
        <f>IFERROR(__xludf.DUMMYFUNCTION("""COMPUTED_VALUE"""),"SERVICIOS INTEGRALES CRITICOS SPA")</f>
        <v>SERVICIOS INTEGRALES CRITICOS SPA</v>
      </c>
      <c r="M382" s="495" t="str">
        <f>IFERROR(__xludf.DUMMYFUNCTION("""COMPUTED_VALUE"""),"77.248.719-3")</f>
        <v>77.248.719-3</v>
      </c>
      <c r="N382" s="495" t="str">
        <f>IFERROR(__xludf.DUMMYFUNCTION("""COMPUTED_VALUE"""),"ROBERTO FUENTES-INGENIERO")</f>
        <v>ROBERTO FUENTES-INGENIERO</v>
      </c>
      <c r="O382" s="495" t="str">
        <f>IFERROR(__xludf.DUMMYFUNCTION("""COMPUTED_VALUE"""),"Mantenciones")</f>
        <v>Mantenciones</v>
      </c>
      <c r="P382" s="495" t="str">
        <f>IFERROR(__xludf.DUMMYFUNCTION("""COMPUTED_VALUE"""),"Requerimientos Emergentes e Imprevistos")</f>
        <v>Requerimientos Emergentes e Imprevistos</v>
      </c>
      <c r="Q382" s="495"/>
      <c r="R382" s="495"/>
      <c r="S382" s="495"/>
      <c r="T382" s="495"/>
      <c r="U382" s="495"/>
      <c r="V382" s="495" t="str">
        <f>IFERROR(__xludf.DUMMYFUNCTION("""COMPUTED_VALUE"""),"MANTENCION DE EQUIPOS DE AIRE ACONDICIONADO")</f>
        <v>MANTENCION DE EQUIPOS DE AIRE ACONDICIONADO</v>
      </c>
      <c r="W382" s="495" t="str">
        <f>IFERROR(__xludf.DUMMYFUNCTION("""COMPUTED_VALUE"""),"REALIZAR CADA 6 MESES")</f>
        <v>REALIZAR CADA 6 MESES</v>
      </c>
      <c r="X382" s="499" t="str">
        <f>IFERROR(__xludf.DUMMYFUNCTION("""COMPUTED_VALUE"""),"https://drive.google.com/open?id=1UTUyHbhTrMZVmdO_yjOxg_sNcYK7hr9n, https://drive.google.com/open?id=1WQzN4TLoHSZnvhizNSUCGB03_jN2r1A2, https://drive.google.com/open?id=1C8rjGkK6Xu-1rUtPJkBzTn2kXcwOBJcO, https://drive.google.com/open?id=1CnPvjDNkVgizlCrZJ"&amp;"VmWNhpnfuQb-xL_, https://drive.google.com/open?id=1-_cYAdGFgMQ2uOuH_23KLoi4TLG7W7FY")</f>
        <v>https://drive.google.com/open?id=1UTUyHbhTrMZVmdO_yjOxg_sNcYK7hr9n, https://drive.google.com/open?id=1WQzN4TLoHSZnvhizNSUCGB03_jN2r1A2, https://drive.google.com/open?id=1C8rjGkK6Xu-1rUtPJkBzTn2kXcwOBJcO, https://drive.google.com/open?id=1CnPvjDNkVgizlCrZJVmWNhpnfuQb-xL_, https://drive.google.com/open?id=1-_cYAdGFgMQ2uOuH_23KLoi4TLG7W7FY</v>
      </c>
      <c r="Y382" s="495" t="str">
        <f>IFERROR(__xludf.DUMMYFUNCTION("""COMPUTED_VALUE"""),"fuentes.roberto1@gmail.com")</f>
        <v>fuentes.roberto1@gmail.com</v>
      </c>
      <c r="Z382" s="495"/>
      <c r="AA382" s="495"/>
      <c r="AB382" s="495"/>
      <c r="AC382" s="495"/>
      <c r="AD382" s="495" t="str">
        <f>IFERROR(__xludf.DUMMYFUNCTION("""COMPUTED_VALUE"""),"RC-274")</f>
        <v>RC-274</v>
      </c>
    </row>
    <row r="383">
      <c r="A383" s="495" t="str">
        <f t="shared" si="1"/>
        <v>RC-273</v>
      </c>
      <c r="B383" s="497">
        <f>IFERROR(__xludf.DUMMYFUNCTION("""COMPUTED_VALUE"""),46080.73142693287)</f>
        <v>46080.73143</v>
      </c>
      <c r="C383" s="495" t="str">
        <f>IFERROR(__xludf.DUMMYFUNCTION("""COMPUTED_VALUE"""),"")</f>
        <v/>
      </c>
      <c r="D383" s="495" t="str">
        <f>IFERROR(__xludf.DUMMYFUNCTION("""COMPUTED_VALUE"""),"Carol Huenchual Chañilao")</f>
        <v>Carol Huenchual Chañilao</v>
      </c>
      <c r="E383" s="495"/>
      <c r="F383" s="496" t="str">
        <f>IFERROR(__xludf.DUMMYFUNCTION("""COMPUTED_VALUE"""),"462 - 2026")</f>
        <v>462 - 2026</v>
      </c>
      <c r="G383" s="495"/>
      <c r="H383" s="495"/>
      <c r="I383" s="495"/>
      <c r="J383" s="495" t="str">
        <f>IFERROR(__xludf.DUMMYFUNCTION("""COMPUTED_VALUE"""),"Campus Prieto Norte - CHS")</f>
        <v>Campus Prieto Norte - CHS</v>
      </c>
      <c r="K383" s="495" t="str">
        <f>IFERROR(__xludf.DUMMYFUNCTION("""COMPUTED_VALUE"""),"01")</f>
        <v>01</v>
      </c>
      <c r="L383" s="495" t="str">
        <f>IFERROR(__xludf.DUMMYFUNCTION("""COMPUTED_VALUE"""),"SOC. GONZALEZ GAJARDO Y CIA. LTDA")</f>
        <v>SOC. GONZALEZ GAJARDO Y CIA. LTDA</v>
      </c>
      <c r="M383" s="495" t="str">
        <f>IFERROR(__xludf.DUMMYFUNCTION("""COMPUTED_VALUE"""),"76.265.749-K")</f>
        <v>76.265.749-K</v>
      </c>
      <c r="N383" s="495" t="str">
        <f>IFERROR(__xludf.DUMMYFUNCTION("""COMPUTED_VALUE"""),"SUPERVISOR")</f>
        <v>SUPERVISOR</v>
      </c>
      <c r="O383" s="495" t="str">
        <f>IFERROR(__xludf.DUMMYFUNCTION("""COMPUTED_VALUE"""),"Mantenciones")</f>
        <v>Mantenciones</v>
      </c>
      <c r="P383" s="495" t="str">
        <f>IFERROR(__xludf.DUMMYFUNCTION("""COMPUTED_VALUE"""),"Instalaciones de Agua Potable")</f>
        <v>Instalaciones de Agua Potable</v>
      </c>
      <c r="Q383" s="495"/>
      <c r="R383" s="495"/>
      <c r="S383" s="495"/>
      <c r="T383" s="495"/>
      <c r="U383" s="495"/>
      <c r="V383" s="495" t="str">
        <f>IFERROR(__xludf.DUMMYFUNCTION("""COMPUTED_VALUE"""),"MANTENCION INFRAESTRUCTURA - LAVADO Y SANITIZADO DE ESTANQUE ACUMULADOR DE AGUA POTABLE,")</f>
        <v>MANTENCION INFRAESTRUCTURA - LAVADO Y SANITIZADO DE ESTANQUE ACUMULADOR DE AGUA POTABLE,</v>
      </c>
      <c r="W383" s="495" t="str">
        <f>IFERROR(__xludf.DUMMYFUNCTION("""COMPUTED_VALUE"""),"NO")</f>
        <v>NO</v>
      </c>
      <c r="X383" s="495" t="str">
        <f>IFERROR(__xludf.DUMMYFUNCTION("""COMPUTED_VALUE"""),"https://drive.google.com/open?id=1KENJY_tsVHkKNvT39GTQtyCTV0X8_O64, https://drive.google.com/open?id=11HYwd0qr8_8ycxxRzz6TL-DVKjoRVnsU")</f>
        <v>https://drive.google.com/open?id=1KENJY_tsVHkKNvT39GTQtyCTV0X8_O64, https://drive.google.com/open?id=11HYwd0qr8_8ycxxRzz6TL-DVKjoRVnsU</v>
      </c>
      <c r="Y383" s="495" t="str">
        <f>IFERROR(__xludf.DUMMYFUNCTION("""COMPUTED_VALUE"""),"operaciones@tecfull.cl")</f>
        <v>operaciones@tecfull.cl</v>
      </c>
      <c r="Z383" s="495"/>
      <c r="AA383" s="495"/>
      <c r="AB383" s="495"/>
      <c r="AC383" s="495"/>
      <c r="AD383" s="495" t="str">
        <f>IFERROR(__xludf.DUMMYFUNCTION("""COMPUTED_VALUE"""),"RC-273")</f>
        <v>RC-273</v>
      </c>
    </row>
    <row r="384">
      <c r="A384" s="495" t="str">
        <f t="shared" si="1"/>
        <v>RC-271</v>
      </c>
      <c r="B384" s="497">
        <f>IFERROR(__xludf.DUMMYFUNCTION("""COMPUTED_VALUE"""),46080.52537072917)</f>
        <v>46080.52537</v>
      </c>
      <c r="C384" s="495" t="str">
        <f>IFERROR(__xludf.DUMMYFUNCTION("""COMPUTED_VALUE"""),"")</f>
        <v/>
      </c>
      <c r="D384" s="495" t="str">
        <f>IFERROR(__xludf.DUMMYFUNCTION("""COMPUTED_VALUE"""),"Carol Huenchual Chañilao")</f>
        <v>Carol Huenchual Chañilao</v>
      </c>
      <c r="E384" s="495"/>
      <c r="F384" s="496" t="str">
        <f>IFERROR(__xludf.DUMMYFUNCTION("""COMPUTED_VALUE"""),"13002 - 2025")</f>
        <v>13002 - 2025</v>
      </c>
      <c r="G384" s="495"/>
      <c r="H384" s="495"/>
      <c r="I384" s="495"/>
      <c r="J384" s="495" t="str">
        <f>IFERROR(__xludf.DUMMYFUNCTION("""COMPUTED_VALUE"""),"Campus San Juan Pablo II - CJP")</f>
        <v>Campus San Juan Pablo II - CJP</v>
      </c>
      <c r="K384" s="495">
        <f>IFERROR(__xludf.DUMMYFUNCTION("""COMPUTED_VALUE"""),11.0)</f>
        <v>11</v>
      </c>
      <c r="L384" s="495" t="str">
        <f>IFERROR(__xludf.DUMMYFUNCTION("""COMPUTED_VALUE"""),"SOC. GONZALEZ GAJARDO Y CIA. LTDA")</f>
        <v>SOC. GONZALEZ GAJARDO Y CIA. LTDA</v>
      </c>
      <c r="M384" s="495" t="str">
        <f>IFERROR(__xludf.DUMMYFUNCTION("""COMPUTED_VALUE"""),"76.265.749-K")</f>
        <v>76.265.749-K</v>
      </c>
      <c r="N384" s="495" t="str">
        <f>IFERROR(__xludf.DUMMYFUNCTION("""COMPUTED_VALUE"""),"MARCELO GONZALEZ - SUPERVISOR")</f>
        <v>MARCELO GONZALEZ - SUPERVISOR</v>
      </c>
      <c r="O384" s="495" t="str">
        <f>IFERROR(__xludf.DUMMYFUNCTION("""COMPUTED_VALUE"""),"Mantenciones")</f>
        <v>Mantenciones</v>
      </c>
      <c r="P384" s="495" t="str">
        <f>IFERROR(__xludf.DUMMYFUNCTION("""COMPUTED_VALUE"""),"Instalaciones de Agua Potable")</f>
        <v>Instalaciones de Agua Potable</v>
      </c>
      <c r="Q384" s="495"/>
      <c r="R384" s="495"/>
      <c r="S384" s="495"/>
      <c r="T384" s="495"/>
      <c r="U384" s="495"/>
      <c r="V384" s="495" t="str">
        <f>IFERROR(__xludf.DUMMYFUNCTION("""COMPUTED_VALUE"""),"REPOSICIÓN DE VÁLVULAS DE LLENADO E IMPLEMENTACIÓN DE ALARMA SONORA SALA DE BOMBAS EDIFICIO CJP05,
CENTRO EVENTOS SALA DE BOMBAS EDIFICIO CSF11, CAR. RAÚL SILVA. RESPONSABLE:CAROL HUENCHUAL. SEGUN
COTIZACION N 2011 - 2012")</f>
        <v>REPOSICIÓN DE VÁLVULAS DE LLENADO E IMPLEMENTACIÓN DE ALARMA SONORA SALA DE BOMBAS EDIFICIO CJP05,
CENTRO EVENTOS SALA DE BOMBAS EDIFICIO CSF11, CAR. RAÚL SILVA. RESPONSABLE:CAROL HUENCHUAL. SEGUN
COTIZACION N 2011 - 2012</v>
      </c>
      <c r="W384" s="495" t="str">
        <f>IFERROR(__xludf.DUMMYFUNCTION("""COMPUTED_VALUE"""),"NO")</f>
        <v>NO</v>
      </c>
      <c r="X384" s="495" t="str">
        <f>IFERROR(__xludf.DUMMYFUNCTION("""COMPUTED_VALUE"""),"https://drive.google.com/open?id=12tV5gMMu15h91mtD6osz7NTasSmOhOy0, https://drive.google.com/open?id=12uF-81wyYO6bN8qCpNP1HZDu65P5nV5f")</f>
        <v>https://drive.google.com/open?id=12tV5gMMu15h91mtD6osz7NTasSmOhOy0, https://drive.google.com/open?id=12uF-81wyYO6bN8qCpNP1HZDu65P5nV5f</v>
      </c>
      <c r="Y384" s="495" t="str">
        <f>IFERROR(__xludf.DUMMYFUNCTION("""COMPUTED_VALUE"""),"operaciones@tecfull.cl")</f>
        <v>operaciones@tecfull.cl</v>
      </c>
      <c r="Z384" s="495"/>
      <c r="AA384" s="495"/>
      <c r="AB384" s="495"/>
      <c r="AC384" s="495"/>
      <c r="AD384" s="495" t="str">
        <f>IFERROR(__xludf.DUMMYFUNCTION("""COMPUTED_VALUE"""),"RC-271")</f>
        <v>RC-271</v>
      </c>
    </row>
    <row r="385">
      <c r="A385" s="495" t="str">
        <f t="shared" si="1"/>
        <v>RC-270</v>
      </c>
      <c r="B385" s="497">
        <f>IFERROR(__xludf.DUMMYFUNCTION("""COMPUTED_VALUE"""),46078.022587430554)</f>
        <v>46078.02259</v>
      </c>
      <c r="C385" s="495" t="str">
        <f>IFERROR(__xludf.DUMMYFUNCTION("""COMPUTED_VALUE"""),"")</f>
        <v/>
      </c>
      <c r="D385" s="495" t="str">
        <f>IFERROR(__xludf.DUMMYFUNCTION("""COMPUTED_VALUE"""),"Mauricio Zurita Aldea")</f>
        <v>Mauricio Zurita Aldea</v>
      </c>
      <c r="E385" s="495"/>
      <c r="F385" s="496" t="str">
        <f>IFERROR(__xludf.DUMMYFUNCTION("""COMPUTED_VALUE"""),"838-2026")</f>
        <v>838-2026</v>
      </c>
      <c r="G385" s="495"/>
      <c r="H385" s="495"/>
      <c r="I385" s="495"/>
      <c r="J385" s="495" t="str">
        <f>IFERROR(__xludf.DUMMYFUNCTION("""COMPUTED_VALUE"""),"Campus Monseñor Alejandro Menchaca Lira - CML")</f>
        <v>Campus Monseñor Alejandro Menchaca Lira - CML</v>
      </c>
      <c r="K385" s="495" t="str">
        <f>IFERROR(__xludf.DUMMYFUNCTION("""COMPUTED_VALUE"""),"Sin número")</f>
        <v>Sin número</v>
      </c>
      <c r="L385" s="495" t="str">
        <f>IFERROR(__xludf.DUMMYFUNCTION("""COMPUTED_VALUE"""),"INGENIERIA Y CONSTRUCCIONES ELEKTRICA SPA")</f>
        <v>INGENIERIA Y CONSTRUCCIONES ELEKTRICA SPA</v>
      </c>
      <c r="M385" s="495" t="str">
        <f>IFERROR(__xludf.DUMMYFUNCTION("""COMPUTED_VALUE"""),"76.884.395-3")</f>
        <v>76.884.395-3</v>
      </c>
      <c r="N385" s="495" t="str">
        <f>IFERROR(__xludf.DUMMYFUNCTION("""COMPUTED_VALUE"""),"Marco Paine - Gerente")</f>
        <v>Marco Paine - Gerente</v>
      </c>
      <c r="O385" s="495" t="str">
        <f>IFERROR(__xludf.DUMMYFUNCTION("""COMPUTED_VALUE"""),"Mantenciones")</f>
        <v>Mantenciones</v>
      </c>
      <c r="P385" s="495" t="str">
        <f>IFERROR(__xludf.DUMMYFUNCTION("""COMPUTED_VALUE"""),"Instalaciones Eléctricas")</f>
        <v>Instalaciones Eléctricas</v>
      </c>
      <c r="Q385" s="495"/>
      <c r="R385" s="495"/>
      <c r="S385" s="495"/>
      <c r="T385" s="495"/>
      <c r="U385" s="495"/>
      <c r="V385" s="495" t="str">
        <f>IFERROR(__xludf.DUMMYFUNCTION("""COMPUTED_VALUE"""),"INSTALACION ELECTRICA CML01 PASILLOS Y BODEGAS DEL SUBSUELO CASONA MALMUS")</f>
        <v>INSTALACION ELECTRICA CML01 PASILLOS Y BODEGAS DEL SUBSUELO CASONA MALMUS</v>
      </c>
      <c r="W385" s="495"/>
      <c r="X385" s="495" t="str">
        <f>IFERROR(__xludf.DUMMYFUNCTION("""COMPUTED_VALUE"""),"https://drive.google.com/open?id=1Dn58ayFha0SKBmX9Z_Dlea3mH7sg4p20, https://drive.google.com/open?id=1EL9JoAXWze5N-uSCaIc5YSQ_apNTBwo-, https://drive.google.com/open?id=128UcZZDFowP2PyN-0IwxIRSd5Gg1sENq, https://drive.google.com/open?id=1nMh9ss1lZH-nvnTKY"&amp;"6RvLbeZJxaJ9TA8")</f>
        <v>https://drive.google.com/open?id=1Dn58ayFha0SKBmX9Z_Dlea3mH7sg4p20, https://drive.google.com/open?id=1EL9JoAXWze5N-uSCaIc5YSQ_apNTBwo-, https://drive.google.com/open?id=128UcZZDFowP2PyN-0IwxIRSd5Gg1sENq, https://drive.google.com/open?id=1nMh9ss1lZH-nvnTKY6RvLbeZJxaJ9TA8</v>
      </c>
      <c r="Y385" s="495" t="str">
        <f>IFERROR(__xludf.DUMMYFUNCTION("""COMPUTED_VALUE"""),"marcopaine@gmail.com")</f>
        <v>marcopaine@gmail.com</v>
      </c>
      <c r="Z385" s="495"/>
      <c r="AA385" s="495"/>
      <c r="AB385" s="495"/>
      <c r="AC385" s="495"/>
      <c r="AD385" s="495" t="str">
        <f>IFERROR(__xludf.DUMMYFUNCTION("""COMPUTED_VALUE"""),"RC-270")</f>
        <v>RC-270</v>
      </c>
    </row>
    <row r="386">
      <c r="A386" s="495" t="str">
        <f t="shared" si="1"/>
        <v>RC-269</v>
      </c>
      <c r="B386" s="497">
        <f>IFERROR(__xludf.DUMMYFUNCTION("""COMPUTED_VALUE"""),46078.01358038194)</f>
        <v>46078.01358</v>
      </c>
      <c r="C386" s="495" t="str">
        <f>IFERROR(__xludf.DUMMYFUNCTION("""COMPUTED_VALUE"""),"")</f>
        <v/>
      </c>
      <c r="D386" s="495" t="str">
        <f>IFERROR(__xludf.DUMMYFUNCTION("""COMPUTED_VALUE"""),"Mauricio Zurita Aldea")</f>
        <v>Mauricio Zurita Aldea</v>
      </c>
      <c r="E386" s="495"/>
      <c r="F386" s="496" t="str">
        <f>IFERROR(__xludf.DUMMYFUNCTION("""COMPUTED_VALUE"""),"13089-2025")</f>
        <v>13089-2025</v>
      </c>
      <c r="G386" s="495"/>
      <c r="H386" s="495"/>
      <c r="I386" s="495"/>
      <c r="J386" s="495" t="str">
        <f>IFERROR(__xludf.DUMMYFUNCTION("""COMPUTED_VALUE"""),"Campus Monseñor Alejandro Menchaca Lira - CML")</f>
        <v>Campus Monseñor Alejandro Menchaca Lira - CML</v>
      </c>
      <c r="K386" s="495" t="str">
        <f>IFERROR(__xludf.DUMMYFUNCTION("""COMPUTED_VALUE"""),"Sin número")</f>
        <v>Sin número</v>
      </c>
      <c r="L386" s="495" t="str">
        <f>IFERROR(__xludf.DUMMYFUNCTION("""COMPUTED_VALUE"""),"INGENIERIA Y CONSTRUCCIONES ELEKTRICA SPA")</f>
        <v>INGENIERIA Y CONSTRUCCIONES ELEKTRICA SPA</v>
      </c>
      <c r="M386" s="495" t="str">
        <f>IFERROR(__xludf.DUMMYFUNCTION("""COMPUTED_VALUE"""),"76.884.395-3")</f>
        <v>76.884.395-3</v>
      </c>
      <c r="N386" s="495" t="str">
        <f>IFERROR(__xludf.DUMMYFUNCTION("""COMPUTED_VALUE"""),"Marco Paine - Gerente")</f>
        <v>Marco Paine - Gerente</v>
      </c>
      <c r="O386" s="495" t="str">
        <f>IFERROR(__xludf.DUMMYFUNCTION("""COMPUTED_VALUE"""),"Mantenciones")</f>
        <v>Mantenciones</v>
      </c>
      <c r="P386" s="495" t="str">
        <f>IFERROR(__xludf.DUMMYFUNCTION("""COMPUTED_VALUE"""),"Instalaciones Eléctricas")</f>
        <v>Instalaciones Eléctricas</v>
      </c>
      <c r="Q386" s="495"/>
      <c r="R386" s="495"/>
      <c r="S386" s="495"/>
      <c r="T386" s="495"/>
      <c r="U386" s="495"/>
      <c r="V386" s="495" t="str">
        <f>IFERROR(__xludf.DUMMYFUNCTION("""COMPUTED_VALUE"""),"Instalación Eléctrica en Subterráneo Casona Malmus")</f>
        <v>Instalación Eléctrica en Subterráneo Casona Malmus</v>
      </c>
      <c r="W386" s="495"/>
      <c r="X386" s="495" t="str">
        <f>IFERROR(__xludf.DUMMYFUNCTION("""COMPUTED_VALUE"""),"https://drive.google.com/open?id=1_VS5VfmPdaIULgcKoIogFJ7SI2egLmgJ, https://drive.google.com/open?id=1icr0N5psS6n4mys_HIFineliC6o0mTDD, https://drive.google.com/open?id=13UXvYVGWn-4YuBuSuNOf7Ko0N46c_OJI")</f>
        <v>https://drive.google.com/open?id=1_VS5VfmPdaIULgcKoIogFJ7SI2egLmgJ, https://drive.google.com/open?id=1icr0N5psS6n4mys_HIFineliC6o0mTDD, https://drive.google.com/open?id=13UXvYVGWn-4YuBuSuNOf7Ko0N46c_OJI</v>
      </c>
      <c r="Y386" s="495" t="str">
        <f>IFERROR(__xludf.DUMMYFUNCTION("""COMPUTED_VALUE"""),"marcopaine@gmail.com")</f>
        <v>marcopaine@gmail.com</v>
      </c>
      <c r="Z386" s="495"/>
      <c r="AA386" s="495"/>
      <c r="AB386" s="495"/>
      <c r="AC386" s="495"/>
      <c r="AD386" s="495" t="str">
        <f>IFERROR(__xludf.DUMMYFUNCTION("""COMPUTED_VALUE"""),"RC-269")</f>
        <v>RC-269</v>
      </c>
    </row>
    <row r="387">
      <c r="A387" s="495" t="str">
        <f t="shared" si="1"/>
        <v>RC-064_26</v>
      </c>
      <c r="B387" s="497">
        <f>IFERROR(__xludf.DUMMYFUNCTION("""COMPUTED_VALUE"""),46115.996606307875)</f>
        <v>46115.99661</v>
      </c>
      <c r="C387" s="495" t="str">
        <f>IFERROR(__xludf.DUMMYFUNCTION("""COMPUTED_VALUE"""),"")</f>
        <v/>
      </c>
      <c r="D387" s="495" t="str">
        <f>IFERROR(__xludf.DUMMYFUNCTION("""COMPUTED_VALUE"""),"Juan Ignacio Solís de Ovando")</f>
        <v>Juan Ignacio Solís de Ovando</v>
      </c>
      <c r="E387" s="495"/>
      <c r="F387" s="496" t="str">
        <f>IFERROR(__xludf.DUMMYFUNCTION("""COMPUTED_VALUE"""),"1788-2026")</f>
        <v>1788-2026</v>
      </c>
      <c r="G387" s="495"/>
      <c r="H387" s="495"/>
      <c r="I387" s="495"/>
      <c r="J387" s="495" t="str">
        <f>IFERROR(__xludf.DUMMYFUNCTION("""COMPUTED_VALUE"""),"Campus Dr. Luis Rivas del Canto - CRC")</f>
        <v>Campus Dr. Luis Rivas del Canto - CRC</v>
      </c>
      <c r="K387" s="495">
        <f>IFERROR(__xludf.DUMMYFUNCTION("""COMPUTED_VALUE"""),10.0)</f>
        <v>10</v>
      </c>
      <c r="L387" s="495" t="str">
        <f>IFERROR(__xludf.DUMMYFUNCTION("""COMPUTED_VALUE"""),"Sociedad Comercial Espacio Muebles Ltda")</f>
        <v>Sociedad Comercial Espacio Muebles Ltda</v>
      </c>
      <c r="M387" s="495" t="str">
        <f>IFERROR(__xludf.DUMMYFUNCTION("""COMPUTED_VALUE"""),"77.544.225-5")</f>
        <v>77.544.225-5</v>
      </c>
      <c r="N387" s="495" t="str">
        <f>IFERROR(__xludf.DUMMYFUNCTION("""COMPUTED_VALUE"""),"Emilio Aburto - Diseñador")</f>
        <v>Emilio Aburto - Diseñador</v>
      </c>
      <c r="O387" s="495" t="str">
        <f>IFERROR(__xludf.DUMMYFUNCTION("""COMPUTED_VALUE"""),"Obras y Especialidades")</f>
        <v>Obras y Especialidades</v>
      </c>
      <c r="P387" s="495"/>
      <c r="Q387" s="495"/>
      <c r="R387" s="495" t="str">
        <f>IFERROR(__xludf.DUMMYFUNCTION("""COMPUTED_VALUE"""),"Especialidades")</f>
        <v>Especialidades</v>
      </c>
      <c r="S387" s="495" t="str">
        <f>IFERROR(__xludf.DUMMYFUNCTION("""COMPUTED_VALUE"""),"Recepción de Obra - RC")</f>
        <v>Recepción de Obra - RC</v>
      </c>
      <c r="T387" s="495"/>
      <c r="U387" s="495"/>
      <c r="V387" s="495" t="str">
        <f>IFERROR(__xludf.DUMMYFUNCTION("""COMPUTED_VALUE"""),"Construcción módulos interior closet y cerraduras")</f>
        <v>Construcción módulos interior closet y cerraduras</v>
      </c>
      <c r="W387" s="495"/>
      <c r="X387" s="495" t="str">
        <f>IFERROR(__xludf.DUMMYFUNCTION("""COMPUTED_VALUE"""),"https://drive.google.com/open?id=1tqvV6pzlMtU0kVjLZbyLVRJU3kof61U9, https://drive.google.com/open?id=1-UZGxu3dN6sKiblmjDlt9CKEymIg3U0s, https://drive.google.com/open?id=1KcjKc-wfykf-MLna3uGpiB4LU3kekoUT")</f>
        <v>https://drive.google.com/open?id=1tqvV6pzlMtU0kVjLZbyLVRJU3kof61U9, https://drive.google.com/open?id=1-UZGxu3dN6sKiblmjDlt9CKEymIg3U0s, https://drive.google.com/open?id=1KcjKc-wfykf-MLna3uGpiB4LU3kekoUT</v>
      </c>
      <c r="Y387" s="495" t="str">
        <f>IFERROR(__xludf.DUMMYFUNCTION("""COMPUTED_VALUE"""),"contacto.espaciomuebles@gmail.com")</f>
        <v>contacto.espaciomuebles@gmail.com</v>
      </c>
      <c r="Z387" s="498">
        <f>IFERROR(__xludf.DUMMYFUNCTION("""COMPUTED_VALUE"""),856800.0)</f>
        <v>856800</v>
      </c>
      <c r="AA387" s="495"/>
      <c r="AB387" s="495"/>
      <c r="AC387" s="495"/>
      <c r="AD387" s="495" t="str">
        <f>IFERROR(__xludf.DUMMYFUNCTION("""COMPUTED_VALUE"""),"RC-064_26")</f>
        <v>RC-064_26</v>
      </c>
    </row>
    <row r="388">
      <c r="A388" s="495" t="str">
        <f t="shared" si="1"/>
        <v/>
      </c>
      <c r="B388" s="497">
        <f>IFERROR(__xludf.DUMMYFUNCTION("""COMPUTED_VALUE"""),46057.59924974537)</f>
        <v>46057.59925</v>
      </c>
      <c r="C388" s="495" t="str">
        <f>IFERROR(__xludf.DUMMYFUNCTION("""COMPUTED_VALUE"""),"")</f>
        <v/>
      </c>
      <c r="D388" s="495" t="str">
        <f>IFERROR(__xludf.DUMMYFUNCTION("""COMPUTED_VALUE"""),"Felipe Anselme Grandón")</f>
        <v>Felipe Anselme Grandón</v>
      </c>
      <c r="E388" s="495"/>
      <c r="F388" s="496" t="str">
        <f>IFERROR(__xludf.DUMMYFUNCTION("""COMPUTED_VALUE"""),"12573-2025")</f>
        <v>12573-2025</v>
      </c>
      <c r="G388" s="495"/>
      <c r="H388" s="495"/>
      <c r="I388" s="495"/>
      <c r="J388" s="495" t="str">
        <f>IFERROR(__xludf.DUMMYFUNCTION("""COMPUTED_VALUE"""),"Campus San Francisco - CSF")</f>
        <v>Campus San Francisco - CSF</v>
      </c>
      <c r="K388" s="495">
        <f>IFERROR(__xludf.DUMMYFUNCTION("""COMPUTED_VALUE"""),21.0)</f>
        <v>21</v>
      </c>
      <c r="L388" s="495" t="str">
        <f>IFERROR(__xludf.DUMMYFUNCTION("""COMPUTED_VALUE"""),"Caudal Ingeniería SPA")</f>
        <v>Caudal Ingeniería SPA</v>
      </c>
      <c r="M388" s="495" t="str">
        <f>IFERROR(__xludf.DUMMYFUNCTION("""COMPUTED_VALUE"""),"77.026.949-0")</f>
        <v>77.026.949-0</v>
      </c>
      <c r="N388" s="495" t="str">
        <f>IFERROR(__xludf.DUMMYFUNCTION("""COMPUTED_VALUE"""),"Carlos Ortiz")</f>
        <v>Carlos Ortiz</v>
      </c>
      <c r="O388" s="495" t="str">
        <f>IFERROR(__xludf.DUMMYFUNCTION("""COMPUTED_VALUE"""),"Mantenciones")</f>
        <v>Mantenciones</v>
      </c>
      <c r="P388" s="495" t="str">
        <f>IFERROR(__xludf.DUMMYFUNCTION("""COMPUTED_VALUE"""),"Instalaciones de Agua Potable")</f>
        <v>Instalaciones de Agua Potable</v>
      </c>
      <c r="Q388" s="495"/>
      <c r="R388" s="495"/>
      <c r="S388" s="495"/>
      <c r="T388" s="495"/>
      <c r="U388" s="495"/>
      <c r="V388" s="495" t="str">
        <f>IFERROR(__xludf.DUMMYFUNCTION("""COMPUTED_VALUE"""),"Mantención Sala de Bomba, edificio pabellón docente UCT.")</f>
        <v>Mantención Sala de Bomba, edificio pabellón docente UCT.</v>
      </c>
      <c r="W388" s="495" t="str">
        <f>IFERROR(__xludf.DUMMYFUNCTION("""COMPUTED_VALUE"""),"Recomendaciones Técnicas:
Se realizó mantención completa a la sala de bombas de agua potable.
Los equipos y componentes se encuentran en buenas condiciones de funcionamiento, sin anomalías visibles.
No se detectan fugas, ruidos ni vibraciones anormales.
S"&amp;"e recomienda mantener el programa de mantención preventiva periódica y realizar inspecciones visuales regulares")</f>
        <v>Recomendaciones Técnicas:
Se realizó mantención completa a la sala de bombas de agua potable.
Los equipos y componentes se encuentran en buenas condiciones de funcionamiento, sin anomalías visibles.
No se detectan fugas, ruidos ni vibraciones anormales.
Se recomienda mantener el programa de mantención preventiva periódica y realizar inspecciones visuales regulares</v>
      </c>
      <c r="X388" s="499" t="str">
        <f>IFERROR(__xludf.DUMMYFUNCTION("""COMPUTED_VALUE"""),"https://drive.google.com/open?id=1e3ugXfpESexs9w_iX_DfQRL8IAFVYFzN, https://drive.google.com/open?id=1qgrd8l0a0s85l45vaiZRZeqkFNj3Ttjn, https://drive.google.com/open?id=1zu2JXrhNZbNwbNKn_HYg5VFUBLKhh617, https://drive.google.com/open?id=1rXj47q_9fC7ODiqFe"&amp;"1my2Q4bhkurgOm9, https://drive.google.com/open?id=1hFU1KeV5u1g3UaN4PluaPeeCGeOPUJ_r")</f>
        <v>https://drive.google.com/open?id=1e3ugXfpESexs9w_iX_DfQRL8IAFVYFzN, https://drive.google.com/open?id=1qgrd8l0a0s85l45vaiZRZeqkFNj3Ttjn, https://drive.google.com/open?id=1zu2JXrhNZbNwbNKn_HYg5VFUBLKhh617, https://drive.google.com/open?id=1rXj47q_9fC7ODiqFe1my2Q4bhkurgOm9, https://drive.google.com/open?id=1hFU1KeV5u1g3UaN4PluaPeeCGeOPUJ_r</v>
      </c>
      <c r="Y388" s="495" t="str">
        <f>IFERROR(__xludf.DUMMYFUNCTION("""COMPUTED_VALUE"""),"fvillegas@caudalspa.cl")</f>
        <v>fvillegas@caudalspa.cl</v>
      </c>
      <c r="Z388" s="495"/>
      <c r="AA388" s="495"/>
      <c r="AB388" s="495"/>
      <c r="AC388" s="495"/>
      <c r="AD388" s="495"/>
    </row>
    <row r="389">
      <c r="A389" s="495" t="str">
        <f t="shared" si="1"/>
        <v>RC-066_26</v>
      </c>
      <c r="B389" s="497">
        <f>IFERROR(__xludf.DUMMYFUNCTION("""COMPUTED_VALUE"""),46118.64304962963)</f>
        <v>46118.64305</v>
      </c>
      <c r="C389" s="495" t="str">
        <f>IFERROR(__xludf.DUMMYFUNCTION("""COMPUTED_VALUE"""),"")</f>
        <v/>
      </c>
      <c r="D389" s="495" t="str">
        <f>IFERROR(__xludf.DUMMYFUNCTION("""COMPUTED_VALUE"""),"David Silva Roco")</f>
        <v>David Silva Roco</v>
      </c>
      <c r="E389" s="495"/>
      <c r="F389" s="496" t="str">
        <f>IFERROR(__xludf.DUMMYFUNCTION("""COMPUTED_VALUE"""),"1819-2025")</f>
        <v>1819-2025</v>
      </c>
      <c r="G389" s="495"/>
      <c r="H389" s="495"/>
      <c r="I389" s="495"/>
      <c r="J389" s="495" t="str">
        <f>IFERROR(__xludf.DUMMYFUNCTION("""COMPUTED_VALUE"""),"Campus San Francisco - CSF")</f>
        <v>Campus San Francisco - CSF</v>
      </c>
      <c r="K389" s="495">
        <f>IFERROR(__xludf.DUMMYFUNCTION("""COMPUTED_VALUE"""),15.0)</f>
        <v>15</v>
      </c>
      <c r="L389" s="495" t="str">
        <f>IFERROR(__xludf.DUMMYFUNCTION("""COMPUTED_VALUE"""),"Constructora Romo y Cadi Limitada ")</f>
        <v>Constructora Romo y Cadi Limitada </v>
      </c>
      <c r="M389" s="495" t="str">
        <f>IFERROR(__xludf.DUMMYFUNCTION("""COMPUTED_VALUE"""),"76.107.187-4")</f>
        <v>76.107.187-4</v>
      </c>
      <c r="N389" s="495" t="str">
        <f>IFERROR(__xludf.DUMMYFUNCTION("""COMPUTED_VALUE"""),"Francisco Romo Socio Gerente")</f>
        <v>Francisco Romo Socio Gerente</v>
      </c>
      <c r="O389" s="495" t="str">
        <f>IFERROR(__xludf.DUMMYFUNCTION("""COMPUTED_VALUE"""),"Obras y Especialidades")</f>
        <v>Obras y Especialidades</v>
      </c>
      <c r="P389" s="495"/>
      <c r="Q389" s="495"/>
      <c r="R389" s="495" t="str">
        <f>IFERROR(__xludf.DUMMYFUNCTION("""COMPUTED_VALUE"""),"Remodelación")</f>
        <v>Remodelación</v>
      </c>
      <c r="S389" s="495" t="str">
        <f>IFERROR(__xludf.DUMMYFUNCTION("""COMPUTED_VALUE"""),"Estado de Pago - EP")</f>
        <v>Estado de Pago - EP</v>
      </c>
      <c r="T389" s="495">
        <f>IFERROR(__xludf.DUMMYFUNCTION("""COMPUTED_VALUE"""),1.0)</f>
        <v>1</v>
      </c>
      <c r="U389" s="498">
        <f>IFERROR(__xludf.DUMMYFUNCTION("""COMPUTED_VALUE"""),1.9801637E7)</f>
        <v>19801637</v>
      </c>
      <c r="V389" s="495" t="str">
        <f>IFERROR(__xludf.DUMMYFUNCTION("""COMPUTED_VALUE"""),"Mejoramiento Camarines, duchas y baños del gimnasio AB Edificio 15 Campus San Francisco")</f>
        <v>Mejoramiento Camarines, duchas y baños del gimnasio AB Edificio 15 Campus San Francisco</v>
      </c>
      <c r="W389" s="495" t="str">
        <f>IFERROR(__xludf.DUMMYFUNCTION("""COMPUTED_VALUE"""),"sin mas observaciones ")</f>
        <v>sin mas observaciones </v>
      </c>
      <c r="X389" s="495" t="str">
        <f>IFERROR(__xludf.DUMMYFUNCTION("""COMPUTED_VALUE"""),"https://drive.google.com/open?id=1L01hAFhaw0sp6f4oVfUXm8s-8SnxOYtg, https://drive.google.com/open?id=1PGgRWCLH1emSWrRjdqLG88yk_KhsV5ta, https://drive.google.com/open?id=1ue33XNUDkoetOQqH8I5omySTBq4NMF18, https://drive.google.com/open?id=1jtxJXh81coXe63LBA"&amp;"_6MAPqYZML28qcJ")</f>
        <v>https://drive.google.com/open?id=1L01hAFhaw0sp6f4oVfUXm8s-8SnxOYtg, https://drive.google.com/open?id=1PGgRWCLH1emSWrRjdqLG88yk_KhsV5ta, https://drive.google.com/open?id=1ue33XNUDkoetOQqH8I5omySTBq4NMF18, https://drive.google.com/open?id=1jtxJXh81coXe63LBA_6MAPqYZML28qcJ</v>
      </c>
      <c r="Y389" s="495" t="str">
        <f>IFERROR(__xludf.DUMMYFUNCTION("""COMPUTED_VALUE"""),"secretaria.fromo@gmail.com")</f>
        <v>secretaria.fromo@gmail.com</v>
      </c>
      <c r="Z389" s="498">
        <f>IFERROR(__xludf.DUMMYFUNCTION("""COMPUTED_VALUE"""),1.9801637E7)</f>
        <v>19801637</v>
      </c>
      <c r="AA389" s="495"/>
      <c r="AB389" s="495"/>
      <c r="AC389" s="495"/>
      <c r="AD389" s="495" t="str">
        <f>IFERROR(__xludf.DUMMYFUNCTION("""COMPUTED_VALUE"""),"RC-066_26")</f>
        <v>RC-066_26</v>
      </c>
    </row>
    <row r="390">
      <c r="A390" s="495" t="str">
        <f t="shared" si="1"/>
        <v/>
      </c>
      <c r="B390" s="497">
        <f>IFERROR(__xludf.DUMMYFUNCTION("""COMPUTED_VALUE"""),46051.68781482639)</f>
        <v>46051.68781</v>
      </c>
      <c r="C390" s="495" t="str">
        <f>IFERROR(__xludf.DUMMYFUNCTION("""COMPUTED_VALUE"""),"")</f>
        <v/>
      </c>
      <c r="D390" s="495" t="str">
        <f>IFERROR(__xludf.DUMMYFUNCTION("""COMPUTED_VALUE"""),"Carol Huenchual Chañilao")</f>
        <v>Carol Huenchual Chañilao</v>
      </c>
      <c r="E390" s="495"/>
      <c r="F390" s="496" t="str">
        <f>IFERROR(__xludf.DUMMYFUNCTION("""COMPUTED_VALUE"""),"12939 - 2025")</f>
        <v>12939 - 2025</v>
      </c>
      <c r="G390" s="495"/>
      <c r="H390" s="495"/>
      <c r="I390" s="495"/>
      <c r="J390" s="495" t="str">
        <f>IFERROR(__xludf.DUMMYFUNCTION("""COMPUTED_VALUE"""),"Campus San Juan Pablo II - CJP")</f>
        <v>Campus San Juan Pablo II - CJP</v>
      </c>
      <c r="K390" s="495" t="str">
        <f>IFERROR(__xludf.DUMMYFUNCTION("""COMPUTED_VALUE"""),"07")</f>
        <v>07</v>
      </c>
      <c r="L390" s="495" t="str">
        <f>IFERROR(__xludf.DUMMYFUNCTION("""COMPUTED_VALUE"""),"Sergio Flores Garrido")</f>
        <v>Sergio Flores Garrido</v>
      </c>
      <c r="M390" s="495" t="str">
        <f>IFERROR(__xludf.DUMMYFUNCTION("""COMPUTED_VALUE"""),"12.928.980-5")</f>
        <v>12.928.980-5</v>
      </c>
      <c r="N390" s="495" t="str">
        <f>IFERROR(__xludf.DUMMYFUNCTION("""COMPUTED_VALUE"""),"Sergio Flores Garrido")</f>
        <v>Sergio Flores Garrido</v>
      </c>
      <c r="O390" s="495" t="str">
        <f>IFERROR(__xludf.DUMMYFUNCTION("""COMPUTED_VALUE"""),"Mantenciones")</f>
        <v>Mantenciones</v>
      </c>
      <c r="P390" s="495" t="str">
        <f>IFERROR(__xludf.DUMMYFUNCTION("""COMPUTED_VALUE"""),"Cerramientos Verticales")</f>
        <v>Cerramientos Verticales</v>
      </c>
      <c r="Q390" s="495"/>
      <c r="R390" s="495"/>
      <c r="S390" s="495"/>
      <c r="T390" s="495"/>
      <c r="U390" s="495"/>
      <c r="V390" s="495" t="str">
        <f>IFERROR(__xludf.DUMMYFUNCTION("""COMPUTED_VALUE"""),"Cambio de termopanel quebrado y manillas.")</f>
        <v>Cambio de termopanel quebrado y manillas.</v>
      </c>
      <c r="W390" s="495" t="str">
        <f>IFERROR(__xludf.DUMMYFUNCTION("""COMPUTED_VALUE"""),"No requiere seguimiento.")</f>
        <v>No requiere seguimiento.</v>
      </c>
      <c r="X390" s="495" t="str">
        <f>IFERROR(__xludf.DUMMYFUNCTION("""COMPUTED_VALUE"""),"https://drive.google.com/open?id=1pnsxU0e7y7WABhiqN_KTFKyvvk6pDO5P, https://drive.google.com/open?id=1ikRZtZM8wK4tdlOw6P8J5sT-7of7hle9")</f>
        <v>https://drive.google.com/open?id=1pnsxU0e7y7WABhiqN_KTFKyvvk6pDO5P, https://drive.google.com/open?id=1ikRZtZM8wK4tdlOw6P8J5sT-7of7hle9</v>
      </c>
      <c r="Y390" s="495" t="str">
        <f>IFERROR(__xludf.DUMMYFUNCTION("""COMPUTED_VALUE"""),"sergiofloresgarrido19731217@gmail.com")</f>
        <v>sergiofloresgarrido19731217@gmail.com</v>
      </c>
      <c r="Z390" s="495"/>
      <c r="AA390" s="495"/>
      <c r="AB390" s="495"/>
      <c r="AC390" s="495"/>
      <c r="AD390" s="495"/>
    </row>
    <row r="391">
      <c r="A391" s="495" t="str">
        <f t="shared" si="1"/>
        <v>RC-068_26</v>
      </c>
      <c r="B391" s="497">
        <f>IFERROR(__xludf.DUMMYFUNCTION("""COMPUTED_VALUE"""),46120.41576524306)</f>
        <v>46120.41577</v>
      </c>
      <c r="C391" s="495" t="str">
        <f>IFERROR(__xludf.DUMMYFUNCTION("""COMPUTED_VALUE"""),"")</f>
        <v/>
      </c>
      <c r="D391" s="495" t="str">
        <f>IFERROR(__xludf.DUMMYFUNCTION("""COMPUTED_VALUE"""),"Juan Ignacio Solís de Ovando")</f>
        <v>Juan Ignacio Solís de Ovando</v>
      </c>
      <c r="E391" s="495"/>
      <c r="F391" s="496" t="str">
        <f>IFERROR(__xludf.DUMMYFUNCTION("""COMPUTED_VALUE"""),"1845 - 2026")</f>
        <v>1845 - 2026</v>
      </c>
      <c r="G391" s="495"/>
      <c r="H391" s="495"/>
      <c r="I391" s="495"/>
      <c r="J391" s="495" t="str">
        <f>IFERROR(__xludf.DUMMYFUNCTION("""COMPUTED_VALUE"""),"Campus Dr. Luis Rivas del Canto - CRC")</f>
        <v>Campus Dr. Luis Rivas del Canto - CRC</v>
      </c>
      <c r="K391" s="495" t="str">
        <f>IFERROR(__xludf.DUMMYFUNCTION("""COMPUTED_VALUE"""),"Exterior")</f>
        <v>Exterior</v>
      </c>
      <c r="L391" s="495" t="str">
        <f>IFERROR(__xludf.DUMMYFUNCTION("""COMPUTED_VALUE"""),"Constructora Alplas Spa")</f>
        <v>Constructora Alplas Spa</v>
      </c>
      <c r="M391" s="495" t="str">
        <f>IFERROR(__xludf.DUMMYFUNCTION("""COMPUTED_VALUE"""),"77.190.049-6")</f>
        <v>77.190.049-6</v>
      </c>
      <c r="N391" s="495" t="str">
        <f>IFERROR(__xludf.DUMMYFUNCTION("""COMPUTED_VALUE"""),"Camila Obando, jefe de obra")</f>
        <v>Camila Obando, jefe de obra</v>
      </c>
      <c r="O391" s="495" t="str">
        <f>IFERROR(__xludf.DUMMYFUNCTION("""COMPUTED_VALUE"""),"Obras y Especialidades")</f>
        <v>Obras y Especialidades</v>
      </c>
      <c r="P391" s="495"/>
      <c r="Q391" s="495"/>
      <c r="R391" s="495" t="str">
        <f>IFERROR(__xludf.DUMMYFUNCTION("""COMPUTED_VALUE"""),"Remodelación")</f>
        <v>Remodelación</v>
      </c>
      <c r="S391" s="495" t="str">
        <f>IFERROR(__xludf.DUMMYFUNCTION("""COMPUTED_VALUE"""),"Recepción de Obra - RC")</f>
        <v>Recepción de Obra - RC</v>
      </c>
      <c r="T391" s="495"/>
      <c r="U391" s="495"/>
      <c r="V391" s="495" t="str">
        <f>IFERROR(__xludf.DUMMYFUNCTION("""COMPUTED_VALUE"""),"AUMENTO DE OBRA OC.733-2026 REVESTIMIENTO PERIMETRAL CRC18 GALPÓN 2 GRANDE")</f>
        <v>AUMENTO DE OBRA OC.733-2026 REVESTIMIENTO PERIMETRAL CRC18 GALPÓN 2 GRANDE</v>
      </c>
      <c r="W391" s="495"/>
      <c r="X391" s="495" t="str">
        <f>IFERROR(__xludf.DUMMYFUNCTION("""COMPUTED_VALUE"""),"https://drive.google.com/open?id=17E9A1wD-USU21DIu2LZzlITnlbtu3sIL, https://drive.google.com/open?id=14lUoCkrO_unP_46d1Ds3eGJbdzsa1t4w, https://drive.google.com/open?id=1qqSgoK-Z2UMZz1SJTS2f902Pvhz65ccH")</f>
        <v>https://drive.google.com/open?id=17E9A1wD-USU21DIu2LZzlITnlbtu3sIL, https://drive.google.com/open?id=14lUoCkrO_unP_46d1Ds3eGJbdzsa1t4w, https://drive.google.com/open?id=1qqSgoK-Z2UMZz1SJTS2f902Pvhz65ccH</v>
      </c>
      <c r="Y391" s="495" t="str">
        <f>IFERROR(__xludf.DUMMYFUNCTION("""COMPUTED_VALUE"""),"ventas@alplas.cl")</f>
        <v>ventas@alplas.cl</v>
      </c>
      <c r="Z391" s="498">
        <f>IFERROR(__xludf.DUMMYFUNCTION("""COMPUTED_VALUE"""),1536340.0)</f>
        <v>1536340</v>
      </c>
      <c r="AA391" s="495"/>
      <c r="AB391" s="495"/>
      <c r="AC391" s="495"/>
      <c r="AD391" s="495" t="str">
        <f>IFERROR(__xludf.DUMMYFUNCTION("""COMPUTED_VALUE"""),"RC-068_26")</f>
        <v>RC-068_26</v>
      </c>
    </row>
    <row r="392">
      <c r="A392" s="495" t="str">
        <f t="shared" si="1"/>
        <v/>
      </c>
      <c r="B392" s="497">
        <f>IFERROR(__xludf.DUMMYFUNCTION("""COMPUTED_VALUE"""),46051.682018368054)</f>
        <v>46051.68202</v>
      </c>
      <c r="C392" s="495" t="str">
        <f>IFERROR(__xludf.DUMMYFUNCTION("""COMPUTED_VALUE"""),"")</f>
        <v/>
      </c>
      <c r="D392" s="495" t="str">
        <f>IFERROR(__xludf.DUMMYFUNCTION("""COMPUTED_VALUE"""),"Carol Huenchual Chañilao")</f>
        <v>Carol Huenchual Chañilao</v>
      </c>
      <c r="E392" s="495"/>
      <c r="F392" s="496" t="str">
        <f>IFERROR(__xludf.DUMMYFUNCTION("""COMPUTED_VALUE"""),"12941 - 2025")</f>
        <v>12941 - 2025</v>
      </c>
      <c r="G392" s="495"/>
      <c r="H392" s="495"/>
      <c r="I392" s="495"/>
      <c r="J392" s="495" t="str">
        <f>IFERROR(__xludf.DUMMYFUNCTION("""COMPUTED_VALUE"""),"Campus San Juan Pablo II - CJP")</f>
        <v>Campus San Juan Pablo II - CJP</v>
      </c>
      <c r="K392" s="495">
        <f>IFERROR(__xludf.DUMMYFUNCTION("""COMPUTED_VALUE"""),10.0)</f>
        <v>10</v>
      </c>
      <c r="L392" s="495" t="str">
        <f>IFERROR(__xludf.DUMMYFUNCTION("""COMPUTED_VALUE"""),"Sergio Flores Garrido ")</f>
        <v>Sergio Flores Garrido </v>
      </c>
      <c r="M392" s="495" t="str">
        <f>IFERROR(__xludf.DUMMYFUNCTION("""COMPUTED_VALUE"""),"12.928.980-5")</f>
        <v>12.928.980-5</v>
      </c>
      <c r="N392" s="495" t="str">
        <f>IFERROR(__xludf.DUMMYFUNCTION("""COMPUTED_VALUE"""),"Sergio Flores Garrido")</f>
        <v>Sergio Flores Garrido</v>
      </c>
      <c r="O392" s="495" t="str">
        <f>IFERROR(__xludf.DUMMYFUNCTION("""COMPUTED_VALUE"""),"Mantenciones")</f>
        <v>Mantenciones</v>
      </c>
      <c r="P392" s="495" t="str">
        <f>IFERROR(__xludf.DUMMYFUNCTION("""COMPUTED_VALUE"""),"Cerramientos Verticales")</f>
        <v>Cerramientos Verticales</v>
      </c>
      <c r="Q392" s="495"/>
      <c r="R392" s="495"/>
      <c r="S392" s="495"/>
      <c r="T392" s="495"/>
      <c r="U392" s="495"/>
      <c r="V392" s="495" t="str">
        <f>IFERROR(__xludf.DUMMYFUNCTION("""COMPUTED_VALUE"""),"Cambio de cristal quebrado.")</f>
        <v>Cambio de cristal quebrado.</v>
      </c>
      <c r="W392" s="495" t="str">
        <f>IFERROR(__xludf.DUMMYFUNCTION("""COMPUTED_VALUE"""),"No requiere seguimiento.")</f>
        <v>No requiere seguimiento.</v>
      </c>
      <c r="X392" s="499" t="str">
        <f>IFERROR(__xludf.DUMMYFUNCTION("""COMPUTED_VALUE"""),"https://drive.google.com/open?id=1vCV00MYNsYqZTsouC43IwC1QY76k71cL")</f>
        <v>https://drive.google.com/open?id=1vCV00MYNsYqZTsouC43IwC1QY76k71cL</v>
      </c>
      <c r="Y392" s="495" t="str">
        <f>IFERROR(__xludf.DUMMYFUNCTION("""COMPUTED_VALUE"""),"sergiofloresgarrido19731217@gmail.com")</f>
        <v>sergiofloresgarrido19731217@gmail.com</v>
      </c>
      <c r="Z392" s="495"/>
      <c r="AA392" s="495"/>
      <c r="AB392" s="495"/>
      <c r="AC392" s="495"/>
      <c r="AD392" s="495"/>
    </row>
    <row r="393">
      <c r="A393" s="495" t="str">
        <f t="shared" si="1"/>
        <v/>
      </c>
      <c r="B393" s="497">
        <f>IFERROR(__xludf.DUMMYFUNCTION("""COMPUTED_VALUE"""),46051.67960513889)</f>
        <v>46051.67961</v>
      </c>
      <c r="C393" s="495" t="str">
        <f>IFERROR(__xludf.DUMMYFUNCTION("""COMPUTED_VALUE"""),"")</f>
        <v/>
      </c>
      <c r="D393" s="495" t="str">
        <f>IFERROR(__xludf.DUMMYFUNCTION("""COMPUTED_VALUE"""),"Carol Huenchual Chañilao")</f>
        <v>Carol Huenchual Chañilao</v>
      </c>
      <c r="E393" s="495"/>
      <c r="F393" s="496" t="str">
        <f>IFERROR(__xludf.DUMMYFUNCTION("""COMPUTED_VALUE"""),"12942 - 2025")</f>
        <v>12942 - 2025</v>
      </c>
      <c r="G393" s="495"/>
      <c r="H393" s="495"/>
      <c r="I393" s="495"/>
      <c r="J393" s="495" t="str">
        <f>IFERROR(__xludf.DUMMYFUNCTION("""COMPUTED_VALUE"""),"Campus San Juan Pablo II - CJP")</f>
        <v>Campus San Juan Pablo II - CJP</v>
      </c>
      <c r="K393" s="495">
        <f>IFERROR(__xludf.DUMMYFUNCTION("""COMPUTED_VALUE"""),10.0)</f>
        <v>10</v>
      </c>
      <c r="L393" s="495" t="str">
        <f>IFERROR(__xludf.DUMMYFUNCTION("""COMPUTED_VALUE"""),"Sergio Flores Garrido")</f>
        <v>Sergio Flores Garrido</v>
      </c>
      <c r="M393" s="495" t="str">
        <f>IFERROR(__xludf.DUMMYFUNCTION("""COMPUTED_VALUE"""),"12.928.980-5")</f>
        <v>12.928.980-5</v>
      </c>
      <c r="N393" s="495" t="str">
        <f>IFERROR(__xludf.DUMMYFUNCTION("""COMPUTED_VALUE"""),"Sergio Flores Garrido")</f>
        <v>Sergio Flores Garrido</v>
      </c>
      <c r="O393" s="495" t="str">
        <f>IFERROR(__xludf.DUMMYFUNCTION("""COMPUTED_VALUE"""),"Mantenciones")</f>
        <v>Mantenciones</v>
      </c>
      <c r="P393" s="495" t="str">
        <f>IFERROR(__xludf.DUMMYFUNCTION("""COMPUTED_VALUE"""),"Cerramientos Verticales")</f>
        <v>Cerramientos Verticales</v>
      </c>
      <c r="Q393" s="495"/>
      <c r="R393" s="495"/>
      <c r="S393" s="495"/>
      <c r="T393" s="495"/>
      <c r="U393" s="495"/>
      <c r="V393" s="495" t="str">
        <f>IFERROR(__xludf.DUMMYFUNCTION("""COMPUTED_VALUE"""),"Cambio de cristal quebrado.")</f>
        <v>Cambio de cristal quebrado.</v>
      </c>
      <c r="W393" s="495" t="str">
        <f>IFERROR(__xludf.DUMMYFUNCTION("""COMPUTED_VALUE"""),"No requiere seguimiento.")</f>
        <v>No requiere seguimiento.</v>
      </c>
      <c r="X393" s="499" t="str">
        <f>IFERROR(__xludf.DUMMYFUNCTION("""COMPUTED_VALUE"""),"https://drive.google.com/open?id=1aHZMncg3nQ_G-p_abPMChrGeoT03ct5w")</f>
        <v>https://drive.google.com/open?id=1aHZMncg3nQ_G-p_abPMChrGeoT03ct5w</v>
      </c>
      <c r="Y393" s="495" t="str">
        <f>IFERROR(__xludf.DUMMYFUNCTION("""COMPUTED_VALUE"""),"sergiofloresgarrido19731217@gmail.com")</f>
        <v>sergiofloresgarrido19731217@gmail.com</v>
      </c>
      <c r="Z393" s="495"/>
      <c r="AA393" s="495"/>
      <c r="AB393" s="495"/>
      <c r="AC393" s="495"/>
      <c r="AD393" s="495"/>
    </row>
    <row r="394">
      <c r="A394" s="495" t="str">
        <f t="shared" si="1"/>
        <v/>
      </c>
      <c r="B394" s="497">
        <f>IFERROR(__xludf.DUMMYFUNCTION("""COMPUTED_VALUE"""),46050.94388104166)</f>
        <v>46050.94388</v>
      </c>
      <c r="C394" s="495" t="str">
        <f>IFERROR(__xludf.DUMMYFUNCTION("""COMPUTED_VALUE"""),"")</f>
        <v/>
      </c>
      <c r="D394" s="495" t="str">
        <f>IFERROR(__xludf.DUMMYFUNCTION("""COMPUTED_VALUE"""),"Leonor Ríos Morales")</f>
        <v>Leonor Ríos Morales</v>
      </c>
      <c r="E394" s="495"/>
      <c r="F394" s="496" t="str">
        <f>IFERROR(__xludf.DUMMYFUNCTION("""COMPUTED_VALUE"""),"12391-2025")</f>
        <v>12391-2025</v>
      </c>
      <c r="G394" s="495"/>
      <c r="H394" s="495"/>
      <c r="I394" s="495"/>
      <c r="J394" s="495" t="str">
        <f>IFERROR(__xludf.DUMMYFUNCTION("""COMPUTED_VALUE"""),"Campus Prieto Norte - CHS")</f>
        <v>Campus Prieto Norte - CHS</v>
      </c>
      <c r="K394" s="495" t="str">
        <f>IFERROR(__xludf.DUMMYFUNCTION("""COMPUTED_VALUE"""),"Exterior")</f>
        <v>Exterior</v>
      </c>
      <c r="L394" s="495" t="str">
        <f>IFERROR(__xludf.DUMMYFUNCTION("""COMPUTED_VALUE"""),"nicolas riquelme lizama")</f>
        <v>nicolas riquelme lizama</v>
      </c>
      <c r="M394" s="495" t="str">
        <f>IFERROR(__xludf.DUMMYFUNCTION("""COMPUTED_VALUE"""),"9937535-3")</f>
        <v>9937535-3</v>
      </c>
      <c r="N394" s="495" t="str">
        <f>IFERROR(__xludf.DUMMYFUNCTION("""COMPUTED_VALUE"""),"nicolas riquelme - diseño y producción")</f>
        <v>nicolas riquelme - diseño y producción</v>
      </c>
      <c r="O394" s="495" t="str">
        <f>IFERROR(__xludf.DUMMYFUNCTION("""COMPUTED_VALUE"""),"Mantenciones")</f>
        <v>Mantenciones</v>
      </c>
      <c r="P394" s="495" t="str">
        <f>IFERROR(__xludf.DUMMYFUNCTION("""COMPUTED_VALUE"""),"Terminaciones Interiores")</f>
        <v>Terminaciones Interiores</v>
      </c>
      <c r="Q394" s="495"/>
      <c r="R394" s="495"/>
      <c r="S394" s="495"/>
      <c r="T394" s="495"/>
      <c r="U394" s="495"/>
      <c r="V394" s="495" t="str">
        <f>IFERROR(__xludf.DUMMYFUNCTION("""COMPUTED_VALUE"""),"señaletica identificacion de estacionamiento subterraneo")</f>
        <v>señaletica identificacion de estacionamiento subterraneo</v>
      </c>
      <c r="W394" s="495"/>
      <c r="X394" s="499" t="str">
        <f>IFERROR(__xludf.DUMMYFUNCTION("""COMPUTED_VALUE"""),"https://drive.google.com/open?id=1jBGX-wangnyAvMxMdvKVHRWrMSW9PlYF")</f>
        <v>https://drive.google.com/open?id=1jBGX-wangnyAvMxMdvKVHRWrMSW9PlYF</v>
      </c>
      <c r="Y394" s="495" t="str">
        <f>IFERROR(__xludf.DUMMYFUNCTION("""COMPUTED_VALUE"""),"nicolas.rotulados@gmail.com")</f>
        <v>nicolas.rotulados@gmail.com</v>
      </c>
      <c r="Z394" s="495"/>
      <c r="AA394" s="495"/>
      <c r="AB394" s="495"/>
      <c r="AC394" s="495"/>
      <c r="AD394" s="495"/>
    </row>
    <row r="395">
      <c r="A395" s="495" t="str">
        <f t="shared" si="1"/>
        <v>RC-072_26</v>
      </c>
      <c r="B395" s="497">
        <f>IFERROR(__xludf.DUMMYFUNCTION("""COMPUTED_VALUE"""),46125.43311478009)</f>
        <v>46125.43311</v>
      </c>
      <c r="C395" s="495" t="str">
        <f>IFERROR(__xludf.DUMMYFUNCTION("""COMPUTED_VALUE"""),"")</f>
        <v/>
      </c>
      <c r="D395" s="495" t="str">
        <f>IFERROR(__xludf.DUMMYFUNCTION("""COMPUTED_VALUE"""),"Leonor Ríos Morales")</f>
        <v>Leonor Ríos Morales</v>
      </c>
      <c r="E395" s="495"/>
      <c r="F395" s="496" t="str">
        <f>IFERROR(__xludf.DUMMYFUNCTION("""COMPUTED_VALUE"""),"13104 - 2025")</f>
        <v>13104 - 2025</v>
      </c>
      <c r="G395" s="495"/>
      <c r="H395" s="495"/>
      <c r="I395" s="495"/>
      <c r="J395" s="495" t="str">
        <f>IFERROR(__xludf.DUMMYFUNCTION("""COMPUTED_VALUE"""),"Campus San Francisco - CSF")</f>
        <v>Campus San Francisco - CSF</v>
      </c>
      <c r="K395" s="495" t="str">
        <f>IFERROR(__xludf.DUMMYFUNCTION("""COMPUTED_VALUE"""),"Exterior")</f>
        <v>Exterior</v>
      </c>
      <c r="L395" s="495" t="str">
        <f>IFERROR(__xludf.DUMMYFUNCTION("""COMPUTED_VALUE"""),"PUA SPA")</f>
        <v>PUA SPA</v>
      </c>
      <c r="M395" s="495" t="str">
        <f>IFERROR(__xludf.DUMMYFUNCTION("""COMPUTED_VALUE"""),"76.962.332-2")</f>
        <v>76.962.332-2</v>
      </c>
      <c r="N395" s="495" t="str">
        <f>IFERROR(__xludf.DUMMYFUNCTION("""COMPUTED_VALUE"""),"Jorge Martínez - Supervisor de Proyectos")</f>
        <v>Jorge Martínez - Supervisor de Proyectos</v>
      </c>
      <c r="O395" s="495" t="str">
        <f>IFERROR(__xludf.DUMMYFUNCTION("""COMPUTED_VALUE"""),"Obras y Especialidades")</f>
        <v>Obras y Especialidades</v>
      </c>
      <c r="P395" s="495"/>
      <c r="Q395" s="495"/>
      <c r="R395" s="495" t="str">
        <f>IFERROR(__xludf.DUMMYFUNCTION("""COMPUTED_VALUE"""),"Remodelación")</f>
        <v>Remodelación</v>
      </c>
      <c r="S395" s="495" t="str">
        <f>IFERROR(__xludf.DUMMYFUNCTION("""COMPUTED_VALUE"""),"Recepción de Obra - RC")</f>
        <v>Recepción de Obra - RC</v>
      </c>
      <c r="T395" s="495"/>
      <c r="U395" s="495"/>
      <c r="V395" s="495" t="str">
        <f>IFERROR(__xludf.DUMMYFUNCTION("""COMPUTED_VALUE"""),"Instalación de Identificadores de Edificios según ubicación y especificaciones de la mandante.
Soporte metálico simétrico electropintado de color negro con celosia a ambos lados, metal calado en láser, con ángulos 25x25x2 mm, pletinas 16 mm. en 3 mm. Gráf"&amp;"ica impresa sobre alucobond de 4 mm. de espesor color gris, solo por tiro y letras unitarias
adhesivas de color blanco cortadas en plotter. Medidas generales: 220x37 cm.
Se solicita la instalación de piezas colgantes y otras directo al muro, todo previame"&amp;"nte revisado y acordado con la mandante.
Señaléticas direccionales instaladas en viaje anterior, donde en esta oportunidad solo se ajusta la altura según lo solicitado por la mandante y se pinta la parte posterior de las mismas de color negro.")</f>
        <v>Instalación de Identificadores de Edificios según ubicación y especificaciones de la mandante.
Soporte metálico simétrico electropintado de color negro con celosia a ambos lados, metal calado en láser, con ángulos 25x25x2 mm, pletinas 16 mm. en 3 mm. Gráfica impresa sobre alucobond de 4 mm. de espesor color gris, solo por tiro y letras unitarias
adhesivas de color blanco cortadas en plotter. Medidas generales: 220x37 cm.
Se solicita la instalación de piezas colgantes y otras directo al muro, todo previamente revisado y acordado con la mandante.
Señaléticas direccionales instaladas en viaje anterior, donde en esta oportunidad solo se ajusta la altura según lo solicitado por la mandante y se pinta la parte posterior de las mismas de color negro.</v>
      </c>
      <c r="W395" s="495"/>
      <c r="X395" s="495" t="str">
        <f>IFERROR(__xludf.DUMMYFUNCTION("""COMPUTED_VALUE"""),"https://drive.google.com/open?id=1mnI-zRvYvn_NzYFtJhAwJJvPr2M14o5v, https://drive.google.com/open?id=1BORUAK8PGgolv_3Npg3q9EmGM9cnjLeQ, https://drive.google.com/open?id=18zlRkuhL-NcasmMPdQSCJSoXmtML0xsz, https://drive.google.com/open?id=1GQ2prDf9K9q-CiHUo"&amp;"WDB9sURVsju-D2F, https://drive.google.com/open?id=1_9p1NIt80qtJmQnXW0OnZbstgL2gm6xi, https://drive.google.com/open?id=1t90RXtVBtbFAqBLoGZZEMQvWnFwfuXTc, https://drive.google.com/open?id=1jI-1gYNCqjXNftdKPoFIZYT86B3vY8gq")</f>
        <v>https://drive.google.com/open?id=1mnI-zRvYvn_NzYFtJhAwJJvPr2M14o5v, https://drive.google.com/open?id=1BORUAK8PGgolv_3Npg3q9EmGM9cnjLeQ, https://drive.google.com/open?id=18zlRkuhL-NcasmMPdQSCJSoXmtML0xsz, https://drive.google.com/open?id=1GQ2prDf9K9q-CiHUoWDB9sURVsju-D2F, https://drive.google.com/open?id=1_9p1NIt80qtJmQnXW0OnZbstgL2gm6xi, https://drive.google.com/open?id=1t90RXtVBtbFAqBLoGZZEMQvWnFwfuXTc, https://drive.google.com/open?id=1jI-1gYNCqjXNftdKPoFIZYT86B3vY8gq</v>
      </c>
      <c r="Y395" s="495" t="str">
        <f>IFERROR(__xludf.DUMMYFUNCTION("""COMPUTED_VALUE"""),"diseno@pua.cl")</f>
        <v>diseno@pua.cl</v>
      </c>
      <c r="Z395" s="498">
        <f>IFERROR(__xludf.DUMMYFUNCTION("""COMPUTED_VALUE"""),7211430.0)</f>
        <v>7211430</v>
      </c>
      <c r="AA395" s="495"/>
      <c r="AB395" s="495"/>
      <c r="AC395" s="495"/>
      <c r="AD395" s="495" t="str">
        <f>IFERROR(__xludf.DUMMYFUNCTION("""COMPUTED_VALUE"""),"RC-072_26")</f>
        <v>RC-072_26</v>
      </c>
    </row>
    <row r="396">
      <c r="A396" s="495" t="str">
        <f t="shared" si="1"/>
        <v>RC-073_26</v>
      </c>
      <c r="B396" s="497">
        <f>IFERROR(__xludf.DUMMYFUNCTION("""COMPUTED_VALUE"""),46125.444732777774)</f>
        <v>46125.44473</v>
      </c>
      <c r="C396" s="495" t="str">
        <f>IFERROR(__xludf.DUMMYFUNCTION("""COMPUTED_VALUE"""),"")</f>
        <v/>
      </c>
      <c r="D396" s="495" t="str">
        <f>IFERROR(__xludf.DUMMYFUNCTION("""COMPUTED_VALUE"""),"Leonor Ríos Morales")</f>
        <v>Leonor Ríos Morales</v>
      </c>
      <c r="E396" s="495"/>
      <c r="F396" s="496">
        <f>IFERROR(__xludf.DUMMYFUNCTION("""COMPUTED_VALUE"""),1609.0)</f>
        <v>1609</v>
      </c>
      <c r="G396" s="495"/>
      <c r="H396" s="495"/>
      <c r="I396" s="495"/>
      <c r="J396" s="495" t="str">
        <f>IFERROR(__xludf.DUMMYFUNCTION("""COMPUTED_VALUE"""),"Campus San Francisco - CSF")</f>
        <v>Campus San Francisco - CSF</v>
      </c>
      <c r="K396" s="495">
        <f>IFERROR(__xludf.DUMMYFUNCTION("""COMPUTED_VALUE"""),16.0)</f>
        <v>16</v>
      </c>
      <c r="L396" s="495" t="str">
        <f>IFERROR(__xludf.DUMMYFUNCTION("""COMPUTED_VALUE"""),"PUA SPA")</f>
        <v>PUA SPA</v>
      </c>
      <c r="M396" s="495" t="str">
        <f>IFERROR(__xludf.DUMMYFUNCTION("""COMPUTED_VALUE"""),"76.962.330-2")</f>
        <v>76.962.330-2</v>
      </c>
      <c r="N396" s="495" t="str">
        <f>IFERROR(__xludf.DUMMYFUNCTION("""COMPUTED_VALUE"""),"Jorge Martínez - Supervisor de Proyectos")</f>
        <v>Jorge Martínez - Supervisor de Proyectos</v>
      </c>
      <c r="O396" s="495" t="str">
        <f>IFERROR(__xludf.DUMMYFUNCTION("""COMPUTED_VALUE"""),"Obras y Especialidades")</f>
        <v>Obras y Especialidades</v>
      </c>
      <c r="P396" s="495"/>
      <c r="Q396" s="495"/>
      <c r="R396" s="495" t="str">
        <f>IFERROR(__xludf.DUMMYFUNCTION("""COMPUTED_VALUE"""),"Remodelación")</f>
        <v>Remodelación</v>
      </c>
      <c r="S396" s="495" t="str">
        <f>IFERROR(__xludf.DUMMYFUNCTION("""COMPUTED_VALUE"""),"Recepción de Obra - RC")</f>
        <v>Recepción de Obra - RC</v>
      </c>
      <c r="T396" s="495"/>
      <c r="U396" s="495"/>
      <c r="V396" s="495" t="str">
        <f>IFERROR(__xludf.DUMMYFUNCTION("""COMPUTED_VALUE"""),"Cambio de pestañas CSF16. Se retira la pestaña de ""Laboratorio"" correspondiente a la pestaña ubicada en el piso 5 del programa, para ser reemplazada por una que correspondería a ""DDPER Dirección de Desarrollo de Personas"". Considera reemplazo para el "&amp;"programa correspondiente a los 5 pisos del edificio en cuestión.")</f>
        <v>Cambio de pestañas CSF16. Se retira la pestaña de "Laboratorio" correspondiente a la pestaña ubicada en el piso 5 del programa, para ser reemplazada por una que correspondería a "DDPER Dirección de Desarrollo de Personas". Considera reemplazo para el programa correspondiente a los 5 pisos del edificio en cuestión.</v>
      </c>
      <c r="W396" s="495"/>
      <c r="X396" s="495" t="str">
        <f>IFERROR(__xludf.DUMMYFUNCTION("""COMPUTED_VALUE"""),"https://drive.google.com/open?id=1E5LNq-_SJStoAuB4txU6DROsLmPL-MsZ, https://drive.google.com/open?id=1QOkqMM6ZI-r45eQgEIc4Mc3uXUvhOaHx, https://drive.google.com/open?id=1jyWssRJIIYlliASKFujMHAX88RH_apjU, https://drive.google.com/open?id=1lZQCLXoIfyxUzpY1v"&amp;"hiKAGov0HX_cvg6, https://drive.google.com/open?id=1Yk6ykT8M-aBvifTgFWHeJG2HLucBiDf9")</f>
        <v>https://drive.google.com/open?id=1E5LNq-_SJStoAuB4txU6DROsLmPL-MsZ, https://drive.google.com/open?id=1QOkqMM6ZI-r45eQgEIc4Mc3uXUvhOaHx, https://drive.google.com/open?id=1jyWssRJIIYlliASKFujMHAX88RH_apjU, https://drive.google.com/open?id=1lZQCLXoIfyxUzpY1vhiKAGov0HX_cvg6, https://drive.google.com/open?id=1Yk6ykT8M-aBvifTgFWHeJG2HLucBiDf9</v>
      </c>
      <c r="Y396" s="495" t="str">
        <f>IFERROR(__xludf.DUMMYFUNCTION("""COMPUTED_VALUE"""),"diseno@pua.cl")</f>
        <v>diseno@pua.cl</v>
      </c>
      <c r="Z396" s="498">
        <f>IFERROR(__xludf.DUMMYFUNCTION("""COMPUTED_VALUE"""),225803.0)</f>
        <v>225803</v>
      </c>
      <c r="AA396" s="495"/>
      <c r="AB396" s="495"/>
      <c r="AC396" s="495"/>
      <c r="AD396" s="495" t="str">
        <f>IFERROR(__xludf.DUMMYFUNCTION("""COMPUTED_VALUE"""),"RC-073_26")</f>
        <v>RC-073_26</v>
      </c>
    </row>
    <row r="397">
      <c r="A397" s="495" t="str">
        <f t="shared" si="1"/>
        <v>RC-074_26</v>
      </c>
      <c r="B397" s="497">
        <f>IFERROR(__xludf.DUMMYFUNCTION("""COMPUTED_VALUE"""),46125.46116594908)</f>
        <v>46125.46117</v>
      </c>
      <c r="C397" s="495" t="str">
        <f>IFERROR(__xludf.DUMMYFUNCTION("""COMPUTED_VALUE"""),"")</f>
        <v/>
      </c>
      <c r="D397" s="495" t="str">
        <f>IFERROR(__xludf.DUMMYFUNCTION("""COMPUTED_VALUE"""),"Leonor Ríos Morales")</f>
        <v>Leonor Ríos Morales</v>
      </c>
      <c r="E397" s="495"/>
      <c r="F397" s="496" t="str">
        <f>IFERROR(__xludf.DUMMYFUNCTION("""COMPUTED_VALUE"""),"1319 - 2026")</f>
        <v>1319 - 2026</v>
      </c>
      <c r="G397" s="495"/>
      <c r="H397" s="495"/>
      <c r="I397" s="495"/>
      <c r="J397" s="495" t="str">
        <f>IFERROR(__xludf.DUMMYFUNCTION("""COMPUTED_VALUE"""),"Campus San Francisco - CSF")</f>
        <v>Campus San Francisco - CSF</v>
      </c>
      <c r="K397" s="495">
        <f>IFERROR(__xludf.DUMMYFUNCTION("""COMPUTED_VALUE"""),16.0)</f>
        <v>16</v>
      </c>
      <c r="L397" s="495" t="str">
        <f>IFERROR(__xludf.DUMMYFUNCTION("""COMPUTED_VALUE"""),"PUA SPA")</f>
        <v>PUA SPA</v>
      </c>
      <c r="M397" s="495" t="str">
        <f>IFERROR(__xludf.DUMMYFUNCTION("""COMPUTED_VALUE"""),"76.962.330-2")</f>
        <v>76.962.330-2</v>
      </c>
      <c r="N397" s="495" t="str">
        <f>IFERROR(__xludf.DUMMYFUNCTION("""COMPUTED_VALUE"""),"Jorge Martínez - Supervisor de Proyectos")</f>
        <v>Jorge Martínez - Supervisor de Proyectos</v>
      </c>
      <c r="O397" s="495" t="str">
        <f>IFERROR(__xludf.DUMMYFUNCTION("""COMPUTED_VALUE"""),"Obras y Especialidades")</f>
        <v>Obras y Especialidades</v>
      </c>
      <c r="P397" s="495"/>
      <c r="Q397" s="495"/>
      <c r="R397" s="495" t="str">
        <f>IFERROR(__xludf.DUMMYFUNCTION("""COMPUTED_VALUE"""),"Remodelación")</f>
        <v>Remodelación</v>
      </c>
      <c r="S397" s="495" t="str">
        <f>IFERROR(__xludf.DUMMYFUNCTION("""COMPUTED_VALUE"""),"Recepción de Obra - RC")</f>
        <v>Recepción de Obra - RC</v>
      </c>
      <c r="T397" s="495"/>
      <c r="U397" s="495"/>
      <c r="V397" s="495" t="str">
        <f>IFERROR(__xludf.DUMMYFUNCTION("""COMPUTED_VALUE"""),"Cambio de pestañas CSF16. Se retira la pestaña de ""Sala Cátedra"" correspondiente al piso 3 para ser reemplazada por una que correspondería a ""Depto. de Arqueología y Antropología"". Considera reemplazo para el programa correspondiente a los 5 pisos del"&amp;" edificio en cuestión.")</f>
        <v>Cambio de pestañas CSF16. Se retira la pestaña de "Sala Cátedra" correspondiente al piso 3 para ser reemplazada por una que correspondería a "Depto. de Arqueología y Antropología". Considera reemplazo para el programa correspondiente a los 5 pisos del edificio en cuestión.</v>
      </c>
      <c r="W397" s="495"/>
      <c r="X397" s="495" t="str">
        <f>IFERROR(__xludf.DUMMYFUNCTION("""COMPUTED_VALUE"""),"https://drive.google.com/open?id=1y3vet4u675v9lSmdAkehrPmz6CrO7pOm, https://drive.google.com/open?id=1PVD4iDYooGcoIc8GqVWodIiT_hSHY2N9, https://drive.google.com/open?id=1mxPKNBnUpPjA8irEQJJhw7VYdXlyN2UX, https://drive.google.com/open?id=1VJFqjZimFvNFeat4B"&amp;"1SOq46izHCptWru, https://drive.google.com/open?id=1tAKU2rO1g2BfZr1nSC4y46XES2QrlFeK")</f>
        <v>https://drive.google.com/open?id=1y3vet4u675v9lSmdAkehrPmz6CrO7pOm, https://drive.google.com/open?id=1PVD4iDYooGcoIc8GqVWodIiT_hSHY2N9, https://drive.google.com/open?id=1mxPKNBnUpPjA8irEQJJhw7VYdXlyN2UX, https://drive.google.com/open?id=1VJFqjZimFvNFeat4B1SOq46izHCptWru, https://drive.google.com/open?id=1tAKU2rO1g2BfZr1nSC4y46XES2QrlFeK</v>
      </c>
      <c r="Y397" s="495" t="str">
        <f>IFERROR(__xludf.DUMMYFUNCTION("""COMPUTED_VALUE"""),"diseno@pua.cl")</f>
        <v>diseno@pua.cl</v>
      </c>
      <c r="Z397" s="498">
        <f>IFERROR(__xludf.DUMMYFUNCTION("""COMPUTED_VALUE"""),196350.0)</f>
        <v>196350</v>
      </c>
      <c r="AA397" s="495"/>
      <c r="AB397" s="495"/>
      <c r="AC397" s="495"/>
      <c r="AD397" s="495" t="str">
        <f>IFERROR(__xludf.DUMMYFUNCTION("""COMPUTED_VALUE"""),"RC-074_26")</f>
        <v>RC-074_26</v>
      </c>
    </row>
    <row r="398">
      <c r="A398" s="495" t="str">
        <f t="shared" si="1"/>
        <v/>
      </c>
      <c r="B398" s="497">
        <f>IFERROR(__xludf.DUMMYFUNCTION("""COMPUTED_VALUE"""),46049.64005356481)</f>
        <v>46049.64005</v>
      </c>
      <c r="C398" s="495" t="str">
        <f>IFERROR(__xludf.DUMMYFUNCTION("""COMPUTED_VALUE"""),"")</f>
        <v/>
      </c>
      <c r="D398" s="495" t="str">
        <f>IFERROR(__xludf.DUMMYFUNCTION("""COMPUTED_VALUE"""),"Isabel Riquelme Arias")</f>
        <v>Isabel Riquelme Arias</v>
      </c>
      <c r="E398" s="495"/>
      <c r="F398" s="496" t="str">
        <f>IFERROR(__xludf.DUMMYFUNCTION("""COMPUTED_VALUE"""),"483-2026")</f>
        <v>483-2026</v>
      </c>
      <c r="G398" s="495"/>
      <c r="H398" s="495"/>
      <c r="I398" s="495"/>
      <c r="J398" s="495" t="str">
        <f>IFERROR(__xludf.DUMMYFUNCTION("""COMPUTED_VALUE"""),"Campus San Juan Pablo II - CJP")</f>
        <v>Campus San Juan Pablo II - CJP</v>
      </c>
      <c r="K398" s="495" t="str">
        <f>IFERROR(__xludf.DUMMYFUNCTION("""COMPUTED_VALUE"""),"07")</f>
        <v>07</v>
      </c>
      <c r="L398" s="495" t="str">
        <f>IFERROR(__xludf.DUMMYFUNCTION("""COMPUTED_VALUE"""),"Amaris Constructora SpA")</f>
        <v>Amaris Constructora SpA</v>
      </c>
      <c r="M398" s="495" t="str">
        <f>IFERROR(__xludf.DUMMYFUNCTION("""COMPUTED_VALUE"""),"77.648.798-8")</f>
        <v>77.648.798-8</v>
      </c>
      <c r="N398" s="495" t="str">
        <f>IFERROR(__xludf.DUMMYFUNCTION("""COMPUTED_VALUE"""),"Jesús Mancilla- Jefe de Proyecto")</f>
        <v>Jesús Mancilla- Jefe de Proyecto</v>
      </c>
      <c r="O398" s="495" t="str">
        <f>IFERROR(__xludf.DUMMYFUNCTION("""COMPUTED_VALUE"""),"Mantenciones")</f>
        <v>Mantenciones</v>
      </c>
      <c r="P398" s="495" t="str">
        <f>IFERROR(__xludf.DUMMYFUNCTION("""COMPUTED_VALUE"""),"Cerramientos Verticales")</f>
        <v>Cerramientos Verticales</v>
      </c>
      <c r="Q398" s="495"/>
      <c r="R398" s="495"/>
      <c r="S398" s="495"/>
      <c r="T398" s="495"/>
      <c r="U398" s="495"/>
      <c r="V398" s="495" t="str">
        <f>IFERROR(__xludf.DUMMYFUNCTION("""COMPUTED_VALUE"""),"Limpieza de Fachada. Trabajos colgados")</f>
        <v>Limpieza de Fachada. Trabajos colgados</v>
      </c>
      <c r="W398" s="495" t="str">
        <f>IFERROR(__xludf.DUMMYFUNCTION("""COMPUTED_VALUE"""),"Se recomienda pintar")</f>
        <v>Se recomienda pintar</v>
      </c>
      <c r="X398" s="495" t="str">
        <f>IFERROR(__xludf.DUMMYFUNCTION("""COMPUTED_VALUE"""),"https://drive.google.com/open?id=1zcoxsW7MrPjxunO9obbJHof3h33Hu9P5, https://drive.google.com/open?id=1oh3rcM4NWWFQsrtY592vbzY4_wKLlVcM")</f>
        <v>https://drive.google.com/open?id=1zcoxsW7MrPjxunO9obbJHof3h33Hu9P5, https://drive.google.com/open?id=1oh3rcM4NWWFQsrtY592vbzY4_wKLlVcM</v>
      </c>
      <c r="Y398" s="495" t="str">
        <f>IFERROR(__xludf.DUMMYFUNCTION("""COMPUTED_VALUE"""),"jesus.mancilla@amaris.cl")</f>
        <v>jesus.mancilla@amaris.cl</v>
      </c>
      <c r="Z398" s="495"/>
      <c r="AA398" s="495"/>
      <c r="AB398" s="495"/>
      <c r="AC398" s="495"/>
      <c r="AD398" s="495"/>
    </row>
    <row r="399">
      <c r="A399" s="495" t="str">
        <f t="shared" si="1"/>
        <v/>
      </c>
      <c r="B399" s="497">
        <f>IFERROR(__xludf.DUMMYFUNCTION("""COMPUTED_VALUE"""),46048.927532546295)</f>
        <v>46048.92753</v>
      </c>
      <c r="C399" s="495" t="str">
        <f>IFERROR(__xludf.DUMMYFUNCTION("""COMPUTED_VALUE"""),"")</f>
        <v/>
      </c>
      <c r="D399" s="495" t="str">
        <f>IFERROR(__xludf.DUMMYFUNCTION("""COMPUTED_VALUE"""),"Cristóbal Correa del Río")</f>
        <v>Cristóbal Correa del Río</v>
      </c>
      <c r="E399" s="495"/>
      <c r="F399" s="496">
        <f>IFERROR(__xludf.DUMMYFUNCTION("""COMPUTED_VALUE"""),413.0)</f>
        <v>413</v>
      </c>
      <c r="G399" s="495"/>
      <c r="H399" s="495"/>
      <c r="I399" s="495"/>
      <c r="J399" s="495" t="str">
        <f>IFERROR(__xludf.DUMMYFUNCTION("""COMPUTED_VALUE"""),"Campus Monseñor Alejandro Menchaca Lira - CML")</f>
        <v>Campus Monseñor Alejandro Menchaca Lira - CML</v>
      </c>
      <c r="K399" s="495" t="str">
        <f>IFERROR(__xludf.DUMMYFUNCTION("""COMPUTED_VALUE"""),"Exterior")</f>
        <v>Exterior</v>
      </c>
      <c r="L399" s="495" t="str">
        <f>IFERROR(__xludf.DUMMYFUNCTION("""COMPUTED_VALUE"""),"Flavia Oyarzun Soto ")</f>
        <v>Flavia Oyarzun Soto </v>
      </c>
      <c r="M399" s="495" t="str">
        <f>IFERROR(__xludf.DUMMYFUNCTION("""COMPUTED_VALUE"""),"5.503.590-3 ")</f>
        <v>5.503.590-3 </v>
      </c>
      <c r="N399" s="495" t="str">
        <f>IFERROR(__xludf.DUMMYFUNCTION("""COMPUTED_VALUE"""),"Roberto Lassalle supervisor ")</f>
        <v>Roberto Lassalle supervisor </v>
      </c>
      <c r="O399" s="495" t="str">
        <f>IFERROR(__xludf.DUMMYFUNCTION("""COMPUTED_VALUE"""),"Mantenciones")</f>
        <v>Mantenciones</v>
      </c>
      <c r="P399" s="495" t="str">
        <f>IFERROR(__xludf.DUMMYFUNCTION("""COMPUTED_VALUE"""),"Suelos")</f>
        <v>Suelos</v>
      </c>
      <c r="Q399" s="495"/>
      <c r="R399" s="495"/>
      <c r="S399" s="495"/>
      <c r="T399" s="495"/>
      <c r="U399" s="495"/>
      <c r="V399" s="495" t="str">
        <f>IFERROR(__xludf.DUMMYFUNCTION("""COMPUTED_VALUE"""),"Rampla emergencia ")</f>
        <v>Rampla emergencia </v>
      </c>
      <c r="W399" s="495"/>
      <c r="X399" s="495" t="str">
        <f>IFERROR(__xludf.DUMMYFUNCTION("""COMPUTED_VALUE"""),"https://drive.google.com/open?id=1Rd9Ri8e4JjlT0uT-rI-eDh_qTsX26PZ5, https://drive.google.com/open?id=14SY_wqgvnNuxn6qAplpCcrS5EJb0_Gc-, https://drive.google.com/open?id=1p9ajbz0nqvB2TPYZ3HNSgIpBO2nnrK7_, https://drive.google.com/open?id=1KEba0MWMgVX02pFq0"&amp;"Ax1D1FbvRjrPf-X")</f>
        <v>https://drive.google.com/open?id=1Rd9Ri8e4JjlT0uT-rI-eDh_qTsX26PZ5, https://drive.google.com/open?id=14SY_wqgvnNuxn6qAplpCcrS5EJb0_Gc-, https://drive.google.com/open?id=1p9ajbz0nqvB2TPYZ3HNSgIpBO2nnrK7_, https://drive.google.com/open?id=1KEba0MWMgVX02pFq0Ax1D1FbvRjrPf-X</v>
      </c>
      <c r="Y399" s="495" t="str">
        <f>IFERROR(__xludf.DUMMYFUNCTION("""COMPUTED_VALUE"""),"roberto.lassalle@gmail.com")</f>
        <v>roberto.lassalle@gmail.com</v>
      </c>
      <c r="Z399" s="495"/>
      <c r="AA399" s="495"/>
      <c r="AB399" s="495"/>
      <c r="AC399" s="495"/>
      <c r="AD399" s="495"/>
    </row>
    <row r="400">
      <c r="A400" s="495" t="str">
        <f t="shared" si="1"/>
        <v/>
      </c>
      <c r="B400" s="497">
        <f>IFERROR(__xludf.DUMMYFUNCTION("""COMPUTED_VALUE"""),46048.92546868055)</f>
        <v>46048.92547</v>
      </c>
      <c r="C400" s="495" t="str">
        <f>IFERROR(__xludf.DUMMYFUNCTION("""COMPUTED_VALUE"""),"")</f>
        <v/>
      </c>
      <c r="D400" s="495" t="str">
        <f>IFERROR(__xludf.DUMMYFUNCTION("""COMPUTED_VALUE"""),"Isabel Riquelme Arias")</f>
        <v>Isabel Riquelme Arias</v>
      </c>
      <c r="E400" s="495"/>
      <c r="F400" s="496">
        <f>IFERROR(__xludf.DUMMYFUNCTION("""COMPUTED_VALUE"""),530.0)</f>
        <v>530</v>
      </c>
      <c r="G400" s="495"/>
      <c r="H400" s="495"/>
      <c r="I400" s="495"/>
      <c r="J400" s="495" t="str">
        <f>IFERROR(__xludf.DUMMYFUNCTION("""COMPUTED_VALUE"""),"Campus 18 de Septiembre - CDS")</f>
        <v>Campus 18 de Septiembre - CDS</v>
      </c>
      <c r="K400" s="495" t="str">
        <f>IFERROR(__xludf.DUMMYFUNCTION("""COMPUTED_VALUE"""),"01")</f>
        <v>01</v>
      </c>
      <c r="L400" s="495" t="str">
        <f>IFERROR(__xludf.DUMMYFUNCTION("""COMPUTED_VALUE"""),"Flavia Oyarzun Soto ")</f>
        <v>Flavia Oyarzun Soto </v>
      </c>
      <c r="M400" s="495" t="str">
        <f>IFERROR(__xludf.DUMMYFUNCTION("""COMPUTED_VALUE"""),"5.503.590-3 ")</f>
        <v>5.503.590-3 </v>
      </c>
      <c r="N400" s="495" t="str">
        <f>IFERROR(__xludf.DUMMYFUNCTION("""COMPUTED_VALUE"""),"Roberto Lassalle supervisor ")</f>
        <v>Roberto Lassalle supervisor </v>
      </c>
      <c r="O400" s="495" t="str">
        <f>IFERROR(__xludf.DUMMYFUNCTION("""COMPUTED_VALUE"""),"Mantenciones")</f>
        <v>Mantenciones</v>
      </c>
      <c r="P400" s="495" t="str">
        <f>IFERROR(__xludf.DUMMYFUNCTION("""COMPUTED_VALUE"""),"Cubiertas")</f>
        <v>Cubiertas</v>
      </c>
      <c r="Q400" s="495"/>
      <c r="R400" s="495"/>
      <c r="S400" s="495"/>
      <c r="T400" s="495"/>
      <c r="U400" s="495"/>
      <c r="V400" s="495" t="str">
        <f>IFERROR(__xludf.DUMMYFUNCTION("""COMPUTED_VALUE"""),"Aplicación de pintura plancha zinc liso en cubierta. ")</f>
        <v>Aplicación de pintura plancha zinc liso en cubierta. </v>
      </c>
      <c r="W400" s="495"/>
      <c r="X400" s="495" t="str">
        <f>IFERROR(__xludf.DUMMYFUNCTION("""COMPUTED_VALUE"""),"https://drive.google.com/open?id=1K9ifUNfx-vMm794mDEqaBgGPoiX6aI28, https://drive.google.com/open?id=14nBYhuBRDgpdk3W0AckeGMo0AZ7htv67")</f>
        <v>https://drive.google.com/open?id=1K9ifUNfx-vMm794mDEqaBgGPoiX6aI28, https://drive.google.com/open?id=14nBYhuBRDgpdk3W0AckeGMo0AZ7htv67</v>
      </c>
      <c r="Y400" s="495" t="str">
        <f>IFERROR(__xludf.DUMMYFUNCTION("""COMPUTED_VALUE"""),"roberto.lassalle@gmail.com")</f>
        <v>roberto.lassalle@gmail.com</v>
      </c>
      <c r="Z400" s="495"/>
      <c r="AA400" s="495"/>
      <c r="AB400" s="495"/>
      <c r="AC400" s="495"/>
      <c r="AD400" s="495"/>
    </row>
    <row r="401">
      <c r="A401" s="495" t="str">
        <f t="shared" si="1"/>
        <v/>
      </c>
      <c r="B401" s="497">
        <f>IFERROR(__xludf.DUMMYFUNCTION("""COMPUTED_VALUE"""),46048.531639513894)</f>
        <v>46048.53164</v>
      </c>
      <c r="C401" s="495" t="str">
        <f>IFERROR(__xludf.DUMMYFUNCTION("""COMPUTED_VALUE"""),"")</f>
        <v/>
      </c>
      <c r="D401" s="495" t="str">
        <f>IFERROR(__xludf.DUMMYFUNCTION("""COMPUTED_VALUE"""),"Isabel Riquelme Arias")</f>
        <v>Isabel Riquelme Arias</v>
      </c>
      <c r="E401" s="495"/>
      <c r="F401" s="496" t="str">
        <f>IFERROR(__xludf.DUMMYFUNCTION("""COMPUTED_VALUE"""),"479-2026")</f>
        <v>479-2026</v>
      </c>
      <c r="G401" s="495"/>
      <c r="H401" s="495"/>
      <c r="I401" s="495"/>
      <c r="J401" s="495" t="str">
        <f>IFERROR(__xludf.DUMMYFUNCTION("""COMPUTED_VALUE"""),"Campus San Juan Pablo II - CJP")</f>
        <v>Campus San Juan Pablo II - CJP</v>
      </c>
      <c r="K401" s="495" t="str">
        <f>IFERROR(__xludf.DUMMYFUNCTION("""COMPUTED_VALUE"""),"08")</f>
        <v>08</v>
      </c>
      <c r="L401" s="495" t="str">
        <f>IFERROR(__xludf.DUMMYFUNCTION("""COMPUTED_VALUE"""),"Amaris Constructora SpA")</f>
        <v>Amaris Constructora SpA</v>
      </c>
      <c r="M401" s="495" t="str">
        <f>IFERROR(__xludf.DUMMYFUNCTION("""COMPUTED_VALUE"""),"77.648.798-8")</f>
        <v>77.648.798-8</v>
      </c>
      <c r="N401" s="495" t="str">
        <f>IFERROR(__xludf.DUMMYFUNCTION("""COMPUTED_VALUE"""),"Jesús Mancilla- Jefe de proyectos")</f>
        <v>Jesús Mancilla- Jefe de proyectos</v>
      </c>
      <c r="O401" s="495" t="str">
        <f>IFERROR(__xludf.DUMMYFUNCTION("""COMPUTED_VALUE"""),"Mantenciones")</f>
        <v>Mantenciones</v>
      </c>
      <c r="P401" s="495" t="str">
        <f>IFERROR(__xludf.DUMMYFUNCTION("""COMPUTED_VALUE"""),"Cerramientos Verticales")</f>
        <v>Cerramientos Verticales</v>
      </c>
      <c r="Q401" s="495"/>
      <c r="R401" s="495"/>
      <c r="S401" s="495"/>
      <c r="T401" s="495"/>
      <c r="U401" s="495"/>
      <c r="V401" s="495" t="str">
        <f>IFERROR(__xludf.DUMMYFUNCTION("""COMPUTED_VALUE"""),"Limpieza de fachada, trabajado colgado")</f>
        <v>Limpieza de fachada, trabajado colgado</v>
      </c>
      <c r="W401" s="495" t="str">
        <f>IFERROR(__xludf.DUMMYFUNCTION("""COMPUTED_VALUE"""),"Se recomienda pintar")</f>
        <v>Se recomienda pintar</v>
      </c>
      <c r="X401" s="499" t="str">
        <f>IFERROR(__xludf.DUMMYFUNCTION("""COMPUTED_VALUE"""),"https://drive.google.com/open?id=1qYbi3_NhPRCL7KUBSFdbjUHM4hZ_R5yJ")</f>
        <v>https://drive.google.com/open?id=1qYbi3_NhPRCL7KUBSFdbjUHM4hZ_R5yJ</v>
      </c>
      <c r="Y401" s="495" t="str">
        <f>IFERROR(__xludf.DUMMYFUNCTION("""COMPUTED_VALUE"""),"jesus.mancilla@amaris.cl")</f>
        <v>jesus.mancilla@amaris.cl</v>
      </c>
      <c r="Z401" s="495"/>
      <c r="AA401" s="495"/>
      <c r="AB401" s="495"/>
      <c r="AC401" s="495"/>
      <c r="AD401" s="495"/>
    </row>
    <row r="402">
      <c r="A402" s="495" t="str">
        <f t="shared" si="1"/>
        <v/>
      </c>
      <c r="B402" s="497">
        <f>IFERROR(__xludf.DUMMYFUNCTION("""COMPUTED_VALUE"""),46048.527826516205)</f>
        <v>46048.52783</v>
      </c>
      <c r="C402" s="495" t="str">
        <f>IFERROR(__xludf.DUMMYFUNCTION("""COMPUTED_VALUE"""),"")</f>
        <v/>
      </c>
      <c r="D402" s="495" t="str">
        <f>IFERROR(__xludf.DUMMYFUNCTION("""COMPUTED_VALUE"""),"Isabel Riquelme Arias")</f>
        <v>Isabel Riquelme Arias</v>
      </c>
      <c r="E402" s="495"/>
      <c r="F402" s="496" t="str">
        <f>IFERROR(__xludf.DUMMYFUNCTION("""COMPUTED_VALUE"""),"484-2026")</f>
        <v>484-2026</v>
      </c>
      <c r="G402" s="495"/>
      <c r="H402" s="495"/>
      <c r="I402" s="495"/>
      <c r="J402" s="495" t="str">
        <f>IFERROR(__xludf.DUMMYFUNCTION("""COMPUTED_VALUE"""),"Campus San Juan Pablo II - CJP")</f>
        <v>Campus San Juan Pablo II - CJP</v>
      </c>
      <c r="K402" s="495" t="str">
        <f>IFERROR(__xludf.DUMMYFUNCTION("""COMPUTED_VALUE"""),"07")</f>
        <v>07</v>
      </c>
      <c r="L402" s="495" t="str">
        <f>IFERROR(__xludf.DUMMYFUNCTION("""COMPUTED_VALUE"""),"Amaris Constructora SpA")</f>
        <v>Amaris Constructora SpA</v>
      </c>
      <c r="M402" s="495" t="str">
        <f>IFERROR(__xludf.DUMMYFUNCTION("""COMPUTED_VALUE"""),"77.648.798.8")</f>
        <v>77.648.798.8</v>
      </c>
      <c r="N402" s="495" t="str">
        <f>IFERROR(__xludf.DUMMYFUNCTION("""COMPUTED_VALUE"""),"Jesús Mancilla- Jefe de proyectos")</f>
        <v>Jesús Mancilla- Jefe de proyectos</v>
      </c>
      <c r="O402" s="495" t="str">
        <f>IFERROR(__xludf.DUMMYFUNCTION("""COMPUTED_VALUE"""),"Mantenciones")</f>
        <v>Mantenciones</v>
      </c>
      <c r="P402" s="495" t="str">
        <f>IFERROR(__xludf.DUMMYFUNCTION("""COMPUTED_VALUE"""),"Cerramientos Verticales")</f>
        <v>Cerramientos Verticales</v>
      </c>
      <c r="Q402" s="495"/>
      <c r="R402" s="495"/>
      <c r="S402" s="495"/>
      <c r="T402" s="495"/>
      <c r="U402" s="495"/>
      <c r="V402" s="495" t="str">
        <f>IFERROR(__xludf.DUMMYFUNCTION("""COMPUTED_VALUE"""),"Limpieza de Fachada, trabajos colgados")</f>
        <v>Limpieza de Fachada, trabajos colgados</v>
      </c>
      <c r="W402" s="495" t="str">
        <f>IFERROR(__xludf.DUMMYFUNCTION("""COMPUTED_VALUE"""),"Se recomienda pintar edificio ")</f>
        <v>Se recomienda pintar edificio </v>
      </c>
      <c r="X402" s="495" t="str">
        <f>IFERROR(__xludf.DUMMYFUNCTION("""COMPUTED_VALUE"""),"https://drive.google.com/open?id=1ZX2x30-36deN80KLwJdI3zEl36wk-k3l, https://drive.google.com/open?id=1s1nz0wTO2Jzw8ciHPFkznjVFc7Lf2Bgl")</f>
        <v>https://drive.google.com/open?id=1ZX2x30-36deN80KLwJdI3zEl36wk-k3l, https://drive.google.com/open?id=1s1nz0wTO2Jzw8ciHPFkznjVFc7Lf2Bgl</v>
      </c>
      <c r="Y402" s="495" t="str">
        <f>IFERROR(__xludf.DUMMYFUNCTION("""COMPUTED_VALUE"""),"jesus.mancilla@amaris.cl")</f>
        <v>jesus.mancilla@amaris.cl</v>
      </c>
      <c r="Z402" s="495"/>
      <c r="AA402" s="495"/>
      <c r="AB402" s="495"/>
      <c r="AC402" s="495"/>
      <c r="AD402" s="495"/>
    </row>
    <row r="403">
      <c r="A403" s="495" t="str">
        <f t="shared" si="1"/>
        <v/>
      </c>
      <c r="B403" s="497">
        <f>IFERROR(__xludf.DUMMYFUNCTION("""COMPUTED_VALUE"""),46045.41595521991)</f>
        <v>46045.41596</v>
      </c>
      <c r="C403" s="495" t="str">
        <f>IFERROR(__xludf.DUMMYFUNCTION("""COMPUTED_VALUE"""),"")</f>
        <v/>
      </c>
      <c r="D403" s="495" t="str">
        <f>IFERROR(__xludf.DUMMYFUNCTION("""COMPUTED_VALUE"""),"Carol Huenchual Chañilao")</f>
        <v>Carol Huenchual Chañilao</v>
      </c>
      <c r="E403" s="495"/>
      <c r="F403" s="496" t="str">
        <f>IFERROR(__xludf.DUMMYFUNCTION("""COMPUTED_VALUE"""),"12241 - 2025")</f>
        <v>12241 - 2025</v>
      </c>
      <c r="G403" s="495"/>
      <c r="H403" s="495"/>
      <c r="I403" s="495"/>
      <c r="J403" s="495" t="str">
        <f>IFERROR(__xludf.DUMMYFUNCTION("""COMPUTED_VALUE"""),"Campus San Francisco - CSF")</f>
        <v>Campus San Francisco - CSF</v>
      </c>
      <c r="K403" s="495" t="str">
        <f>IFERROR(__xludf.DUMMYFUNCTION("""COMPUTED_VALUE"""),"01")</f>
        <v>01</v>
      </c>
      <c r="L403" s="495" t="str">
        <f>IFERROR(__xludf.DUMMYFUNCTION("""COMPUTED_VALUE"""),"Duvic spa")</f>
        <v>Duvic spa</v>
      </c>
      <c r="M403" s="495" t="str">
        <f>IFERROR(__xludf.DUMMYFUNCTION("""COMPUTED_VALUE"""),"78.052.201-1")</f>
        <v>78.052.201-1</v>
      </c>
      <c r="N403" s="495" t="str">
        <f>IFERROR(__xludf.DUMMYFUNCTION("""COMPUTED_VALUE"""),"Juan Pablo oliva osses 
Operador técnico en telecomunicaciones ")</f>
        <v>Juan Pablo oliva osses 
Operador técnico en telecomunicaciones </v>
      </c>
      <c r="O403" s="495" t="str">
        <f>IFERROR(__xludf.DUMMYFUNCTION("""COMPUTED_VALUE"""),"Mantenciones")</f>
        <v>Mantenciones</v>
      </c>
      <c r="P403" s="495" t="str">
        <f>IFERROR(__xludf.DUMMYFUNCTION("""COMPUTED_VALUE"""),"Alarmas de Incendio")</f>
        <v>Alarmas de Incendio</v>
      </c>
      <c r="Q403" s="495"/>
      <c r="R403" s="495"/>
      <c r="S403" s="495"/>
      <c r="T403" s="495"/>
      <c r="U403" s="495"/>
      <c r="V403" s="495" t="str">
        <f>IFERROR(__xludf.DUMMYFUNCTION("""COMPUTED_VALUE"""),"Se realizó mantencion preventiva de las centrales de incendio y sus dispositivos asociados, de los edificios CJP01,CJP08,CJP10,CJP11,CJP12,CJP17 CELEDEM,CML01,CRC09,CRC16,CSF01,CSF05,CSF08,CSF09,CSF11,CSF13,CSF15,CSF16,CSF17,CSF21")</f>
        <v>Se realizó mantencion preventiva de las centrales de incendio y sus dispositivos asociados, de los edificios CJP01,CJP08,CJP10,CJP11,CJP12,CJP17 CELEDEM,CML01,CRC09,CRC16,CSF01,CSF05,CSF08,CSF09,CSF11,CSF13,CSF15,CSF16,CSF17,CSF21</v>
      </c>
      <c r="W403" s="495" t="str">
        <f>IFERROR(__xludf.DUMMYFUNCTION("""COMPUTED_VALUE"""),"Se sugiere realizar mantención correctiva de algunos edificios según informe final ")</f>
        <v>Se sugiere realizar mantención correctiva de algunos edificios según informe final </v>
      </c>
      <c r="X403" s="495" t="str">
        <f>IFERROR(__xludf.DUMMYFUNCTION("""COMPUTED_VALUE"""),"https://drive.google.com/open?id=1LKCcsXto9EORvIR0LLZRORTnrl-eKXqG, https://drive.google.com/open?id=1keAlXYViaROZuX3MARZx8F069c5maSDt, https://drive.google.com/open?id=1mWJC3I_UDJsN7Z4FkyRxMSkms2nWD9Rc, https://drive.google.com/open?id=1AWPEtRcK63eLoPvHk"&amp;"mu0veIz5_DTnF-s, https://drive.google.com/open?id=1dsn28qpOJhz7iSc7VcKYZ_EBEOCq6he9")</f>
        <v>https://drive.google.com/open?id=1LKCcsXto9EORvIR0LLZRORTnrl-eKXqG, https://drive.google.com/open?id=1keAlXYViaROZuX3MARZx8F069c5maSDt, https://drive.google.com/open?id=1mWJC3I_UDJsN7Z4FkyRxMSkms2nWD9Rc, https://drive.google.com/open?id=1AWPEtRcK63eLoPvHkmu0veIz5_DTnF-s, https://drive.google.com/open?id=1dsn28qpOJhz7iSc7VcKYZ_EBEOCq6he9</v>
      </c>
      <c r="Y403" s="495" t="str">
        <f>IFERROR(__xludf.DUMMYFUNCTION("""COMPUTED_VALUE"""),"duvictelecom@gmail.com")</f>
        <v>duvictelecom@gmail.com</v>
      </c>
      <c r="Z403" s="495"/>
      <c r="AA403" s="495"/>
      <c r="AB403" s="495"/>
      <c r="AC403" s="495"/>
      <c r="AD403" s="495"/>
    </row>
    <row r="404">
      <c r="A404" s="495" t="str">
        <f t="shared" si="1"/>
        <v/>
      </c>
      <c r="B404" s="497">
        <f>IFERROR(__xludf.DUMMYFUNCTION("""COMPUTED_VALUE"""),46045.04448586806)</f>
        <v>46045.04449</v>
      </c>
      <c r="C404" s="495" t="str">
        <f>IFERROR(__xludf.DUMMYFUNCTION("""COMPUTED_VALUE"""),"")</f>
        <v/>
      </c>
      <c r="D404" s="495" t="str">
        <f>IFERROR(__xludf.DUMMYFUNCTION("""COMPUTED_VALUE"""),"Carol Huenchual Chañilao")</f>
        <v>Carol Huenchual Chañilao</v>
      </c>
      <c r="E404" s="495"/>
      <c r="F404" s="496" t="str">
        <f>IFERROR(__xludf.DUMMYFUNCTION("""COMPUTED_VALUE"""),"740-2025")</f>
        <v>740-2025</v>
      </c>
      <c r="G404" s="495"/>
      <c r="H404" s="495"/>
      <c r="I404" s="495"/>
      <c r="J404" s="495" t="str">
        <f>IFERROR(__xludf.DUMMYFUNCTION("""COMPUTED_VALUE"""),"Campus Educación Continua - CEC")</f>
        <v>Campus Educación Continua - CEC</v>
      </c>
      <c r="K404" s="495" t="str">
        <f>IFERROR(__xludf.DUMMYFUNCTION("""COMPUTED_VALUE"""),"01")</f>
        <v>01</v>
      </c>
      <c r="L404" s="495" t="str">
        <f>IFERROR(__xludf.DUMMYFUNCTION("""COMPUTED_VALUE"""),"SERVICIOS INTEGRALES CRITICOS SPA")</f>
        <v>SERVICIOS INTEGRALES CRITICOS SPA</v>
      </c>
      <c r="M404" s="495" t="str">
        <f>IFERROR(__xludf.DUMMYFUNCTION("""COMPUTED_VALUE"""),"77.248.7193-3")</f>
        <v>77.248.7193-3</v>
      </c>
      <c r="N404" s="495" t="str">
        <f>IFERROR(__xludf.DUMMYFUNCTION("""COMPUTED_VALUE"""),"ROBERTO FUENTES -INGENIERO")</f>
        <v>ROBERTO FUENTES -INGENIERO</v>
      </c>
      <c r="O404" s="495" t="str">
        <f>IFERROR(__xludf.DUMMYFUNCTION("""COMPUTED_VALUE"""),"Mantenciones")</f>
        <v>Mantenciones</v>
      </c>
      <c r="P404" s="495" t="str">
        <f>IFERROR(__xludf.DUMMYFUNCTION("""COMPUTED_VALUE"""),"Requerimientos Emergentes e Imprevistos")</f>
        <v>Requerimientos Emergentes e Imprevistos</v>
      </c>
      <c r="Q404" s="495"/>
      <c r="R404" s="495"/>
      <c r="S404" s="495"/>
      <c r="T404" s="495"/>
      <c r="U404" s="495"/>
      <c r="V404" s="495" t="str">
        <f>IFERROR(__xludf.DUMMYFUNCTION("""COMPUTED_VALUE"""),"DAR DE BAJA CALERA PARA INSCRIBIR A NOMBRE UNIVERSIDAD CATOLICA TEMUCO")</f>
        <v>DAR DE BAJA CALERA PARA INSCRIBIR A NOMBRE UNIVERSIDAD CATOLICA TEMUCO</v>
      </c>
      <c r="W404" s="495" t="str">
        <f>IFERROR(__xludf.DUMMYFUNCTION("""COMPUTED_VALUE"""),"TERMINAR INSCRPCION")</f>
        <v>TERMINAR INSCRPCION</v>
      </c>
      <c r="X404" s="495" t="str">
        <f>IFERROR(__xludf.DUMMYFUNCTION("""COMPUTED_VALUE"""),"https://drive.google.com/open?id=1Iu-zPDMDiIg4NhukUGdJE2bzney5XVV6, https://drive.google.com/open?id=11ucoODA9vXlAyAMMeIYJnQtt1M8A0-lF, https://drive.google.com/open?id=1nv028I8ez-pbzIA-OVWnFmQ29wdGBG-I, https://drive.google.com/open?id=1CI8gWlC_O_UDc6skP"&amp;"8chg6fyew7s0oGB")</f>
        <v>https://drive.google.com/open?id=1Iu-zPDMDiIg4NhukUGdJE2bzney5XVV6, https://drive.google.com/open?id=11ucoODA9vXlAyAMMeIYJnQtt1M8A0-lF, https://drive.google.com/open?id=1nv028I8ez-pbzIA-OVWnFmQ29wdGBG-I, https://drive.google.com/open?id=1CI8gWlC_O_UDc6skP8chg6fyew7s0oGB</v>
      </c>
      <c r="Y404" s="495" t="str">
        <f>IFERROR(__xludf.DUMMYFUNCTION("""COMPUTED_VALUE"""),"fuentes.roberto1@gmail.com")</f>
        <v>fuentes.roberto1@gmail.com</v>
      </c>
      <c r="Z404" s="495"/>
      <c r="AA404" s="495"/>
      <c r="AB404" s="495"/>
      <c r="AC404" s="495"/>
      <c r="AD404" s="495"/>
    </row>
    <row r="405">
      <c r="A405" s="495" t="str">
        <f t="shared" si="1"/>
        <v/>
      </c>
      <c r="B405" s="497">
        <f>IFERROR(__xludf.DUMMYFUNCTION("""COMPUTED_VALUE"""),46043.699209618055)</f>
        <v>46043.69921</v>
      </c>
      <c r="C405" s="495" t="str">
        <f>IFERROR(__xludf.DUMMYFUNCTION("""COMPUTED_VALUE"""),"")</f>
        <v/>
      </c>
      <c r="D405" s="495" t="str">
        <f>IFERROR(__xludf.DUMMYFUNCTION("""COMPUTED_VALUE"""),"Carol Huenchual Chañilao")</f>
        <v>Carol Huenchual Chañilao</v>
      </c>
      <c r="E405" s="495"/>
      <c r="F405" s="496">
        <f>IFERROR(__xludf.DUMMYFUNCTION("""COMPUTED_VALUE"""),410.0)</f>
        <v>410</v>
      </c>
      <c r="G405" s="495"/>
      <c r="H405" s="495"/>
      <c r="I405" s="495"/>
      <c r="J405" s="495" t="str">
        <f>IFERROR(__xludf.DUMMYFUNCTION("""COMPUTED_VALUE"""),"Campus San Juan Pablo II - CJP")</f>
        <v>Campus San Juan Pablo II - CJP</v>
      </c>
      <c r="K405" s="495">
        <f>IFERROR(__xludf.DUMMYFUNCTION("""COMPUTED_VALUE"""),12.0)</f>
        <v>12</v>
      </c>
      <c r="L405" s="495" t="str">
        <f>IFERROR(__xludf.DUMMYFUNCTION("""COMPUTED_VALUE"""),"Flavia Oyarzun Soto ")</f>
        <v>Flavia Oyarzun Soto </v>
      </c>
      <c r="M405" s="495" t="str">
        <f>IFERROR(__xludf.DUMMYFUNCTION("""COMPUTED_VALUE"""),"5.503.590-3 ")</f>
        <v>5.503.590-3 </v>
      </c>
      <c r="N405" s="495" t="str">
        <f>IFERROR(__xludf.DUMMYFUNCTION("""COMPUTED_VALUE"""),"Roberto Lassalle supervisor ")</f>
        <v>Roberto Lassalle supervisor </v>
      </c>
      <c r="O405" s="495" t="str">
        <f>IFERROR(__xludf.DUMMYFUNCTION("""COMPUTED_VALUE"""),"Mantenciones")</f>
        <v>Mantenciones</v>
      </c>
      <c r="P405" s="495" t="str">
        <f>IFERROR(__xludf.DUMMYFUNCTION("""COMPUTED_VALUE"""),"Cerramientos Verticales")</f>
        <v>Cerramientos Verticales</v>
      </c>
      <c r="Q405" s="495"/>
      <c r="R405" s="495"/>
      <c r="S405" s="495"/>
      <c r="T405" s="495"/>
      <c r="U405" s="495"/>
      <c r="V405" s="495" t="str">
        <f>IFERROR(__xludf.DUMMYFUNCTION("""COMPUTED_VALUE"""),"Fabricación e instalación de dos puertas metálicas pintada color gris ")</f>
        <v>Fabricación e instalación de dos puertas metálicas pintada color gris </v>
      </c>
      <c r="W405" s="495" t="str">
        <f>IFERROR(__xludf.DUMMYFUNCTION("""COMPUTED_VALUE"""),"No ")</f>
        <v>No </v>
      </c>
      <c r="X405" s="495" t="str">
        <f>IFERROR(__xludf.DUMMYFUNCTION("""COMPUTED_VALUE"""),"https://drive.google.com/open?id=1q20Xo3Ih9Hyi03GjAkE12Vq9qjBY3WFw, https://drive.google.com/open?id=1NVBrUWXwWxHpFA815Vmdc0ZmGrL5FlEp")</f>
        <v>https://drive.google.com/open?id=1q20Xo3Ih9Hyi03GjAkE12Vq9qjBY3WFw, https://drive.google.com/open?id=1NVBrUWXwWxHpFA815Vmdc0ZmGrL5FlEp</v>
      </c>
      <c r="Y405" s="495" t="str">
        <f>IFERROR(__xludf.DUMMYFUNCTION("""COMPUTED_VALUE"""),"roberto.lassalle@gmail.com")</f>
        <v>roberto.lassalle@gmail.com</v>
      </c>
      <c r="Z405" s="495"/>
      <c r="AA405" s="495"/>
      <c r="AB405" s="495"/>
      <c r="AC405" s="495"/>
      <c r="AD405" s="495"/>
    </row>
    <row r="406">
      <c r="A406" s="495" t="str">
        <f t="shared" si="1"/>
        <v>RC-083_26</v>
      </c>
      <c r="B406" s="497">
        <f>IFERROR(__xludf.DUMMYFUNCTION("""COMPUTED_VALUE"""),46127.70813225694)</f>
        <v>46127.70813</v>
      </c>
      <c r="C406" s="495" t="str">
        <f>IFERROR(__xludf.DUMMYFUNCTION("""COMPUTED_VALUE"""),"")</f>
        <v/>
      </c>
      <c r="D406" s="495" t="str">
        <f>IFERROR(__xludf.DUMMYFUNCTION("""COMPUTED_VALUE"""),"Juan Ignacio Solís de Ovando")</f>
        <v>Juan Ignacio Solís de Ovando</v>
      </c>
      <c r="E406" s="495"/>
      <c r="F406" s="496" t="str">
        <f>IFERROR(__xludf.DUMMYFUNCTION("""COMPUTED_VALUE"""),"4075 - 2026")</f>
        <v>4075 - 2026</v>
      </c>
      <c r="G406" s="495"/>
      <c r="H406" s="495"/>
      <c r="I406" s="495"/>
      <c r="J406" s="495" t="str">
        <f>IFERROR(__xludf.DUMMYFUNCTION("""COMPUTED_VALUE"""),"Campus Dr. Luis Rivas del Canto - CRC")</f>
        <v>Campus Dr. Luis Rivas del Canto - CRC</v>
      </c>
      <c r="K406" s="495" t="str">
        <f>IFERROR(__xludf.DUMMYFUNCTION("""COMPUTED_VALUE"""),"Sin número")</f>
        <v>Sin número</v>
      </c>
      <c r="L406" s="495" t="str">
        <f>IFERROR(__xludf.DUMMYFUNCTION("""COMPUTED_VALUE"""),"SOCIEDAD DE PROFESIONALES BAIXAS Y DEL RIO ARQUITECTOS LIMITADA")</f>
        <v>SOCIEDAD DE PROFESIONALES BAIXAS Y DEL RIO ARQUITECTOS LIMITADA</v>
      </c>
      <c r="M406" s="495" t="str">
        <f>IFERROR(__xludf.DUMMYFUNCTION("""COMPUTED_VALUE"""),"77.712.479-K")</f>
        <v>77.712.479-K</v>
      </c>
      <c r="N406" s="495" t="str">
        <f>IFERROR(__xludf.DUMMYFUNCTION("""COMPUTED_VALUE"""),"Enrique  del Río Arquitecto")</f>
        <v>Enrique  del Río Arquitecto</v>
      </c>
      <c r="O406" s="495" t="str">
        <f>IFERROR(__xludf.DUMMYFUNCTION("""COMPUTED_VALUE"""),"Obras y Especialidades")</f>
        <v>Obras y Especialidades</v>
      </c>
      <c r="P406" s="495"/>
      <c r="Q406" s="495"/>
      <c r="R406" s="495" t="str">
        <f>IFERROR(__xludf.DUMMYFUNCTION("""COMPUTED_VALUE"""),"Nuevo Edificio")</f>
        <v>Nuevo Edificio</v>
      </c>
      <c r="S406" s="495" t="str">
        <f>IFERROR(__xludf.DUMMYFUNCTION("""COMPUTED_VALUE"""),"Estado de Pago - EP")</f>
        <v>Estado de Pago - EP</v>
      </c>
      <c r="T406" s="495">
        <f>IFERROR(__xludf.DUMMYFUNCTION("""COMPUTED_VALUE"""),6.0)</f>
        <v>6</v>
      </c>
      <c r="U406" s="498">
        <f>IFERROR(__xludf.DUMMYFUNCTION("""COMPUTED_VALUE"""),7173363.0)</f>
        <v>7173363</v>
      </c>
      <c r="V406" s="495" t="str">
        <f>IFERROR(__xludf.DUMMYFUNCTION("""COMPUTED_VALUE"""),"Visitas semanales, supervisión de construcción, modificaciones y planos de modificaciones de las visitas de obra.")</f>
        <v>Visitas semanales, supervisión de construcción, modificaciones y planos de modificaciones de las visitas de obra.</v>
      </c>
      <c r="W406" s="495"/>
      <c r="X406" s="495" t="str">
        <f>IFERROR(__xludf.DUMMYFUNCTION("""COMPUTED_VALUE"""),"https://drive.google.com/open?id=1stSj5ZW4Z4sFHBdI7RQfcQN712xTvKMl, https://drive.google.com/open?id=1r7gDW3ExOfSAw9gHLgvsdCaUmd7y1voQ, https://drive.google.com/open?id=1xli_NvzXJb8rY7-ykYz3BOteqy8YispH, https://drive.google.com/open?id=12x4ueJ80Os9TM3qdg"&amp;"uBpLzNt9X07ntcx")</f>
        <v>https://drive.google.com/open?id=1stSj5ZW4Z4sFHBdI7RQfcQN712xTvKMl, https://drive.google.com/open?id=1r7gDW3ExOfSAw9gHLgvsdCaUmd7y1voQ, https://drive.google.com/open?id=1xli_NvzXJb8rY7-ykYz3BOteqy8YispH, https://drive.google.com/open?id=12x4ueJ80Os9TM3qdguBpLzNt9X07ntcx</v>
      </c>
      <c r="Y406" s="495" t="str">
        <f>IFERROR(__xludf.DUMMYFUNCTION("""COMPUTED_VALUE"""),"baixasdelrio@vtr.net")</f>
        <v>baixasdelrio@vtr.net</v>
      </c>
      <c r="Z406" s="498">
        <f>IFERROR(__xludf.DUMMYFUNCTION("""COMPUTED_VALUE"""),7173363.0)</f>
        <v>7173363</v>
      </c>
      <c r="AA406" s="495"/>
      <c r="AB406" s="495"/>
      <c r="AC406" s="495"/>
      <c r="AD406" s="495" t="str">
        <f>IFERROR(__xludf.DUMMYFUNCTION("""COMPUTED_VALUE"""),"RC-083_26")</f>
        <v>RC-083_26</v>
      </c>
    </row>
    <row r="407">
      <c r="A407" s="495" t="str">
        <f t="shared" si="1"/>
        <v/>
      </c>
      <c r="B407" s="497">
        <f>IFERROR(__xludf.DUMMYFUNCTION("""COMPUTED_VALUE"""),46043.6804391551)</f>
        <v>46043.68044</v>
      </c>
      <c r="C407" s="495" t="str">
        <f>IFERROR(__xludf.DUMMYFUNCTION("""COMPUTED_VALUE"""),"")</f>
        <v/>
      </c>
      <c r="D407" s="495" t="str">
        <f>IFERROR(__xludf.DUMMYFUNCTION("""COMPUTED_VALUE"""),"Carol Huenchual Chañilao")</f>
        <v>Carol Huenchual Chañilao</v>
      </c>
      <c r="E407" s="495"/>
      <c r="F407" s="496" t="str">
        <f>IFERROR(__xludf.DUMMYFUNCTION("""COMPUTED_VALUE"""),"461 - 2026")</f>
        <v>461 - 2026</v>
      </c>
      <c r="G407" s="495"/>
      <c r="H407" s="495"/>
      <c r="I407" s="495"/>
      <c r="J407" s="495" t="str">
        <f>IFERROR(__xludf.DUMMYFUNCTION("""COMPUTED_VALUE"""),"Campus San Francisco - CSF")</f>
        <v>Campus San Francisco - CSF</v>
      </c>
      <c r="K407" s="495">
        <f>IFERROR(__xludf.DUMMYFUNCTION("""COMPUTED_VALUE"""),15.0)</f>
        <v>15</v>
      </c>
      <c r="L407" s="495" t="str">
        <f>IFERROR(__xludf.DUMMYFUNCTION("""COMPUTED_VALUE"""),"Marcelo Javier Jacobi Siegmund")</f>
        <v>Marcelo Javier Jacobi Siegmund</v>
      </c>
      <c r="M407" s="495" t="str">
        <f>IFERROR(__xludf.DUMMYFUNCTION("""COMPUTED_VALUE"""),"9.087.185-4")</f>
        <v>9.087.185-4</v>
      </c>
      <c r="N407" s="495" t="str">
        <f>IFERROR(__xludf.DUMMYFUNCTION("""COMPUTED_VALUE"""),"Patricio Manriquez Riffo  Técnico Mayor")</f>
        <v>Patricio Manriquez Riffo  Técnico Mayor</v>
      </c>
      <c r="O407" s="495" t="str">
        <f>IFERROR(__xludf.DUMMYFUNCTION("""COMPUTED_VALUE"""),"Mantenciones")</f>
        <v>Mantenciones</v>
      </c>
      <c r="P407" s="495" t="str">
        <f>IFERROR(__xludf.DUMMYFUNCTION("""COMPUTED_VALUE"""),"Requerimientos Emergentes e Imprevistos")</f>
        <v>Requerimientos Emergentes e Imprevistos</v>
      </c>
      <c r="Q407" s="495"/>
      <c r="R407" s="495"/>
      <c r="S407" s="495"/>
      <c r="T407" s="495"/>
      <c r="U407" s="495"/>
      <c r="V407" s="495" t="str">
        <f>IFERROR(__xludf.DUMMYFUNCTION("""COMPUTED_VALUE"""),"Mantenciones preventivas, control, programación y limpieza de equipamiento de AAc tipo Multi-Split que alimenta a 10 unidades evaporadoras")</f>
        <v>Mantenciones preventivas, control, programación y limpieza de equipamiento de AAc tipo Multi-Split que alimenta a 10 unidades evaporadoras</v>
      </c>
      <c r="W407" s="495" t="str">
        <f>IFERROR(__xludf.DUMMYFUNCTION("""COMPUTED_VALUE"""),"observación esporádica de su funcionamiento  final")</f>
        <v>observación esporádica de su funcionamiento  final</v>
      </c>
      <c r="X407" s="495" t="str">
        <f>IFERROR(__xludf.DUMMYFUNCTION("""COMPUTED_VALUE"""),"https://drive.google.com/open?id=1voZuzAh62C6yedYRrmKXbKs6vWcWVZ7_, https://drive.google.com/open?id=1c9osBUodIWgq1hQyTH1nwKcq5Be44eGX, https://drive.google.com/open?id=1SVNoeqBIlPmGX2mQZb9jplNW4wYhF_C-, https://drive.google.com/open?id=1uIXsDi-ps3oKzSXgE"&amp;"qive8hRvFdudQDK, https://drive.google.com/open?id=1jlVK9L_WfdovpTc0UOrQ1o_YB8oScBa8")</f>
        <v>https://drive.google.com/open?id=1voZuzAh62C6yedYRrmKXbKs6vWcWVZ7_, https://drive.google.com/open?id=1c9osBUodIWgq1hQyTH1nwKcq5Be44eGX, https://drive.google.com/open?id=1SVNoeqBIlPmGX2mQZb9jplNW4wYhF_C-, https://drive.google.com/open?id=1uIXsDi-ps3oKzSXgEqive8hRvFdudQDK, https://drive.google.com/open?id=1jlVK9L_WfdovpTc0UOrQ1o_YB8oScBa8</v>
      </c>
      <c r="Y407" s="495" t="str">
        <f>IFERROR(__xludf.DUMMYFUNCTION("""COMPUTED_VALUE"""),"mjacobisiegmund@gmail.com")</f>
        <v>mjacobisiegmund@gmail.com</v>
      </c>
      <c r="Z407" s="495"/>
      <c r="AA407" s="495"/>
      <c r="AB407" s="495"/>
      <c r="AC407" s="495"/>
      <c r="AD407" s="495"/>
    </row>
    <row r="408">
      <c r="A408" s="495" t="str">
        <f t="shared" si="1"/>
        <v/>
      </c>
      <c r="B408" s="497">
        <f>IFERROR(__xludf.DUMMYFUNCTION("""COMPUTED_VALUE"""),46043.45582190972)</f>
        <v>46043.45582</v>
      </c>
      <c r="C408" s="495" t="str">
        <f>IFERROR(__xludf.DUMMYFUNCTION("""COMPUTED_VALUE"""),"")</f>
        <v/>
      </c>
      <c r="D408" s="495" t="str">
        <f>IFERROR(__xludf.DUMMYFUNCTION("""COMPUTED_VALUE"""),"Felipe Anselme Grandón")</f>
        <v>Felipe Anselme Grandón</v>
      </c>
      <c r="E408" s="495"/>
      <c r="F408" s="496" t="str">
        <f>IFERROR(__xludf.DUMMYFUNCTION("""COMPUTED_VALUE"""),"399-2026")</f>
        <v>399-2026</v>
      </c>
      <c r="G408" s="495"/>
      <c r="H408" s="495"/>
      <c r="I408" s="495"/>
      <c r="J408" s="495" t="str">
        <f>IFERROR(__xludf.DUMMYFUNCTION("""COMPUTED_VALUE"""),"Campus Dr. Luis Rivas del Canto - CRC")</f>
        <v>Campus Dr. Luis Rivas del Canto - CRC</v>
      </c>
      <c r="K408" s="495" t="str">
        <f>IFERROR(__xludf.DUMMYFUNCTION("""COMPUTED_VALUE"""),"Exterior")</f>
        <v>Exterior</v>
      </c>
      <c r="L408" s="495" t="str">
        <f>IFERROR(__xludf.DUMMYFUNCTION("""COMPUTED_VALUE"""),"GATICAR SPA")</f>
        <v>GATICAR SPA</v>
      </c>
      <c r="M408" s="495" t="str">
        <f>IFERROR(__xludf.DUMMYFUNCTION("""COMPUTED_VALUE"""),"77578487-3")</f>
        <v>77578487-3</v>
      </c>
      <c r="N408" s="495" t="str">
        <f>IFERROR(__xludf.DUMMYFUNCTION("""COMPUTED_VALUE"""),"HECTOR GATICA")</f>
        <v>HECTOR GATICA</v>
      </c>
      <c r="O408" s="495" t="str">
        <f>IFERROR(__xludf.DUMMYFUNCTION("""COMPUTED_VALUE"""),"Mantenciones")</f>
        <v>Mantenciones</v>
      </c>
      <c r="P408" s="495" t="str">
        <f>IFERROR(__xludf.DUMMYFUNCTION("""COMPUTED_VALUE"""),"Requerimientos Emergentes e Imprevistos")</f>
        <v>Requerimientos Emergentes e Imprevistos</v>
      </c>
      <c r="Q408" s="495"/>
      <c r="R408" s="495"/>
      <c r="S408" s="495"/>
      <c r="T408" s="495"/>
      <c r="U408" s="495"/>
      <c r="V408" s="495" t="str">
        <f>IFERROR(__xludf.DUMMYFUNCTION("""COMPUTED_VALUE"""),"MANTENCION Y REPARACION DE BOMBA EXPULSORA DE AGUA EN RIEGO CRC, SEGUN PRESUPUESTO")</f>
        <v>MANTENCION Y REPARACION DE BOMBA EXPULSORA DE AGUA EN RIEGO CRC, SEGUN PRESUPUESTO</v>
      </c>
      <c r="W408" s="495"/>
      <c r="X408" s="495" t="str">
        <f>IFERROR(__xludf.DUMMYFUNCTION("""COMPUTED_VALUE"""),"https://drive.google.com/open?id=14JJoei6g4GfS74Ustg0AH3u6zuM3Tsum, https://drive.google.com/open?id=1AHKdQO4962vxdJ_KxKseg9328ZBVItQ5, https://drive.google.com/open?id=1VQE1yn-hxGF7Bu6LOkoolYQ3qo4bO5TG")</f>
        <v>https://drive.google.com/open?id=14JJoei6g4GfS74Ustg0AH3u6zuM3Tsum, https://drive.google.com/open?id=1AHKdQO4962vxdJ_KxKseg9328ZBVItQ5, https://drive.google.com/open?id=1VQE1yn-hxGF7Bu6LOkoolYQ3qo4bO5TG</v>
      </c>
      <c r="Y408" s="495" t="str">
        <f>IFERROR(__xludf.DUMMYFUNCTION("""COMPUTED_VALUE"""),"serviciogaticar@gmail.com")</f>
        <v>serviciogaticar@gmail.com</v>
      </c>
      <c r="Z408" s="495"/>
      <c r="AA408" s="495"/>
      <c r="AB408" s="495"/>
      <c r="AC408" s="495"/>
      <c r="AD408" s="495"/>
    </row>
    <row r="409">
      <c r="A409" s="495" t="str">
        <f t="shared" si="1"/>
        <v>RC-086_26</v>
      </c>
      <c r="B409" s="497">
        <f>IFERROR(__xludf.DUMMYFUNCTION("""COMPUTED_VALUE"""),46128.47657641204)</f>
        <v>46128.47658</v>
      </c>
      <c r="C409" s="495" t="str">
        <f>IFERROR(__xludf.DUMMYFUNCTION("""COMPUTED_VALUE"""),"")</f>
        <v/>
      </c>
      <c r="D409" s="495" t="str">
        <f>IFERROR(__xludf.DUMMYFUNCTION("""COMPUTED_VALUE"""),"Juan Ignacio Solís de Ovando")</f>
        <v>Juan Ignacio Solís de Ovando</v>
      </c>
      <c r="E409" s="495"/>
      <c r="F409" s="496" t="str">
        <f>IFERROR(__xludf.DUMMYFUNCTION("""COMPUTED_VALUE"""),"733 - 2026")</f>
        <v>733 - 2026</v>
      </c>
      <c r="G409" s="495"/>
      <c r="H409" s="495"/>
      <c r="I409" s="495"/>
      <c r="J409" s="495" t="str">
        <f>IFERROR(__xludf.DUMMYFUNCTION("""COMPUTED_VALUE"""),"Campus Dr. Luis Rivas del Canto - CRC")</f>
        <v>Campus Dr. Luis Rivas del Canto - CRC</v>
      </c>
      <c r="K409" s="495" t="str">
        <f>IFERROR(__xludf.DUMMYFUNCTION("""COMPUTED_VALUE"""),"Exterior")</f>
        <v>Exterior</v>
      </c>
      <c r="L409" s="495" t="str">
        <f>IFERROR(__xludf.DUMMYFUNCTION("""COMPUTED_VALUE"""),"Constructora alplas spa")</f>
        <v>Constructora alplas spa</v>
      </c>
      <c r="M409" s="495" t="str">
        <f>IFERROR(__xludf.DUMMYFUNCTION("""COMPUTED_VALUE"""),"77.190.049-6")</f>
        <v>77.190.049-6</v>
      </c>
      <c r="N409" s="495" t="str">
        <f>IFERROR(__xludf.DUMMYFUNCTION("""COMPUTED_VALUE"""),"Camila obando, jefe obra")</f>
        <v>Camila obando, jefe obra</v>
      </c>
      <c r="O409" s="495" t="str">
        <f>IFERROR(__xludf.DUMMYFUNCTION("""COMPUTED_VALUE"""),"Obras y Especialidades")</f>
        <v>Obras y Especialidades</v>
      </c>
      <c r="P409" s="495"/>
      <c r="Q409" s="495"/>
      <c r="R409" s="495" t="str">
        <f>IFERROR(__xludf.DUMMYFUNCTION("""COMPUTED_VALUE"""),"Remodelación")</f>
        <v>Remodelación</v>
      </c>
      <c r="S409" s="495" t="str">
        <f>IFERROR(__xludf.DUMMYFUNCTION("""COMPUTED_VALUE"""),"Recepción de Obra - RC")</f>
        <v>Recepción de Obra - RC</v>
      </c>
      <c r="T409" s="495"/>
      <c r="U409" s="495"/>
      <c r="V409" s="495" t="str">
        <f>IFERROR(__xludf.DUMMYFUNCTION("""COMPUTED_VALUE"""),"Construcción de pañol Y rehabilitación de frontis CRC18")</f>
        <v>Construcción de pañol Y rehabilitación de frontis CRC18</v>
      </c>
      <c r="W409" s="495"/>
      <c r="X409" s="499" t="str">
        <f>IFERROR(__xludf.DUMMYFUNCTION("""COMPUTED_VALUE"""),"https://drive.google.com/open?id=15SPCH0VM4fGABuNZy6EEWpvev3u7D3OQ")</f>
        <v>https://drive.google.com/open?id=15SPCH0VM4fGABuNZy6EEWpvev3u7D3OQ</v>
      </c>
      <c r="Y409" s="495" t="str">
        <f>IFERROR(__xludf.DUMMYFUNCTION("""COMPUTED_VALUE"""),"ventas@alplas.cl")</f>
        <v>ventas@alplas.cl</v>
      </c>
      <c r="Z409" s="498">
        <f>IFERROR(__xludf.DUMMYFUNCTION("""COMPUTED_VALUE"""),5951957.0)</f>
        <v>5951957</v>
      </c>
      <c r="AA409" s="495"/>
      <c r="AB409" s="495"/>
      <c r="AC409" s="495"/>
      <c r="AD409" s="495" t="str">
        <f>IFERROR(__xludf.DUMMYFUNCTION("""COMPUTED_VALUE"""),"RC-086_26")</f>
        <v>RC-086_26</v>
      </c>
    </row>
    <row r="410">
      <c r="A410" s="495" t="str">
        <f t="shared" si="1"/>
        <v/>
      </c>
      <c r="B410" s="497">
        <f>IFERROR(__xludf.DUMMYFUNCTION("""COMPUTED_VALUE"""),46042.71411605324)</f>
        <v>46042.71412</v>
      </c>
      <c r="C410" s="495" t="str">
        <f>IFERROR(__xludf.DUMMYFUNCTION("""COMPUTED_VALUE"""),"")</f>
        <v/>
      </c>
      <c r="D410" s="495" t="str">
        <f>IFERROR(__xludf.DUMMYFUNCTION("""COMPUTED_VALUE"""),"David Silva Roco")</f>
        <v>David Silva Roco</v>
      </c>
      <c r="E410" s="495"/>
      <c r="F410" s="496">
        <f>IFERROR(__xludf.DUMMYFUNCTION("""COMPUTED_VALUE"""),262.0)</f>
        <v>262</v>
      </c>
      <c r="G410" s="495"/>
      <c r="H410" s="495"/>
      <c r="I410" s="495"/>
      <c r="J410" s="495" t="str">
        <f>IFERROR(__xludf.DUMMYFUNCTION("""COMPUTED_VALUE"""),"Campus San Nicolás (Curacautín) - CSN")</f>
        <v>Campus San Nicolás (Curacautín) - CSN</v>
      </c>
      <c r="K410" s="495" t="str">
        <f>IFERROR(__xludf.DUMMYFUNCTION("""COMPUTED_VALUE"""),"Exterior")</f>
        <v>Exterior</v>
      </c>
      <c r="L410" s="495" t="str">
        <f>IFERROR(__xludf.DUMMYFUNCTION("""COMPUTED_VALUE"""),"Ricardo Pinedo B ")</f>
        <v>Ricardo Pinedo B </v>
      </c>
      <c r="M410" s="495" t="str">
        <f>IFERROR(__xludf.DUMMYFUNCTION("""COMPUTED_VALUE"""),"8.157.955-5")</f>
        <v>8.157.955-5</v>
      </c>
      <c r="N410" s="495" t="str">
        <f>IFERROR(__xludf.DUMMYFUNCTION("""COMPUTED_VALUE"""),"Ricardo Pinedo B dueño")</f>
        <v>Ricardo Pinedo B dueño</v>
      </c>
      <c r="O410" s="495" t="str">
        <f>IFERROR(__xludf.DUMMYFUNCTION("""COMPUTED_VALUE"""),"Mantenciones")</f>
        <v>Mantenciones</v>
      </c>
      <c r="P410" s="495" t="str">
        <f>IFERROR(__xludf.DUMMYFUNCTION("""COMPUTED_VALUE"""),"Requerimientos Emergentes e Imprevistos")</f>
        <v>Requerimientos Emergentes e Imprevistos</v>
      </c>
      <c r="Q410" s="495"/>
      <c r="R410" s="495"/>
      <c r="S410" s="495"/>
      <c r="T410" s="495"/>
      <c r="U410" s="495"/>
      <c r="V410" s="495" t="str">
        <f>IFERROR(__xludf.DUMMYFUNCTION("""COMPUTED_VALUE"""),"Mantención y reparación bomba piscina ")</f>
        <v>Mantención y reparación bomba piscina </v>
      </c>
      <c r="W410" s="495" t="str">
        <f>IFERROR(__xludf.DUMMYFUNCTION("""COMPUTED_VALUE"""),"Preocuparse del buen funcionamiento de bombas y que estás estén con flujo de agua")</f>
        <v>Preocuparse del buen funcionamiento de bombas y que estás estén con flujo de agua</v>
      </c>
      <c r="X410" s="499" t="str">
        <f>IFERROR(__xludf.DUMMYFUNCTION("""COMPUTED_VALUE"""),"https://drive.google.com/open?id=1bIrrzQnMMdHkuG5MrbartKyXoRQv3xo8")</f>
        <v>https://drive.google.com/open?id=1bIrrzQnMMdHkuG5MrbartKyXoRQv3xo8</v>
      </c>
      <c r="Y410" s="495" t="str">
        <f>IFERROR(__xludf.DUMMYFUNCTION("""COMPUTED_VALUE"""),"pinedo.ricardo@gmail.com")</f>
        <v>pinedo.ricardo@gmail.com</v>
      </c>
      <c r="Z410" s="495"/>
      <c r="AA410" s="495"/>
      <c r="AB410" s="495"/>
      <c r="AC410" s="495"/>
      <c r="AD410" s="495"/>
    </row>
    <row r="411">
      <c r="A411" s="495" t="str">
        <f t="shared" si="1"/>
        <v/>
      </c>
      <c r="B411" s="497">
        <f>IFERROR(__xludf.DUMMYFUNCTION("""COMPUTED_VALUE"""),46037.644727928244)</f>
        <v>46037.64473</v>
      </c>
      <c r="C411" s="495" t="str">
        <f>IFERROR(__xludf.DUMMYFUNCTION("""COMPUTED_VALUE"""),"")</f>
        <v/>
      </c>
      <c r="D411" s="495" t="str">
        <f>IFERROR(__xludf.DUMMYFUNCTION("""COMPUTED_VALUE"""),"Mauricio Zurita Aldea")</f>
        <v>Mauricio Zurita Aldea</v>
      </c>
      <c r="E411" s="495"/>
      <c r="F411" s="496" t="str">
        <f>IFERROR(__xludf.DUMMYFUNCTION("""COMPUTED_VALUE"""),"12364-2025")</f>
        <v>12364-2025</v>
      </c>
      <c r="G411" s="495"/>
      <c r="H411" s="495"/>
      <c r="I411" s="495"/>
      <c r="J411" s="495" t="str">
        <f>IFERROR(__xludf.DUMMYFUNCTION("""COMPUTED_VALUE"""),"Campus San Francisco - CSF")</f>
        <v>Campus San Francisco - CSF</v>
      </c>
      <c r="K411" s="495" t="str">
        <f>IFERROR(__xludf.DUMMYFUNCTION("""COMPUTED_VALUE"""),"05")</f>
        <v>05</v>
      </c>
      <c r="L411" s="495" t="str">
        <f>IFERROR(__xludf.DUMMYFUNCTION("""COMPUTED_VALUE"""),"gyg servicios spa")</f>
        <v>gyg servicios spa</v>
      </c>
      <c r="M411" s="495" t="str">
        <f>IFERROR(__xludf.DUMMYFUNCTION("""COMPUTED_VALUE"""),"77.215.624-3")</f>
        <v>77.215.624-3</v>
      </c>
      <c r="N411" s="495" t="str">
        <f>IFERROR(__xludf.DUMMYFUNCTION("""COMPUTED_VALUE"""),"Gerardo Paillalef- Técnico")</f>
        <v>Gerardo Paillalef- Técnico</v>
      </c>
      <c r="O411" s="495" t="str">
        <f>IFERROR(__xludf.DUMMYFUNCTION("""COMPUTED_VALUE"""),"Mantenciones")</f>
        <v>Mantenciones</v>
      </c>
      <c r="P411" s="495" t="str">
        <f>IFERROR(__xludf.DUMMYFUNCTION("""COMPUTED_VALUE"""),"Requerimientos Emergentes e Imprevistos")</f>
        <v>Requerimientos Emergentes e Imprevistos</v>
      </c>
      <c r="Q411" s="495"/>
      <c r="R411" s="495"/>
      <c r="S411" s="495"/>
      <c r="T411" s="495"/>
      <c r="U411" s="495"/>
      <c r="V411" s="495" t="str">
        <f>IFERROR(__xludf.DUMMYFUNCTION("""COMPUTED_VALUE"""),"traslado de reloj control desde campus san Francisco a Juan Pablo II")</f>
        <v>traslado de reloj control desde campus san Francisco a Juan Pablo II</v>
      </c>
      <c r="W411" s="495"/>
      <c r="X411" s="495" t="str">
        <f>IFERROR(__xludf.DUMMYFUNCTION("""COMPUTED_VALUE"""),"https://drive.google.com/open?id=1vIPMlHBimYmawOlENgtL9PthdE1GRoMY, https://drive.google.com/open?id=1nD5DKdnaKB7b1RGnvjEv8qJ2Z9I2zvEf")</f>
        <v>https://drive.google.com/open?id=1vIPMlHBimYmawOlENgtL9PthdE1GRoMY, https://drive.google.com/open?id=1nD5DKdnaKB7b1RGnvjEv8qJ2Z9I2zvEf</v>
      </c>
      <c r="Y411" s="495" t="str">
        <f>IFERROR(__xludf.DUMMYFUNCTION("""COMPUTED_VALUE"""),"contacto@gygtecnologias.com")</f>
        <v>contacto@gygtecnologias.com</v>
      </c>
      <c r="Z411" s="495"/>
      <c r="AA411" s="495"/>
      <c r="AB411" s="495"/>
      <c r="AC411" s="495"/>
      <c r="AD411" s="495"/>
    </row>
    <row r="412">
      <c r="A412" s="495" t="str">
        <f t="shared" si="1"/>
        <v/>
      </c>
      <c r="B412" s="497">
        <f>IFERROR(__xludf.DUMMYFUNCTION("""COMPUTED_VALUE"""),46037.41331528935)</f>
        <v>46037.41332</v>
      </c>
      <c r="C412" s="495" t="str">
        <f>IFERROR(__xludf.DUMMYFUNCTION("""COMPUTED_VALUE"""),"")</f>
        <v/>
      </c>
      <c r="D412" s="495" t="str">
        <f>IFERROR(__xludf.DUMMYFUNCTION("""COMPUTED_VALUE"""),"Mauricio Zurita Aldea")</f>
        <v>Mauricio Zurita Aldea</v>
      </c>
      <c r="E412" s="495"/>
      <c r="F412" s="496" t="str">
        <f>IFERROR(__xludf.DUMMYFUNCTION("""COMPUTED_VALUE"""),"12777-2025")</f>
        <v>12777-2025</v>
      </c>
      <c r="G412" s="495"/>
      <c r="H412" s="495"/>
      <c r="I412" s="495"/>
      <c r="J412" s="495" t="str">
        <f>IFERROR(__xludf.DUMMYFUNCTION("""COMPUTED_VALUE"""),"Campus San Francisco - CSF")</f>
        <v>Campus San Francisco - CSF</v>
      </c>
      <c r="K412" s="495" t="str">
        <f>IFERROR(__xludf.DUMMYFUNCTION("""COMPUTED_VALUE"""),"01")</f>
        <v>01</v>
      </c>
      <c r="L412" s="495" t="str">
        <f>IFERROR(__xludf.DUMMYFUNCTION("""COMPUTED_VALUE"""),"gyg servicios spa.")</f>
        <v>gyg servicios spa.</v>
      </c>
      <c r="M412" s="495" t="str">
        <f>IFERROR(__xludf.DUMMYFUNCTION("""COMPUTED_VALUE"""),"77.215.624-3")</f>
        <v>77.215.624-3</v>
      </c>
      <c r="N412" s="495" t="str">
        <f>IFERROR(__xludf.DUMMYFUNCTION("""COMPUTED_VALUE"""),"Gustavo Fuentes - supervisor técnico.")</f>
        <v>Gustavo Fuentes - supervisor técnico.</v>
      </c>
      <c r="O412" s="495" t="str">
        <f>IFERROR(__xludf.DUMMYFUNCTION("""COMPUTED_VALUE"""),"Mantenciones")</f>
        <v>Mantenciones</v>
      </c>
      <c r="P412" s="495" t="str">
        <f>IFERROR(__xludf.DUMMYFUNCTION("""COMPUTED_VALUE"""),"Instalaciones Eléctricas")</f>
        <v>Instalaciones Eléctricas</v>
      </c>
      <c r="Q412" s="495"/>
      <c r="R412" s="495"/>
      <c r="S412" s="495"/>
      <c r="T412" s="495"/>
      <c r="U412" s="495"/>
      <c r="V412" s="495" t="str">
        <f>IFERROR(__xludf.DUMMYFUNCTION("""COMPUTED_VALUE"""),"cambio de alimentación garita guardia a TDA de emergencia.")</f>
        <v>cambio de alimentación garita guardia a TDA de emergencia.</v>
      </c>
      <c r="W412" s="495"/>
      <c r="X412" s="495" t="str">
        <f>IFERROR(__xludf.DUMMYFUNCTION("""COMPUTED_VALUE"""),"https://drive.google.com/open?id=18xAHWdBs5fIpoJyCABZvFiqmGoOkkIrQ, https://drive.google.com/open?id=1ATtNEDU2TE0Cey29GXeUl1gtj3ER9X59, https://drive.google.com/open?id=1VubnHV6hujBeZs6wXwE2u_VOJGVP72vL, https://drive.google.com/open?id=16sEhw9ArrRCmKc0NF"&amp;"oLuUHh81xm8zApx")</f>
        <v>https://drive.google.com/open?id=18xAHWdBs5fIpoJyCABZvFiqmGoOkkIrQ, https://drive.google.com/open?id=1ATtNEDU2TE0Cey29GXeUl1gtj3ER9X59, https://drive.google.com/open?id=1VubnHV6hujBeZs6wXwE2u_VOJGVP72vL, https://drive.google.com/open?id=16sEhw9ArrRCmKc0NFoLuUHh81xm8zApx</v>
      </c>
      <c r="Y412" s="495" t="str">
        <f>IFERROR(__xludf.DUMMYFUNCTION("""COMPUTED_VALUE"""),"contacto@gygtecnologias.com")</f>
        <v>contacto@gygtecnologias.com</v>
      </c>
      <c r="Z412" s="495"/>
      <c r="AA412" s="495"/>
      <c r="AB412" s="495"/>
      <c r="AC412" s="495"/>
      <c r="AD412" s="495"/>
    </row>
    <row r="413">
      <c r="A413" s="495" t="str">
        <f t="shared" si="1"/>
        <v/>
      </c>
      <c r="B413" s="497">
        <f>IFERROR(__xludf.DUMMYFUNCTION("""COMPUTED_VALUE"""),46036.72534491898)</f>
        <v>46036.72534</v>
      </c>
      <c r="C413" s="495" t="str">
        <f>IFERROR(__xludf.DUMMYFUNCTION("""COMPUTED_VALUE"""),"")</f>
        <v/>
      </c>
      <c r="D413" s="495" t="str">
        <f>IFERROR(__xludf.DUMMYFUNCTION("""COMPUTED_VALUE"""),"Carol Huenchual Chañilao")</f>
        <v>Carol Huenchual Chañilao</v>
      </c>
      <c r="E413" s="495"/>
      <c r="F413" s="496" t="str">
        <f>IFERROR(__xludf.DUMMYFUNCTION("""COMPUTED_VALUE"""),"260 - 2026")</f>
        <v>260 - 2026</v>
      </c>
      <c r="G413" s="495"/>
      <c r="H413" s="495"/>
      <c r="I413" s="495"/>
      <c r="J413" s="495" t="str">
        <f>IFERROR(__xludf.DUMMYFUNCTION("""COMPUTED_VALUE"""),"Campus San Francisco - CSF")</f>
        <v>Campus San Francisco - CSF</v>
      </c>
      <c r="K413" s="495" t="str">
        <f>IFERROR(__xludf.DUMMYFUNCTION("""COMPUTED_VALUE"""),"02")</f>
        <v>02</v>
      </c>
      <c r="L413" s="495" t="str">
        <f>IFERROR(__xludf.DUMMYFUNCTION("""COMPUTED_VALUE"""),"Marcelo Javier Jacobi Siegmund")</f>
        <v>Marcelo Javier Jacobi Siegmund</v>
      </c>
      <c r="M413" s="495" t="str">
        <f>IFERROR(__xludf.DUMMYFUNCTION("""COMPUTED_VALUE"""),"9.087.185-4")</f>
        <v>9.087.185-4</v>
      </c>
      <c r="N413" s="495" t="str">
        <f>IFERROR(__xludf.DUMMYFUNCTION("""COMPUTED_VALUE"""),"Patricio Manriquez Riffo")</f>
        <v>Patricio Manriquez Riffo</v>
      </c>
      <c r="O413" s="495" t="str">
        <f>IFERROR(__xludf.DUMMYFUNCTION("""COMPUTED_VALUE"""),"Mantenciones")</f>
        <v>Mantenciones</v>
      </c>
      <c r="P413" s="495" t="str">
        <f>IFERROR(__xludf.DUMMYFUNCTION("""COMPUTED_VALUE"""),"Requerimientos Emergentes e Imprevistos")</f>
        <v>Requerimientos Emergentes e Imprevistos</v>
      </c>
      <c r="Q413" s="495"/>
      <c r="R413" s="495"/>
      <c r="S413" s="495"/>
      <c r="T413" s="495"/>
      <c r="U413" s="495"/>
      <c r="V413" s="495" t="str">
        <f>IFERROR(__xludf.DUMMYFUNCTION("""COMPUTED_VALUE"""),"Mantenciones preventivas, control y limpieza de 7 unidades de AAc tipo piso-cielo en pisos 2 y 3, mas un cambio de bomba de condensado de 38 lts con modificación de desagüe.")</f>
        <v>Mantenciones preventivas, control y limpieza de 7 unidades de AAc tipo piso-cielo en pisos 2 y 3, mas un cambio de bomba de condensado de 38 lts con modificación de desagüe.</v>
      </c>
      <c r="W413" s="495" t="str">
        <f>IFERROR(__xludf.DUMMYFUNCTION("""COMPUTED_VALUE"""),"Observaciones esporádicas al estar en funcionamiento")</f>
        <v>Observaciones esporádicas al estar en funcionamiento</v>
      </c>
      <c r="X413" s="495" t="str">
        <f>IFERROR(__xludf.DUMMYFUNCTION("""COMPUTED_VALUE"""),"https://drive.google.com/open?id=1UOCeIJnme_sHWd3514gCUXlNRzeJEQjH, https://drive.google.com/open?id=1_BAVHjle2s_KDBZ4xF4UJvJ7Ny6IpBZB, https://drive.google.com/open?id=10lO5EJXCwTu96BohE1TjvCGfrLm7qJzE, https://drive.google.com/open?id=1DQang_LEIkKMfMrNq"&amp;"EuLCKx-Y5zUP7F9, https://drive.google.com/open?id=1XeLcGr_WWaQGHXoBE9UTdA6Ne6sMiKwo")</f>
        <v>https://drive.google.com/open?id=1UOCeIJnme_sHWd3514gCUXlNRzeJEQjH, https://drive.google.com/open?id=1_BAVHjle2s_KDBZ4xF4UJvJ7Ny6IpBZB, https://drive.google.com/open?id=10lO5EJXCwTu96BohE1TjvCGfrLm7qJzE, https://drive.google.com/open?id=1DQang_LEIkKMfMrNqEuLCKx-Y5zUP7F9, https://drive.google.com/open?id=1XeLcGr_WWaQGHXoBE9UTdA6Ne6sMiKwo</v>
      </c>
      <c r="Y413" s="495" t="str">
        <f>IFERROR(__xludf.DUMMYFUNCTION("""COMPUTED_VALUE"""),"mjacobisiegmund@gmail.com")</f>
        <v>mjacobisiegmund@gmail.com</v>
      </c>
      <c r="Z413" s="495"/>
      <c r="AA413" s="495"/>
      <c r="AB413" s="495"/>
      <c r="AC413" s="495"/>
      <c r="AD413" s="495"/>
    </row>
    <row r="414">
      <c r="A414" s="495" t="str">
        <f t="shared" si="1"/>
        <v/>
      </c>
      <c r="B414" s="497">
        <f>IFERROR(__xludf.DUMMYFUNCTION("""COMPUTED_VALUE"""),46036.03579689815)</f>
        <v>46036.0358</v>
      </c>
      <c r="C414" s="495" t="str">
        <f>IFERROR(__xludf.DUMMYFUNCTION("""COMPUTED_VALUE"""),"")</f>
        <v/>
      </c>
      <c r="D414" s="495" t="str">
        <f>IFERROR(__xludf.DUMMYFUNCTION("""COMPUTED_VALUE"""),"Carol Huenchual Chañilao")</f>
        <v>Carol Huenchual Chañilao</v>
      </c>
      <c r="E414" s="495"/>
      <c r="F414" s="496" t="str">
        <f>IFERROR(__xludf.DUMMYFUNCTION("""COMPUTED_VALUE"""),"73 - 2026")</f>
        <v>73 - 2026</v>
      </c>
      <c r="G414" s="495"/>
      <c r="H414" s="495"/>
      <c r="I414" s="495"/>
      <c r="J414" s="495" t="str">
        <f>IFERROR(__xludf.DUMMYFUNCTION("""COMPUTED_VALUE"""),"Campus San Francisco - CSF")</f>
        <v>Campus San Francisco - CSF</v>
      </c>
      <c r="K414" s="495" t="str">
        <f>IFERROR(__xludf.DUMMYFUNCTION("""COMPUTED_VALUE"""),"Exterior")</f>
        <v>Exterior</v>
      </c>
      <c r="L414" s="495" t="str">
        <f>IFERROR(__xludf.DUMMYFUNCTION("""COMPUTED_VALUE"""),"RIOL MOISÉS BASCUR JARA")</f>
        <v>RIOL MOISÉS BASCUR JARA</v>
      </c>
      <c r="M414" s="495" t="str">
        <f>IFERROR(__xludf.DUMMYFUNCTION("""COMPUTED_VALUE"""),"11.811.450-7")</f>
        <v>11.811.450-7</v>
      </c>
      <c r="N414" s="495" t="str">
        <f>IFERROR(__xludf.DUMMYFUNCTION("""COMPUTED_VALUE"""),"RIOL BASCUR    REPRESENTANTE LEGAL")</f>
        <v>RIOL BASCUR    REPRESENTANTE LEGAL</v>
      </c>
      <c r="O414" s="495" t="str">
        <f>IFERROR(__xludf.DUMMYFUNCTION("""COMPUTED_VALUE"""),"Mantenciones")</f>
        <v>Mantenciones</v>
      </c>
      <c r="P414" s="495" t="str">
        <f>IFERROR(__xludf.DUMMYFUNCTION("""COMPUTED_VALUE"""),"Alcantarillado")</f>
        <v>Alcantarillado</v>
      </c>
      <c r="Q414" s="495"/>
      <c r="R414" s="495"/>
      <c r="S414" s="495"/>
      <c r="T414" s="495"/>
      <c r="U414" s="495"/>
      <c r="V414" s="495" t="str">
        <f>IFERROR(__xludf.DUMMYFUNCTION("""COMPUTED_VALUE"""),"VARILLAJE, EXTRACCIÓN DE AGUAS SERVIDAS EN CÁMARAS DE ELECTRECIDAD, LAVADO DE CÁMARAS DE ELECTRICIDAD Y LAVADOS DE CÁMARAS  DE REGISTROS DE AGUAS SERVIDAS")</f>
        <v>VARILLAJE, EXTRACCIÓN DE AGUAS SERVIDAS EN CÁMARAS DE ELECTRECIDAD, LAVADO DE CÁMARAS DE ELECTRICIDAD Y LAVADOS DE CÁMARAS  DE REGISTROS DE AGUAS SERVIDAS</v>
      </c>
      <c r="W414" s="495" t="str">
        <f>IFERROR(__xludf.DUMMYFUNCTION("""COMPUTED_VALUE"""),"COLOCAR INDICACIONES ES LOS BAÑOS DE NO TIRAR EL CONFORT, TOALLAS HUMEDAS Y OTROS DECECHOS A LA TAZADE BAÑO")</f>
        <v>COLOCAR INDICACIONES ES LOS BAÑOS DE NO TIRAR EL CONFORT, TOALLAS HUMEDAS Y OTROS DECECHOS A LA TAZADE BAÑO</v>
      </c>
      <c r="X414" s="495" t="str">
        <f>IFERROR(__xludf.DUMMYFUNCTION("""COMPUTED_VALUE"""),"https://drive.google.com/open?id=17SfW7PkN0xIRscIenDfE7cdIcIwWjZMJ, https://drive.google.com/open?id=1rJU3SPGbQCh04xsuEq4avpfhHUjrLpF0, https://drive.google.com/open?id=1Ne7pzP6d4fCd_o8kK0WD6hodfMwU-1OB")</f>
        <v>https://drive.google.com/open?id=17SfW7PkN0xIRscIenDfE7cdIcIwWjZMJ, https://drive.google.com/open?id=1rJU3SPGbQCh04xsuEq4avpfhHUjrLpF0, https://drive.google.com/open?id=1Ne7pzP6d4fCd_o8kK0WD6hodfMwU-1OB</v>
      </c>
      <c r="Y414" s="495" t="str">
        <f>IFERROR(__xludf.DUMMYFUNCTION("""COMPUTED_VALUE"""),"fosasgogol@hotmail.com")</f>
        <v>fosasgogol@hotmail.com</v>
      </c>
      <c r="Z414" s="495"/>
      <c r="AA414" s="495"/>
      <c r="AB414" s="495"/>
      <c r="AC414" s="495"/>
      <c r="AD414" s="495"/>
    </row>
    <row r="415">
      <c r="A415" s="495" t="str">
        <f t="shared" si="1"/>
        <v/>
      </c>
      <c r="B415" s="497">
        <f>IFERROR(__xludf.DUMMYFUNCTION("""COMPUTED_VALUE"""),46035.42322996528)</f>
        <v>46035.42323</v>
      </c>
      <c r="C415" s="495" t="str">
        <f>IFERROR(__xludf.DUMMYFUNCTION("""COMPUTED_VALUE"""),"")</f>
        <v/>
      </c>
      <c r="D415" s="495" t="str">
        <f>IFERROR(__xludf.DUMMYFUNCTION("""COMPUTED_VALUE"""),"Carol Huenchual Chañilao")</f>
        <v>Carol Huenchual Chañilao</v>
      </c>
      <c r="E415" s="495"/>
      <c r="F415" s="496" t="str">
        <f>IFERROR(__xludf.DUMMYFUNCTION("""COMPUTED_VALUE"""),"13094 - 2025")</f>
        <v>13094 - 2025</v>
      </c>
      <c r="G415" s="495"/>
      <c r="H415" s="495"/>
      <c r="I415" s="495"/>
      <c r="J415" s="495" t="str">
        <f>IFERROR(__xludf.DUMMYFUNCTION("""COMPUTED_VALUE"""),"Campus Monseñor Alejandro Menchaca Lira - CML")</f>
        <v>Campus Monseñor Alejandro Menchaca Lira - CML</v>
      </c>
      <c r="K415" s="495" t="str">
        <f>IFERROR(__xludf.DUMMYFUNCTION("""COMPUTED_VALUE"""),"02")</f>
        <v>02</v>
      </c>
      <c r="L415" s="495" t="str">
        <f>IFERROR(__xludf.DUMMYFUNCTION("""COMPUTED_VALUE"""),"Kume Ruka SpA")</f>
        <v>Kume Ruka SpA</v>
      </c>
      <c r="M415" s="495" t="str">
        <f>IFERROR(__xludf.DUMMYFUNCTION("""COMPUTED_VALUE"""),"77.929.977-5")</f>
        <v>77.929.977-5</v>
      </c>
      <c r="N415" s="495" t="str">
        <f>IFERROR(__xludf.DUMMYFUNCTION("""COMPUTED_VALUE"""),"Hector Zambrano")</f>
        <v>Hector Zambrano</v>
      </c>
      <c r="O415" s="495" t="str">
        <f>IFERROR(__xludf.DUMMYFUNCTION("""COMPUTED_VALUE"""),"Mantenciones")</f>
        <v>Mantenciones</v>
      </c>
      <c r="P415" s="495" t="str">
        <f>IFERROR(__xludf.DUMMYFUNCTION("""COMPUTED_VALUE"""),"Terminaciones Interiores")</f>
        <v>Terminaciones Interiores</v>
      </c>
      <c r="Q415" s="495"/>
      <c r="R415" s="495"/>
      <c r="S415" s="495"/>
      <c r="T415" s="495"/>
      <c r="U415" s="495"/>
      <c r="V415" s="495" t="str">
        <f>IFERROR(__xludf.DUMMYFUNCTION("""COMPUTED_VALUE"""),"REPARACIÓN DE PINTURA BARANDAS METALICAS CAMPUS MENCHACA LIRA")</f>
        <v>REPARACIÓN DE PINTURA BARANDAS METALICAS CAMPUS MENCHACA LIRA</v>
      </c>
      <c r="W415" s="495"/>
      <c r="X415" s="495" t="str">
        <f>IFERROR(__xludf.DUMMYFUNCTION("""COMPUTED_VALUE"""),"https://drive.google.com/open?id=1arA-6bw5uGNCGZ3DvvkPqfZ0YOR_hhpq, https://drive.google.com/open?id=1rrwri0zdRCc3Of-5Ff8LAiyVbRQOUGRv, https://drive.google.com/open?id=1bbwACkC67zIbaMDPw3CyyxrEErRd9ppa, https://drive.google.com/open?id=1EjPyz2LtPQ1EXCEk-"&amp;"lx0lZPxrM4fRMcO, https://drive.google.com/open?id=1JbmAwuGrLcGdpozdUvUAkklxMUW2k5HU")</f>
        <v>https://drive.google.com/open?id=1arA-6bw5uGNCGZ3DvvkPqfZ0YOR_hhpq, https://drive.google.com/open?id=1rrwri0zdRCc3Of-5Ff8LAiyVbRQOUGRv, https://drive.google.com/open?id=1bbwACkC67zIbaMDPw3CyyxrEErRd9ppa, https://drive.google.com/open?id=1EjPyz2LtPQ1EXCEk-lx0lZPxrM4fRMcO, https://drive.google.com/open?id=1JbmAwuGrLcGdpozdUvUAkklxMUW2k5HU</v>
      </c>
      <c r="Y415" s="495" t="str">
        <f>IFERROR(__xludf.DUMMYFUNCTION("""COMPUTED_VALUE"""),"hzambranoleal@gmail.com")</f>
        <v>hzambranoleal@gmail.com</v>
      </c>
      <c r="Z415" s="495"/>
      <c r="AA415" s="495"/>
      <c r="AB415" s="495"/>
      <c r="AC415" s="495"/>
      <c r="AD415" s="495"/>
    </row>
    <row r="416">
      <c r="A416" s="495" t="str">
        <f t="shared" si="1"/>
        <v/>
      </c>
      <c r="B416" s="497">
        <f>IFERROR(__xludf.DUMMYFUNCTION("""COMPUTED_VALUE"""),46034.51729372685)</f>
        <v>46034.51729</v>
      </c>
      <c r="C416" s="495" t="str">
        <f>IFERROR(__xludf.DUMMYFUNCTION("""COMPUTED_VALUE"""),"")</f>
        <v/>
      </c>
      <c r="D416" s="495" t="str">
        <f>IFERROR(__xludf.DUMMYFUNCTION("""COMPUTED_VALUE"""),"Mauricio Zurita Aldea")</f>
        <v>Mauricio Zurita Aldea</v>
      </c>
      <c r="E416" s="495"/>
      <c r="F416" s="496" t="str">
        <f>IFERROR(__xludf.DUMMYFUNCTION("""COMPUTED_VALUE"""),"12179-2025")</f>
        <v>12179-2025</v>
      </c>
      <c r="G416" s="495"/>
      <c r="H416" s="495"/>
      <c r="I416" s="495"/>
      <c r="J416" s="495" t="str">
        <f>IFERROR(__xludf.DUMMYFUNCTION("""COMPUTED_VALUE"""),"Campus Dr. Luis Rivas del Canto - CRC")</f>
        <v>Campus Dr. Luis Rivas del Canto - CRC</v>
      </c>
      <c r="K416" s="495" t="str">
        <f>IFERROR(__xludf.DUMMYFUNCTION("""COMPUTED_VALUE"""),"01")</f>
        <v>01</v>
      </c>
      <c r="L416" s="495" t="str">
        <f>IFERROR(__xludf.DUMMYFUNCTION("""COMPUTED_VALUE"""),"gyg servicios spa")</f>
        <v>gyg servicios spa</v>
      </c>
      <c r="M416" s="495" t="str">
        <f>IFERROR(__xludf.DUMMYFUNCTION("""COMPUTED_VALUE"""),"77.215.624-3")</f>
        <v>77.215.624-3</v>
      </c>
      <c r="N416" s="495" t="str">
        <f>IFERROR(__xludf.DUMMYFUNCTION("""COMPUTED_VALUE"""),"Gustavo Fuentes - supervisor Técnico.")</f>
        <v>Gustavo Fuentes - supervisor Técnico.</v>
      </c>
      <c r="O416" s="495" t="str">
        <f>IFERROR(__xludf.DUMMYFUNCTION("""COMPUTED_VALUE"""),"Mantenciones")</f>
        <v>Mantenciones</v>
      </c>
      <c r="P416" s="495" t="str">
        <f>IFERROR(__xludf.DUMMYFUNCTION("""COMPUTED_VALUE"""),"Instalaciones Eléctricas")</f>
        <v>Instalaciones Eléctricas</v>
      </c>
      <c r="Q416" s="495"/>
      <c r="R416" s="495"/>
      <c r="S416" s="495"/>
      <c r="T416" s="495"/>
      <c r="U416" s="495"/>
      <c r="V416" s="495" t="str">
        <f>IFERROR(__xludf.DUMMYFUNCTION("""COMPUTED_VALUE"""),"instalacion de luminaria")</f>
        <v>instalacion de luminaria</v>
      </c>
      <c r="W416" s="495"/>
      <c r="X416" s="499" t="str">
        <f>IFERROR(__xludf.DUMMYFUNCTION("""COMPUTED_VALUE"""),"https://drive.google.com/open?id=1l8dpZOo92-fqVrNCZfCEchRlf5u7QBOT")</f>
        <v>https://drive.google.com/open?id=1l8dpZOo92-fqVrNCZfCEchRlf5u7QBOT</v>
      </c>
      <c r="Y416" s="495" t="str">
        <f>IFERROR(__xludf.DUMMYFUNCTION("""COMPUTED_VALUE"""),"contacto@gygtecnologias.com")</f>
        <v>contacto@gygtecnologias.com</v>
      </c>
      <c r="Z416" s="495"/>
      <c r="AA416" s="495"/>
      <c r="AB416" s="495"/>
      <c r="AC416" s="495"/>
      <c r="AD416" s="495"/>
    </row>
    <row r="417">
      <c r="A417" s="495" t="str">
        <f t="shared" si="1"/>
        <v>RC-094_26</v>
      </c>
      <c r="B417" s="497">
        <f>IFERROR(__xludf.DUMMYFUNCTION("""COMPUTED_VALUE"""),46128.81635890046)</f>
        <v>46128.81636</v>
      </c>
      <c r="C417" s="495" t="str">
        <f>IFERROR(__xludf.DUMMYFUNCTION("""COMPUTED_VALUE"""),"")</f>
        <v/>
      </c>
      <c r="D417" s="495" t="str">
        <f>IFERROR(__xludf.DUMMYFUNCTION("""COMPUTED_VALUE"""),"Mauricio Zurita Aldea")</f>
        <v>Mauricio Zurita Aldea</v>
      </c>
      <c r="E417" s="495"/>
      <c r="F417" s="496" t="str">
        <f>IFERROR(__xludf.DUMMYFUNCTION("""COMPUTED_VALUE"""),"13338-2025")</f>
        <v>13338-2025</v>
      </c>
      <c r="G417" s="495"/>
      <c r="H417" s="495"/>
      <c r="I417" s="495"/>
      <c r="J417" s="495" t="str">
        <f>IFERROR(__xludf.DUMMYFUNCTION("""COMPUTED_VALUE"""),"Campus San Francisco - CSF")</f>
        <v>Campus San Francisco - CSF</v>
      </c>
      <c r="K417" s="495">
        <f>IFERROR(__xludf.DUMMYFUNCTION("""COMPUTED_VALUE"""),11.0)</f>
        <v>11</v>
      </c>
      <c r="L417" s="495" t="str">
        <f>IFERROR(__xludf.DUMMYFUNCTION("""COMPUTED_VALUE"""),"TECHNOLOGY INVESTMENT G&amp;O SPA")</f>
        <v>TECHNOLOGY INVESTMENT G&amp;O SPA</v>
      </c>
      <c r="M417" s="495" t="str">
        <f>IFERROR(__xludf.DUMMYFUNCTION("""COMPUTED_VALUE"""),"78.097.456-7")</f>
        <v>78.097.456-7</v>
      </c>
      <c r="N417" s="495" t="str">
        <f>IFERROR(__xludf.DUMMYFUNCTION("""COMPUTED_VALUE"""),"FELIPE OPORTO, DIRECTOR DE OPERACIONES")</f>
        <v>FELIPE OPORTO, DIRECTOR DE OPERACIONES</v>
      </c>
      <c r="O417" s="495" t="str">
        <f>IFERROR(__xludf.DUMMYFUNCTION("""COMPUTED_VALUE"""),"Obras y Especialidades")</f>
        <v>Obras y Especialidades</v>
      </c>
      <c r="P417" s="495"/>
      <c r="Q417" s="495"/>
      <c r="R417" s="495" t="str">
        <f>IFERROR(__xludf.DUMMYFUNCTION("""COMPUTED_VALUE"""),"Especialidades")</f>
        <v>Especialidades</v>
      </c>
      <c r="S417" s="495" t="str">
        <f>IFERROR(__xludf.DUMMYFUNCTION("""COMPUTED_VALUE"""),"Estado de Pago - EP")</f>
        <v>Estado de Pago - EP</v>
      </c>
      <c r="T417" s="495">
        <f>IFERROR(__xludf.DUMMYFUNCTION("""COMPUTED_VALUE"""),2.0)</f>
        <v>2</v>
      </c>
      <c r="U417" s="498">
        <f>IFERROR(__xludf.DUMMYFUNCTION("""COMPUTED_VALUE"""),1.1550802E7)</f>
        <v>11550802</v>
      </c>
      <c r="V417" s="495" t="str">
        <f>IFERROR(__xludf.DUMMYFUNCTION("""COMPUTED_VALUE"""),"INSTALACION DE SISTEMA DE CONTROL REMOTO Y AUTOMATIZADO DE CALDERAS DE CALEFACCION, INTERVINIENDO EL MODULO ELECTRICO DEL PANEL DE CALDERA, INTEGRANDO EQUIPAMIENTO DE CONTROL Y TRASMISION, SOFTWARE DE INTEGRACION Y FRONT. SE REALIZO ESTUDIO, INTEGRACION D"&amp;"E COMPONENTES DE CONTROL, PRUEBAS EN LABORATORIO, MONTAJE DEL SISTEMA, INTEGRACION CON SISTEMA INSTALADO, PRUEBAS OPERACIONALES, REUNION DE INFORMACION SOBRE EL SISTEMA INSTALADO.")</f>
        <v>INSTALACION DE SISTEMA DE CONTROL REMOTO Y AUTOMATIZADO DE CALDERAS DE CALEFACCION, INTERVINIENDO EL MODULO ELECTRICO DEL PANEL DE CALDERA, INTEGRANDO EQUIPAMIENTO DE CONTROL Y TRASMISION, SOFTWARE DE INTEGRACION Y FRONT. SE REALIZO ESTUDIO, INTEGRACION DE COMPONENTES DE CONTROL, PRUEBAS EN LABORATORIO, MONTAJE DEL SISTEMA, INTEGRACION CON SISTEMA INSTALADO, PRUEBAS OPERACIONALES, REUNION DE INFORMACION SOBRE EL SISTEMA INSTALADO.</v>
      </c>
      <c r="W417" s="495" t="str">
        <f>IFERROR(__xludf.DUMMYFUNCTION("""COMPUTED_VALUE"""),"NUESTRA EMPRESA PROVEE EL SERVICIO MENSUAL DE TRANSMISION E INTREACION DE LOS SISTEMAS INFORMATICOS DE CONTROL, POR LO QUE EL SEGUIMIENTO ES CONTANTE MIENTRAS DURE EL PERIODO DE TRABAJO")</f>
        <v>NUESTRA EMPRESA PROVEE EL SERVICIO MENSUAL DE TRANSMISION E INTREACION DE LOS SISTEMAS INFORMATICOS DE CONTROL, POR LO QUE EL SEGUIMIENTO ES CONTANTE MIENTRAS DURE EL PERIODO DE TRABAJO</v>
      </c>
      <c r="X417" s="495" t="str">
        <f>IFERROR(__xludf.DUMMYFUNCTION("""COMPUTED_VALUE"""),"https://drive.google.com/open?id=1DlLpabjkjRchf6dSlN087t1X8Dnl-D-B, https://drive.google.com/open?id=1Iyapbp3237trGEjgroYtKMkXO7VZUoad, https://drive.google.com/open?id=1GJm8FGPVLG89ieXRgbG2tYPVkOWRyVOj, https://drive.google.com/open?id=1XyTfmVW1MNCBgkP6z"&amp;"RdE7hZxwbk70o2N, https://drive.google.com/open?id=1S8snD-ODz8bd3kNs-IXnzuvG5mxYEkF6")</f>
        <v>https://drive.google.com/open?id=1DlLpabjkjRchf6dSlN087t1X8Dnl-D-B, https://drive.google.com/open?id=1Iyapbp3237trGEjgroYtKMkXO7VZUoad, https://drive.google.com/open?id=1GJm8FGPVLG89ieXRgbG2tYPVkOWRyVOj, https://drive.google.com/open?id=1XyTfmVW1MNCBgkP6zRdE7hZxwbk70o2N, https://drive.google.com/open?id=1S8snD-ODz8bd3kNs-IXnzuvG5mxYEkF6</v>
      </c>
      <c r="Y417" s="495" t="str">
        <f>IFERROR(__xludf.DUMMYFUNCTION("""COMPUTED_VALUE"""),"contacto@gyotechnologies.com")</f>
        <v>contacto@gyotechnologies.com</v>
      </c>
      <c r="Z417" s="498">
        <f>IFERROR(__xludf.DUMMYFUNCTION("""COMPUTED_VALUE"""),2.0367191E7)</f>
        <v>20367191</v>
      </c>
      <c r="AA417" s="495"/>
      <c r="AB417" s="495"/>
      <c r="AC417" s="495"/>
      <c r="AD417" s="495" t="str">
        <f>IFERROR(__xludf.DUMMYFUNCTION("""COMPUTED_VALUE"""),"RC-094_26")</f>
        <v>RC-094_26</v>
      </c>
    </row>
    <row r="418">
      <c r="A418" s="495" t="str">
        <f t="shared" si="1"/>
        <v/>
      </c>
      <c r="B418" s="497">
        <f>IFERROR(__xludf.DUMMYFUNCTION("""COMPUTED_VALUE"""),46034.511672939814)</f>
        <v>46034.51167</v>
      </c>
      <c r="C418" s="495" t="str">
        <f>IFERROR(__xludf.DUMMYFUNCTION("""COMPUTED_VALUE"""),"")</f>
        <v/>
      </c>
      <c r="D418" s="495" t="str">
        <f>IFERROR(__xludf.DUMMYFUNCTION("""COMPUTED_VALUE"""),"Mauricio Zurita Aldea")</f>
        <v>Mauricio Zurita Aldea</v>
      </c>
      <c r="E418" s="495"/>
      <c r="F418" s="496" t="str">
        <f>IFERROR(__xludf.DUMMYFUNCTION("""COMPUTED_VALUE"""),"12744-2025")</f>
        <v>12744-2025</v>
      </c>
      <c r="G418" s="495"/>
      <c r="H418" s="495"/>
      <c r="I418" s="495"/>
      <c r="J418" s="495" t="str">
        <f>IFERROR(__xludf.DUMMYFUNCTION("""COMPUTED_VALUE"""),"Campus Prieto Norte - CHS")</f>
        <v>Campus Prieto Norte - CHS</v>
      </c>
      <c r="K418" s="495" t="str">
        <f>IFERROR(__xludf.DUMMYFUNCTION("""COMPUTED_VALUE"""),"01")</f>
        <v>01</v>
      </c>
      <c r="L418" s="495" t="str">
        <f>IFERROR(__xludf.DUMMYFUNCTION("""COMPUTED_VALUE"""),"gyg servicios spa.")</f>
        <v>gyg servicios spa.</v>
      </c>
      <c r="M418" s="495" t="str">
        <f>IFERROR(__xludf.DUMMYFUNCTION("""COMPUTED_VALUE"""),"77215624-3")</f>
        <v>77215624-3</v>
      </c>
      <c r="N418" s="495" t="str">
        <f>IFERROR(__xludf.DUMMYFUNCTION("""COMPUTED_VALUE"""),"Gustavo Fuentes - supervisor Técnico.
")</f>
        <v>Gustavo Fuentes - supervisor Técnico.
</v>
      </c>
      <c r="O418" s="495" t="str">
        <f>IFERROR(__xludf.DUMMYFUNCTION("""COMPUTED_VALUE"""),"Mantenciones")</f>
        <v>Mantenciones</v>
      </c>
      <c r="P418" s="495" t="str">
        <f>IFERROR(__xludf.DUMMYFUNCTION("""COMPUTED_VALUE"""),"Instalaciones Eléctricas")</f>
        <v>Instalaciones Eléctricas</v>
      </c>
      <c r="Q418" s="495"/>
      <c r="R418" s="495"/>
      <c r="S418" s="495"/>
      <c r="T418" s="495"/>
      <c r="U418" s="495"/>
      <c r="V418" s="495" t="str">
        <f>IFERROR(__xludf.DUMMYFUNCTION("""COMPUTED_VALUE"""),"instalacion de control de acceso")</f>
        <v>instalacion de control de acceso</v>
      </c>
      <c r="W418" s="495"/>
      <c r="X418" s="495" t="str">
        <f>IFERROR(__xludf.DUMMYFUNCTION("""COMPUTED_VALUE"""),"https://drive.google.com/open?id=15q-gEBuPh78_HE5WwiND47zvPF3ZAfX_, https://drive.google.com/open?id=10BoJGD9wH_i_WQ58R5RO38d4ma8N8kBq, https://drive.google.com/open?id=1aGQspaaerKnwjaKGknnY_TFIPM0Om-fI, https://drive.google.com/open?id=1xYmuX3omZV0rDsSo4"&amp;"wLhCBGEpTZD96su")</f>
        <v>https://drive.google.com/open?id=15q-gEBuPh78_HE5WwiND47zvPF3ZAfX_, https://drive.google.com/open?id=10BoJGD9wH_i_WQ58R5RO38d4ma8N8kBq, https://drive.google.com/open?id=1aGQspaaerKnwjaKGknnY_TFIPM0Om-fI, https://drive.google.com/open?id=1xYmuX3omZV0rDsSo4wLhCBGEpTZD96su</v>
      </c>
      <c r="Y418" s="495" t="str">
        <f>IFERROR(__xludf.DUMMYFUNCTION("""COMPUTED_VALUE"""),"contacto@gygtecnologias.com")</f>
        <v>contacto@gygtecnologias.com</v>
      </c>
      <c r="Z418" s="495"/>
      <c r="AA418" s="495"/>
      <c r="AB418" s="495"/>
      <c r="AC418" s="495"/>
      <c r="AD418" s="495"/>
    </row>
    <row r="419">
      <c r="A419" s="495" t="str">
        <f t="shared" si="1"/>
        <v>RC-096_26</v>
      </c>
      <c r="B419" s="497">
        <f>IFERROR(__xludf.DUMMYFUNCTION("""COMPUTED_VALUE"""),46129.52722902778)</f>
        <v>46129.52723</v>
      </c>
      <c r="C419" s="495" t="str">
        <f>IFERROR(__xludf.DUMMYFUNCTION("""COMPUTED_VALUE"""),"")</f>
        <v/>
      </c>
      <c r="D419" s="495" t="str">
        <f>IFERROR(__xludf.DUMMYFUNCTION("""COMPUTED_VALUE"""),"Juan Ignacio Solís de Ovando")</f>
        <v>Juan Ignacio Solís de Ovando</v>
      </c>
      <c r="E419" s="495"/>
      <c r="F419" s="496" t="str">
        <f>IFERROR(__xludf.DUMMYFUNCTION("""COMPUTED_VALUE"""),"11643-2025")</f>
        <v>11643-2025</v>
      </c>
      <c r="G419" s="495"/>
      <c r="H419" s="495"/>
      <c r="I419" s="495"/>
      <c r="J419" s="495" t="str">
        <f>IFERROR(__xludf.DUMMYFUNCTION("""COMPUTED_VALUE"""),"Campus San Francisco - CSF")</f>
        <v>Campus San Francisco - CSF</v>
      </c>
      <c r="K419" s="495" t="str">
        <f>IFERROR(__xludf.DUMMYFUNCTION("""COMPUTED_VALUE"""),"01")</f>
        <v>01</v>
      </c>
      <c r="L419" s="495" t="str">
        <f>IFERROR(__xludf.DUMMYFUNCTION("""COMPUTED_VALUE"""),"INGTRAPP spa")</f>
        <v>INGTRAPP spa</v>
      </c>
      <c r="M419" s="495" t="str">
        <f>IFERROR(__xludf.DUMMYFUNCTION("""COMPUTED_VALUE"""),"78.202.133-8")</f>
        <v>78.202.133-8</v>
      </c>
      <c r="N419" s="495" t="str">
        <f>IFERROR(__xludf.DUMMYFUNCTION("""COMPUTED_VALUE"""),"PATRICK gutierrez")</f>
        <v>PATRICK gutierrez</v>
      </c>
      <c r="O419" s="495" t="str">
        <f>IFERROR(__xludf.DUMMYFUNCTION("""COMPUTED_VALUE"""),"Obras y Especialidades")</f>
        <v>Obras y Especialidades</v>
      </c>
      <c r="P419" s="495"/>
      <c r="Q419" s="495"/>
      <c r="R419" s="495" t="str">
        <f>IFERROR(__xludf.DUMMYFUNCTION("""COMPUTED_VALUE"""),"Exteriores")</f>
        <v>Exteriores</v>
      </c>
      <c r="S419" s="495" t="str">
        <f>IFERROR(__xludf.DUMMYFUNCTION("""COMPUTED_VALUE"""),"Recepción de Obra - RC")</f>
        <v>Recepción de Obra - RC</v>
      </c>
      <c r="T419" s="495"/>
      <c r="U419" s="495"/>
      <c r="V419" s="495" t="str">
        <f>IFERROR(__xludf.DUMMYFUNCTION("""COMPUTED_VALUE"""),"REPOSICIÓN DE BALDOSAS GRECA ACCESO CAMPUS SAN FRANCISCO")</f>
        <v>REPOSICIÓN DE BALDOSAS GRECA ACCESO CAMPUS SAN FRANCISCO</v>
      </c>
      <c r="W419" s="495"/>
      <c r="X419" s="499" t="str">
        <f>IFERROR(__xludf.DUMMYFUNCTION("""COMPUTED_VALUE"""),"https://drive.google.com/open?id=1Wbb9ts8hcZ_nwY0EbRVta3IAgPsouy29")</f>
        <v>https://drive.google.com/open?id=1Wbb9ts8hcZ_nwY0EbRVta3IAgPsouy29</v>
      </c>
      <c r="Y419" s="495" t="str">
        <f>IFERROR(__xludf.DUMMYFUNCTION("""COMPUTED_VALUE"""),"constructoraingtrapp@gmail.con")</f>
        <v>constructoraingtrapp@gmail.con</v>
      </c>
      <c r="Z419" s="498">
        <f>IFERROR(__xludf.DUMMYFUNCTION("""COMPUTED_VALUE"""),3246328.0)</f>
        <v>3246328</v>
      </c>
      <c r="AA419" s="495"/>
      <c r="AB419" s="495"/>
      <c r="AC419" s="495"/>
      <c r="AD419" s="495" t="str">
        <f>IFERROR(__xludf.DUMMYFUNCTION("""COMPUTED_VALUE"""),"RC-096_26")</f>
        <v>RC-096_26</v>
      </c>
    </row>
    <row r="420">
      <c r="A420" s="495" t="str">
        <f t="shared" si="1"/>
        <v/>
      </c>
      <c r="B420" s="497">
        <f>IFERROR(__xludf.DUMMYFUNCTION("""COMPUTED_VALUE"""),46034.48773519676)</f>
        <v>46034.48774</v>
      </c>
      <c r="C420" s="495" t="str">
        <f>IFERROR(__xludf.DUMMYFUNCTION("""COMPUTED_VALUE"""),"")</f>
        <v/>
      </c>
      <c r="D420" s="495" t="str">
        <f>IFERROR(__xludf.DUMMYFUNCTION("""COMPUTED_VALUE"""),"Carol Huenchual Chañilao")</f>
        <v>Carol Huenchual Chañilao</v>
      </c>
      <c r="E420" s="495"/>
      <c r="F420" s="496" t="str">
        <f>IFERROR(__xludf.DUMMYFUNCTION("""COMPUTED_VALUE"""),"7753-2025")</f>
        <v>7753-2025</v>
      </c>
      <c r="G420" s="495"/>
      <c r="H420" s="495"/>
      <c r="I420" s="495"/>
      <c r="J420" s="495" t="str">
        <f>IFERROR(__xludf.DUMMYFUNCTION("""COMPUTED_VALUE"""),"Campus San Francisco - CSF")</f>
        <v>Campus San Francisco - CSF</v>
      </c>
      <c r="K420" s="495" t="str">
        <f>IFERROR(__xludf.DUMMYFUNCTION("""COMPUTED_VALUE"""),"08")</f>
        <v>08</v>
      </c>
      <c r="L420" s="495" t="str">
        <f>IFERROR(__xludf.DUMMYFUNCTION("""COMPUTED_VALUE"""),"Construccionesluisexequielsoliscatalane.i.r.l")</f>
        <v>Construccionesluisexequielsoliscatalane.i.r.l</v>
      </c>
      <c r="M420" s="495">
        <f>IFERROR(__xludf.DUMMYFUNCTION("""COMPUTED_VALUE"""),7.72806353E8)</f>
        <v>772806353</v>
      </c>
      <c r="N420" s="495" t="str">
        <f>IFERROR(__xludf.DUMMYFUNCTION("""COMPUTED_VALUE"""),"Luis solis")</f>
        <v>Luis solis</v>
      </c>
      <c r="O420" s="495" t="str">
        <f>IFERROR(__xludf.DUMMYFUNCTION("""COMPUTED_VALUE"""),"Mantenciones")</f>
        <v>Mantenciones</v>
      </c>
      <c r="P420" s="495" t="str">
        <f>IFERROR(__xludf.DUMMYFUNCTION("""COMPUTED_VALUE"""),"Cerramientos Verticales")</f>
        <v>Cerramientos Verticales</v>
      </c>
      <c r="Q420" s="495"/>
      <c r="R420" s="495"/>
      <c r="S420" s="495"/>
      <c r="T420" s="495"/>
      <c r="U420" s="495"/>
      <c r="V420" s="495" t="str">
        <f>IFERROR(__xludf.DUMMYFUNCTION("""COMPUTED_VALUE"""),"Perforaciones y sellos ")</f>
        <v>Perforaciones y sellos </v>
      </c>
      <c r="W420" s="495" t="str">
        <f>IFERROR(__xludf.DUMMYFUNCTION("""COMPUTED_VALUE"""),"Se adjunta fotografia")</f>
        <v>Se adjunta fotografia</v>
      </c>
      <c r="X420" s="495" t="str">
        <f>IFERROR(__xludf.DUMMYFUNCTION("""COMPUTED_VALUE"""),"https://drive.google.com/open?id=1O4j1jpJOUCmnMkkqWP5g3VWS0cMtzpI_, https://drive.google.com/open?id=1F88xg315IGr4KfVfgi6fxCEfu0RmgBqc, https://drive.google.com/open?id=1-CUFj050LW6Zy-CwB1vb7LraX2xOY-9L, https://drive.google.com/open?id=1HMz6JBQb12tIyzLOY"&amp;"01fgIwR0bh-TLry, https://drive.google.com/open?id=1Xjg_AQ_94KE9hVuCH4P7G0OiP2UYh1o8")</f>
        <v>https://drive.google.com/open?id=1O4j1jpJOUCmnMkkqWP5g3VWS0cMtzpI_, https://drive.google.com/open?id=1F88xg315IGr4KfVfgi6fxCEfu0RmgBqc, https://drive.google.com/open?id=1-CUFj050LW6Zy-CwB1vb7LraX2xOY-9L, https://drive.google.com/open?id=1HMz6JBQb12tIyzLOY01fgIwR0bh-TLry, https://drive.google.com/open?id=1Xjg_AQ_94KE9hVuCH4P7G0OiP2UYh1o8</v>
      </c>
      <c r="Y420" s="495" t="str">
        <f>IFERROR(__xludf.DUMMYFUNCTION("""COMPUTED_VALUE"""),"LUIS.EXEQUIELSOLIS@GMAIL.COM")</f>
        <v>LUIS.EXEQUIELSOLIS@GMAIL.COM</v>
      </c>
      <c r="Z420" s="495"/>
      <c r="AA420" s="495"/>
      <c r="AB420" s="495"/>
      <c r="AC420" s="495"/>
      <c r="AD420" s="495"/>
    </row>
    <row r="421">
      <c r="A421" s="495" t="str">
        <f t="shared" si="1"/>
        <v/>
      </c>
      <c r="B421" s="497">
        <f>IFERROR(__xludf.DUMMYFUNCTION("""COMPUTED_VALUE"""),46030.83542672454)</f>
        <v>46030.83543</v>
      </c>
      <c r="C421" s="495" t="str">
        <f>IFERROR(__xludf.DUMMYFUNCTION("""COMPUTED_VALUE"""),"")</f>
        <v/>
      </c>
      <c r="D421" s="495" t="str">
        <f>IFERROR(__xludf.DUMMYFUNCTION("""COMPUTED_VALUE"""),"Carol Huenchual Chañilao")</f>
        <v>Carol Huenchual Chañilao</v>
      </c>
      <c r="E421" s="495"/>
      <c r="F421" s="496" t="str">
        <f>IFERROR(__xludf.DUMMYFUNCTION("""COMPUTED_VALUE"""),"72 - 2026")</f>
        <v>72 - 2026</v>
      </c>
      <c r="G421" s="495"/>
      <c r="H421" s="495"/>
      <c r="I421" s="495"/>
      <c r="J421" s="495" t="str">
        <f>IFERROR(__xludf.DUMMYFUNCTION("""COMPUTED_VALUE"""),"Campus San Francisco - CSF")</f>
        <v>Campus San Francisco - CSF</v>
      </c>
      <c r="K421" s="495">
        <f>IFERROR(__xludf.DUMMYFUNCTION("""COMPUTED_VALUE"""),14.0)</f>
        <v>14</v>
      </c>
      <c r="L421" s="495" t="str">
        <f>IFERROR(__xludf.DUMMYFUNCTION("""COMPUTED_VALUE"""),"SOC. GONZALEZ GAJARDO Y CIA. LTDA")</f>
        <v>SOC. GONZALEZ GAJARDO Y CIA. LTDA</v>
      </c>
      <c r="M421" s="495" t="str">
        <f>IFERROR(__xludf.DUMMYFUNCTION("""COMPUTED_VALUE"""),"76.265.749-K")</f>
        <v>76.265.749-K</v>
      </c>
      <c r="N421" s="495" t="str">
        <f>IFERROR(__xludf.DUMMYFUNCTION("""COMPUTED_VALUE"""),"MARCELO GONZALEZ - SUPERVISOR")</f>
        <v>MARCELO GONZALEZ - SUPERVISOR</v>
      </c>
      <c r="O421" s="495" t="str">
        <f>IFERROR(__xludf.DUMMYFUNCTION("""COMPUTED_VALUE"""),"Mantenciones")</f>
        <v>Mantenciones</v>
      </c>
      <c r="P421" s="495" t="str">
        <f>IFERROR(__xludf.DUMMYFUNCTION("""COMPUTED_VALUE"""),"Requerimientos Emergentes e Imprevistos")</f>
        <v>Requerimientos Emergentes e Imprevistos</v>
      </c>
      <c r="Q421" s="495"/>
      <c r="R421" s="495"/>
      <c r="S421" s="495"/>
      <c r="T421" s="495"/>
      <c r="U421" s="495"/>
      <c r="V421" s="495" t="str">
        <f>IFERROR(__xludf.DUMMYFUNCTION("""COMPUTED_VALUE"""),"REEMPLAZO DE ELECTROBOMBA, REVISION DE CONTROL DE NIVEL Y REVISION TABLERO ELECTRICO")</f>
        <v>REEMPLAZO DE ELECTROBOMBA, REVISION DE CONTROL DE NIVEL Y REVISION TABLERO ELECTRICO</v>
      </c>
      <c r="W421" s="495" t="str">
        <f>IFERROR(__xludf.DUMMYFUNCTION("""COMPUTED_VALUE"""),"NO REQUIERE")</f>
        <v>NO REQUIERE</v>
      </c>
      <c r="X421" s="495" t="str">
        <f>IFERROR(__xludf.DUMMYFUNCTION("""COMPUTED_VALUE"""),"https://drive.google.com/open?id=1DLlHvCBV-Kd-HEWHRLOUWAGJKK09w1M6, https://drive.google.com/open?id=1HR1FIIXq-mSTHW0G3T4CcG0B0LUWaNro")</f>
        <v>https://drive.google.com/open?id=1DLlHvCBV-Kd-HEWHRLOUWAGJKK09w1M6, https://drive.google.com/open?id=1HR1FIIXq-mSTHW0G3T4CcG0B0LUWaNro</v>
      </c>
      <c r="Y421" s="495" t="str">
        <f>IFERROR(__xludf.DUMMYFUNCTION("""COMPUTED_VALUE"""),"operaciones@tecfull.cl")</f>
        <v>operaciones@tecfull.cl</v>
      </c>
      <c r="Z421" s="495"/>
      <c r="AA421" s="495"/>
      <c r="AB421" s="495"/>
      <c r="AC421" s="495"/>
      <c r="AD421" s="495"/>
    </row>
    <row r="422">
      <c r="A422" s="495" t="str">
        <f t="shared" si="1"/>
        <v>RC-099_26</v>
      </c>
      <c r="B422" s="497">
        <f>IFERROR(__xludf.DUMMYFUNCTION("""COMPUTED_VALUE"""),46132.539859502314)</f>
        <v>46132.53986</v>
      </c>
      <c r="C422" s="495" t="str">
        <f>IFERROR(__xludf.DUMMYFUNCTION("""COMPUTED_VALUE"""),"")</f>
        <v/>
      </c>
      <c r="D422" s="495" t="str">
        <f>IFERROR(__xludf.DUMMYFUNCTION("""COMPUTED_VALUE"""),"Leonor Ríos Morales")</f>
        <v>Leonor Ríos Morales</v>
      </c>
      <c r="E422" s="495"/>
      <c r="F422" s="496" t="str">
        <f>IFERROR(__xludf.DUMMYFUNCTION("""COMPUTED_VALUE"""),"9243-2025")</f>
        <v>9243-2025</v>
      </c>
      <c r="G422" s="495"/>
      <c r="H422" s="495"/>
      <c r="I422" s="495"/>
      <c r="J422" s="495" t="str">
        <f>IFERROR(__xludf.DUMMYFUNCTION("""COMPUTED_VALUE"""),"Campus San Francisco - CSF")</f>
        <v>Campus San Francisco - CSF</v>
      </c>
      <c r="K422" s="495" t="str">
        <f>IFERROR(__xludf.DUMMYFUNCTION("""COMPUTED_VALUE"""),"02")</f>
        <v>02</v>
      </c>
      <c r="L422" s="495" t="str">
        <f>IFERROR(__xludf.DUMMYFUNCTION("""COMPUTED_VALUE"""),"MELMAN SPA")</f>
        <v>MELMAN SPA</v>
      </c>
      <c r="M422" s="495" t="str">
        <f>IFERROR(__xludf.DUMMYFUNCTION("""COMPUTED_VALUE"""),"96.882.140-7")</f>
        <v>96.882.140-7</v>
      </c>
      <c r="N422" s="495" t="str">
        <f>IFERROR(__xludf.DUMMYFUNCTION("""COMPUTED_VALUE"""),"Yasna Venegas")</f>
        <v>Yasna Venegas</v>
      </c>
      <c r="O422" s="495" t="str">
        <f>IFERROR(__xludf.DUMMYFUNCTION("""COMPUTED_VALUE"""),"Obras y Especialidades")</f>
        <v>Obras y Especialidades</v>
      </c>
      <c r="P422" s="495"/>
      <c r="Q422" s="495"/>
      <c r="R422" s="495" t="str">
        <f>IFERROR(__xludf.DUMMYFUNCTION("""COMPUTED_VALUE"""),"Remodelación")</f>
        <v>Remodelación</v>
      </c>
      <c r="S422" s="495" t="str">
        <f>IFERROR(__xludf.DUMMYFUNCTION("""COMPUTED_VALUE"""),"Recepción de Obra - RC")</f>
        <v>Recepción de Obra - RC</v>
      </c>
      <c r="T422" s="495"/>
      <c r="U422" s="495"/>
      <c r="V422" s="495" t="str">
        <f>IFERROR(__xludf.DUMMYFUNCTION("""COMPUTED_VALUE"""),"MOBILIARIO TIPO CO-WORK PARA ESPACIO DE GENERO EN 3ER PISO DE BIBLIOTECA, CON EL OBJETIVO DE FOMENTAR UN ESPACIO DE ACCESO ABIERTO, DINÁMICO Y PERMANENTE A CONTENIDOS RELACIONADOS CON LOS ESTUDIOS DE GENERO")</f>
        <v>MOBILIARIO TIPO CO-WORK PARA ESPACIO DE GENERO EN 3ER PISO DE BIBLIOTECA, CON EL OBJETIVO DE FOMENTAR UN ESPACIO DE ACCESO ABIERTO, DINÁMICO Y PERMANENTE A CONTENIDOS RELACIONADOS CON LOS ESTUDIOS DE GENERO</v>
      </c>
      <c r="W422" s="495"/>
      <c r="X422" s="495" t="str">
        <f>IFERROR(__xludf.DUMMYFUNCTION("""COMPUTED_VALUE"""),"https://drive.google.com/open?id=11a4hxVsCnKjPDgwhy9VyEHZrna3jseOy, https://drive.google.com/open?id=1XydITyO3GSydE8YV4qxEK2GqSrNHMfhi, https://drive.google.com/open?id=1QxLRJuydrW-TDk8lo55dEcVDqNkv27l9, https://drive.google.com/open?id=1b5wc8QtF78T5dlVC7"&amp;"bWBIKYhPMZy_9Cm, https://drive.google.com/open?id=16e71TouzA1wY_LWxub3bRR2Y1-dUbyuC")</f>
        <v>https://drive.google.com/open?id=11a4hxVsCnKjPDgwhy9VyEHZrna3jseOy, https://drive.google.com/open?id=1XydITyO3GSydE8YV4qxEK2GqSrNHMfhi, https://drive.google.com/open?id=1QxLRJuydrW-TDk8lo55dEcVDqNkv27l9, https://drive.google.com/open?id=1b5wc8QtF78T5dlVC7bWBIKYhPMZy_9Cm, https://drive.google.com/open?id=16e71TouzA1wY_LWxub3bRR2Y1-dUbyuC</v>
      </c>
      <c r="Y422" s="495" t="str">
        <f>IFERROR(__xludf.DUMMYFUNCTION("""COMPUTED_VALUE"""),"yvenegas@melman.cl")</f>
        <v>yvenegas@melman.cl</v>
      </c>
      <c r="Z422" s="498">
        <f>IFERROR(__xludf.DUMMYFUNCTION("""COMPUTED_VALUE"""),2.000405E7)</f>
        <v>20004050</v>
      </c>
      <c r="AA422" s="495"/>
      <c r="AB422" s="495"/>
      <c r="AC422" s="495"/>
      <c r="AD422" s="495" t="str">
        <f>IFERROR(__xludf.DUMMYFUNCTION("""COMPUTED_VALUE"""),"RC-099_26")</f>
        <v>RC-099_26</v>
      </c>
    </row>
    <row r="423">
      <c r="A423" s="495" t="str">
        <f t="shared" si="1"/>
        <v>RC-100_26</v>
      </c>
      <c r="B423" s="497">
        <f>IFERROR(__xludf.DUMMYFUNCTION("""COMPUTED_VALUE"""),46132.54701869213)</f>
        <v>46132.54702</v>
      </c>
      <c r="C423" s="495" t="str">
        <f>IFERROR(__xludf.DUMMYFUNCTION("""COMPUTED_VALUE"""),"")</f>
        <v/>
      </c>
      <c r="D423" s="495" t="str">
        <f>IFERROR(__xludf.DUMMYFUNCTION("""COMPUTED_VALUE"""),"Leonor Ríos Morales")</f>
        <v>Leonor Ríos Morales</v>
      </c>
      <c r="E423" s="495"/>
      <c r="F423" s="496" t="str">
        <f>IFERROR(__xludf.DUMMYFUNCTION("""COMPUTED_VALUE"""),"10964-2025")</f>
        <v>10964-2025</v>
      </c>
      <c r="G423" s="495"/>
      <c r="H423" s="495"/>
      <c r="I423" s="495"/>
      <c r="J423" s="495" t="str">
        <f>IFERROR(__xludf.DUMMYFUNCTION("""COMPUTED_VALUE"""),"Campus San Francisco - CSF")</f>
        <v>Campus San Francisco - CSF</v>
      </c>
      <c r="K423" s="495" t="str">
        <f>IFERROR(__xludf.DUMMYFUNCTION("""COMPUTED_VALUE"""),"02")</f>
        <v>02</v>
      </c>
      <c r="L423" s="495" t="str">
        <f>IFERROR(__xludf.DUMMYFUNCTION("""COMPUTED_VALUE"""),"MELMAN SPA")</f>
        <v>MELMAN SPA</v>
      </c>
      <c r="M423" s="495" t="str">
        <f>IFERROR(__xludf.DUMMYFUNCTION("""COMPUTED_VALUE"""),"96.882.140-7")</f>
        <v>96.882.140-7</v>
      </c>
      <c r="N423" s="495" t="str">
        <f>IFERROR(__xludf.DUMMYFUNCTION("""COMPUTED_VALUE"""),"Yasna Venegas")</f>
        <v>Yasna Venegas</v>
      </c>
      <c r="O423" s="495" t="str">
        <f>IFERROR(__xludf.DUMMYFUNCTION("""COMPUTED_VALUE"""),"Obras y Especialidades")</f>
        <v>Obras y Especialidades</v>
      </c>
      <c r="P423" s="495"/>
      <c r="Q423" s="495"/>
      <c r="R423" s="495" t="str">
        <f>IFERROR(__xludf.DUMMYFUNCTION("""COMPUTED_VALUE"""),"Remodelación")</f>
        <v>Remodelación</v>
      </c>
      <c r="S423" s="495" t="str">
        <f>IFERROR(__xludf.DUMMYFUNCTION("""COMPUTED_VALUE"""),"Recepción de Obra - RC")</f>
        <v>Recepción de Obra - RC</v>
      </c>
      <c r="T423" s="495"/>
      <c r="U423" s="495"/>
      <c r="V423" s="495" t="str">
        <f>IFERROR(__xludf.DUMMYFUNCTION("""COMPUTED_VALUE"""),"ETAPA 2 Y 3 MOBILIARIO SEGUN COTIZACION. PARA EDIFICIO BIBLIOTECA PRIMER NIVEL CAMPUS SAN FRANCISCO. MOBILIARIO DE GUARDADO, SOFT SEATING, ESCRITORIOS DE COMPUTACION, SILLERIA, MESAS DE ESTUDIO, BIBLIOTECAS")</f>
        <v>ETAPA 2 Y 3 MOBILIARIO SEGUN COTIZACION. PARA EDIFICIO BIBLIOTECA PRIMER NIVEL CAMPUS SAN FRANCISCO. MOBILIARIO DE GUARDADO, SOFT SEATING, ESCRITORIOS DE COMPUTACION, SILLERIA, MESAS DE ESTUDIO, BIBLIOTECAS</v>
      </c>
      <c r="W423" s="495"/>
      <c r="X423" s="495" t="str">
        <f>IFERROR(__xludf.DUMMYFUNCTION("""COMPUTED_VALUE"""),"https://drive.google.com/open?id=10SSaiJUprlJlVHU9-_y9O4ixEj-pYhg1, https://drive.google.com/open?id=1ve1x1Z_U-ULwBbTCd9Y0K8ut5UNZen9r, https://drive.google.com/open?id=1Rg4Pu8LuUtrLtZQXmVeFfOhULJpXOjOa, https://drive.google.com/open?id=1qbQoI95ojIOyWP73L"&amp;"1Z-TZKgMEojFcg1, https://drive.google.com/open?id=1tKt0baNeMV96fr24S5xgNx1Vkf2m-zw8, https://drive.google.com/open?id=1sBlbAjmwOba9qHW3EnoZh2ztHjD7MD_1, https://drive.google.com/open?id=1tS8wq1Bqjr131J2-PB1Iw0-bRkAMtLHd")</f>
        <v>https://drive.google.com/open?id=10SSaiJUprlJlVHU9-_y9O4ixEj-pYhg1, https://drive.google.com/open?id=1ve1x1Z_U-ULwBbTCd9Y0K8ut5UNZen9r, https://drive.google.com/open?id=1Rg4Pu8LuUtrLtZQXmVeFfOhULJpXOjOa, https://drive.google.com/open?id=1qbQoI95ojIOyWP73L1Z-TZKgMEojFcg1, https://drive.google.com/open?id=1tKt0baNeMV96fr24S5xgNx1Vkf2m-zw8, https://drive.google.com/open?id=1sBlbAjmwOba9qHW3EnoZh2ztHjD7MD_1, https://drive.google.com/open?id=1tS8wq1Bqjr131J2-PB1Iw0-bRkAMtLHd</v>
      </c>
      <c r="Y423" s="495" t="str">
        <f>IFERROR(__xludf.DUMMYFUNCTION("""COMPUTED_VALUE"""),"yvenegas@melman.com")</f>
        <v>yvenegas@melman.com</v>
      </c>
      <c r="Z423" s="498">
        <f>IFERROR(__xludf.DUMMYFUNCTION("""COMPUTED_VALUE"""),6.7524777E7)</f>
        <v>67524777</v>
      </c>
      <c r="AA423" s="495"/>
      <c r="AB423" s="495"/>
      <c r="AC423" s="495"/>
      <c r="AD423" s="495" t="str">
        <f>IFERROR(__xludf.DUMMYFUNCTION("""COMPUTED_VALUE"""),"RC-100_26")</f>
        <v>RC-100_26</v>
      </c>
    </row>
    <row r="424">
      <c r="A424" s="495" t="str">
        <f t="shared" si="1"/>
        <v/>
      </c>
      <c r="B424" s="497">
        <f>IFERROR(__xludf.DUMMYFUNCTION("""COMPUTED_VALUE"""),46030.829603715276)</f>
        <v>46030.8296</v>
      </c>
      <c r="C424" s="495" t="str">
        <f>IFERROR(__xludf.DUMMYFUNCTION("""COMPUTED_VALUE"""),"")</f>
        <v/>
      </c>
      <c r="D424" s="495" t="str">
        <f>IFERROR(__xludf.DUMMYFUNCTION("""COMPUTED_VALUE"""),"Carol Huenchual Chañilao")</f>
        <v>Carol Huenchual Chañilao</v>
      </c>
      <c r="E424" s="495"/>
      <c r="F424" s="496" t="str">
        <f>IFERROR(__xludf.DUMMYFUNCTION("""COMPUTED_VALUE"""),"69 - 2026")</f>
        <v>69 - 2026</v>
      </c>
      <c r="G424" s="495"/>
      <c r="H424" s="495"/>
      <c r="I424" s="495"/>
      <c r="J424" s="495" t="str">
        <f>IFERROR(__xludf.DUMMYFUNCTION("""COMPUTED_VALUE"""),"Campus San Juan Pablo II - CJP")</f>
        <v>Campus San Juan Pablo II - CJP</v>
      </c>
      <c r="K424" s="495" t="str">
        <f>IFERROR(__xludf.DUMMYFUNCTION("""COMPUTED_VALUE"""),"Exterior")</f>
        <v>Exterior</v>
      </c>
      <c r="L424" s="495" t="str">
        <f>IFERROR(__xludf.DUMMYFUNCTION("""COMPUTED_VALUE"""),"SOC. GONZALEZ GAJARDO Y CIA. LTDA")</f>
        <v>SOC. GONZALEZ GAJARDO Y CIA. LTDA</v>
      </c>
      <c r="M424" s="495" t="str">
        <f>IFERROR(__xludf.DUMMYFUNCTION("""COMPUTED_VALUE"""),"76.265.749-K")</f>
        <v>76.265.749-K</v>
      </c>
      <c r="N424" s="495" t="str">
        <f>IFERROR(__xludf.DUMMYFUNCTION("""COMPUTED_VALUE"""),"MARCELO GONZALEZ - SUPERVISOR")</f>
        <v>MARCELO GONZALEZ - SUPERVISOR</v>
      </c>
      <c r="O424" s="495" t="str">
        <f>IFERROR(__xludf.DUMMYFUNCTION("""COMPUTED_VALUE"""),"Mantenciones")</f>
        <v>Mantenciones</v>
      </c>
      <c r="P424" s="495" t="str">
        <f>IFERROR(__xludf.DUMMYFUNCTION("""COMPUTED_VALUE"""),"Requerimientos Emergentes e Imprevistos")</f>
        <v>Requerimientos Emergentes e Imprevistos</v>
      </c>
      <c r="Q424" s="495"/>
      <c r="R424" s="495"/>
      <c r="S424" s="495"/>
      <c r="T424" s="495"/>
      <c r="U424" s="495"/>
      <c r="V424" s="495" t="str">
        <f>IFERROR(__xludf.DUMMYFUNCTION("""COMPUTED_VALUE"""),"REPARACION CAÑERIAS DAÑADAS POR CAMION")</f>
        <v>REPARACION CAÑERIAS DAÑADAS POR CAMION</v>
      </c>
      <c r="W424" s="495" t="str">
        <f>IFERROR(__xludf.DUMMYFUNCTION("""COMPUTED_VALUE"""),"NO REQUIERE SEGUIMIENTO")</f>
        <v>NO REQUIERE SEGUIMIENTO</v>
      </c>
      <c r="X424" s="495" t="str">
        <f>IFERROR(__xludf.DUMMYFUNCTION("""COMPUTED_VALUE"""),"https://drive.google.com/open?id=1rVByLnsgeQBbRZSn8cbR_Z-u08721Ku_, https://drive.google.com/open?id=1LBb7mooWgbNRrwJ7gxm1H1MyIhiv3L-x")</f>
        <v>https://drive.google.com/open?id=1rVByLnsgeQBbRZSn8cbR_Z-u08721Ku_, https://drive.google.com/open?id=1LBb7mooWgbNRrwJ7gxm1H1MyIhiv3L-x</v>
      </c>
      <c r="Y424" s="495" t="str">
        <f>IFERROR(__xludf.DUMMYFUNCTION("""COMPUTED_VALUE"""),"operaciones@tecfull.cl")</f>
        <v>operaciones@tecfull.cl</v>
      </c>
      <c r="Z424" s="495"/>
      <c r="AA424" s="495"/>
      <c r="AB424" s="495"/>
      <c r="AC424" s="495"/>
      <c r="AD424" s="495"/>
    </row>
    <row r="425">
      <c r="A425" s="495" t="str">
        <f t="shared" si="1"/>
        <v/>
      </c>
      <c r="B425" s="497">
        <f>IFERROR(__xludf.DUMMYFUNCTION("""COMPUTED_VALUE"""),46030.41795004629)</f>
        <v>46030.41795</v>
      </c>
      <c r="C425" s="495" t="str">
        <f>IFERROR(__xludf.DUMMYFUNCTION("""COMPUTED_VALUE"""),"")</f>
        <v/>
      </c>
      <c r="D425" s="495" t="str">
        <f>IFERROR(__xludf.DUMMYFUNCTION("""COMPUTED_VALUE"""),"Carol Huenchual Chañilao")</f>
        <v>Carol Huenchual Chañilao</v>
      </c>
      <c r="E425" s="495"/>
      <c r="F425" s="496" t="str">
        <f>IFERROR(__xludf.DUMMYFUNCTION("""COMPUTED_VALUE"""),"13001 - 2025")</f>
        <v>13001 - 2025</v>
      </c>
      <c r="G425" s="495"/>
      <c r="H425" s="495"/>
      <c r="I425" s="495"/>
      <c r="J425" s="495" t="str">
        <f>IFERROR(__xludf.DUMMYFUNCTION("""COMPUTED_VALUE"""),"Campus El Bosque - CBQ")</f>
        <v>Campus El Bosque - CBQ</v>
      </c>
      <c r="K425" s="495" t="str">
        <f>IFERROR(__xludf.DUMMYFUNCTION("""COMPUTED_VALUE"""),"Sin número")</f>
        <v>Sin número</v>
      </c>
      <c r="L425" s="495" t="str">
        <f>IFERROR(__xludf.DUMMYFUNCTION("""COMPUTED_VALUE"""),"Empresa Constructora IGECE Ltda.")</f>
        <v>Empresa Constructora IGECE Ltda.</v>
      </c>
      <c r="M425" s="495" t="str">
        <f>IFERROR(__xludf.DUMMYFUNCTION("""COMPUTED_VALUE"""),"76.878.824-3")</f>
        <v>76.878.824-3</v>
      </c>
      <c r="N425" s="495" t="str">
        <f>IFERROR(__xludf.DUMMYFUNCTION("""COMPUTED_VALUE"""),"Calor Troncoso - Gerente General ")</f>
        <v>Calor Troncoso - Gerente General </v>
      </c>
      <c r="O425" s="495" t="str">
        <f>IFERROR(__xludf.DUMMYFUNCTION("""COMPUTED_VALUE"""),"Mantenciones")</f>
        <v>Mantenciones</v>
      </c>
      <c r="P425" s="495" t="str">
        <f>IFERROR(__xludf.DUMMYFUNCTION("""COMPUTED_VALUE"""),"Requerimientos Emergentes e Imprevistos")</f>
        <v>Requerimientos Emergentes e Imprevistos</v>
      </c>
      <c r="Q425" s="495"/>
      <c r="R425" s="495"/>
      <c r="S425" s="495"/>
      <c r="T425" s="495"/>
      <c r="U425" s="495"/>
      <c r="V425" s="495" t="str">
        <f>IFERROR(__xludf.DUMMYFUNCTION("""COMPUTED_VALUE"""),"CSF - REPARACION CERRADURA BIBLIOTECA
CBQ - REPARACION CERRAJERIA LABORATORIO CLINICO OFINA 600
CJP08 - Edificio Adalberto Salas - N° Oficina / Sala - Auditorio Cincuentenario
(Reparación Butacas (2 Unidades)")</f>
        <v>CSF - REPARACION CERRADURA BIBLIOTECA
CBQ - REPARACION CERRAJERIA LABORATORIO CLINICO OFINA 600
CJP08 - Edificio Adalberto Salas - N° Oficina / Sala - Auditorio Cincuentenario
(Reparación Butacas (2 Unidades)</v>
      </c>
      <c r="W425" s="495"/>
      <c r="X425" s="499" t="str">
        <f>IFERROR(__xludf.DUMMYFUNCTION("""COMPUTED_VALUE"""),"https://drive.google.com/open?id=10WGTYxiV_NbwBdt8oLjmn7IHzUzSRoxW")</f>
        <v>https://drive.google.com/open?id=10WGTYxiV_NbwBdt8oLjmn7IHzUzSRoxW</v>
      </c>
      <c r="Y425" s="495" t="str">
        <f>IFERROR(__xludf.DUMMYFUNCTION("""COMPUTED_VALUE"""),"carlostroncosom@hotmail.com")</f>
        <v>carlostroncosom@hotmail.com</v>
      </c>
      <c r="Z425" s="495"/>
      <c r="AA425" s="495"/>
      <c r="AB425" s="495"/>
      <c r="AC425" s="495"/>
      <c r="AD425" s="495"/>
    </row>
    <row r="426">
      <c r="A426" s="495" t="str">
        <f t="shared" si="1"/>
        <v/>
      </c>
      <c r="B426" s="497">
        <f>IFERROR(__xludf.DUMMYFUNCTION("""COMPUTED_VALUE"""),46030.40983837963)</f>
        <v>46030.40984</v>
      </c>
      <c r="C426" s="495" t="str">
        <f>IFERROR(__xludf.DUMMYFUNCTION("""COMPUTED_VALUE"""),"")</f>
        <v/>
      </c>
      <c r="D426" s="495" t="str">
        <f>IFERROR(__xludf.DUMMYFUNCTION("""COMPUTED_VALUE"""),"Carol Huenchual Chañilao")</f>
        <v>Carol Huenchual Chañilao</v>
      </c>
      <c r="E426" s="495"/>
      <c r="F426" s="496" t="str">
        <f>IFERROR(__xludf.DUMMYFUNCTION("""COMPUTED_VALUE"""),"12997 - 2025")</f>
        <v>12997 - 2025</v>
      </c>
      <c r="G426" s="495"/>
      <c r="H426" s="495"/>
      <c r="I426" s="495"/>
      <c r="J426" s="495" t="str">
        <f>IFERROR(__xludf.DUMMYFUNCTION("""COMPUTED_VALUE"""),"Campus Monseñor Alejandro Menchaca Lira - CML")</f>
        <v>Campus Monseñor Alejandro Menchaca Lira - CML</v>
      </c>
      <c r="K426" s="495" t="str">
        <f>IFERROR(__xludf.DUMMYFUNCTION("""COMPUTED_VALUE"""),"01")</f>
        <v>01</v>
      </c>
      <c r="L426" s="495" t="str">
        <f>IFERROR(__xludf.DUMMYFUNCTION("""COMPUTED_VALUE"""),"Empresa Constructora IGECE Ltda.")</f>
        <v>Empresa Constructora IGECE Ltda.</v>
      </c>
      <c r="M426" s="495" t="str">
        <f>IFERROR(__xludf.DUMMYFUNCTION("""COMPUTED_VALUE"""),"76.878.824-3")</f>
        <v>76.878.824-3</v>
      </c>
      <c r="N426" s="495" t="str">
        <f>IFERROR(__xludf.DUMMYFUNCTION("""COMPUTED_VALUE"""),"Carlos Troncoso - Gerente General ")</f>
        <v>Carlos Troncoso - Gerente General </v>
      </c>
      <c r="O426" s="495" t="str">
        <f>IFERROR(__xludf.DUMMYFUNCTION("""COMPUTED_VALUE"""),"Mantenciones")</f>
        <v>Mantenciones</v>
      </c>
      <c r="P426" s="495" t="str">
        <f>IFERROR(__xludf.DUMMYFUNCTION("""COMPUTED_VALUE"""),"Requerimientos Emergentes e Imprevistos")</f>
        <v>Requerimientos Emergentes e Imprevistos</v>
      </c>
      <c r="Q426" s="495"/>
      <c r="R426" s="495"/>
      <c r="S426" s="495"/>
      <c r="T426" s="495"/>
      <c r="U426" s="495"/>
      <c r="V426" s="495" t="str">
        <f>IFERROR(__xludf.DUMMYFUNCTION("""COMPUTED_VALUE"""),"Retiro Totem ")</f>
        <v>Retiro Totem </v>
      </c>
      <c r="W426" s="495"/>
      <c r="X426" s="495" t="str">
        <f>IFERROR(__xludf.DUMMYFUNCTION("""COMPUTED_VALUE"""),"https://drive.google.com/open?id=16zrnL3QFeTzP8398XbbgwrRP4oXx89bU, https://drive.google.com/open?id=1ICsp8cJGAH1tHhSxarBvATK9RPR6-02l, https://drive.google.com/open?id=1-96XumHRy4sxvUnnXNtRqqr5r-IY2tPW, https://drive.google.com/open?id=1G_2rIlqdZ94Sq7CeY"&amp;"41oXjEfEJJXMOGk")</f>
        <v>https://drive.google.com/open?id=16zrnL3QFeTzP8398XbbgwrRP4oXx89bU, https://drive.google.com/open?id=1ICsp8cJGAH1tHhSxarBvATK9RPR6-02l, https://drive.google.com/open?id=1-96XumHRy4sxvUnnXNtRqqr5r-IY2tPW, https://drive.google.com/open?id=1G_2rIlqdZ94Sq7CeY41oXjEfEJJXMOGk</v>
      </c>
      <c r="Y426" s="495" t="str">
        <f>IFERROR(__xludf.DUMMYFUNCTION("""COMPUTED_VALUE"""),"carlostroncosom@hotmail.com")</f>
        <v>carlostroncosom@hotmail.com</v>
      </c>
      <c r="Z426" s="495"/>
      <c r="AA426" s="495"/>
      <c r="AB426" s="495"/>
      <c r="AC426" s="495"/>
      <c r="AD426" s="495"/>
    </row>
    <row r="427">
      <c r="A427" s="495" t="str">
        <f t="shared" si="1"/>
        <v/>
      </c>
      <c r="B427" s="497">
        <f>IFERROR(__xludf.DUMMYFUNCTION("""COMPUTED_VALUE"""),46030.40289193287)</f>
        <v>46030.40289</v>
      </c>
      <c r="C427" s="495" t="str">
        <f>IFERROR(__xludf.DUMMYFUNCTION("""COMPUTED_VALUE"""),"")</f>
        <v/>
      </c>
      <c r="D427" s="495" t="str">
        <f>IFERROR(__xludf.DUMMYFUNCTION("""COMPUTED_VALUE"""),"Carol Huenchual Chañilao")</f>
        <v>Carol Huenchual Chañilao</v>
      </c>
      <c r="E427" s="495"/>
      <c r="F427" s="496" t="str">
        <f>IFERROR(__xludf.DUMMYFUNCTION("""COMPUTED_VALUE"""),"13009 - 2025")</f>
        <v>13009 - 2025</v>
      </c>
      <c r="G427" s="495"/>
      <c r="H427" s="495"/>
      <c r="I427" s="495"/>
      <c r="J427" s="495" t="str">
        <f>IFERROR(__xludf.DUMMYFUNCTION("""COMPUTED_VALUE"""),"Campus San Juan Pablo II - CJP")</f>
        <v>Campus San Juan Pablo II - CJP</v>
      </c>
      <c r="K427" s="495" t="str">
        <f>IFERROR(__xludf.DUMMYFUNCTION("""COMPUTED_VALUE"""),"07")</f>
        <v>07</v>
      </c>
      <c r="L427" s="495" t="str">
        <f>IFERROR(__xludf.DUMMYFUNCTION("""COMPUTED_VALUE"""),"Empresa Constructora IGECE Ltda.")</f>
        <v>Empresa Constructora IGECE Ltda.</v>
      </c>
      <c r="M427" s="495" t="str">
        <f>IFERROR(__xludf.DUMMYFUNCTION("""COMPUTED_VALUE"""),"76.878.824-3")</f>
        <v>76.878.824-3</v>
      </c>
      <c r="N427" s="495" t="str">
        <f>IFERROR(__xludf.DUMMYFUNCTION("""COMPUTED_VALUE"""),"Carlos Troncoso - Gerente General ")</f>
        <v>Carlos Troncoso - Gerente General </v>
      </c>
      <c r="O427" s="495" t="str">
        <f>IFERROR(__xludf.DUMMYFUNCTION("""COMPUTED_VALUE"""),"Mantenciones")</f>
        <v>Mantenciones</v>
      </c>
      <c r="P427" s="495" t="str">
        <f>IFERROR(__xludf.DUMMYFUNCTION("""COMPUTED_VALUE"""),"Cubiertas")</f>
        <v>Cubiertas</v>
      </c>
      <c r="Q427" s="495"/>
      <c r="R427" s="495"/>
      <c r="S427" s="495"/>
      <c r="T427" s="495"/>
      <c r="U427" s="495"/>
      <c r="V427" s="495" t="str">
        <f>IFERROR(__xludf.DUMMYFUNCTION("""COMPUTED_VALUE"""),"Edificio Ricardo Ferrando
-Limpieza canal aguas lluvia - repaso sellos en uniones de
canal - cambio 3 ml de canal (desarrollo 60 cm) - Cambio
algunos tornillos - Prueba de agua.
Laboratorio de Histología
-Corte de plancha yeso cartón para generar gatera "&amp;", reparación filtración , instalación plancha yeso cartón ST, huincha, Yeso, pasta y pintura. 
")</f>
        <v>Edificio Ricardo Ferrando
-Limpieza canal aguas lluvia - repaso sellos en uniones de
canal - cambio 3 ml de canal (desarrollo 60 cm) - Cambio
algunos tornillos - Prueba de agua.
Laboratorio de Histología
-Corte de plancha yeso cartón para generar gatera , reparación filtración , instalación plancha yeso cartón ST, huincha, Yeso, pasta y pintura. 
</v>
      </c>
      <c r="W427" s="495"/>
      <c r="X427" s="495" t="str">
        <f>IFERROR(__xludf.DUMMYFUNCTION("""COMPUTED_VALUE"""),"https://drive.google.com/open?id=1-JP2hOfzpO4f3FHL7t6zlTQ8u1s_luwQ, https://drive.google.com/open?id=1Rxivy4s3FlAN7X8LnZLFE6R6UHQjH8qZ, https://drive.google.com/open?id=1jdHeK1Y0RkDV0CWdFsLy0L_z5Scupsm9, https://drive.google.com/open?id=1d5CiA80Kv-s4nopRa"&amp;"W3ds5wnz3vRT5ym")</f>
        <v>https://drive.google.com/open?id=1-JP2hOfzpO4f3FHL7t6zlTQ8u1s_luwQ, https://drive.google.com/open?id=1Rxivy4s3FlAN7X8LnZLFE6R6UHQjH8qZ, https://drive.google.com/open?id=1jdHeK1Y0RkDV0CWdFsLy0L_z5Scupsm9, https://drive.google.com/open?id=1d5CiA80Kv-s4nopRaW3ds5wnz3vRT5ym</v>
      </c>
      <c r="Y427" s="495" t="str">
        <f>IFERROR(__xludf.DUMMYFUNCTION("""COMPUTED_VALUE"""),"carlostroncosom@hotmail.com")</f>
        <v>carlostroncosom@hotmail.com</v>
      </c>
      <c r="Z427" s="495"/>
      <c r="AA427" s="495"/>
      <c r="AB427" s="495"/>
      <c r="AC427" s="495"/>
      <c r="AD427" s="495"/>
    </row>
    <row r="428">
      <c r="A428" s="495" t="str">
        <f t="shared" si="1"/>
        <v>RC-105_26</v>
      </c>
      <c r="B428" s="497">
        <f>IFERROR(__xludf.DUMMYFUNCTION("""COMPUTED_VALUE"""),46132.65029584491)</f>
        <v>46132.6503</v>
      </c>
      <c r="C428" s="495" t="str">
        <f>IFERROR(__xludf.DUMMYFUNCTION("""COMPUTED_VALUE"""),"")</f>
        <v/>
      </c>
      <c r="D428" s="495" t="str">
        <f>IFERROR(__xludf.DUMMYFUNCTION("""COMPUTED_VALUE"""),"Carol Huenchual Chañilao")</f>
        <v>Carol Huenchual Chañilao</v>
      </c>
      <c r="E428" s="495"/>
      <c r="F428" s="496" t="str">
        <f>IFERROR(__xludf.DUMMYFUNCTION("""COMPUTED_VALUE"""),"2405-2026")</f>
        <v>2405-2026</v>
      </c>
      <c r="G428" s="495"/>
      <c r="H428" s="495"/>
      <c r="I428" s="495"/>
      <c r="J428" s="495" t="str">
        <f>IFERROR(__xludf.DUMMYFUNCTION("""COMPUTED_VALUE"""),"Campus San Francisco - CSF")</f>
        <v>Campus San Francisco - CSF</v>
      </c>
      <c r="K428" s="495">
        <f>IFERROR(__xludf.DUMMYFUNCTION("""COMPUTED_VALUE"""),11.0)</f>
        <v>11</v>
      </c>
      <c r="L428" s="495" t="str">
        <f>IFERROR(__xludf.DUMMYFUNCTION("""COMPUTED_VALUE"""),"FCM Ingeniería Spa")</f>
        <v>FCM Ingeniería Spa</v>
      </c>
      <c r="M428" s="495" t="str">
        <f>IFERROR(__xludf.DUMMYFUNCTION("""COMPUTED_VALUE"""),"76.881.945-9")</f>
        <v>76.881.945-9</v>
      </c>
      <c r="N428" s="495" t="str">
        <f>IFERROR(__xludf.DUMMYFUNCTION("""COMPUTED_VALUE"""),"Marcelo Cruces Araneda - Ingeniero Ejecución
Mecánico")</f>
        <v>Marcelo Cruces Araneda - Ingeniero Ejecución
Mecánico</v>
      </c>
      <c r="O428" s="495" t="str">
        <f>IFERROR(__xludf.DUMMYFUNCTION("""COMPUTED_VALUE"""),"Obras y Especialidades")</f>
        <v>Obras y Especialidades</v>
      </c>
      <c r="P428" s="495"/>
      <c r="Q428" s="495"/>
      <c r="R428" s="495" t="str">
        <f>IFERROR(__xludf.DUMMYFUNCTION("""COMPUTED_VALUE"""),"Especialidades")</f>
        <v>Especialidades</v>
      </c>
      <c r="S428" s="495" t="str">
        <f>IFERROR(__xludf.DUMMYFUNCTION("""COMPUTED_VALUE"""),"Estado de Pago - EP")</f>
        <v>Estado de Pago - EP</v>
      </c>
      <c r="T428" s="495" t="str">
        <f>IFERROR(__xludf.DUMMYFUNCTION("""COMPUTED_VALUE"""),"0 (Anticipo)")</f>
        <v>0 (Anticipo)</v>
      </c>
      <c r="U428" s="498">
        <f>IFERROR(__xludf.DUMMYFUNCTION("""COMPUTED_VALUE"""),1273419.0)</f>
        <v>1273419</v>
      </c>
      <c r="V428" s="495" t="str">
        <f>IFERROR(__xludf.DUMMYFUNCTION("""COMPUTED_VALUE"""),"Detección y reparación de dos fugas de agua, prueba de tintas a desague, reposición de desagues,
instalación de sifones e instalación de lava fondos.")</f>
        <v>Detección y reparación de dos fugas de agua, prueba de tintas a desague, reposición de desagues,
instalación de sifones e instalación de lava fondos.</v>
      </c>
      <c r="W428" s="495" t="str">
        <f>IFERROR(__xludf.DUMMYFUNCTION("""COMPUTED_VALUE"""),"Se sugiere inspección periódica a sistema de desagüe de aguas grises.")</f>
        <v>Se sugiere inspección periódica a sistema de desagüe de aguas grises.</v>
      </c>
      <c r="X428" s="495" t="str">
        <f>IFERROR(__xludf.DUMMYFUNCTION("""COMPUTED_VALUE"""),"https://drive.google.com/open?id=1Iztvi98yfhf2JYxA82ha51lBLbtRGEXY, https://drive.google.com/open?id=1Cf5k4OAGa6VYxow9GiYAw7GMiz-bO6Lt, https://drive.google.com/open?id=1NWrEAsqaEhcLKdIDUFc8u95Hgt8aVHD4, https://drive.google.com/open?id=1lSjKwAK-zywHbUy_j"&amp;"aT4duaO6-v72DEi, https://drive.google.com/open?id=1y86jy1QAm2GWlpx_kkdRqW746TxkDjjZ, https://drive.google.com/open?id=1FdKXa61vopdTL0LGhHub8I7KO6obzd82")</f>
        <v>https://drive.google.com/open?id=1Iztvi98yfhf2JYxA82ha51lBLbtRGEXY, https://drive.google.com/open?id=1Cf5k4OAGa6VYxow9GiYAw7GMiz-bO6Lt, https://drive.google.com/open?id=1NWrEAsqaEhcLKdIDUFc8u95Hgt8aVHD4, https://drive.google.com/open?id=1lSjKwAK-zywHbUy_jaT4duaO6-v72DEi, https://drive.google.com/open?id=1y86jy1QAm2GWlpx_kkdRqW746TxkDjjZ, https://drive.google.com/open?id=1FdKXa61vopdTL0LGhHub8I7KO6obzd82</v>
      </c>
      <c r="Y428" s="495" t="str">
        <f>IFERROR(__xludf.DUMMYFUNCTION("""COMPUTED_VALUE"""),"chuenchual@uct.cl")</f>
        <v>chuenchual@uct.cl</v>
      </c>
      <c r="Z428" s="498">
        <f>IFERROR(__xludf.DUMMYFUNCTION("""COMPUTED_VALUE"""),4244730.0)</f>
        <v>4244730</v>
      </c>
      <c r="AA428" s="495"/>
      <c r="AB428" s="495"/>
      <c r="AC428" s="495"/>
      <c r="AD428" s="495" t="str">
        <f>IFERROR(__xludf.DUMMYFUNCTION("""COMPUTED_VALUE"""),"RC-105_26")</f>
        <v>RC-105_26</v>
      </c>
    </row>
    <row r="429">
      <c r="A429" s="495" t="str">
        <f t="shared" si="1"/>
        <v/>
      </c>
      <c r="B429" s="497">
        <f>IFERROR(__xludf.DUMMYFUNCTION("""COMPUTED_VALUE"""),46030.39750344907)</f>
        <v>46030.3975</v>
      </c>
      <c r="C429" s="495" t="str">
        <f>IFERROR(__xludf.DUMMYFUNCTION("""COMPUTED_VALUE"""),"")</f>
        <v/>
      </c>
      <c r="D429" s="495" t="str">
        <f>IFERROR(__xludf.DUMMYFUNCTION("""COMPUTED_VALUE"""),"Carol Huenchual Chañilao")</f>
        <v>Carol Huenchual Chañilao</v>
      </c>
      <c r="E429" s="495"/>
      <c r="F429" s="496">
        <f>IFERROR(__xludf.DUMMYFUNCTION("""COMPUTED_VALUE"""),13035.0)</f>
        <v>13035</v>
      </c>
      <c r="G429" s="495"/>
      <c r="H429" s="495"/>
      <c r="I429" s="495"/>
      <c r="J429" s="495" t="str">
        <f>IFERROR(__xludf.DUMMYFUNCTION("""COMPUTED_VALUE"""),"Campus San Juan Pablo II - CJP")</f>
        <v>Campus San Juan Pablo II - CJP</v>
      </c>
      <c r="K429" s="495" t="str">
        <f>IFERROR(__xludf.DUMMYFUNCTION("""COMPUTED_VALUE"""),"08")</f>
        <v>08</v>
      </c>
      <c r="L429" s="495" t="str">
        <f>IFERROR(__xludf.DUMMYFUNCTION("""COMPUTED_VALUE"""),"Flavia Oyarzún Soto")</f>
        <v>Flavia Oyarzún Soto</v>
      </c>
      <c r="M429" s="495" t="str">
        <f>IFERROR(__xludf.DUMMYFUNCTION("""COMPUTED_VALUE"""),"5.503.590-3 ")</f>
        <v>5.503.590-3 </v>
      </c>
      <c r="N429" s="495" t="str">
        <f>IFERROR(__xludf.DUMMYFUNCTION("""COMPUTED_VALUE"""),"Roberto Lassalle supervisor ")</f>
        <v>Roberto Lassalle supervisor </v>
      </c>
      <c r="O429" s="495" t="str">
        <f>IFERROR(__xludf.DUMMYFUNCTION("""COMPUTED_VALUE"""),"Mantenciones")</f>
        <v>Mantenciones</v>
      </c>
      <c r="P429" s="495" t="str">
        <f>IFERROR(__xludf.DUMMYFUNCTION("""COMPUTED_VALUE"""),"Terminaciones Interiores")</f>
        <v>Terminaciones Interiores</v>
      </c>
      <c r="Q429" s="495"/>
      <c r="R429" s="495"/>
      <c r="S429" s="495"/>
      <c r="T429" s="495"/>
      <c r="U429" s="495"/>
      <c r="V429" s="495" t="str">
        <f>IFERROR(__xludf.DUMMYFUNCTION("""COMPUTED_VALUE"""),"Mejoras interiores en laboratorio Subsuelo edificio CJP08")</f>
        <v>Mejoras interiores en laboratorio Subsuelo edificio CJP08</v>
      </c>
      <c r="W429" s="495" t="str">
        <f>IFERROR(__xludf.DUMMYFUNCTION("""COMPUTED_VALUE"""),"Se adjunta fotografía ")</f>
        <v>Se adjunta fotografía </v>
      </c>
      <c r="X429" s="495" t="str">
        <f>IFERROR(__xludf.DUMMYFUNCTION("""COMPUTED_VALUE"""),"https://drive.google.com/open?id=1Gfm7Bj1QkMNHxxSFvA03qpdQACZmE-u1, https://drive.google.com/open?id=1xbGrY_rV316cjEfA2VEcNbwDwcm2HLNW, https://drive.google.com/open?id=1YGXKZRqNmXDxrM4KbkHxO1GGWqkgzpsM, https://drive.google.com/open?id=1KCnNYG9SGIdwfV6Xy"&amp;"RsNYrcHAMsAJuDL, https://drive.google.com/open?id=1kgbTUR9ZUB2vz_I1jrwNNdtoGAV31JN3")</f>
        <v>https://drive.google.com/open?id=1Gfm7Bj1QkMNHxxSFvA03qpdQACZmE-u1, https://drive.google.com/open?id=1xbGrY_rV316cjEfA2VEcNbwDwcm2HLNW, https://drive.google.com/open?id=1YGXKZRqNmXDxrM4KbkHxO1GGWqkgzpsM, https://drive.google.com/open?id=1KCnNYG9SGIdwfV6XyRsNYrcHAMsAJuDL, https://drive.google.com/open?id=1kgbTUR9ZUB2vz_I1jrwNNdtoGAV31JN3</v>
      </c>
      <c r="Y429" s="495" t="str">
        <f>IFERROR(__xludf.DUMMYFUNCTION("""COMPUTED_VALUE"""),"roberto.lassalle@gmail.com")</f>
        <v>roberto.lassalle@gmail.com</v>
      </c>
      <c r="Z429" s="495"/>
      <c r="AA429" s="495"/>
      <c r="AB429" s="495"/>
      <c r="AC429" s="495"/>
      <c r="AD429" s="495"/>
    </row>
    <row r="430">
      <c r="A430" s="495" t="str">
        <f t="shared" si="1"/>
        <v/>
      </c>
      <c r="B430" s="497">
        <f>IFERROR(__xludf.DUMMYFUNCTION("""COMPUTED_VALUE"""),46029.48625445602)</f>
        <v>46029.48625</v>
      </c>
      <c r="C430" s="495" t="str">
        <f>IFERROR(__xludf.DUMMYFUNCTION("""COMPUTED_VALUE"""),"")</f>
        <v/>
      </c>
      <c r="D430" s="495" t="str">
        <f>IFERROR(__xludf.DUMMYFUNCTION("""COMPUTED_VALUE"""),"Carol Huenchual Chañilao")</f>
        <v>Carol Huenchual Chañilao</v>
      </c>
      <c r="E430" s="495"/>
      <c r="F430" s="496" t="str">
        <f>IFERROR(__xludf.DUMMYFUNCTION("""COMPUTED_VALUE"""),"12709-2025")</f>
        <v>12709-2025</v>
      </c>
      <c r="G430" s="495"/>
      <c r="H430" s="495"/>
      <c r="I430" s="495"/>
      <c r="J430" s="495" t="str">
        <f>IFERROR(__xludf.DUMMYFUNCTION("""COMPUTED_VALUE"""),"Campus San Juan Pablo II - CJP")</f>
        <v>Campus San Juan Pablo II - CJP</v>
      </c>
      <c r="K430" s="495" t="str">
        <f>IFERROR(__xludf.DUMMYFUNCTION("""COMPUTED_VALUE"""),"08")</f>
        <v>08</v>
      </c>
      <c r="L430" s="495" t="str">
        <f>IFERROR(__xludf.DUMMYFUNCTION("""COMPUTED_VALUE"""),"SERVICIOS INTEGRALES CRITICOS SPA")</f>
        <v>SERVICIOS INTEGRALES CRITICOS SPA</v>
      </c>
      <c r="M430" s="495" t="str">
        <f>IFERROR(__xludf.DUMMYFUNCTION("""COMPUTED_VALUE"""),"77.248.719-3")</f>
        <v>77.248.719-3</v>
      </c>
      <c r="N430" s="495" t="str">
        <f>IFERROR(__xludf.DUMMYFUNCTION("""COMPUTED_VALUE"""),"ROBERTO FUENTES-INGENIERO")</f>
        <v>ROBERTO FUENTES-INGENIERO</v>
      </c>
      <c r="O430" s="495" t="str">
        <f>IFERROR(__xludf.DUMMYFUNCTION("""COMPUTED_VALUE"""),"Mantenciones")</f>
        <v>Mantenciones</v>
      </c>
      <c r="P430" s="495" t="str">
        <f>IFERROR(__xludf.DUMMYFUNCTION("""COMPUTED_VALUE"""),"Requerimientos Emergentes e Imprevistos")</f>
        <v>Requerimientos Emergentes e Imprevistos</v>
      </c>
      <c r="Q430" s="495"/>
      <c r="R430" s="495"/>
      <c r="S430" s="495"/>
      <c r="T430" s="495"/>
      <c r="U430" s="495"/>
      <c r="V430" s="495" t="str">
        <f>IFERROR(__xludf.DUMMYFUNCTION("""COMPUTED_VALUE"""),"MANTENCION A EXTRACTOR ")</f>
        <v>MANTENCION A EXTRACTOR </v>
      </c>
      <c r="W430" s="495" t="str">
        <f>IFERROR(__xludf.DUMMYFUNCTION("""COMPUTED_VALUE"""),"REALIZAR UNA VEZ AL AÑO")</f>
        <v>REALIZAR UNA VEZ AL AÑO</v>
      </c>
      <c r="X430" s="495" t="str">
        <f>IFERROR(__xludf.DUMMYFUNCTION("""COMPUTED_VALUE"""),"https://drive.google.com/open?id=1hDK1ZpyDqYAXSzWeZCjxaqWH-JZk-oNG, https://drive.google.com/open?id=1ZmqQTPoZshCNV6n39wg4J4ZpdqKXSUb-, https://drive.google.com/open?id=1cAZNPWbiIh0B3_E5dduTvFS8rvM0tpzB, https://drive.google.com/open?id=1x7keTl7pPiyVvWU_f"&amp;"_w2bJ11EhQDBS1V")</f>
        <v>https://drive.google.com/open?id=1hDK1ZpyDqYAXSzWeZCjxaqWH-JZk-oNG, https://drive.google.com/open?id=1ZmqQTPoZshCNV6n39wg4J4ZpdqKXSUb-, https://drive.google.com/open?id=1cAZNPWbiIh0B3_E5dduTvFS8rvM0tpzB, https://drive.google.com/open?id=1x7keTl7pPiyVvWU_f_w2bJ11EhQDBS1V</v>
      </c>
      <c r="Y430" s="495" t="str">
        <f>IFERROR(__xludf.DUMMYFUNCTION("""COMPUTED_VALUE"""),"fuentes.roberto1@gmail.com")</f>
        <v>fuentes.roberto1@gmail.com</v>
      </c>
      <c r="Z430" s="495"/>
      <c r="AA430" s="495"/>
      <c r="AB430" s="495"/>
      <c r="AC430" s="495"/>
      <c r="AD430" s="495"/>
    </row>
    <row r="431">
      <c r="A431" s="495" t="str">
        <f t="shared" si="1"/>
        <v/>
      </c>
      <c r="B431" s="497">
        <f>IFERROR(__xludf.DUMMYFUNCTION("""COMPUTED_VALUE"""),46029.48105960648)</f>
        <v>46029.48106</v>
      </c>
      <c r="C431" s="495" t="str">
        <f>IFERROR(__xludf.DUMMYFUNCTION("""COMPUTED_VALUE"""),"")</f>
        <v/>
      </c>
      <c r="D431" s="495" t="str">
        <f>IFERROR(__xludf.DUMMYFUNCTION("""COMPUTED_VALUE"""),"Carol Huenchual Chañilao")</f>
        <v>Carol Huenchual Chañilao</v>
      </c>
      <c r="E431" s="495"/>
      <c r="F431" s="496" t="str">
        <f>IFERROR(__xludf.DUMMYFUNCTION("""COMPUTED_VALUE"""),"12934-2025")</f>
        <v>12934-2025</v>
      </c>
      <c r="G431" s="495"/>
      <c r="H431" s="495"/>
      <c r="I431" s="495"/>
      <c r="J431" s="495" t="str">
        <f>IFERROR(__xludf.DUMMYFUNCTION("""COMPUTED_VALUE"""),"Campus San Juan Pablo II - CJP")</f>
        <v>Campus San Juan Pablo II - CJP</v>
      </c>
      <c r="K431" s="495" t="str">
        <f>IFERROR(__xludf.DUMMYFUNCTION("""COMPUTED_VALUE"""),"08")</f>
        <v>08</v>
      </c>
      <c r="L431" s="495" t="str">
        <f>IFERROR(__xludf.DUMMYFUNCTION("""COMPUTED_VALUE"""),"SERVICIOS INTEGRALES CRITICOS SPA")</f>
        <v>SERVICIOS INTEGRALES CRITICOS SPA</v>
      </c>
      <c r="M431" s="495" t="str">
        <f>IFERROR(__xludf.DUMMYFUNCTION("""COMPUTED_VALUE"""),"77.248.719-3")</f>
        <v>77.248.719-3</v>
      </c>
      <c r="N431" s="495" t="str">
        <f>IFERROR(__xludf.DUMMYFUNCTION("""COMPUTED_VALUE"""),"ROBERTO FUENTES-INGENIERO")</f>
        <v>ROBERTO FUENTES-INGENIERO</v>
      </c>
      <c r="O431" s="495" t="str">
        <f>IFERROR(__xludf.DUMMYFUNCTION("""COMPUTED_VALUE"""),"Mantenciones")</f>
        <v>Mantenciones</v>
      </c>
      <c r="P431" s="495" t="str">
        <f>IFERROR(__xludf.DUMMYFUNCTION("""COMPUTED_VALUE"""),"Requerimientos Emergentes e Imprevistos")</f>
        <v>Requerimientos Emergentes e Imprevistos</v>
      </c>
      <c r="Q431" s="495"/>
      <c r="R431" s="495"/>
      <c r="S431" s="495"/>
      <c r="T431" s="495"/>
      <c r="U431" s="495"/>
      <c r="V431" s="495" t="str">
        <f>IFERROR(__xludf.DUMMYFUNCTION("""COMPUTED_VALUE"""),"INSTALACION RELOJES AUTOMATICOS QUE COORDINAN HORARIOS DE FUNCIONAMIENTO EXTRACTORES AIRE BAÑOS")</f>
        <v>INSTALACION RELOJES AUTOMATICOS QUE COORDINAN HORARIOS DE FUNCIONAMIENTO EXTRACTORES AIRE BAÑOS</v>
      </c>
      <c r="W431" s="495" t="str">
        <f>IFERROR(__xludf.DUMMYFUNCTION("""COMPUTED_VALUE"""),"REVISAR UNA VEZ AL AÑO")</f>
        <v>REVISAR UNA VEZ AL AÑO</v>
      </c>
      <c r="X431" s="495" t="str">
        <f>IFERROR(__xludf.DUMMYFUNCTION("""COMPUTED_VALUE"""),"https://drive.google.com/open?id=19lQWAcxC2AQnIqFjiV6kCk3U2t5DQyy-, https://drive.google.com/open?id=1I9k12mcEeq3j4bVK3h569Eog_PMb57hx")</f>
        <v>https://drive.google.com/open?id=19lQWAcxC2AQnIqFjiV6kCk3U2t5DQyy-, https://drive.google.com/open?id=1I9k12mcEeq3j4bVK3h569Eog_PMb57hx</v>
      </c>
      <c r="Y431" s="495" t="str">
        <f>IFERROR(__xludf.DUMMYFUNCTION("""COMPUTED_VALUE"""),"fuentes.roberto1@gmail.com")</f>
        <v>fuentes.roberto1@gmail.com</v>
      </c>
      <c r="Z431" s="495"/>
      <c r="AA431" s="495"/>
      <c r="AB431" s="495"/>
      <c r="AC431" s="495"/>
      <c r="AD431" s="495"/>
    </row>
    <row r="432">
      <c r="A432" s="495" t="str">
        <f t="shared" si="1"/>
        <v>RC-109_26</v>
      </c>
      <c r="B432" s="497">
        <f>IFERROR(__xludf.DUMMYFUNCTION("""COMPUTED_VALUE"""),46132.78421194444)</f>
        <v>46132.78421</v>
      </c>
      <c r="C432" s="495" t="str">
        <f>IFERROR(__xludf.DUMMYFUNCTION("""COMPUTED_VALUE"""),"")</f>
        <v/>
      </c>
      <c r="D432" s="495" t="str">
        <f>IFERROR(__xludf.DUMMYFUNCTION("""COMPUTED_VALUE"""),"Leonor Ríos Morales")</f>
        <v>Leonor Ríos Morales</v>
      </c>
      <c r="E432" s="495"/>
      <c r="F432" s="496" t="str">
        <f>IFERROR(__xludf.DUMMYFUNCTION("""COMPUTED_VALUE"""),"2695-2026")</f>
        <v>2695-2026</v>
      </c>
      <c r="G432" s="495"/>
      <c r="H432" s="495"/>
      <c r="I432" s="495"/>
      <c r="J432" s="495" t="str">
        <f>IFERROR(__xludf.DUMMYFUNCTION("""COMPUTED_VALUE"""),"Campus San Francisco - CSF")</f>
        <v>Campus San Francisco - CSF</v>
      </c>
      <c r="K432" s="495" t="str">
        <f>IFERROR(__xludf.DUMMYFUNCTION("""COMPUTED_VALUE"""),"Sin número")</f>
        <v>Sin número</v>
      </c>
      <c r="L432" s="495" t="str">
        <f>IFERROR(__xludf.DUMMYFUNCTION("""COMPUTED_VALUE"""),"Constructora y Servicios S-Tec SPA")</f>
        <v>Constructora y Servicios S-Tec SPA</v>
      </c>
      <c r="M432" s="495" t="str">
        <f>IFERROR(__xludf.DUMMYFUNCTION("""COMPUTED_VALUE"""),"78.270.109-6")</f>
        <v>78.270.109-6</v>
      </c>
      <c r="N432" s="495" t="str">
        <f>IFERROR(__xludf.DUMMYFUNCTION("""COMPUTED_VALUE"""),"Miguel Pino")</f>
        <v>Miguel Pino</v>
      </c>
      <c r="O432" s="495" t="str">
        <f>IFERROR(__xludf.DUMMYFUNCTION("""COMPUTED_VALUE"""),"Obras y Especialidades")</f>
        <v>Obras y Especialidades</v>
      </c>
      <c r="P432" s="495"/>
      <c r="Q432" s="495"/>
      <c r="R432" s="495" t="str">
        <f>IFERROR(__xludf.DUMMYFUNCTION("""COMPUTED_VALUE"""),"Remodelación")</f>
        <v>Remodelación</v>
      </c>
      <c r="S432" s="495" t="str">
        <f>IFERROR(__xludf.DUMMYFUNCTION("""COMPUTED_VALUE"""),"Recepción de Obra - RC")</f>
        <v>Recepción de Obra - RC</v>
      </c>
      <c r="T432" s="495"/>
      <c r="U432" s="495"/>
      <c r="V432" s="495" t="str">
        <f>IFERROR(__xludf.DUMMYFUNCTION("""COMPUTED_VALUE"""),"Desarme de tabiques vidriados
Desarme de tab¡ques ciegos.
Desarme y retiro de cortina electrica.
Retiro y traslado de radiador para calefacción.
Construcción de tabiques metalcon, osb y yeso cartón.
Provisión e instalación de mamparas vidriadas, con puert"&amp;"as vidriadas, en vidrio templado de 10mm.
Pintura de tabiques nuevos con Esmalte al agua.")</f>
        <v>Desarme de tabiques vidriados
Desarme de tab¡ques ciegos.
Desarme y retiro de cortina electrica.
Retiro y traslado de radiador para calefacción.
Construcción de tabiques metalcon, osb y yeso cartón.
Provisión e instalación de mamparas vidriadas, con puertas vidriadas, en vidrio templado de 10mm.
Pintura de tabiques nuevos con Esmalte al agua.</v>
      </c>
      <c r="W432" s="495"/>
      <c r="X432" s="495" t="str">
        <f>IFERROR(__xludf.DUMMYFUNCTION("""COMPUTED_VALUE"""),"https://drive.google.com/open?id=1yIAuMVCoqV_i22-LWLkNmfeAK7yOORZI, https://drive.google.com/open?id=1y2t47nOeRa7WVMAMbRPgeTz--qmwoPNL, https://drive.google.com/open?id=1yFUbqxODjO0ljLAl-MGCMDb7QCi-3X6g, https://drive.google.com/open?id=1v-IDDHwRM03o3ielj"&amp;"nNJZYo-CUQJXwoM, https://drive.google.com/open?id=1_ZfEJjYLWr_pI9HHB-xFpkwYHx5WsPJC, https://drive.google.com/open?id=1Z8nsbT8_z82gIHr1xAo6LqHP_RFh8J9L, https://drive.google.com/open?id=1WpnEmuhioi0VM3xIiXhwbMsFljx68JOx, https://drive.google.com/open?id=1"&amp;"Pzq5E7B5lUlUNaCk983vf8aJv9XxtdEm, https://drive.google.com/open?id=1yCGm683dBmny_eJ5NAKlP9L9zf95eeK0")</f>
        <v>https://drive.google.com/open?id=1yIAuMVCoqV_i22-LWLkNmfeAK7yOORZI, https://drive.google.com/open?id=1y2t47nOeRa7WVMAMbRPgeTz--qmwoPNL, https://drive.google.com/open?id=1yFUbqxODjO0ljLAl-MGCMDb7QCi-3X6g, https://drive.google.com/open?id=1v-IDDHwRM03o3ieljnNJZYo-CUQJXwoM, https://drive.google.com/open?id=1_ZfEJjYLWr_pI9HHB-xFpkwYHx5WsPJC, https://drive.google.com/open?id=1Z8nsbT8_z82gIHr1xAo6LqHP_RFh8J9L, https://drive.google.com/open?id=1WpnEmuhioi0VM3xIiXhwbMsFljx68JOx, https://drive.google.com/open?id=1Pzq5E7B5lUlUNaCk983vf8aJv9XxtdEm, https://drive.google.com/open?id=1yCGm683dBmny_eJ5NAKlP9L9zf95eeK0</v>
      </c>
      <c r="Y432" s="495" t="str">
        <f>IFERROR(__xludf.DUMMYFUNCTION("""COMPUTED_VALUE"""),"miguelptorres@gmail.com")</f>
        <v>miguelptorres@gmail.com</v>
      </c>
      <c r="Z432" s="498">
        <f>IFERROR(__xludf.DUMMYFUNCTION("""COMPUTED_VALUE"""),1.2630236E7)</f>
        <v>12630236</v>
      </c>
      <c r="AA432" s="495"/>
      <c r="AB432" s="495"/>
      <c r="AC432" s="495"/>
      <c r="AD432" s="495" t="str">
        <f>IFERROR(__xludf.DUMMYFUNCTION("""COMPUTED_VALUE"""),"RC-109_26")</f>
        <v>RC-109_26</v>
      </c>
    </row>
    <row r="433">
      <c r="A433" s="495" t="str">
        <f t="shared" si="1"/>
        <v/>
      </c>
      <c r="B433" s="497">
        <f>IFERROR(__xludf.DUMMYFUNCTION("""COMPUTED_VALUE"""),46028.70347792824)</f>
        <v>46028.70348</v>
      </c>
      <c r="C433" s="495" t="str">
        <f>IFERROR(__xludf.DUMMYFUNCTION("""COMPUTED_VALUE"""),"")</f>
        <v/>
      </c>
      <c r="D433" s="495" t="str">
        <f>IFERROR(__xludf.DUMMYFUNCTION("""COMPUTED_VALUE"""),"Mauricio Zurita Aldea")</f>
        <v>Mauricio Zurita Aldea</v>
      </c>
      <c r="E433" s="495"/>
      <c r="F433" s="496">
        <f>IFERROR(__xludf.DUMMYFUNCTION("""COMPUTED_VALUE"""),12175.0)</f>
        <v>12175</v>
      </c>
      <c r="G433" s="495"/>
      <c r="H433" s="495"/>
      <c r="I433" s="495"/>
      <c r="J433" s="495" t="str">
        <f>IFERROR(__xludf.DUMMYFUNCTION("""COMPUTED_VALUE"""),"Campus San Juan Pablo II - CJP")</f>
        <v>Campus San Juan Pablo II - CJP</v>
      </c>
      <c r="K433" s="495">
        <f>IFERROR(__xludf.DUMMYFUNCTION("""COMPUTED_VALUE"""),11.0)</f>
        <v>11</v>
      </c>
      <c r="L433" s="495" t="str">
        <f>IFERROR(__xludf.DUMMYFUNCTION("""COMPUTED_VALUE"""),"Irene Yudith Martel Hernández contratista obras
menores y telecomunicaciones E.I.R.L
")</f>
        <v>Irene Yudith Martel Hernández contratista obras
menores y telecomunicaciones E.I.R.L
</v>
      </c>
      <c r="M433" s="495" t="str">
        <f>IFERROR(__xludf.DUMMYFUNCTION("""COMPUTED_VALUE"""),"77.520.606-3")</f>
        <v>77.520.606-3</v>
      </c>
      <c r="N433" s="495" t="str">
        <f>IFERROR(__xludf.DUMMYFUNCTION("""COMPUTED_VALUE"""),"Mauricio Zurita Aldea")</f>
        <v>Mauricio Zurita Aldea</v>
      </c>
      <c r="O433" s="495" t="str">
        <f>IFERROR(__xludf.DUMMYFUNCTION("""COMPUTED_VALUE"""),"Mantenciones")</f>
        <v>Mantenciones</v>
      </c>
      <c r="P433" s="495" t="str">
        <f>IFERROR(__xludf.DUMMYFUNCTION("""COMPUTED_VALUE"""),"Instalaciones Eléctricas")</f>
        <v>Instalaciones Eléctricas</v>
      </c>
      <c r="Q433" s="495"/>
      <c r="R433" s="495"/>
      <c r="S433" s="495"/>
      <c r="T433" s="495"/>
      <c r="U433" s="495"/>
      <c r="V433" s="495" t="str">
        <f>IFERROR(__xludf.DUMMYFUNCTION("""COMPUTED_VALUE"""),"Se hace instalación de fibra óptica 
")</f>
        <v>Se hace instalación de fibra óptica 
</v>
      </c>
      <c r="W433" s="495" t="str">
        <f>IFERROR(__xludf.DUMMYFUNCTION("""COMPUTED_VALUE"""),"Enlace de fibra óptica desde la caseta comunico es portal del estudiante hasta edificio FID sala de
comunicaciones ")</f>
        <v>Enlace de fibra óptica desde la caseta comunico es portal del estudiante hasta edificio FID sala de
comunicaciones </v>
      </c>
      <c r="X433" s="499" t="str">
        <f>IFERROR(__xludf.DUMMYFUNCTION("""COMPUTED_VALUE"""),"https://drive.google.com/open?id=1vw8OP7iCSOUN_PINWzQUzh7dSIF38YfH")</f>
        <v>https://drive.google.com/open?id=1vw8OP7iCSOUN_PINWzQUzh7dSIF38YfH</v>
      </c>
      <c r="Y433" s="495" t="str">
        <f>IFERROR(__xludf.DUMMYFUNCTION("""COMPUTED_VALUE"""),"mzurita@uct.cl")</f>
        <v>mzurita@uct.cl</v>
      </c>
      <c r="Z433" s="495"/>
      <c r="AA433" s="495"/>
      <c r="AB433" s="495"/>
      <c r="AC433" s="495"/>
      <c r="AD433" s="495"/>
    </row>
    <row r="434">
      <c r="A434" s="495" t="str">
        <f t="shared" si="1"/>
        <v/>
      </c>
      <c r="B434" s="497">
        <f>IFERROR(__xludf.DUMMYFUNCTION("""COMPUTED_VALUE"""),46027.83512856481)</f>
        <v>46027.83513</v>
      </c>
      <c r="C434" s="495" t="str">
        <f>IFERROR(__xludf.DUMMYFUNCTION("""COMPUTED_VALUE"""),"")</f>
        <v/>
      </c>
      <c r="D434" s="495" t="str">
        <f>IFERROR(__xludf.DUMMYFUNCTION("""COMPUTED_VALUE"""),"Carol Huenchual Chañilao")</f>
        <v>Carol Huenchual Chañilao</v>
      </c>
      <c r="E434" s="495"/>
      <c r="F434" s="496" t="str">
        <f>IFERROR(__xludf.DUMMYFUNCTION("""COMPUTED_VALUE"""),"3198-2025")</f>
        <v>3198-2025</v>
      </c>
      <c r="G434" s="495"/>
      <c r="H434" s="495"/>
      <c r="I434" s="495"/>
      <c r="J434" s="495" t="str">
        <f>IFERROR(__xludf.DUMMYFUNCTION("""COMPUTED_VALUE"""),"Campus San Juan Pablo II - CJP")</f>
        <v>Campus San Juan Pablo II - CJP</v>
      </c>
      <c r="K434" s="495">
        <f>IFERROR(__xludf.DUMMYFUNCTION("""COMPUTED_VALUE"""),10.0)</f>
        <v>10</v>
      </c>
      <c r="L434" s="495" t="str">
        <f>IFERROR(__xludf.DUMMYFUNCTION("""COMPUTED_VALUE"""),"SERVICIOS INTEGRALES CRITICOS SPA")</f>
        <v>SERVICIOS INTEGRALES CRITICOS SPA</v>
      </c>
      <c r="M434" s="495" t="str">
        <f>IFERROR(__xludf.DUMMYFUNCTION("""COMPUTED_VALUE"""),"77.248.719-3")</f>
        <v>77.248.719-3</v>
      </c>
      <c r="N434" s="495" t="str">
        <f>IFERROR(__xludf.DUMMYFUNCTION("""COMPUTED_VALUE"""),"ROBERTO FUENTES-INGENIERO")</f>
        <v>ROBERTO FUENTES-INGENIERO</v>
      </c>
      <c r="O434" s="495" t="str">
        <f>IFERROR(__xludf.DUMMYFUNCTION("""COMPUTED_VALUE"""),"Mantenciones")</f>
        <v>Mantenciones</v>
      </c>
      <c r="P434" s="495" t="str">
        <f>IFERROR(__xludf.DUMMYFUNCTION("""COMPUTED_VALUE"""),"Requerimientos Emergentes e Imprevistos")</f>
        <v>Requerimientos Emergentes e Imprevistos</v>
      </c>
      <c r="Q434" s="495"/>
      <c r="R434" s="495"/>
      <c r="S434" s="495"/>
      <c r="T434" s="495"/>
      <c r="U434" s="495"/>
      <c r="V434" s="495" t="str">
        <f>IFERROR(__xludf.DUMMYFUNCTION("""COMPUTED_VALUE"""),"MANTENCION ANUAL DE 2 CALDERAS A PELLET DE 500KW Y 800KW")</f>
        <v>MANTENCION ANUAL DE 2 CALDERAS A PELLET DE 500KW Y 800KW</v>
      </c>
      <c r="W434" s="495" t="str">
        <f>IFERROR(__xludf.DUMMYFUNCTION("""COMPUTED_VALUE"""),"SOLUCIONAR TEMA PARRILLAS DESGASTADAS DE AMBAS CALDERAS")</f>
        <v>SOLUCIONAR TEMA PARRILLAS DESGASTADAS DE AMBAS CALDERAS</v>
      </c>
      <c r="X434" s="495" t="str">
        <f>IFERROR(__xludf.DUMMYFUNCTION("""COMPUTED_VALUE"""),"https://drive.google.com/open?id=1kT43rMuyVE_mko7ro9nrB_gFvg3nR_e5, https://drive.google.com/open?id=1OCGJGFnuLZIEHXIsMyVSWD4za8GJpqBn, https://drive.google.com/open?id=1vLbZtOvkN1XF--IFtzYt9kNTxUqCT7Yd, https://drive.google.com/open?id=1_P6WTrco3_g0WvLqm"&amp;"bXYathue_rQ-nn0, https://drive.google.com/open?id=1BTLp_eaC-pvTy4xE0M9ZHlbRGDukLEuF, https://drive.google.com/open?id=1WUZD4lHtQDVeiO93H3fJDDovJP8ZPSUT")</f>
        <v>https://drive.google.com/open?id=1kT43rMuyVE_mko7ro9nrB_gFvg3nR_e5, https://drive.google.com/open?id=1OCGJGFnuLZIEHXIsMyVSWD4za8GJpqBn, https://drive.google.com/open?id=1vLbZtOvkN1XF--IFtzYt9kNTxUqCT7Yd, https://drive.google.com/open?id=1_P6WTrco3_g0WvLqmbXYathue_rQ-nn0, https://drive.google.com/open?id=1BTLp_eaC-pvTy4xE0M9ZHlbRGDukLEuF, https://drive.google.com/open?id=1WUZD4lHtQDVeiO93H3fJDDovJP8ZPSUT</v>
      </c>
      <c r="Y434" s="495" t="str">
        <f>IFERROR(__xludf.DUMMYFUNCTION("""COMPUTED_VALUE"""),"fuentes.roberto1@gmail.com")</f>
        <v>fuentes.roberto1@gmail.com</v>
      </c>
      <c r="Z434" s="495"/>
      <c r="AA434" s="495"/>
      <c r="AB434" s="495"/>
      <c r="AC434" s="495"/>
      <c r="AD434" s="495"/>
    </row>
    <row r="435">
      <c r="A435" s="495" t="str">
        <f t="shared" si="1"/>
        <v>RC-112_26</v>
      </c>
      <c r="B435" s="497">
        <f>IFERROR(__xludf.DUMMYFUNCTION("""COMPUTED_VALUE"""),46135.56186715278)</f>
        <v>46135.56187</v>
      </c>
      <c r="C435" s="495" t="str">
        <f>IFERROR(__xludf.DUMMYFUNCTION("""COMPUTED_VALUE"""),"")</f>
        <v/>
      </c>
      <c r="D435" s="495" t="str">
        <f>IFERROR(__xludf.DUMMYFUNCTION("""COMPUTED_VALUE"""),"Felipe Anselme Grandón")</f>
        <v>Felipe Anselme Grandón</v>
      </c>
      <c r="E435" s="495"/>
      <c r="F435" s="496" t="str">
        <f>IFERROR(__xludf.DUMMYFUNCTION("""COMPUTED_VALUE"""),"2873-2026")</f>
        <v>2873-2026</v>
      </c>
      <c r="G435" s="495"/>
      <c r="H435" s="495"/>
      <c r="I435" s="495"/>
      <c r="J435" s="495" t="str">
        <f>IFERROR(__xludf.DUMMYFUNCTION("""COMPUTED_VALUE"""),"Campus San Francisco - CSF")</f>
        <v>Campus San Francisco - CSF</v>
      </c>
      <c r="K435" s="495" t="str">
        <f>IFERROR(__xludf.DUMMYFUNCTION("""COMPUTED_VALUE"""),"Sin número")</f>
        <v>Sin número</v>
      </c>
      <c r="L435" s="495" t="str">
        <f>IFERROR(__xludf.DUMMYFUNCTION("""COMPUTED_VALUE"""),"Constructora y Servicios S-Tec SPA")</f>
        <v>Constructora y Servicios S-Tec SPA</v>
      </c>
      <c r="M435" s="495" t="str">
        <f>IFERROR(__xludf.DUMMYFUNCTION("""COMPUTED_VALUE"""),"78.270.109-6")</f>
        <v>78.270.109-6</v>
      </c>
      <c r="N435" s="495" t="str">
        <f>IFERROR(__xludf.DUMMYFUNCTION("""COMPUTED_VALUE"""),"Miguel Pino")</f>
        <v>Miguel Pino</v>
      </c>
      <c r="O435" s="495" t="str">
        <f>IFERROR(__xludf.DUMMYFUNCTION("""COMPUTED_VALUE"""),"Obras y Especialidades")</f>
        <v>Obras y Especialidades</v>
      </c>
      <c r="P435" s="495"/>
      <c r="Q435" s="495"/>
      <c r="R435" s="495" t="str">
        <f>IFERROR(__xludf.DUMMYFUNCTION("""COMPUTED_VALUE"""),"Remodelación")</f>
        <v>Remodelación</v>
      </c>
      <c r="S435" s="495" t="str">
        <f>IFERROR(__xludf.DUMMYFUNCTION("""COMPUTED_VALUE"""),"Recepción de Obra - RC")</f>
        <v>Recepción de Obra - RC</v>
      </c>
      <c r="T435" s="495"/>
      <c r="U435" s="495"/>
      <c r="V435" s="495" t="str">
        <f>IFERROR(__xludf.DUMMYFUNCTION("""COMPUTED_VALUE"""),"Desarme de tabiques vidriados.
Desarme de tabiques metalcom.
Retiro y traslado de radiador para calefacción.
Construcción tabiques de metalcom.
Instalacion de mamparas vidriada, con puertas vidriadas, en vidrio templado de 10mm.
Pintura de muros con Esmal"&amp;"te al agua.")</f>
        <v>Desarme de tabiques vidriados.
Desarme de tabiques metalcom.
Retiro y traslado de radiador para calefacción.
Construcción tabiques de metalcom.
Instalacion de mamparas vidriada, con puertas vidriadas, en vidrio templado de 10mm.
Pintura de muros con Esmalte al agua.</v>
      </c>
      <c r="W435" s="495"/>
      <c r="X435" s="495" t="str">
        <f>IFERROR(__xludf.DUMMYFUNCTION("""COMPUTED_VALUE"""),"https://drive.google.com/open?id=1t2o4n5wCT4MRALuYmIDWqZP819vmTXQY, https://drive.google.com/open?id=1NMI8Wbdk3xyWMcrf4t754BkrwOgRRa_G, https://drive.google.com/open?id=1cUr2fZbWVqU5NSWxjuAYFffFcCEffpu0, https://drive.google.com/open?id=14hxp31Hbhe0Nhf4iG"&amp;"vVx-YgLbg2Sdh0B, https://drive.google.com/open?id=1PSG8mMdP80su3lUeWGIT4XI8vrJz_rjC, https://drive.google.com/open?id=1_N_WVyJ_LDPDgIYg9HN9FO9iS6Y0gUbW, https://drive.google.com/open?id=1d2UFWO3usC3nzFnRLHMEoth4JLtNz0QU, https://drive.google.com/open?id=1"&amp;"7vD9R0o4RzAxPvsjhy5vA3jWybM4lrjr, https://drive.google.com/open?id=12YL01SCu6AHDNADGmgcq3Cuaa8nugp7s, https://drive.google.com/open?id=1OIS6Xdr1z4NwBe79pNIyYwUphw8a--aN")</f>
        <v>https://drive.google.com/open?id=1t2o4n5wCT4MRALuYmIDWqZP819vmTXQY, https://drive.google.com/open?id=1NMI8Wbdk3xyWMcrf4t754BkrwOgRRa_G, https://drive.google.com/open?id=1cUr2fZbWVqU5NSWxjuAYFffFcCEffpu0, https://drive.google.com/open?id=14hxp31Hbhe0Nhf4iGvVx-YgLbg2Sdh0B, https://drive.google.com/open?id=1PSG8mMdP80su3lUeWGIT4XI8vrJz_rjC, https://drive.google.com/open?id=1_N_WVyJ_LDPDgIYg9HN9FO9iS6Y0gUbW, https://drive.google.com/open?id=1d2UFWO3usC3nzFnRLHMEoth4JLtNz0QU, https://drive.google.com/open?id=17vD9R0o4RzAxPvsjhy5vA3jWybM4lrjr, https://drive.google.com/open?id=12YL01SCu6AHDNADGmgcq3Cuaa8nugp7s, https://drive.google.com/open?id=1OIS6Xdr1z4NwBe79pNIyYwUphw8a--aN</v>
      </c>
      <c r="Y435" s="495" t="str">
        <f>IFERROR(__xludf.DUMMYFUNCTION("""COMPUTED_VALUE"""),"miguelptorres@gmail.com")</f>
        <v>miguelptorres@gmail.com</v>
      </c>
      <c r="Z435" s="498">
        <f>IFERROR(__xludf.DUMMYFUNCTION("""COMPUTED_VALUE"""),1.2630236E7)</f>
        <v>12630236</v>
      </c>
      <c r="AA435" s="495"/>
      <c r="AB435" s="495"/>
      <c r="AC435" s="495"/>
      <c r="AD435" s="495" t="str">
        <f>IFERROR(__xludf.DUMMYFUNCTION("""COMPUTED_VALUE"""),"RC-112_26")</f>
        <v>RC-112_26</v>
      </c>
    </row>
    <row r="436">
      <c r="A436" s="495" t="str">
        <f t="shared" si="1"/>
        <v/>
      </c>
      <c r="B436" s="497">
        <f>IFERROR(__xludf.DUMMYFUNCTION("""COMPUTED_VALUE"""),46025.975471134254)</f>
        <v>46025.97547</v>
      </c>
      <c r="C436" s="495" t="str">
        <f>IFERROR(__xludf.DUMMYFUNCTION("""COMPUTED_VALUE"""),"")</f>
        <v/>
      </c>
      <c r="D436" s="495" t="str">
        <f>IFERROR(__xludf.DUMMYFUNCTION("""COMPUTED_VALUE"""),"Mauricio Zurita Aldea")</f>
        <v>Mauricio Zurita Aldea</v>
      </c>
      <c r="E436" s="495"/>
      <c r="F436" s="496" t="str">
        <f>IFERROR(__xludf.DUMMYFUNCTION("""COMPUTED_VALUE"""),"12790 - 2025")</f>
        <v>12790 - 2025</v>
      </c>
      <c r="G436" s="495"/>
      <c r="H436" s="495"/>
      <c r="I436" s="495"/>
      <c r="J436" s="495" t="str">
        <f>IFERROR(__xludf.DUMMYFUNCTION("""COMPUTED_VALUE"""),"Campus San Juan Pablo II - CJP")</f>
        <v>Campus San Juan Pablo II - CJP</v>
      </c>
      <c r="K436" s="495" t="str">
        <f>IFERROR(__xludf.DUMMYFUNCTION("""COMPUTED_VALUE"""),"Exterior")</f>
        <v>Exterior</v>
      </c>
      <c r="L436" s="495" t="str">
        <f>IFERROR(__xludf.DUMMYFUNCTION("""COMPUTED_VALUE"""),"INGENIERIA Y CONSTRUCCIONES ELEKTRICA SPA")</f>
        <v>INGENIERIA Y CONSTRUCCIONES ELEKTRICA SPA</v>
      </c>
      <c r="M436" s="495" t="str">
        <f>IFERROR(__xludf.DUMMYFUNCTION("""COMPUTED_VALUE"""),"76.884.395-3")</f>
        <v>76.884.395-3</v>
      </c>
      <c r="N436" s="495" t="str">
        <f>IFERROR(__xludf.DUMMYFUNCTION("""COMPUTED_VALUE"""),"Marco Paine Salgado - Gerente")</f>
        <v>Marco Paine Salgado - Gerente</v>
      </c>
      <c r="O436" s="495" t="str">
        <f>IFERROR(__xludf.DUMMYFUNCTION("""COMPUTED_VALUE"""),"Mantenciones")</f>
        <v>Mantenciones</v>
      </c>
      <c r="P436" s="495" t="str">
        <f>IFERROR(__xludf.DUMMYFUNCTION("""COMPUTED_VALUE"""),"Instalaciones Eléctricas")</f>
        <v>Instalaciones Eléctricas</v>
      </c>
      <c r="Q436" s="495"/>
      <c r="R436" s="495"/>
      <c r="S436" s="495"/>
      <c r="T436" s="495"/>
      <c r="U436" s="495"/>
      <c r="V436" s="495" t="str">
        <f>IFERROR(__xludf.DUMMYFUNCTION("""COMPUTED_VALUE"""),"TABLERO DE FAENA, 6 ADAPTADORES DE ENCHUFES Y UNA EXTENCION TABLERO ELÉCTRICO MÓVIL PARA ACTIVIDADES ACADÉMICAS AL AIRE LIBRE CAMPUS JUAN PABLO II")</f>
        <v>TABLERO DE FAENA, 6 ADAPTADORES DE ENCHUFES Y UNA EXTENCION TABLERO ELÉCTRICO MÓVIL PARA ACTIVIDADES ACADÉMICAS AL AIRE LIBRE CAMPUS JUAN PABLO II</v>
      </c>
      <c r="W436" s="495" t="str">
        <f>IFERROR(__xludf.DUMMYFUNCTION("""COMPUTED_VALUE"""),"Ninguna")</f>
        <v>Ninguna</v>
      </c>
      <c r="X436" s="495" t="str">
        <f>IFERROR(__xludf.DUMMYFUNCTION("""COMPUTED_VALUE"""),"https://drive.google.com/open?id=1Pbyu9hlqXi7PQXLqNanhh6n5Q-xBkH65, https://drive.google.com/open?id=1Gh6VEwaNOR7f8gj9wMogR6J2WrJzmwQV, https://drive.google.com/open?id=1N0P73fKSlkxptP0e4zsoaqbzD3BF64VX")</f>
        <v>https://drive.google.com/open?id=1Pbyu9hlqXi7PQXLqNanhh6n5Q-xBkH65, https://drive.google.com/open?id=1Gh6VEwaNOR7f8gj9wMogR6J2WrJzmwQV, https://drive.google.com/open?id=1N0P73fKSlkxptP0e4zsoaqbzD3BF64VX</v>
      </c>
      <c r="Y436" s="495" t="str">
        <f>IFERROR(__xludf.DUMMYFUNCTION("""COMPUTED_VALUE"""),"marcopaine@gmail.com")</f>
        <v>marcopaine@gmail.com</v>
      </c>
      <c r="Z436" s="495"/>
      <c r="AA436" s="495"/>
      <c r="AB436" s="495"/>
      <c r="AC436" s="495"/>
      <c r="AD436" s="495"/>
    </row>
    <row r="437">
      <c r="A437" s="495" t="str">
        <f t="shared" si="1"/>
        <v>RC-114_26</v>
      </c>
      <c r="B437" s="497">
        <f>IFERROR(__xludf.DUMMYFUNCTION("""COMPUTED_VALUE"""),46135.694939699075)</f>
        <v>46135.69494</v>
      </c>
      <c r="C437" s="495" t="str">
        <f>IFERROR(__xludf.DUMMYFUNCTION("""COMPUTED_VALUE"""),"")</f>
        <v/>
      </c>
      <c r="D437" s="495" t="str">
        <f>IFERROR(__xludf.DUMMYFUNCTION("""COMPUTED_VALUE"""),"Juan Ignacio Solís de Ovando")</f>
        <v>Juan Ignacio Solís de Ovando</v>
      </c>
      <c r="E437" s="495"/>
      <c r="F437" s="496" t="str">
        <f>IFERROR(__xludf.DUMMYFUNCTION("""COMPUTED_VALUE"""),"2025 - 2026")</f>
        <v>2025 - 2026</v>
      </c>
      <c r="G437" s="495"/>
      <c r="H437" s="495"/>
      <c r="I437" s="495"/>
      <c r="J437" s="495" t="str">
        <f>IFERROR(__xludf.DUMMYFUNCTION("""COMPUTED_VALUE"""),"Campus Dr. Luis Rivas del Canto - CRC")</f>
        <v>Campus Dr. Luis Rivas del Canto - CRC</v>
      </c>
      <c r="K437" s="495">
        <f>IFERROR(__xludf.DUMMYFUNCTION("""COMPUTED_VALUE"""),10.0)</f>
        <v>10</v>
      </c>
      <c r="L437" s="495" t="str">
        <f>IFERROR(__xludf.DUMMYFUNCTION("""COMPUTED_VALUE"""),"MH GRAFICA SPA")</f>
        <v>MH GRAFICA SPA</v>
      </c>
      <c r="M437" s="495" t="str">
        <f>IFERROR(__xludf.DUMMYFUNCTION("""COMPUTED_VALUE"""),"78.268.373-K")</f>
        <v>78.268.373-K</v>
      </c>
      <c r="N437" s="495" t="str">
        <f>IFERROR(__xludf.DUMMYFUNCTION("""COMPUTED_VALUE"""),"Marco Aroldo Romet Herrera Schwartinsky - Publicista instalador")</f>
        <v>Marco Aroldo Romet Herrera Schwartinsky - Publicista instalador</v>
      </c>
      <c r="O437" s="495" t="str">
        <f>IFERROR(__xludf.DUMMYFUNCTION("""COMPUTED_VALUE"""),"Obras y Especialidades")</f>
        <v>Obras y Especialidades</v>
      </c>
      <c r="P437" s="495"/>
      <c r="Q437" s="495"/>
      <c r="R437" s="495" t="str">
        <f>IFERROR(__xludf.DUMMYFUNCTION("""COMPUTED_VALUE"""),"Nuevo Edificio")</f>
        <v>Nuevo Edificio</v>
      </c>
      <c r="S437" s="495" t="str">
        <f>IFERROR(__xludf.DUMMYFUNCTION("""COMPUTED_VALUE"""),"Estado de Pago - EP")</f>
        <v>Estado de Pago - EP</v>
      </c>
      <c r="T437" s="495">
        <f>IFERROR(__xludf.DUMMYFUNCTION("""COMPUTED_VALUE"""),1.0)</f>
        <v>1</v>
      </c>
      <c r="U437" s="498">
        <f>IFERROR(__xludf.DUMMYFUNCTION("""COMPUTED_VALUE"""),3599892.0)</f>
        <v>3599892</v>
      </c>
      <c r="V437" s="495" t="str">
        <f>IFERROR(__xludf.DUMMYFUNCTION("""COMPUTED_VALUE"""),"EMPAVONADO DE OFICINAS Y CASINO EDIFICIO CRC10.")</f>
        <v>EMPAVONADO DE OFICINAS Y CASINO EDIFICIO CRC10.</v>
      </c>
      <c r="W437" s="495" t="str">
        <f>IFERROR(__xludf.DUMMYFUNCTION("""COMPUTED_VALUE"""),"Producto Frosted Empavonado . Siempre usar limpia vidrio para que no raye , el paño puede ser toalla de papel pero humeda con el liquido ( Limpia vidrio ). 
No escribir sobre el , puede que al limpiar salga la tinta pero no asi la marca de escritura. 
")</f>
        <v>Producto Frosted Empavonado . Siempre usar limpia vidrio para que no raye , el paño puede ser toalla de papel pero humeda con el liquido ( Limpia vidrio ). 
No escribir sobre el , puede que al limpiar salga la tinta pero no asi la marca de escritura. 
</v>
      </c>
      <c r="X437" s="495" t="str">
        <f>IFERROR(__xludf.DUMMYFUNCTION("""COMPUTED_VALUE"""),"https://drive.google.com/open?id=1lAPFzNJTfmkfTWwv9vzx7xjJPW0Eap2I, https://drive.google.com/open?id=1D9DQq-LC4X9_3aFYf1J0ghizoksEqELT, https://drive.google.com/open?id=1Y4zUozSoPY8dF-phLiemB08eBdi-UJ6C, https://drive.google.com/open?id=12_UYZff9ehTaHTyYL"&amp;"y1CBEetmLKp9GIr, https://drive.google.com/open?id=1YSQ3y7W6aTERq1hFhQT6Es-5OAynFf3M")</f>
        <v>https://drive.google.com/open?id=1lAPFzNJTfmkfTWwv9vzx7xjJPW0Eap2I, https://drive.google.com/open?id=1D9DQq-LC4X9_3aFYf1J0ghizoksEqELT, https://drive.google.com/open?id=1Y4zUozSoPY8dF-phLiemB08eBdi-UJ6C, https://drive.google.com/open?id=12_UYZff9ehTaHTyYLy1CBEetmLKp9GIr, https://drive.google.com/open?id=1YSQ3y7W6aTERq1hFhQT6Es-5OAynFf3M</v>
      </c>
      <c r="Y437" s="495" t="str">
        <f>IFERROR(__xludf.DUMMYFUNCTION("""COMPUTED_VALUE"""),"mhimpresionesfull@gmail.com")</f>
        <v>mhimpresionesfull@gmail.com</v>
      </c>
      <c r="Z437" s="498">
        <f>IFERROR(__xludf.DUMMYFUNCTION("""COMPUTED_VALUE"""),3599892.0)</f>
        <v>3599892</v>
      </c>
      <c r="AA437" s="495"/>
      <c r="AB437" s="495"/>
      <c r="AC437" s="495"/>
      <c r="AD437" s="495" t="str">
        <f>IFERROR(__xludf.DUMMYFUNCTION("""COMPUTED_VALUE"""),"RC-114_26")</f>
        <v>RC-114_26</v>
      </c>
    </row>
    <row r="438">
      <c r="A438" s="495" t="str">
        <f t="shared" si="1"/>
        <v>RC-115_26</v>
      </c>
      <c r="B438" s="497">
        <f>IFERROR(__xludf.DUMMYFUNCTION("""COMPUTED_VALUE"""),46136.445008842595)</f>
        <v>46136.44501</v>
      </c>
      <c r="C438" s="495" t="str">
        <f>IFERROR(__xludf.DUMMYFUNCTION("""COMPUTED_VALUE"""),"")</f>
        <v/>
      </c>
      <c r="D438" s="495" t="str">
        <f>IFERROR(__xludf.DUMMYFUNCTION("""COMPUTED_VALUE"""),"Leonor Ríos Morales")</f>
        <v>Leonor Ríos Morales</v>
      </c>
      <c r="E438" s="495"/>
      <c r="F438" s="496">
        <f>IFERROR(__xludf.DUMMYFUNCTION("""COMPUTED_VALUE"""),2598.0)</f>
        <v>2598</v>
      </c>
      <c r="G438" s="495"/>
      <c r="H438" s="495"/>
      <c r="I438" s="495"/>
      <c r="J438" s="495" t="str">
        <f>IFERROR(__xludf.DUMMYFUNCTION("""COMPUTED_VALUE"""),"Campus Dr. Luis Rivas del Canto - CRC")</f>
        <v>Campus Dr. Luis Rivas del Canto - CRC</v>
      </c>
      <c r="K438" s="495">
        <f>IFERROR(__xludf.DUMMYFUNCTION("""COMPUTED_VALUE"""),10.0)</f>
        <v>10</v>
      </c>
      <c r="L438" s="495" t="str">
        <f>IFERROR(__xludf.DUMMYFUNCTION("""COMPUTED_VALUE"""),"PUA SPA")</f>
        <v>PUA SPA</v>
      </c>
      <c r="M438" s="495" t="str">
        <f>IFERROR(__xludf.DUMMYFUNCTION("""COMPUTED_VALUE"""),"76.962.330-2")</f>
        <v>76.962.330-2</v>
      </c>
      <c r="N438" s="495" t="str">
        <f>IFERROR(__xludf.DUMMYFUNCTION("""COMPUTED_VALUE"""),"Jorge Martínez - Supervisor de Proyectos")</f>
        <v>Jorge Martínez - Supervisor de Proyectos</v>
      </c>
      <c r="O438" s="495" t="str">
        <f>IFERROR(__xludf.DUMMYFUNCTION("""COMPUTED_VALUE"""),"Obras y Especialidades")</f>
        <v>Obras y Especialidades</v>
      </c>
      <c r="P438" s="495"/>
      <c r="Q438" s="495"/>
      <c r="R438" s="495" t="str">
        <f>IFERROR(__xludf.DUMMYFUNCTION("""COMPUTED_VALUE"""),"Remodelación")</f>
        <v>Remodelación</v>
      </c>
      <c r="S438" s="495" t="str">
        <f>IFERROR(__xludf.DUMMYFUNCTION("""COMPUTED_VALUE"""),"Recepción de Obra - RC")</f>
        <v>Recepción de Obra - RC</v>
      </c>
      <c r="T438" s="495"/>
      <c r="U438" s="495"/>
      <c r="V438" s="495" t="str">
        <f>IFERROR(__xludf.DUMMYFUNCTION("""COMPUTED_VALUE"""),"• Identificador de Edificio CRC10
Se envía por medio de transporte Starken señalética correspondiente al Identificador de Edificio CRC10 ""Edificio San Patricio"", con soportes para instalación del mismo.
• Números de Fachada CSL01
Se envía por medio de "&amp;"transporte Starken números volumétricos ""371"" de acero inoxidable de 4 cm de espesor y altura 15,5 cm con vástagos para fijación a muro. Además, se envía plantilla para orificios en muro y un instructivo con recomendaciones para correcta instalación del"&amp;" mismo.
Se confirma recepción en optimas condiciones de ambas piezas por parte de la mandante en dirección entregada; Av. Rudecindo Ortega 03694.
")</f>
        <v>• Identificador de Edificio CRC10
Se envía por medio de transporte Starken señalética correspondiente al Identificador de Edificio CRC10 "Edificio San Patricio", con soportes para instalación del mismo.
• Números de Fachada CSL01
Se envía por medio de transporte Starken números volumétricos "371" de acero inoxidable de 4 cm de espesor y altura 15,5 cm con vástagos para fijación a muro. Además, se envía plantilla para orificios en muro y un instructivo con recomendaciones para correcta instalación del mismo.
Se confirma recepción en optimas condiciones de ambas piezas por parte de la mandante en dirección entregada; Av. Rudecindo Ortega 03694.
</v>
      </c>
      <c r="W438" s="495"/>
      <c r="X438" s="495" t="str">
        <f>IFERROR(__xludf.DUMMYFUNCTION("""COMPUTED_VALUE"""),"https://drive.google.com/open?id=1p0szrNNO3Uh3P1-dUoGGHA1_weB0Oo7n, https://drive.google.com/open?id=1oRr9EBYaSig2crYjwx_OKaS4oXsdO-k4, https://drive.google.com/open?id=1zyfpHjV8pqVlvQtxrfstyFHsdpCghBbA")</f>
        <v>https://drive.google.com/open?id=1p0szrNNO3Uh3P1-dUoGGHA1_weB0Oo7n, https://drive.google.com/open?id=1oRr9EBYaSig2crYjwx_OKaS4oXsdO-k4, https://drive.google.com/open?id=1zyfpHjV8pqVlvQtxrfstyFHsdpCghBbA</v>
      </c>
      <c r="Y438" s="495" t="str">
        <f>IFERROR(__xludf.DUMMYFUNCTION("""COMPUTED_VALUE"""),"diseno@pua.cl")</f>
        <v>diseno@pua.cl</v>
      </c>
      <c r="Z438" s="498">
        <f>IFERROR(__xludf.DUMMYFUNCTION("""COMPUTED_VALUE"""),1074618.0)</f>
        <v>1074618</v>
      </c>
      <c r="AA438" s="495"/>
      <c r="AB438" s="495"/>
      <c r="AC438" s="495"/>
      <c r="AD438" s="495" t="str">
        <f>IFERROR(__xludf.DUMMYFUNCTION("""COMPUTED_VALUE"""),"RC-115_26")</f>
        <v>RC-115_26</v>
      </c>
    </row>
    <row r="439">
      <c r="A439" s="495" t="str">
        <f t="shared" si="1"/>
        <v>RC-116_26</v>
      </c>
      <c r="B439" s="497">
        <f>IFERROR(__xludf.DUMMYFUNCTION("""COMPUTED_VALUE"""),46136.52356755787)</f>
        <v>46136.52357</v>
      </c>
      <c r="C439" s="495" t="str">
        <f>IFERROR(__xludf.DUMMYFUNCTION("""COMPUTED_VALUE"""),"")</f>
        <v/>
      </c>
      <c r="D439" s="495" t="str">
        <f>IFERROR(__xludf.DUMMYFUNCTION("""COMPUTED_VALUE"""),"Cristóbal Correa del Río")</f>
        <v>Cristóbal Correa del Río</v>
      </c>
      <c r="E439" s="495"/>
      <c r="F439" s="496" t="str">
        <f>IFERROR(__xludf.DUMMYFUNCTION("""COMPUTED_VALUE"""),"1228-2026")</f>
        <v>1228-2026</v>
      </c>
      <c r="G439" s="495"/>
      <c r="H439" s="495"/>
      <c r="I439" s="495"/>
      <c r="J439" s="495" t="str">
        <f>IFERROR(__xludf.DUMMYFUNCTION("""COMPUTED_VALUE"""),"Campus Prieto Norte - CHS")</f>
        <v>Campus Prieto Norte - CHS</v>
      </c>
      <c r="K439" s="495" t="str">
        <f>IFERROR(__xludf.DUMMYFUNCTION("""COMPUTED_VALUE"""),"01")</f>
        <v>01</v>
      </c>
      <c r="L439" s="495" t="str">
        <f>IFERROR(__xludf.DUMMYFUNCTION("""COMPUTED_VALUE"""),"Comercial y Fabrica de muebles Claudio Gallardo E.I.R.L ")</f>
        <v>Comercial y Fabrica de muebles Claudio Gallardo E.I.R.L </v>
      </c>
      <c r="M439" s="495" t="str">
        <f>IFERROR(__xludf.DUMMYFUNCTION("""COMPUTED_VALUE"""),"78.194.234-0")</f>
        <v>78.194.234-0</v>
      </c>
      <c r="N439" s="495" t="str">
        <f>IFERROR(__xludf.DUMMYFUNCTION("""COMPUTED_VALUE"""),"Claudio Gallardo, Representante Legal")</f>
        <v>Claudio Gallardo, Representante Legal</v>
      </c>
      <c r="O439" s="495" t="str">
        <f>IFERROR(__xludf.DUMMYFUNCTION("""COMPUTED_VALUE"""),"Obras y Especialidades")</f>
        <v>Obras y Especialidades</v>
      </c>
      <c r="P439" s="495"/>
      <c r="Q439" s="495"/>
      <c r="R439" s="495" t="str">
        <f>IFERROR(__xludf.DUMMYFUNCTION("""COMPUTED_VALUE"""),"Especialidades")</f>
        <v>Especialidades</v>
      </c>
      <c r="S439" s="495" t="str">
        <f>IFERROR(__xludf.DUMMYFUNCTION("""COMPUTED_VALUE"""),"Recepción de Obra - RC")</f>
        <v>Recepción de Obra - RC</v>
      </c>
      <c r="T439" s="495"/>
      <c r="U439" s="495"/>
      <c r="V439" s="495" t="str">
        <f>IFERROR(__xludf.DUMMYFUNCTION("""COMPUTED_VALUE"""),"El trabajo consistió en la realización de 4 repisas en melamina de 18mm, ancladas a los dos muros laterales mediante refuerzos de melamina ")</f>
        <v>El trabajo consistió en la realización de 4 repisas en melamina de 18mm, ancladas a los dos muros laterales mediante refuerzos de melamina </v>
      </c>
      <c r="W439" s="495" t="str">
        <f>IFERROR(__xludf.DUMMYFUNCTION("""COMPUTED_VALUE"""),"Soporte máximo 30kg por repisa")</f>
        <v>Soporte máximo 30kg por repisa</v>
      </c>
      <c r="X439" s="495" t="str">
        <f>IFERROR(__xludf.DUMMYFUNCTION("""COMPUTED_VALUE"""),"https://drive.google.com/open?id=12iTKmKGS-MU_3z82P2RDvfSn5rvfzmCL, https://drive.google.com/open?id=1CsdUtNbB4ZXVFcQuJjQmLnuwbS1BLdBY")</f>
        <v>https://drive.google.com/open?id=12iTKmKGS-MU_3z82P2RDvfSn5rvfzmCL, https://drive.google.com/open?id=1CsdUtNbB4ZXVFcQuJjQmLnuwbS1BLdBY</v>
      </c>
      <c r="Y439" s="495" t="str">
        <f>IFERROR(__xludf.DUMMYFUNCTION("""COMPUTED_VALUE"""),"mueblescreagallardo@gmail.com")</f>
        <v>mueblescreagallardo@gmail.com</v>
      </c>
      <c r="Z439" s="498">
        <f>IFERROR(__xludf.DUMMYFUNCTION("""COMPUTED_VALUE"""),142800.0)</f>
        <v>142800</v>
      </c>
      <c r="AA439" s="495"/>
      <c r="AB439" s="495"/>
      <c r="AC439" s="495"/>
      <c r="AD439" s="495" t="str">
        <f>IFERROR(__xludf.DUMMYFUNCTION("""COMPUTED_VALUE"""),"RC-116_26")</f>
        <v>RC-116_26</v>
      </c>
    </row>
    <row r="440">
      <c r="A440" s="495" t="str">
        <f t="shared" si="1"/>
        <v/>
      </c>
      <c r="B440" s="497">
        <f>IFERROR(__xludf.DUMMYFUNCTION("""COMPUTED_VALUE"""),46025.971579652774)</f>
        <v>46025.97158</v>
      </c>
      <c r="C440" s="495" t="str">
        <f>IFERROR(__xludf.DUMMYFUNCTION("""COMPUTED_VALUE"""),"")</f>
        <v/>
      </c>
      <c r="D440" s="495" t="str">
        <f>IFERROR(__xludf.DUMMYFUNCTION("""COMPUTED_VALUE"""),"Mauricio Zurita Aldea")</f>
        <v>Mauricio Zurita Aldea</v>
      </c>
      <c r="E440" s="495"/>
      <c r="F440" s="496" t="str">
        <f>IFERROR(__xludf.DUMMYFUNCTION("""COMPUTED_VALUE"""),"12797-2025")</f>
        <v>12797-2025</v>
      </c>
      <c r="G440" s="495"/>
      <c r="H440" s="495"/>
      <c r="I440" s="495"/>
      <c r="J440" s="495" t="str">
        <f>IFERROR(__xludf.DUMMYFUNCTION("""COMPUTED_VALUE"""),"Campus San Francisco - CSF")</f>
        <v>Campus San Francisco - CSF</v>
      </c>
      <c r="K440" s="495" t="str">
        <f>IFERROR(__xludf.DUMMYFUNCTION("""COMPUTED_VALUE"""),"Sin número")</f>
        <v>Sin número</v>
      </c>
      <c r="L440" s="495" t="str">
        <f>IFERROR(__xludf.DUMMYFUNCTION("""COMPUTED_VALUE"""),"INGENIERIA Y CONSTRUCCIONES ELEKTRICA SPA")</f>
        <v>INGENIERIA Y CONSTRUCCIONES ELEKTRICA SPA</v>
      </c>
      <c r="M440" s="495" t="str">
        <f>IFERROR(__xludf.DUMMYFUNCTION("""COMPUTED_VALUE"""),"76.884.395-3")</f>
        <v>76.884.395-3</v>
      </c>
      <c r="N440" s="495" t="str">
        <f>IFERROR(__xludf.DUMMYFUNCTION("""COMPUTED_VALUE"""),"Marco Paine Salgado - Gerente")</f>
        <v>Marco Paine Salgado - Gerente</v>
      </c>
      <c r="O440" s="495" t="str">
        <f>IFERROR(__xludf.DUMMYFUNCTION("""COMPUTED_VALUE"""),"Mantenciones")</f>
        <v>Mantenciones</v>
      </c>
      <c r="P440" s="495" t="str">
        <f>IFERROR(__xludf.DUMMYFUNCTION("""COMPUTED_VALUE"""),"Instalaciones Eléctricas")</f>
        <v>Instalaciones Eléctricas</v>
      </c>
      <c r="Q440" s="495"/>
      <c r="R440" s="495"/>
      <c r="S440" s="495"/>
      <c r="T440" s="495"/>
      <c r="U440" s="495"/>
      <c r="V440" s="495" t="str">
        <f>IFERROR(__xludf.DUMMYFUNCTION("""COMPUTED_VALUE"""),"AUMENTO DE POTENCIA CAFETERIA SABOR UNICO CAMPUS SAN FRANCISCO, CAMBIO DE PROTECCIONES AUTOMATICAS, Y NUEVOS CIRCUITOS PARA MAQUINAS.")</f>
        <v>AUMENTO DE POTENCIA CAFETERIA SABOR UNICO CAMPUS SAN FRANCISCO, CAMBIO DE PROTECCIONES AUTOMATICAS, Y NUEVOS CIRCUITOS PARA MAQUINAS.</v>
      </c>
      <c r="W440" s="495" t="str">
        <f>IFERROR(__xludf.DUMMYFUNCTION("""COMPUTED_VALUE"""),"Normalizar tableros eléctricos de Edificio E y Cafetería.")</f>
        <v>Normalizar tableros eléctricos de Edificio E y Cafetería.</v>
      </c>
      <c r="X440" s="495" t="str">
        <f>IFERROR(__xludf.DUMMYFUNCTION("""COMPUTED_VALUE"""),"https://drive.google.com/open?id=1VjQ3MLZvvjv3Fcx9tBBlKl8lA-haBcI9, https://drive.google.com/open?id=1En_lUYbD9tQq9JgpN8VtvfkqtXMIK_ER, https://drive.google.com/open?id=16y3JCZY3cJiXyhebj1jNtg7ZeKsCkyCf, https://drive.google.com/open?id=1J5MYkmldyrBS3Eqox"&amp;"o0STMElPJ16zU6s, https://drive.google.com/open?id=17B1w8MU_bAjo2HBajwkrhgCVap385H-j")</f>
        <v>https://drive.google.com/open?id=1VjQ3MLZvvjv3Fcx9tBBlKl8lA-haBcI9, https://drive.google.com/open?id=1En_lUYbD9tQq9JgpN8VtvfkqtXMIK_ER, https://drive.google.com/open?id=16y3JCZY3cJiXyhebj1jNtg7ZeKsCkyCf, https://drive.google.com/open?id=1J5MYkmldyrBS3Eqoxo0STMElPJ16zU6s, https://drive.google.com/open?id=17B1w8MU_bAjo2HBajwkrhgCVap385H-j</v>
      </c>
      <c r="Y440" s="495" t="str">
        <f>IFERROR(__xludf.DUMMYFUNCTION("""COMPUTED_VALUE"""),"marcopaine@gmail.com")</f>
        <v>marcopaine@gmail.com</v>
      </c>
      <c r="Z440" s="495"/>
      <c r="AA440" s="495"/>
      <c r="AB440" s="495"/>
      <c r="AC440" s="495"/>
      <c r="AD440" s="495"/>
    </row>
    <row r="441">
      <c r="A441" s="495" t="str">
        <f t="shared" si="1"/>
        <v>RC-118_26</v>
      </c>
      <c r="B441" s="497">
        <f>IFERROR(__xludf.DUMMYFUNCTION("""COMPUTED_VALUE"""),46136.80148488426)</f>
        <v>46136.80148</v>
      </c>
      <c r="C441" s="495" t="str">
        <f>IFERROR(__xludf.DUMMYFUNCTION("""COMPUTED_VALUE"""),"")</f>
        <v/>
      </c>
      <c r="D441" s="495" t="str">
        <f>IFERROR(__xludf.DUMMYFUNCTION("""COMPUTED_VALUE"""),"David Silva Roco")</f>
        <v>David Silva Roco</v>
      </c>
      <c r="E441" s="495"/>
      <c r="F441" s="496" t="str">
        <f>IFERROR(__xludf.DUMMYFUNCTION("""COMPUTED_VALUE"""),"858-2026")</f>
        <v>858-2026</v>
      </c>
      <c r="G441" s="495"/>
      <c r="H441" s="495"/>
      <c r="I441" s="495"/>
      <c r="J441" s="495" t="str">
        <f>IFERROR(__xludf.DUMMYFUNCTION("""COMPUTED_VALUE"""),"Campus San Francisco - CSF")</f>
        <v>Campus San Francisco - CSF</v>
      </c>
      <c r="K441" s="495">
        <f>IFERROR(__xludf.DUMMYFUNCTION("""COMPUTED_VALUE"""),14.0)</f>
        <v>14</v>
      </c>
      <c r="L441" s="495" t="str">
        <f>IFERROR(__xludf.DUMMYFUNCTION("""COMPUTED_VALUE"""),"CONSTRUCCIONES AVANTI LIMITADA")</f>
        <v>CONSTRUCCIONES AVANTI LIMITADA</v>
      </c>
      <c r="M441" s="495" t="str">
        <f>IFERROR(__xludf.DUMMYFUNCTION("""COMPUTED_VALUE"""),"77.790.223-7")</f>
        <v>77.790.223-7</v>
      </c>
      <c r="N441" s="495" t="str">
        <f>IFERROR(__xludf.DUMMYFUNCTION("""COMPUTED_VALUE"""),"RODRIGO RIOS SALAZAR - INGENIERO CIVIL")</f>
        <v>RODRIGO RIOS SALAZAR - INGENIERO CIVIL</v>
      </c>
      <c r="O441" s="495" t="str">
        <f>IFERROR(__xludf.DUMMYFUNCTION("""COMPUTED_VALUE"""),"Obras y Especialidades")</f>
        <v>Obras y Especialidades</v>
      </c>
      <c r="P441" s="495"/>
      <c r="Q441" s="495"/>
      <c r="R441" s="495" t="str">
        <f>IFERROR(__xludf.DUMMYFUNCTION("""COMPUTED_VALUE"""),"Exteriores")</f>
        <v>Exteriores</v>
      </c>
      <c r="S441" s="495" t="str">
        <f>IFERROR(__xludf.DUMMYFUNCTION("""COMPUTED_VALUE"""),"Recepción de Obra - RC")</f>
        <v>Recepción de Obra - RC</v>
      </c>
      <c r="T441" s="495"/>
      <c r="U441" s="495"/>
      <c r="V441" s="495" t="str">
        <f>IFERROR(__xludf.DUMMYFUNCTION("""COMPUTED_VALUE"""),"PREPARACION Y LIMPIEZA DE ESTRUCTURA DE MADERA LAMINADA Y CIELO RASO EXTERIOR DEL EDIFICIO
LIJADO DE ESTRUCTURA MADERA LAMINADA Y CIELO RASO EXTERIOR DEL EDIFICIO
APLICACION DE PINTURA CUTEK EN VIGAS Y PILARES
APLICACION DE SELLO IMPERMEABILIZANTE EN CIEL"&amp;"O RASO Y MUROS DE EMPALIZADO
INSTALACION DE PROTECCIONES METALICAS EN PILARES
PODA DE ENREDADERAS")</f>
        <v>PREPARACION Y LIMPIEZA DE ESTRUCTURA DE MADERA LAMINADA Y CIELO RASO EXTERIOR DEL EDIFICIO
LIJADO DE ESTRUCTURA MADERA LAMINADA Y CIELO RASO EXTERIOR DEL EDIFICIO
APLICACION DE PINTURA CUTEK EN VIGAS Y PILARES
APLICACION DE SELLO IMPERMEABILIZANTE EN CIELO RASO Y MUROS DE EMPALIZADO
INSTALACION DE PROTECCIONES METALICAS EN PILARES
PODA DE ENREDADERAS</v>
      </c>
      <c r="W441" s="495"/>
      <c r="X441" s="495" t="str">
        <f>IFERROR(__xludf.DUMMYFUNCTION("""COMPUTED_VALUE"""),"https://drive.google.com/open?id=1Zs4vmjzd_IpZG7bgG5a7TKNHqlEilHYO, https://drive.google.com/open?id=1UlUIJ6zui0fXb-U6RozDDs8PEU3BUFZq, https://drive.google.com/open?id=1FSNLYuKYDm-OP3Wz7OQ5gb-GQeNMKa6I, https://drive.google.com/open?id=1DPHb9q1rly1d8EwBS"&amp;"gTVem2UBMr6CSRr, https://drive.google.com/open?id=1SKEKucgkHsQchIwVlEsfT9t7nhjP5Noe")</f>
        <v>https://drive.google.com/open?id=1Zs4vmjzd_IpZG7bgG5a7TKNHqlEilHYO, https://drive.google.com/open?id=1UlUIJ6zui0fXb-U6RozDDs8PEU3BUFZq, https://drive.google.com/open?id=1FSNLYuKYDm-OP3Wz7OQ5gb-GQeNMKa6I, https://drive.google.com/open?id=1DPHb9q1rly1d8EwBSgTVem2UBMr6CSRr, https://drive.google.com/open?id=1SKEKucgkHsQchIwVlEsfT9t7nhjP5Noe</v>
      </c>
      <c r="Y441" s="495" t="str">
        <f>IFERROR(__xludf.DUMMYFUNCTION("""COMPUTED_VALUE"""),"rrios.avanti@gmail.com")</f>
        <v>rrios.avanti@gmail.com</v>
      </c>
      <c r="Z441" s="498">
        <f>IFERROR(__xludf.DUMMYFUNCTION("""COMPUTED_VALUE"""),9.4737758E7)</f>
        <v>94737758</v>
      </c>
      <c r="AA441" s="495"/>
      <c r="AB441" s="495"/>
      <c r="AC441" s="495"/>
      <c r="AD441" s="495" t="str">
        <f>IFERROR(__xludf.DUMMYFUNCTION("""COMPUTED_VALUE"""),"RC-118_26")</f>
        <v>RC-118_26</v>
      </c>
    </row>
    <row r="442">
      <c r="A442" s="495" t="str">
        <f t="shared" si="1"/>
        <v/>
      </c>
      <c r="B442" s="497">
        <f>IFERROR(__xludf.DUMMYFUNCTION("""COMPUTED_VALUE"""),46021.38979850695)</f>
        <v>46021.3898</v>
      </c>
      <c r="C442" s="495" t="str">
        <f>IFERROR(__xludf.DUMMYFUNCTION("""COMPUTED_VALUE"""),"")</f>
        <v/>
      </c>
      <c r="D442" s="495" t="str">
        <f>IFERROR(__xludf.DUMMYFUNCTION("""COMPUTED_VALUE"""),"Carol Huenchual Chañilao")</f>
        <v>Carol Huenchual Chañilao</v>
      </c>
      <c r="E442" s="495"/>
      <c r="F442" s="496" t="str">
        <f>IFERROR(__xludf.DUMMYFUNCTION("""COMPUTED_VALUE"""),"13057 - 2025")</f>
        <v>13057 - 2025</v>
      </c>
      <c r="G442" s="495"/>
      <c r="H442" s="495"/>
      <c r="I442" s="495"/>
      <c r="J442" s="495" t="str">
        <f>IFERROR(__xludf.DUMMYFUNCTION("""COMPUTED_VALUE"""),"Campus San Juan Pablo II - CJP")</f>
        <v>Campus San Juan Pablo II - CJP</v>
      </c>
      <c r="K442" s="495" t="str">
        <f>IFERROR(__xludf.DUMMYFUNCTION("""COMPUTED_VALUE"""),"Exterior")</f>
        <v>Exterior</v>
      </c>
      <c r="L442" s="495" t="str">
        <f>IFERROR(__xludf.DUMMYFUNCTION("""COMPUTED_VALUE"""),"Empresa Constructora IGECE Ltada.")</f>
        <v>Empresa Constructora IGECE Ltada.</v>
      </c>
      <c r="M442" s="495" t="str">
        <f>IFERROR(__xludf.DUMMYFUNCTION("""COMPUTED_VALUE"""),"76.878.824-3")</f>
        <v>76.878.824-3</v>
      </c>
      <c r="N442" s="495" t="str">
        <f>IFERROR(__xludf.DUMMYFUNCTION("""COMPUTED_VALUE"""),"Carlos Troncoso - Gerente General ")</f>
        <v>Carlos Troncoso - Gerente General </v>
      </c>
      <c r="O442" s="495" t="str">
        <f>IFERROR(__xludf.DUMMYFUNCTION("""COMPUTED_VALUE"""),"Mantenciones")</f>
        <v>Mantenciones</v>
      </c>
      <c r="P442" s="495" t="str">
        <f>IFERROR(__xludf.DUMMYFUNCTION("""COMPUTED_VALUE"""),"Requerimientos Emergentes e Imprevistos")</f>
        <v>Requerimientos Emergentes e Imprevistos</v>
      </c>
      <c r="Q442" s="495"/>
      <c r="R442" s="495"/>
      <c r="S442" s="495"/>
      <c r="T442" s="495"/>
      <c r="U442" s="495"/>
      <c r="V442" s="495" t="str">
        <f>IFERROR(__xludf.DUMMYFUNCTION("""COMPUTED_VALUE"""),"Cielo losa con filtracion de agua lluvia (CJP07_322)
Persiana madera con hoja desconectada (CJP08_480)
Persiana madera trabada, no gira (CJP08_493)
Placas de shaft rotas (CJP08_254)
Tabique con humedad (CJP12_100)
Estructura madera con pieza quebrada (CJP"&amp;"16_175)
Persiana en mal estado, trabada no gira (CRC09_225)
Panel con placa rota (CRC05_235)
Muro con desprendimiento de material (CRC06_100)
Pared de madera con humedad con piezas podridas (CRC18_101)
Cielo cubierta con estructura de madera con piezas po"&amp;"dridas (CRC18_120)
Pared con madera humedad y piezas podridas (CRC18_130)
Pared recubrimiento madera con piezas podridas (CRC18_168)
Pared con recubriendo madera con piezas podridas (CRC18_182)
Pared con filtración de agua (CRC17_102)
Escalera madera en p"&amp;"ared, quebrada (CPL08_101)
Puerta con desprendimiento (CPL04_101)
Falta puerta de entrada al recinto (CPL04_121)
")</f>
        <v>Cielo losa con filtracion de agua lluvia (CJP07_322)
Persiana madera con hoja desconectada (CJP08_480)
Persiana madera trabada, no gira (CJP08_493)
Placas de shaft rotas (CJP08_254)
Tabique con humedad (CJP12_100)
Estructura madera con pieza quebrada (CJP16_175)
Persiana en mal estado, trabada no gira (CRC09_225)
Panel con placa rota (CRC05_235)
Muro con desprendimiento de material (CRC06_100)
Pared de madera con humedad con piezas podridas (CRC18_101)
Cielo cubierta con estructura de madera con piezas podridas (CRC18_120)
Pared con madera humedad y piezas podridas (CRC18_130)
Pared recubrimiento madera con piezas podridas (CRC18_168)
Pared con recubriendo madera con piezas podridas (CRC18_182)
Pared con filtración de agua (CRC17_102)
Escalera madera en pared, quebrada (CPL08_101)
Puerta con desprendimiento (CPL04_101)
Falta puerta de entrada al recinto (CPL04_121)
</v>
      </c>
      <c r="W442" s="495"/>
      <c r="X442" s="495" t="str">
        <f>IFERROR(__xludf.DUMMYFUNCTION("""COMPUTED_VALUE"""),"https://drive.google.com/open?id=1BOIwiYIgNjO26RygsSC_QRiyPtdG7yqH, https://drive.google.com/open?id=1aQNhH5v0iFZxW5zcIPQI9qolYl7sUhie, https://drive.google.com/open?id=1OHWH-A_SD4E4_V_O6s-y2_1GmNG3Q3MR, https://drive.google.com/open?id=1vQETR77FivsVxE2Mm"&amp;"zDq85W-dOUc4jGr, https://drive.google.com/open?id=1ICv-ICDrD-YsDsYzFNMD-NOfySRf4bdb")</f>
        <v>https://drive.google.com/open?id=1BOIwiYIgNjO26RygsSC_QRiyPtdG7yqH, https://drive.google.com/open?id=1aQNhH5v0iFZxW5zcIPQI9qolYl7sUhie, https://drive.google.com/open?id=1OHWH-A_SD4E4_V_O6s-y2_1GmNG3Q3MR, https://drive.google.com/open?id=1vQETR77FivsVxE2MmzDq85W-dOUc4jGr, https://drive.google.com/open?id=1ICv-ICDrD-YsDsYzFNMD-NOfySRf4bdb</v>
      </c>
      <c r="Y442" s="495" t="str">
        <f>IFERROR(__xludf.DUMMYFUNCTION("""COMPUTED_VALUE"""),"carlostroncosom@hotmail.com")</f>
        <v>carlostroncosom@hotmail.com</v>
      </c>
      <c r="Z442" s="495"/>
      <c r="AA442" s="495"/>
      <c r="AB442" s="495"/>
      <c r="AC442" s="495"/>
      <c r="AD442" s="495"/>
    </row>
    <row r="443">
      <c r="A443" s="495" t="str">
        <f t="shared" si="1"/>
        <v/>
      </c>
      <c r="B443" s="497">
        <f>IFERROR(__xludf.DUMMYFUNCTION("""COMPUTED_VALUE"""),46021.384706412035)</f>
        <v>46021.38471</v>
      </c>
      <c r="C443" s="495" t="str">
        <f>IFERROR(__xludf.DUMMYFUNCTION("""COMPUTED_VALUE"""),"")</f>
        <v/>
      </c>
      <c r="D443" s="495" t="str">
        <f>IFERROR(__xludf.DUMMYFUNCTION("""COMPUTED_VALUE"""),"Carol Huenchual Chañilao")</f>
        <v>Carol Huenchual Chañilao</v>
      </c>
      <c r="E443" s="495"/>
      <c r="F443" s="496" t="str">
        <f>IFERROR(__xludf.DUMMYFUNCTION("""COMPUTED_VALUE"""),"13004 - 2025")</f>
        <v>13004 - 2025</v>
      </c>
      <c r="G443" s="495"/>
      <c r="H443" s="495"/>
      <c r="I443" s="495"/>
      <c r="J443" s="495" t="str">
        <f>IFERROR(__xludf.DUMMYFUNCTION("""COMPUTED_VALUE"""),"Campus San Juan Pablo II - CJP")</f>
        <v>Campus San Juan Pablo II - CJP</v>
      </c>
      <c r="K443" s="495" t="str">
        <f>IFERROR(__xludf.DUMMYFUNCTION("""COMPUTED_VALUE"""),"01")</f>
        <v>01</v>
      </c>
      <c r="L443" s="495" t="str">
        <f>IFERROR(__xludf.DUMMYFUNCTION("""COMPUTED_VALUE"""),"Empresa Constructora IGECE Ltda.")</f>
        <v>Empresa Constructora IGECE Ltda.</v>
      </c>
      <c r="M443" s="495" t="str">
        <f>IFERROR(__xludf.DUMMYFUNCTION("""COMPUTED_VALUE"""),"76.878.824-3")</f>
        <v>76.878.824-3</v>
      </c>
      <c r="N443" s="495" t="str">
        <f>IFERROR(__xludf.DUMMYFUNCTION("""COMPUTED_VALUE"""),"Carlos Troncoso - Gerente General ")</f>
        <v>Carlos Troncoso - Gerente General </v>
      </c>
      <c r="O443" s="495" t="str">
        <f>IFERROR(__xludf.DUMMYFUNCTION("""COMPUTED_VALUE"""),"Mantenciones")</f>
        <v>Mantenciones</v>
      </c>
      <c r="P443" s="495" t="str">
        <f>IFERROR(__xludf.DUMMYFUNCTION("""COMPUTED_VALUE"""),"Terminaciones Interiores")</f>
        <v>Terminaciones Interiores</v>
      </c>
      <c r="Q443" s="495"/>
      <c r="R443" s="495"/>
      <c r="S443" s="495"/>
      <c r="T443" s="495"/>
      <c r="U443" s="495"/>
      <c r="V443" s="495" t="str">
        <f>IFERROR(__xludf.DUMMYFUNCTION("""COMPUTED_VALUE"""),"Mantención mampara y quicio, Puerta Acceso Arquitectura 
")</f>
        <v>Mantención mampara y quicio, Puerta Acceso Arquitectura 
</v>
      </c>
      <c r="W443" s="495"/>
      <c r="X443" s="495" t="str">
        <f>IFERROR(__xludf.DUMMYFUNCTION("""COMPUTED_VALUE"""),"https://drive.google.com/open?id=1Gqg6PyGZnjJjUIV5DbcaMW5cETx0IVuq, https://drive.google.com/open?id=1lwmDgmonXThhhVNtEjB0YchmLRHumXGg, https://drive.google.com/open?id=11fScz7Tfn3Ur258OUPPgFZCoo_vHYQa2")</f>
        <v>https://drive.google.com/open?id=1Gqg6PyGZnjJjUIV5DbcaMW5cETx0IVuq, https://drive.google.com/open?id=1lwmDgmonXThhhVNtEjB0YchmLRHumXGg, https://drive.google.com/open?id=11fScz7Tfn3Ur258OUPPgFZCoo_vHYQa2</v>
      </c>
      <c r="Y443" s="495" t="str">
        <f>IFERROR(__xludf.DUMMYFUNCTION("""COMPUTED_VALUE"""),"carlostroncosom@hotmail.com")</f>
        <v>carlostroncosom@hotmail.com</v>
      </c>
      <c r="Z443" s="495"/>
      <c r="AA443" s="495"/>
      <c r="AB443" s="495"/>
      <c r="AC443" s="495"/>
      <c r="AD443" s="495"/>
    </row>
    <row r="444">
      <c r="A444" s="495" t="str">
        <f t="shared" si="1"/>
        <v/>
      </c>
      <c r="B444" s="497">
        <f>IFERROR(__xludf.DUMMYFUNCTION("""COMPUTED_VALUE"""),46021.377894641206)</f>
        <v>46021.37789</v>
      </c>
      <c r="C444" s="495" t="str">
        <f>IFERROR(__xludf.DUMMYFUNCTION("""COMPUTED_VALUE"""),"")</f>
        <v/>
      </c>
      <c r="D444" s="495" t="str">
        <f>IFERROR(__xludf.DUMMYFUNCTION("""COMPUTED_VALUE"""),"Carol Huenchual Chañilao")</f>
        <v>Carol Huenchual Chañilao</v>
      </c>
      <c r="E444" s="495"/>
      <c r="F444" s="496" t="str">
        <f>IFERROR(__xludf.DUMMYFUNCTION("""COMPUTED_VALUE"""),"13028 - 2025")</f>
        <v>13028 - 2025</v>
      </c>
      <c r="G444" s="495"/>
      <c r="H444" s="495"/>
      <c r="I444" s="495"/>
      <c r="J444" s="495" t="str">
        <f>IFERROR(__xludf.DUMMYFUNCTION("""COMPUTED_VALUE"""),"Campus San Juan Pablo II - CJP")</f>
        <v>Campus San Juan Pablo II - CJP</v>
      </c>
      <c r="K444" s="495" t="str">
        <f>IFERROR(__xludf.DUMMYFUNCTION("""COMPUTED_VALUE"""),"04")</f>
        <v>04</v>
      </c>
      <c r="L444" s="495" t="str">
        <f>IFERROR(__xludf.DUMMYFUNCTION("""COMPUTED_VALUE"""),"Empresa Constructora IGECE Ltada.")</f>
        <v>Empresa Constructora IGECE Ltada.</v>
      </c>
      <c r="M444" s="495" t="str">
        <f>IFERROR(__xludf.DUMMYFUNCTION("""COMPUTED_VALUE"""),"76.878.824-3")</f>
        <v>76.878.824-3</v>
      </c>
      <c r="N444" s="495" t="str">
        <f>IFERROR(__xludf.DUMMYFUNCTION("""COMPUTED_VALUE"""),"Carlos Troncoso - Gerente General ")</f>
        <v>Carlos Troncoso - Gerente General </v>
      </c>
      <c r="O444" s="495" t="str">
        <f>IFERROR(__xludf.DUMMYFUNCTION("""COMPUTED_VALUE"""),"Mantenciones")</f>
        <v>Mantenciones</v>
      </c>
      <c r="P444" s="495" t="str">
        <f>IFERROR(__xludf.DUMMYFUNCTION("""COMPUTED_VALUE"""),"Terminaciones Interiores")</f>
        <v>Terminaciones Interiores</v>
      </c>
      <c r="Q444" s="495"/>
      <c r="R444" s="495"/>
      <c r="S444" s="495"/>
      <c r="T444" s="495"/>
      <c r="U444" s="495"/>
      <c r="V444" s="495" t="str">
        <f>IFERROR(__xludf.DUMMYFUNCTION("""COMPUTED_VALUE"""),"Instalación Gabinete 
Demarcación Vía Peatonal 
Instalación Rejilla Canal Ulma 
")</f>
        <v>Instalación Gabinete 
Demarcación Vía Peatonal 
Instalación Rejilla Canal Ulma 
</v>
      </c>
      <c r="W444" s="495"/>
      <c r="X444" s="495" t="str">
        <f>IFERROR(__xludf.DUMMYFUNCTION("""COMPUTED_VALUE"""),"https://drive.google.com/open?id=15nDALGQtR2HDBHftcMsbRDJ2NQYhyHYf, https://drive.google.com/open?id=1MecTQBrZcx0Jmc4ZsAgnSvl4_z3SpFO9, https://drive.google.com/open?id=1j8jHDbldZeKU4IDQfIhUDgeaZQXAT99x, https://drive.google.com/open?id=11z0bXbkvwKCQF5gvA"&amp;"7dSB6ECVvB2or4z")</f>
        <v>https://drive.google.com/open?id=15nDALGQtR2HDBHftcMsbRDJ2NQYhyHYf, https://drive.google.com/open?id=1MecTQBrZcx0Jmc4ZsAgnSvl4_z3SpFO9, https://drive.google.com/open?id=1j8jHDbldZeKU4IDQfIhUDgeaZQXAT99x, https://drive.google.com/open?id=11z0bXbkvwKCQF5gvA7dSB6ECVvB2or4z</v>
      </c>
      <c r="Y444" s="495" t="str">
        <f>IFERROR(__xludf.DUMMYFUNCTION("""COMPUTED_VALUE"""),"carlostroncosom@hotmail.com")</f>
        <v>carlostroncosom@hotmail.com</v>
      </c>
      <c r="Z444" s="495"/>
      <c r="AA444" s="495"/>
      <c r="AB444" s="495"/>
      <c r="AC444" s="495"/>
      <c r="AD444" s="495"/>
    </row>
    <row r="445">
      <c r="A445" s="495" t="str">
        <f t="shared" si="1"/>
        <v/>
      </c>
      <c r="B445" s="497">
        <f>IFERROR(__xludf.DUMMYFUNCTION("""COMPUTED_VALUE"""),46021.36806538195)</f>
        <v>46021.36807</v>
      </c>
      <c r="C445" s="495" t="str">
        <f>IFERROR(__xludf.DUMMYFUNCTION("""COMPUTED_VALUE"""),"")</f>
        <v/>
      </c>
      <c r="D445" s="495" t="str">
        <f>IFERROR(__xludf.DUMMYFUNCTION("""COMPUTED_VALUE"""),"Carol Huenchual Chañilao")</f>
        <v>Carol Huenchual Chañilao</v>
      </c>
      <c r="E445" s="495"/>
      <c r="F445" s="496" t="str">
        <f>IFERROR(__xludf.DUMMYFUNCTION("""COMPUTED_VALUE"""),"13050-2025")</f>
        <v>13050-2025</v>
      </c>
      <c r="G445" s="495"/>
      <c r="H445" s="495"/>
      <c r="I445" s="495"/>
      <c r="J445" s="495" t="str">
        <f>IFERROR(__xludf.DUMMYFUNCTION("""COMPUTED_VALUE"""),"Campus San Francisco - CSF")</f>
        <v>Campus San Francisco - CSF</v>
      </c>
      <c r="K445" s="495" t="str">
        <f>IFERROR(__xludf.DUMMYFUNCTION("""COMPUTED_VALUE"""),"Exterior")</f>
        <v>Exterior</v>
      </c>
      <c r="L445" s="495" t="str">
        <f>IFERROR(__xludf.DUMMYFUNCTION("""COMPUTED_VALUE"""),"Empresa Constructora IGECE Ltda.")</f>
        <v>Empresa Constructora IGECE Ltda.</v>
      </c>
      <c r="M445" s="495" t="str">
        <f>IFERROR(__xludf.DUMMYFUNCTION("""COMPUTED_VALUE"""),"76.878.824-3")</f>
        <v>76.878.824-3</v>
      </c>
      <c r="N445" s="495" t="str">
        <f>IFERROR(__xludf.DUMMYFUNCTION("""COMPUTED_VALUE"""),"Carlos Troncoso - Gerente General ")</f>
        <v>Carlos Troncoso - Gerente General </v>
      </c>
      <c r="O445" s="495" t="str">
        <f>IFERROR(__xludf.DUMMYFUNCTION("""COMPUTED_VALUE"""),"Mantenciones")</f>
        <v>Mantenciones</v>
      </c>
      <c r="P445" s="495" t="str">
        <f>IFERROR(__xludf.DUMMYFUNCTION("""COMPUTED_VALUE"""),"Cubiertas")</f>
        <v>Cubiertas</v>
      </c>
      <c r="Q445" s="495"/>
      <c r="R445" s="495"/>
      <c r="S445" s="495"/>
      <c r="T445" s="495"/>
      <c r="U445" s="495"/>
      <c r="V445" s="495" t="str">
        <f>IFERROR(__xludf.DUMMYFUNCTION("""COMPUTED_VALUE"""),"Reparación cubierta campus el Bosque Oficina CBQ05_103
Reparación sellos y hojalatería CSF01
Reparación cubierta oficina 202 Coordinadora voluntariado 
Reparación cielo oficina Decano Edificio C-512
Reparación lucarna Edificio A CSF
Mantención correctiva "&amp;"por filtraciones CSF12 oficina 560 y 585
Instalación hojalatería CSF12 oficina 524 
Pintura Muro CSF12 oficina 162
Mantención correctiva por filtraciones CSF12 sector ascensor 
Sellos e instalación hojalatería CSF12 oficina 515
Mantención correctiva por f"&amp;"iltración cielo CSF12 oficina 572
Mantención correctiva por filtración cielo interior CSF12 (piso 2, piso 1 pastoral y Gimnasio 1)
Reparación Velux pasillo, ascensor y sala de reuniones  CSF16
Reparación cielo interior por filtración oficina 375 CSF16")</f>
        <v>Reparación cubierta campus el Bosque Oficina CBQ05_103
Reparación sellos y hojalatería CSF01
Reparación cubierta oficina 202 Coordinadora voluntariado 
Reparación cielo oficina Decano Edificio C-512
Reparación lucarna Edificio A CSF
Mantención correctiva por filtraciones CSF12 oficina 560 y 585
Instalación hojalatería CSF12 oficina 524 
Pintura Muro CSF12 oficina 162
Mantención correctiva por filtraciones CSF12 sector ascensor 
Sellos e instalación hojalatería CSF12 oficina 515
Mantención correctiva por filtración cielo CSF12 oficina 572
Mantención correctiva por filtración cielo interior CSF12 (piso 2, piso 1 pastoral y Gimnasio 1)
Reparación Velux pasillo, ascensor y sala de reuniones  CSF16
Reparación cielo interior por filtración oficina 375 CSF16</v>
      </c>
      <c r="W445" s="495" t="str">
        <f>IFERROR(__xludf.DUMMYFUNCTION("""COMPUTED_VALUE"""),"
")</f>
        <v>
</v>
      </c>
      <c r="X445" s="495" t="str">
        <f>IFERROR(__xludf.DUMMYFUNCTION("""COMPUTED_VALUE"""),"https://drive.google.com/open?id=1IYND9EUc1rGiGNQLU4nWerw89bOZ_VPG, https://drive.google.com/open?id=1bIOTsBV17kxT3nGbmgd817PkEzxWdI4X, https://drive.google.com/open?id=1lzU2M29w3hTtd8oUG60VaZXF7LXUKfmb")</f>
        <v>https://drive.google.com/open?id=1IYND9EUc1rGiGNQLU4nWerw89bOZ_VPG, https://drive.google.com/open?id=1bIOTsBV17kxT3nGbmgd817PkEzxWdI4X, https://drive.google.com/open?id=1lzU2M29w3hTtd8oUG60VaZXF7LXUKfmb</v>
      </c>
      <c r="Y445" s="495" t="str">
        <f>IFERROR(__xludf.DUMMYFUNCTION("""COMPUTED_VALUE"""),"carlostroncosom@hotmail.com")</f>
        <v>carlostroncosom@hotmail.com</v>
      </c>
      <c r="Z445" s="495"/>
      <c r="AA445" s="495"/>
      <c r="AB445" s="495"/>
      <c r="AC445" s="495"/>
      <c r="AD445" s="495"/>
    </row>
    <row r="446">
      <c r="A446" s="495" t="str">
        <f t="shared" si="1"/>
        <v/>
      </c>
      <c r="B446" s="497">
        <f>IFERROR(__xludf.DUMMYFUNCTION("""COMPUTED_VALUE"""),46017.52991282407)</f>
        <v>46017.52991</v>
      </c>
      <c r="C446" s="495" t="str">
        <f>IFERROR(__xludf.DUMMYFUNCTION("""COMPUTED_VALUE"""),"")</f>
        <v/>
      </c>
      <c r="D446" s="495" t="str">
        <f>IFERROR(__xludf.DUMMYFUNCTION("""COMPUTED_VALUE"""),"Mauricio Zurita Aldea")</f>
        <v>Mauricio Zurita Aldea</v>
      </c>
      <c r="E446" s="495"/>
      <c r="F446" s="496" t="str">
        <f>IFERROR(__xludf.DUMMYFUNCTION("""COMPUTED_VALUE"""),"13072-2025")</f>
        <v>13072-2025</v>
      </c>
      <c r="G446" s="495"/>
      <c r="H446" s="495"/>
      <c r="I446" s="495"/>
      <c r="J446" s="495" t="str">
        <f>IFERROR(__xludf.DUMMYFUNCTION("""COMPUTED_VALUE"""),"Campus San Juan Pablo II - CJP")</f>
        <v>Campus San Juan Pablo II - CJP</v>
      </c>
      <c r="K446" s="495" t="str">
        <f>IFERROR(__xludf.DUMMYFUNCTION("""COMPUTED_VALUE"""),"08")</f>
        <v>08</v>
      </c>
      <c r="L446" s="495" t="str">
        <f>IFERROR(__xludf.DUMMYFUNCTION("""COMPUTED_VALUE"""),"GATICAR SPA")</f>
        <v>GATICAR SPA</v>
      </c>
      <c r="M446" s="495" t="str">
        <f>IFERROR(__xludf.DUMMYFUNCTION("""COMPUTED_VALUE"""),"77.583.214-9")</f>
        <v>77.583.214-9</v>
      </c>
      <c r="N446" s="495" t="str">
        <f>IFERROR(__xludf.DUMMYFUNCTION("""COMPUTED_VALUE"""),"HECTOR GATICA")</f>
        <v>HECTOR GATICA</v>
      </c>
      <c r="O446" s="495" t="str">
        <f>IFERROR(__xludf.DUMMYFUNCTION("""COMPUTED_VALUE"""),"Mantenciones")</f>
        <v>Mantenciones</v>
      </c>
      <c r="P446" s="495" t="str">
        <f>IFERROR(__xludf.DUMMYFUNCTION("""COMPUTED_VALUE"""),"Requerimientos Emergentes e Imprevistos")</f>
        <v>Requerimientos Emergentes e Imprevistos</v>
      </c>
      <c r="Q446" s="495"/>
      <c r="R446" s="495"/>
      <c r="S446" s="495"/>
      <c r="T446" s="495"/>
      <c r="U446" s="495"/>
      <c r="V446" s="495" t="str">
        <f>IFERROR(__xludf.DUMMYFUNCTION("""COMPUTED_VALUE"""),"REPARACION GRUPO ELECTROGENO")</f>
        <v>REPARACION GRUPO ELECTROGENO</v>
      </c>
      <c r="W446" s="495"/>
      <c r="X446" s="495" t="str">
        <f>IFERROR(__xludf.DUMMYFUNCTION("""COMPUTED_VALUE"""),"https://drive.google.com/open?id=1waKfAqhau5j6Rd5nSUEKgoyIR5-otruB, https://drive.google.com/open?id=1i27Iwpsx5Xd_J6i_ujXu1VIY0ue15NuK, https://drive.google.com/open?id=1UoWClAyOPeuiCQtzm-S-aK1MMsYMpf0a, https://drive.google.com/open?id=1_IMxXyrf65UBJOUCY"&amp;"-_ENEOGCiheFeeP")</f>
        <v>https://drive.google.com/open?id=1waKfAqhau5j6Rd5nSUEKgoyIR5-otruB, https://drive.google.com/open?id=1i27Iwpsx5Xd_J6i_ujXu1VIY0ue15NuK, https://drive.google.com/open?id=1UoWClAyOPeuiCQtzm-S-aK1MMsYMpf0a, https://drive.google.com/open?id=1_IMxXyrf65UBJOUCY-_ENEOGCiheFeeP</v>
      </c>
      <c r="Y446" s="495" t="str">
        <f>IFERROR(__xludf.DUMMYFUNCTION("""COMPUTED_VALUE"""),"serviciogaticar@gmail.com")</f>
        <v>serviciogaticar@gmail.com</v>
      </c>
      <c r="Z446" s="495"/>
      <c r="AA446" s="495"/>
      <c r="AB446" s="495"/>
      <c r="AC446" s="495"/>
      <c r="AD446" s="495"/>
    </row>
    <row r="447">
      <c r="A447" s="495" t="str">
        <f t="shared" si="1"/>
        <v/>
      </c>
      <c r="B447" s="497">
        <f>IFERROR(__xludf.DUMMYFUNCTION("""COMPUTED_VALUE"""),46014.60825878472)</f>
        <v>46014.60826</v>
      </c>
      <c r="C447" s="495" t="str">
        <f>IFERROR(__xludf.DUMMYFUNCTION("""COMPUTED_VALUE"""),"")</f>
        <v/>
      </c>
      <c r="D447" s="495" t="str">
        <f>IFERROR(__xludf.DUMMYFUNCTION("""COMPUTED_VALUE"""),"Carol Huenchual Chañilao")</f>
        <v>Carol Huenchual Chañilao</v>
      </c>
      <c r="E447" s="495"/>
      <c r="F447" s="496" t="str">
        <f>IFERROR(__xludf.DUMMYFUNCTION("""COMPUTED_VALUE"""),"12399 - 2025")</f>
        <v>12399 - 2025</v>
      </c>
      <c r="G447" s="495"/>
      <c r="H447" s="495"/>
      <c r="I447" s="495"/>
      <c r="J447" s="495" t="str">
        <f>IFERROR(__xludf.DUMMYFUNCTION("""COMPUTED_VALUE"""),"Campus San Juan Pablo II - CJP")</f>
        <v>Campus San Juan Pablo II - CJP</v>
      </c>
      <c r="K447" s="495" t="str">
        <f>IFERROR(__xludf.DUMMYFUNCTION("""COMPUTED_VALUE"""),"07")</f>
        <v>07</v>
      </c>
      <c r="L447" s="495" t="str">
        <f>IFERROR(__xludf.DUMMYFUNCTION("""COMPUTED_VALUE"""),"Sergio Flores Garrido")</f>
        <v>Sergio Flores Garrido</v>
      </c>
      <c r="M447" s="495" t="str">
        <f>IFERROR(__xludf.DUMMYFUNCTION("""COMPUTED_VALUE"""),"12.928.980-5")</f>
        <v>12.928.980-5</v>
      </c>
      <c r="N447" s="495" t="str">
        <f>IFERROR(__xludf.DUMMYFUNCTION("""COMPUTED_VALUE"""),"Sergio Flores Garrido")</f>
        <v>Sergio Flores Garrido</v>
      </c>
      <c r="O447" s="495" t="str">
        <f>IFERROR(__xludf.DUMMYFUNCTION("""COMPUTED_VALUE"""),"Mantenciones")</f>
        <v>Mantenciones</v>
      </c>
      <c r="P447" s="495" t="str">
        <f>IFERROR(__xludf.DUMMYFUNCTION("""COMPUTED_VALUE"""),"Requerimientos Emergentes e Imprevistos")</f>
        <v>Requerimientos Emergentes e Imprevistos</v>
      </c>
      <c r="Q447" s="495"/>
      <c r="R447" s="495"/>
      <c r="S447" s="495"/>
      <c r="T447" s="495"/>
      <c r="U447" s="495"/>
      <c r="V447" s="495" t="str">
        <f>IFERROR(__xludf.DUMMYFUNCTION("""COMPUTED_VALUE"""),"Instalación de picaportes en mamparas,seguros en ventanas correderas y manillas en casino.")</f>
        <v>Instalación de picaportes en mamparas,seguros en ventanas correderas y manillas en casino.</v>
      </c>
      <c r="W447" s="495" t="str">
        <f>IFERROR(__xludf.DUMMYFUNCTION("""COMPUTED_VALUE"""),"No requiere seguimiento ")</f>
        <v>No requiere seguimiento </v>
      </c>
      <c r="X447" s="495" t="str">
        <f>IFERROR(__xludf.DUMMYFUNCTION("""COMPUTED_VALUE"""),"https://drive.google.com/open?id=1Y_xaQMkQFmB_pghEg6Pm1_GuMz0FIcpJ, https://drive.google.com/open?id=1mg5WZMebW8lZEHxa31h3VciZvOaBXMCP, https://drive.google.com/open?id=1o06i1OdBrtRFisQDPErUeTwyp7VascMZ, https://drive.google.com/open?id=12pLAHXxkYXbnIGmRU"&amp;"p2sjPDWcz4V5ouL")</f>
        <v>https://drive.google.com/open?id=1Y_xaQMkQFmB_pghEg6Pm1_GuMz0FIcpJ, https://drive.google.com/open?id=1mg5WZMebW8lZEHxa31h3VciZvOaBXMCP, https://drive.google.com/open?id=1o06i1OdBrtRFisQDPErUeTwyp7VascMZ, https://drive.google.com/open?id=12pLAHXxkYXbnIGmRUp2sjPDWcz4V5ouL</v>
      </c>
      <c r="Y447" s="495" t="str">
        <f>IFERROR(__xludf.DUMMYFUNCTION("""COMPUTED_VALUE"""),"sergiofloresgarrido19731217@gmail.com")</f>
        <v>sergiofloresgarrido19731217@gmail.com</v>
      </c>
      <c r="Z447" s="495"/>
      <c r="AA447" s="495"/>
      <c r="AB447" s="495"/>
      <c r="AC447" s="495"/>
      <c r="AD447" s="495"/>
    </row>
    <row r="448">
      <c r="A448" s="495" t="str">
        <f t="shared" si="1"/>
        <v/>
      </c>
      <c r="B448" s="497">
        <f>IFERROR(__xludf.DUMMYFUNCTION("""COMPUTED_VALUE"""),46014.6002540162)</f>
        <v>46014.60025</v>
      </c>
      <c r="C448" s="495" t="str">
        <f>IFERROR(__xludf.DUMMYFUNCTION("""COMPUTED_VALUE"""),"")</f>
        <v/>
      </c>
      <c r="D448" s="495" t="str">
        <f>IFERROR(__xludf.DUMMYFUNCTION("""COMPUTED_VALUE"""),"Carol Huenchual Chañilao")</f>
        <v>Carol Huenchual Chañilao</v>
      </c>
      <c r="E448" s="495"/>
      <c r="F448" s="496" t="str">
        <f>IFERROR(__xludf.DUMMYFUNCTION("""COMPUTED_VALUE"""),"12754 - 2025")</f>
        <v>12754 - 2025</v>
      </c>
      <c r="G448" s="495"/>
      <c r="H448" s="495"/>
      <c r="I448" s="495"/>
      <c r="J448" s="495" t="str">
        <f>IFERROR(__xludf.DUMMYFUNCTION("""COMPUTED_VALUE"""),"Campus San Juan Pablo II - CJP")</f>
        <v>Campus San Juan Pablo II - CJP</v>
      </c>
      <c r="K448" s="495">
        <f>IFERROR(__xludf.DUMMYFUNCTION("""COMPUTED_VALUE"""),10.0)</f>
        <v>10</v>
      </c>
      <c r="L448" s="495" t="str">
        <f>IFERROR(__xludf.DUMMYFUNCTION("""COMPUTED_VALUE"""),"Sergio Flores Garrido ")</f>
        <v>Sergio Flores Garrido </v>
      </c>
      <c r="M448" s="495" t="str">
        <f>IFERROR(__xludf.DUMMYFUNCTION("""COMPUTED_VALUE"""),"12.928.980-5")</f>
        <v>12.928.980-5</v>
      </c>
      <c r="N448" s="495" t="str">
        <f>IFERROR(__xludf.DUMMYFUNCTION("""COMPUTED_VALUE"""),"Sergio Flores Garrido")</f>
        <v>Sergio Flores Garrido</v>
      </c>
      <c r="O448" s="495" t="str">
        <f>IFERROR(__xludf.DUMMYFUNCTION("""COMPUTED_VALUE"""),"Mantenciones")</f>
        <v>Mantenciones</v>
      </c>
      <c r="P448" s="495" t="str">
        <f>IFERROR(__xludf.DUMMYFUNCTION("""COMPUTED_VALUE"""),"Cerramientos Verticales")</f>
        <v>Cerramientos Verticales</v>
      </c>
      <c r="Q448" s="495"/>
      <c r="R448" s="495"/>
      <c r="S448" s="495"/>
      <c r="T448" s="495"/>
      <c r="U448" s="495"/>
      <c r="V448" s="495" t="str">
        <f>IFERROR(__xludf.DUMMYFUNCTION("""COMPUTED_VALUE"""),"Cambio de espejos en baño varones.")</f>
        <v>Cambio de espejos en baño varones.</v>
      </c>
      <c r="W448" s="495" t="str">
        <f>IFERROR(__xludf.DUMMYFUNCTION("""COMPUTED_VALUE"""),"No requiere seguimiento.")</f>
        <v>No requiere seguimiento.</v>
      </c>
      <c r="X448" s="499" t="str">
        <f>IFERROR(__xludf.DUMMYFUNCTION("""COMPUTED_VALUE"""),"https://drive.google.com/open?id=1N2v87f55KGHwtjmkKrsW-YbVtPXNj6Lb")</f>
        <v>https://drive.google.com/open?id=1N2v87f55KGHwtjmkKrsW-YbVtPXNj6Lb</v>
      </c>
      <c r="Y448" s="495" t="str">
        <f>IFERROR(__xludf.DUMMYFUNCTION("""COMPUTED_VALUE"""),"sergiofloresgarrido19731217@gmail.com")</f>
        <v>sergiofloresgarrido19731217@gmail.com</v>
      </c>
      <c r="Z448" s="495"/>
      <c r="AA448" s="495"/>
      <c r="AB448" s="495"/>
      <c r="AC448" s="495"/>
      <c r="AD448" s="495"/>
    </row>
    <row r="449">
      <c r="A449" s="495" t="str">
        <f t="shared" si="1"/>
        <v>RC-126_26</v>
      </c>
      <c r="B449" s="497">
        <f>IFERROR(__xludf.DUMMYFUNCTION("""COMPUTED_VALUE"""),46140.50660453703)</f>
        <v>46140.5066</v>
      </c>
      <c r="C449" s="495" t="str">
        <f>IFERROR(__xludf.DUMMYFUNCTION("""COMPUTED_VALUE"""),"")</f>
        <v/>
      </c>
      <c r="D449" s="495" t="str">
        <f>IFERROR(__xludf.DUMMYFUNCTION("""COMPUTED_VALUE"""),"Felipe Anselme Grandón")</f>
        <v>Felipe Anselme Grandón</v>
      </c>
      <c r="E449" s="495"/>
      <c r="F449" s="496" t="str">
        <f>IFERROR(__xludf.DUMMYFUNCTION("""COMPUTED_VALUE"""),"1116-2025")</f>
        <v>1116-2025</v>
      </c>
      <c r="G449" s="495"/>
      <c r="H449" s="495"/>
      <c r="I449" s="495"/>
      <c r="J449" s="495" t="str">
        <f>IFERROR(__xludf.DUMMYFUNCTION("""COMPUTED_VALUE"""),"Campus San Juan Pablo II - CJP")</f>
        <v>Campus San Juan Pablo II - CJP</v>
      </c>
      <c r="K449" s="495" t="str">
        <f>IFERROR(__xludf.DUMMYFUNCTION("""COMPUTED_VALUE"""),"03")</f>
        <v>03</v>
      </c>
      <c r="L449" s="495" t="str">
        <f>IFERROR(__xludf.DUMMYFUNCTION("""COMPUTED_VALUE"""),"CORTINAJE DECOIDEAS TEMUCO PABLO
ANDRES TAPIA MORA E.I.R.L.")</f>
        <v>CORTINAJE DECOIDEAS TEMUCO PABLO
ANDRES TAPIA MORA E.I.R.L.</v>
      </c>
      <c r="M449" s="495" t="str">
        <f>IFERROR(__xludf.DUMMYFUNCTION("""COMPUTED_VALUE"""),"77.815.707-1")</f>
        <v>77.815.707-1</v>
      </c>
      <c r="N449" s="495" t="str">
        <f>IFERROR(__xludf.DUMMYFUNCTION("""COMPUTED_VALUE"""),"Dueño ")</f>
        <v>Dueño </v>
      </c>
      <c r="O449" s="495" t="str">
        <f>IFERROR(__xludf.DUMMYFUNCTION("""COMPUTED_VALUE"""),"Obras y Especialidades")</f>
        <v>Obras y Especialidades</v>
      </c>
      <c r="P449" s="495"/>
      <c r="Q449" s="495"/>
      <c r="R449" s="495" t="str">
        <f>IFERROR(__xludf.DUMMYFUNCTION("""COMPUTED_VALUE"""),"Especialidades")</f>
        <v>Especialidades</v>
      </c>
      <c r="S449" s="495" t="str">
        <f>IFERROR(__xludf.DUMMYFUNCTION("""COMPUTED_VALUE"""),"Recepción de Obra - RC")</f>
        <v>Recepción de Obra - RC</v>
      </c>
      <c r="T449" s="495"/>
      <c r="U449" s="495"/>
      <c r="V449" s="495" t="str">
        <f>IFERROR(__xludf.DUMMYFUNCTION("""COMPUTED_VALUE"""),"Fabricación e instalación de cortinas roller ")</f>
        <v>Fabricación e instalación de cortinas roller </v>
      </c>
      <c r="W449" s="495" t="str">
        <f>IFERROR(__xludf.DUMMYFUNCTION("""COMPUTED_VALUE"""),"tratarlas con cuidado")</f>
        <v>tratarlas con cuidado</v>
      </c>
      <c r="X449" s="499" t="str">
        <f>IFERROR(__xludf.DUMMYFUNCTION("""COMPUTED_VALUE"""),"https://drive.google.com/open?id=11gGpp8YIM75J_RTzBZH-5ZccJw75vB4s")</f>
        <v>https://drive.google.com/open?id=11gGpp8YIM75J_RTzBZH-5ZccJw75vB4s</v>
      </c>
      <c r="Y449" s="495" t="str">
        <f>IFERROR(__xludf.DUMMYFUNCTION("""COMPUTED_VALUE"""),"p.tapiamora07@gmail.com")</f>
        <v>p.tapiamora07@gmail.com</v>
      </c>
      <c r="Z449" s="498">
        <f>IFERROR(__xludf.DUMMYFUNCTION("""COMPUTED_VALUE"""),315350.0)</f>
        <v>315350</v>
      </c>
      <c r="AA449" s="495"/>
      <c r="AB449" s="495"/>
      <c r="AC449" s="495"/>
      <c r="AD449" s="495" t="str">
        <f>IFERROR(__xludf.DUMMYFUNCTION("""COMPUTED_VALUE"""),"RC-126_26")</f>
        <v>RC-126_26</v>
      </c>
    </row>
    <row r="450">
      <c r="A450" s="495" t="str">
        <f t="shared" si="1"/>
        <v>RC-127_26</v>
      </c>
      <c r="B450" s="497">
        <f>IFERROR(__xludf.DUMMYFUNCTION("""COMPUTED_VALUE"""),46140.51852516204)</f>
        <v>46140.51853</v>
      </c>
      <c r="C450" s="495" t="str">
        <f>IFERROR(__xludf.DUMMYFUNCTION("""COMPUTED_VALUE"""),"")</f>
        <v/>
      </c>
      <c r="D450" s="495" t="str">
        <f>IFERROR(__xludf.DUMMYFUNCTION("""COMPUTED_VALUE"""),"Felipe Anselme Grandón")</f>
        <v>Felipe Anselme Grandón</v>
      </c>
      <c r="E450" s="495"/>
      <c r="F450" s="496" t="str">
        <f>IFERROR(__xludf.DUMMYFUNCTION("""COMPUTED_VALUE"""),"1116-2025")</f>
        <v>1116-2025</v>
      </c>
      <c r="G450" s="495"/>
      <c r="H450" s="495"/>
      <c r="I450" s="495"/>
      <c r="J450" s="495" t="str">
        <f>IFERROR(__xludf.DUMMYFUNCTION("""COMPUTED_VALUE"""),"Campus San Juan Pablo II - CJP")</f>
        <v>Campus San Juan Pablo II - CJP</v>
      </c>
      <c r="K450" s="495" t="str">
        <f>IFERROR(__xludf.DUMMYFUNCTION("""COMPUTED_VALUE"""),"03")</f>
        <v>03</v>
      </c>
      <c r="L450" s="495" t="str">
        <f>IFERROR(__xludf.DUMMYFUNCTION("""COMPUTED_VALUE"""),"CORTINAJE DECOIDEAS TEMUCO PABLO
ANDRES TAPIA MORA E.I.R.L.")</f>
        <v>CORTINAJE DECOIDEAS TEMUCO PABLO
ANDRES TAPIA MORA E.I.R.L.</v>
      </c>
      <c r="M450" s="495" t="str">
        <f>IFERROR(__xludf.DUMMYFUNCTION("""COMPUTED_VALUE"""),"77.815.707-1")</f>
        <v>77.815.707-1</v>
      </c>
      <c r="N450" s="495" t="str">
        <f>IFERROR(__xludf.DUMMYFUNCTION("""COMPUTED_VALUE"""),"dueño")</f>
        <v>dueño</v>
      </c>
      <c r="O450" s="495" t="str">
        <f>IFERROR(__xludf.DUMMYFUNCTION("""COMPUTED_VALUE"""),"Obras y Especialidades")</f>
        <v>Obras y Especialidades</v>
      </c>
      <c r="P450" s="495"/>
      <c r="Q450" s="495"/>
      <c r="R450" s="495" t="str">
        <f>IFERROR(__xludf.DUMMYFUNCTION("""COMPUTED_VALUE"""),"Especialidades")</f>
        <v>Especialidades</v>
      </c>
      <c r="S450" s="495" t="str">
        <f>IFERROR(__xludf.DUMMYFUNCTION("""COMPUTED_VALUE"""),"Recepción de Obra - RC")</f>
        <v>Recepción de Obra - RC</v>
      </c>
      <c r="T450" s="495"/>
      <c r="U450" s="495"/>
      <c r="V450" s="495" t="str">
        <f>IFERROR(__xludf.DUMMYFUNCTION("""COMPUTED_VALUE"""),"fabricación e instalación de cortinas roller ")</f>
        <v>fabricación e instalación de cortinas roller </v>
      </c>
      <c r="W450" s="495" t="str">
        <f>IFERROR(__xludf.DUMMYFUNCTION("""COMPUTED_VALUE"""),"cuidado al manipular")</f>
        <v>cuidado al manipular</v>
      </c>
      <c r="X450" s="499" t="str">
        <f>IFERROR(__xludf.DUMMYFUNCTION("""COMPUTED_VALUE"""),"https://drive.google.com/open?id=17XtvjIxgWy4UblQT4dqk1-LWrxbCELrC")</f>
        <v>https://drive.google.com/open?id=17XtvjIxgWy4UblQT4dqk1-LWrxbCELrC</v>
      </c>
      <c r="Y450" s="495" t="str">
        <f>IFERROR(__xludf.DUMMYFUNCTION("""COMPUTED_VALUE"""),"p.tapiamora07@gmail.com")</f>
        <v>p.tapiamora07@gmail.com</v>
      </c>
      <c r="Z450" s="498">
        <f>IFERROR(__xludf.DUMMYFUNCTION("""COMPUTED_VALUE"""),315350.0)</f>
        <v>315350</v>
      </c>
      <c r="AA450" s="495"/>
      <c r="AB450" s="495"/>
      <c r="AC450" s="495"/>
      <c r="AD450" s="495" t="str">
        <f>IFERROR(__xludf.DUMMYFUNCTION("""COMPUTED_VALUE"""),"RC-127_26")</f>
        <v>RC-127_26</v>
      </c>
    </row>
    <row r="451">
      <c r="A451" s="495" t="str">
        <f t="shared" si="1"/>
        <v/>
      </c>
      <c r="B451" s="497">
        <f>IFERROR(__xludf.DUMMYFUNCTION("""COMPUTED_VALUE"""),46014.59541568287)</f>
        <v>46014.59542</v>
      </c>
      <c r="C451" s="495" t="str">
        <f>IFERROR(__xludf.DUMMYFUNCTION("""COMPUTED_VALUE"""),"")</f>
        <v/>
      </c>
      <c r="D451" s="495" t="str">
        <f>IFERROR(__xludf.DUMMYFUNCTION("""COMPUTED_VALUE"""),"Carol Huenchual Chañilao")</f>
        <v>Carol Huenchual Chañilao</v>
      </c>
      <c r="E451" s="495"/>
      <c r="F451" s="496" t="str">
        <f>IFERROR(__xludf.DUMMYFUNCTION("""COMPUTED_VALUE"""),"12754 - 2025")</f>
        <v>12754 - 2025</v>
      </c>
      <c r="G451" s="495"/>
      <c r="H451" s="495"/>
      <c r="I451" s="495"/>
      <c r="J451" s="495" t="str">
        <f>IFERROR(__xludf.DUMMYFUNCTION("""COMPUTED_VALUE"""),"Campus San Juan Pablo II - CJP")</f>
        <v>Campus San Juan Pablo II - CJP</v>
      </c>
      <c r="K451" s="495" t="str">
        <f>IFERROR(__xludf.DUMMYFUNCTION("""COMPUTED_VALUE"""),"07")</f>
        <v>07</v>
      </c>
      <c r="L451" s="495" t="str">
        <f>IFERROR(__xludf.DUMMYFUNCTION("""COMPUTED_VALUE"""),"Sergio Flores Garrido ")</f>
        <v>Sergio Flores Garrido </v>
      </c>
      <c r="M451" s="495" t="str">
        <f>IFERROR(__xludf.DUMMYFUNCTION("""COMPUTED_VALUE"""),"12.928.980-5")</f>
        <v>12.928.980-5</v>
      </c>
      <c r="N451" s="495" t="str">
        <f>IFERROR(__xludf.DUMMYFUNCTION("""COMPUTED_VALUE"""),"Sergio Flores Garrido")</f>
        <v>Sergio Flores Garrido</v>
      </c>
      <c r="O451" s="495" t="str">
        <f>IFERROR(__xludf.DUMMYFUNCTION("""COMPUTED_VALUE"""),"Mantenciones")</f>
        <v>Mantenciones</v>
      </c>
      <c r="P451" s="495" t="str">
        <f>IFERROR(__xludf.DUMMYFUNCTION("""COMPUTED_VALUE"""),"Cerramientos Verticales")</f>
        <v>Cerramientos Verticales</v>
      </c>
      <c r="Q451" s="495"/>
      <c r="R451" s="495"/>
      <c r="S451" s="495"/>
      <c r="T451" s="495"/>
      <c r="U451" s="495"/>
      <c r="V451" s="495" t="str">
        <f>IFERROR(__xludf.DUMMYFUNCTION("""COMPUTED_VALUE"""),"Cambio de termopanel quebrado.")</f>
        <v>Cambio de termopanel quebrado.</v>
      </c>
      <c r="W451" s="495" t="str">
        <f>IFERROR(__xludf.DUMMYFUNCTION("""COMPUTED_VALUE"""),"No requiere seguimiento.")</f>
        <v>No requiere seguimiento.</v>
      </c>
      <c r="X451" s="499" t="str">
        <f>IFERROR(__xludf.DUMMYFUNCTION("""COMPUTED_VALUE"""),"https://drive.google.com/open?id=1uMeWR4E5Jbteg0Vh9kgByp2ke8lyShya")</f>
        <v>https://drive.google.com/open?id=1uMeWR4E5Jbteg0Vh9kgByp2ke8lyShya</v>
      </c>
      <c r="Y451" s="495" t="str">
        <f>IFERROR(__xludf.DUMMYFUNCTION("""COMPUTED_VALUE"""),"sergiofloresgarrido19731217@gmail.com")</f>
        <v>sergiofloresgarrido19731217@gmail.com</v>
      </c>
      <c r="Z451" s="495"/>
      <c r="AA451" s="495"/>
      <c r="AB451" s="495"/>
      <c r="AC451" s="495"/>
      <c r="AD451" s="495"/>
    </row>
    <row r="452">
      <c r="A452" s="495" t="str">
        <f t="shared" si="1"/>
        <v>RC-130_26</v>
      </c>
      <c r="B452" s="497">
        <f>IFERROR(__xludf.DUMMYFUNCTION("""COMPUTED_VALUE"""),46140.59161474537)</f>
        <v>46140.59161</v>
      </c>
      <c r="C452" s="495" t="str">
        <f>IFERROR(__xludf.DUMMYFUNCTION("""COMPUTED_VALUE"""),"")</f>
        <v/>
      </c>
      <c r="D452" s="495" t="str">
        <f>IFERROR(__xludf.DUMMYFUNCTION("""COMPUTED_VALUE"""),"Leonor Ríos Morales")</f>
        <v>Leonor Ríos Morales</v>
      </c>
      <c r="E452" s="495"/>
      <c r="F452" s="496">
        <f>IFERROR(__xludf.DUMMYFUNCTION("""COMPUTED_VALUE"""),13104.0)</f>
        <v>13104</v>
      </c>
      <c r="G452" s="495"/>
      <c r="H452" s="495"/>
      <c r="I452" s="495"/>
      <c r="J452" s="495" t="str">
        <f>IFERROR(__xludf.DUMMYFUNCTION("""COMPUTED_VALUE"""),"Campus San Francisco - CSF")</f>
        <v>Campus San Francisco - CSF</v>
      </c>
      <c r="K452" s="495" t="str">
        <f>IFERROR(__xludf.DUMMYFUNCTION("""COMPUTED_VALUE"""),"09")</f>
        <v>09</v>
      </c>
      <c r="L452" s="495" t="str">
        <f>IFERROR(__xludf.DUMMYFUNCTION("""COMPUTED_VALUE"""),"PUA DISENO SPA")</f>
        <v>PUA DISENO SPA</v>
      </c>
      <c r="M452" s="495" t="str">
        <f>IFERROR(__xludf.DUMMYFUNCTION("""COMPUTED_VALUE"""),"76.962.330-2")</f>
        <v>76.962.330-2</v>
      </c>
      <c r="N452" s="495" t="str">
        <f>IFERROR(__xludf.DUMMYFUNCTION("""COMPUTED_VALUE"""),"Jorge Martínez - Supervisor de Proyectos")</f>
        <v>Jorge Martínez - Supervisor de Proyectos</v>
      </c>
      <c r="O452" s="495" t="str">
        <f>IFERROR(__xludf.DUMMYFUNCTION("""COMPUTED_VALUE"""),"Obras y Especialidades")</f>
        <v>Obras y Especialidades</v>
      </c>
      <c r="P452" s="495"/>
      <c r="Q452" s="495"/>
      <c r="R452" s="495" t="str">
        <f>IFERROR(__xludf.DUMMYFUNCTION("""COMPUTED_VALUE"""),"Exteriores")</f>
        <v>Exteriores</v>
      </c>
      <c r="S452" s="495" t="str">
        <f>IFERROR(__xludf.DUMMYFUNCTION("""COMPUTED_VALUE"""),"Recepción de Obra - RC")</f>
        <v>Recepción de Obra - RC</v>
      </c>
      <c r="T452" s="495"/>
      <c r="U452" s="495"/>
      <c r="V452" s="495" t="str">
        <f>IFERROR(__xludf.DUMMYFUNCTION("""COMPUTED_VALUE"""),"Instalación de Identificadores de Edificios según cantidades y nombres entregados por la mandante en ubicaciones definidas con ella en terreno. Correspondientes a Edificios en CJP Y CSF.
Además de los letreros direccionales instalados en pilares con ubica"&amp;"ción previamente definida con la mandante.
")</f>
        <v>Instalación de Identificadores de Edificios según cantidades y nombres entregados por la mandante en ubicaciones definidas con ella en terreno. Correspondientes a Edificios en CJP Y CSF.
Además de los letreros direccionales instalados en pilares con ubicación previamente definida con la mandante.
</v>
      </c>
      <c r="W452" s="495"/>
      <c r="X452" s="495" t="str">
        <f>IFERROR(__xludf.DUMMYFUNCTION("""COMPUTED_VALUE"""),"https://drive.google.com/open?id=1w0JD6QWSy_7BHTciZmWr1y0_5OyuXKij, https://drive.google.com/open?id=1sUHkW_1gqmO7Xpsc4B2StBfLmqw3auR0, https://drive.google.com/open?id=10Tb_VtTG6VBavLTwSjsye1Gnzd2ki0PI, https://drive.google.com/open?id=1LN4BYceGTfLtSkjh3"&amp;"htLHynROUvo8KJn, https://drive.google.com/open?id=1_WWEJ4UVCfnaESv2xKknwxP1s2Z83R_C")</f>
        <v>https://drive.google.com/open?id=1w0JD6QWSy_7BHTciZmWr1y0_5OyuXKij, https://drive.google.com/open?id=1sUHkW_1gqmO7Xpsc4B2StBfLmqw3auR0, https://drive.google.com/open?id=10Tb_VtTG6VBavLTwSjsye1Gnzd2ki0PI, https://drive.google.com/open?id=1LN4BYceGTfLtSkjh3htLHynROUvo8KJn, https://drive.google.com/open?id=1_WWEJ4UVCfnaESv2xKknwxP1s2Z83R_C</v>
      </c>
      <c r="Y452" s="495" t="str">
        <f>IFERROR(__xludf.DUMMYFUNCTION("""COMPUTED_VALUE"""),"diseno@pua.cl")</f>
        <v>diseno@pua.cl</v>
      </c>
      <c r="Z452" s="498">
        <f>IFERROR(__xludf.DUMMYFUNCTION("""COMPUTED_VALUE"""),7211430.0)</f>
        <v>7211430</v>
      </c>
      <c r="AA452" s="495"/>
      <c r="AB452" s="495"/>
      <c r="AC452" s="495"/>
      <c r="AD452" s="495" t="str">
        <f>IFERROR(__xludf.DUMMYFUNCTION("""COMPUTED_VALUE"""),"RC-130_26")</f>
        <v>RC-130_26</v>
      </c>
    </row>
    <row r="453">
      <c r="A453" s="495" t="str">
        <f t="shared" si="1"/>
        <v>RC-131_26</v>
      </c>
      <c r="B453" s="497">
        <f>IFERROR(__xludf.DUMMYFUNCTION("""COMPUTED_VALUE"""),46140.61580842592)</f>
        <v>46140.61581</v>
      </c>
      <c r="C453" s="495" t="str">
        <f>IFERROR(__xludf.DUMMYFUNCTION("""COMPUTED_VALUE"""),"")</f>
        <v/>
      </c>
      <c r="D453" s="495" t="str">
        <f>IFERROR(__xludf.DUMMYFUNCTION("""COMPUTED_VALUE"""),"Felipe Anselme Grandón")</f>
        <v>Felipe Anselme Grandón</v>
      </c>
      <c r="E453" s="495"/>
      <c r="F453" s="496" t="str">
        <f>IFERROR(__xludf.DUMMYFUNCTION("""COMPUTED_VALUE"""),"2500-2026")</f>
        <v>2500-2026</v>
      </c>
      <c r="G453" s="495"/>
      <c r="H453" s="495"/>
      <c r="I453" s="495"/>
      <c r="J453" s="495" t="str">
        <f>IFERROR(__xludf.DUMMYFUNCTION("""COMPUTED_VALUE"""),"Campus Dr. Luis Rivas del Canto - CRC")</f>
        <v>Campus Dr. Luis Rivas del Canto - CRC</v>
      </c>
      <c r="K453" s="495">
        <f>IFERROR(__xludf.DUMMYFUNCTION("""COMPUTED_VALUE"""),18.0)</f>
        <v>18</v>
      </c>
      <c r="L453" s="495" t="str">
        <f>IFERROR(__xludf.DUMMYFUNCTION("""COMPUTED_VALUE"""),"ENILDA TERESA FIGUEROA MELLADO")</f>
        <v>ENILDA TERESA FIGUEROA MELLADO</v>
      </c>
      <c r="M453" s="495" t="str">
        <f>IFERROR(__xludf.DUMMYFUNCTION("""COMPUTED_VALUE"""),"6.189.318-0")</f>
        <v>6.189.318-0</v>
      </c>
      <c r="N453" s="495" t="str">
        <f>IFERROR(__xludf.DUMMYFUNCTION("""COMPUTED_VALUE"""),"RODRIGO MEZA  - VENDEDOR")</f>
        <v>RODRIGO MEZA  - VENDEDOR</v>
      </c>
      <c r="O453" s="495" t="str">
        <f>IFERROR(__xludf.DUMMYFUNCTION("""COMPUTED_VALUE"""),"Obras y Especialidades")</f>
        <v>Obras y Especialidades</v>
      </c>
      <c r="P453" s="495"/>
      <c r="Q453" s="495"/>
      <c r="R453" s="495" t="str">
        <f>IFERROR(__xludf.DUMMYFUNCTION("""COMPUTED_VALUE"""),"Especialidades")</f>
        <v>Especialidades</v>
      </c>
      <c r="S453" s="495" t="str">
        <f>IFERROR(__xludf.DUMMYFUNCTION("""COMPUTED_VALUE"""),"Recepción de Obra - RC")</f>
        <v>Recepción de Obra - RC</v>
      </c>
      <c r="T453" s="495"/>
      <c r="U453" s="495"/>
      <c r="V453" s="495" t="str">
        <f>IFERROR(__xludf.DUMMYFUNCTION("""COMPUTED_VALUE"""),"ENTREGA DE 5 ESTANTERIAS MECANO DE 7 BANDEJAS CADA UNA")</f>
        <v>ENTREGA DE 5 ESTANTERIAS MECANO DE 7 BANDEJAS CADA UNA</v>
      </c>
      <c r="W453" s="495"/>
      <c r="X453" s="499" t="str">
        <f>IFERROR(__xludf.DUMMYFUNCTION("""COMPUTED_VALUE"""),"https://drive.google.com/open?id=1_ZXCPQa-xRVVl6iUiFF7g3HXXpYe8LQX")</f>
        <v>https://drive.google.com/open?id=1_ZXCPQa-xRVVl6iUiFF7g3HXXpYe8LQX</v>
      </c>
      <c r="Y453" s="495" t="str">
        <f>IFERROR(__xludf.DUMMYFUNCTION("""COMPUTED_VALUE"""),"multimueblestemuco@gmail.com")</f>
        <v>multimueblestemuco@gmail.com</v>
      </c>
      <c r="Z453" s="498">
        <f>IFERROR(__xludf.DUMMYFUNCTION("""COMPUTED_VALUE"""),1328150.0)</f>
        <v>1328150</v>
      </c>
      <c r="AA453" s="495"/>
      <c r="AB453" s="495"/>
      <c r="AC453" s="495"/>
      <c r="AD453" s="495" t="str">
        <f>IFERROR(__xludf.DUMMYFUNCTION("""COMPUTED_VALUE"""),"RC-131_26")</f>
        <v>RC-131_26</v>
      </c>
    </row>
    <row r="454">
      <c r="A454" s="495" t="str">
        <f t="shared" si="1"/>
        <v>RC-132_26</v>
      </c>
      <c r="B454" s="497">
        <f>IFERROR(__xludf.DUMMYFUNCTION("""COMPUTED_VALUE"""),46140.640077812495)</f>
        <v>46140.64008</v>
      </c>
      <c r="C454" s="495" t="str">
        <f>IFERROR(__xludf.DUMMYFUNCTION("""COMPUTED_VALUE"""),"")</f>
        <v/>
      </c>
      <c r="D454" s="495" t="str">
        <f>IFERROR(__xludf.DUMMYFUNCTION("""COMPUTED_VALUE"""),"Leonor Ríos Morales")</f>
        <v>Leonor Ríos Morales</v>
      </c>
      <c r="E454" s="495"/>
      <c r="F454" s="496">
        <f>IFERROR(__xludf.DUMMYFUNCTION("""COMPUTED_VALUE"""),13104.0)</f>
        <v>13104</v>
      </c>
      <c r="G454" s="495"/>
      <c r="H454" s="495"/>
      <c r="I454" s="495"/>
      <c r="J454" s="495" t="str">
        <f>IFERROR(__xludf.DUMMYFUNCTION("""COMPUTED_VALUE"""),"Campus San Francisco - CSF")</f>
        <v>Campus San Francisco - CSF</v>
      </c>
      <c r="K454" s="495" t="str">
        <f>IFERROR(__xludf.DUMMYFUNCTION("""COMPUTED_VALUE"""),"09")</f>
        <v>09</v>
      </c>
      <c r="L454" s="495" t="str">
        <f>IFERROR(__xludf.DUMMYFUNCTION("""COMPUTED_VALUE"""),"PUA DISENO SPA")</f>
        <v>PUA DISENO SPA</v>
      </c>
      <c r="M454" s="495" t="str">
        <f>IFERROR(__xludf.DUMMYFUNCTION("""COMPUTED_VALUE"""),"76.962.330-2")</f>
        <v>76.962.330-2</v>
      </c>
      <c r="N454" s="495" t="str">
        <f>IFERROR(__xludf.DUMMYFUNCTION("""COMPUTED_VALUE"""),"Jorge Martínez - Supervisor de Proyectos")</f>
        <v>Jorge Martínez - Supervisor de Proyectos</v>
      </c>
      <c r="O454" s="495" t="str">
        <f>IFERROR(__xludf.DUMMYFUNCTION("""COMPUTED_VALUE"""),"Obras y Especialidades")</f>
        <v>Obras y Especialidades</v>
      </c>
      <c r="P454" s="495"/>
      <c r="Q454" s="495"/>
      <c r="R454" s="495" t="str">
        <f>IFERROR(__xludf.DUMMYFUNCTION("""COMPUTED_VALUE"""),"Exteriores")</f>
        <v>Exteriores</v>
      </c>
      <c r="S454" s="495" t="str">
        <f>IFERROR(__xludf.DUMMYFUNCTION("""COMPUTED_VALUE"""),"Estado de Pago - EP")</f>
        <v>Estado de Pago - EP</v>
      </c>
      <c r="T454" s="495">
        <f>IFERROR(__xludf.DUMMYFUNCTION("""COMPUTED_VALUE"""),1.0)</f>
        <v>1</v>
      </c>
      <c r="U454" s="498">
        <f>IFERROR(__xludf.DUMMYFUNCTION("""COMPUTED_VALUE"""),5048001.0)</f>
        <v>5048001</v>
      </c>
      <c r="V454" s="495" t="str">
        <f>IFERROR(__xludf.DUMMYFUNCTION("""COMPUTED_VALUE"""),"Instalación de Identificadores de edificios de 220 x 37 cm aprox con celosía a ambos lados con nombres de edificios según lo enviado por la mandante. Ubicaciones de las mismas también definidas previamente con la mandante.
Instalación de Direccionales de"&amp;" 768 x 488 mm en pilares dentro de campus según ubicaciones y alturas según lo indicado por la mandante.")</f>
        <v>Instalación de Identificadores de edificios de 220 x 37 cm aprox con celosía a ambos lados con nombres de edificios según lo enviado por la mandante. Ubicaciones de las mismas también definidas previamente con la mandante.
Instalación de Direccionales de 768 x 488 mm en pilares dentro de campus según ubicaciones y alturas según lo indicado por la mandante.</v>
      </c>
      <c r="W454" s="495"/>
      <c r="X454" s="495" t="str">
        <f>IFERROR(__xludf.DUMMYFUNCTION("""COMPUTED_VALUE"""),"https://drive.google.com/open?id=1Anz86cyuuZiSpn0WZcYTo3G-hrRV1u1o, https://drive.google.com/open?id=1doyWfphHaqq0B0tiX9jFTKh1fSfuFHc7, https://drive.google.com/open?id=1oUdHJhkbgJc6qT_RAciYAvZL1j93FNkv, https://drive.google.com/open?id=1iFuluui61qyryP31A"&amp;"8IhB78hZ1qZ_7ML, https://drive.google.com/open?id=1lDKE52GbI0nVttYkMTBbYURkAcbQ6Q8e")</f>
        <v>https://drive.google.com/open?id=1Anz86cyuuZiSpn0WZcYTo3G-hrRV1u1o, https://drive.google.com/open?id=1doyWfphHaqq0B0tiX9jFTKh1fSfuFHc7, https://drive.google.com/open?id=1oUdHJhkbgJc6qT_RAciYAvZL1j93FNkv, https://drive.google.com/open?id=1iFuluui61qyryP31A8IhB78hZ1qZ_7ML, https://drive.google.com/open?id=1lDKE52GbI0nVttYkMTBbYURkAcbQ6Q8e</v>
      </c>
      <c r="Y454" s="495" t="str">
        <f>IFERROR(__xludf.DUMMYFUNCTION("""COMPUTED_VALUE"""),"diseno@pua.cl")</f>
        <v>diseno@pua.cl</v>
      </c>
      <c r="Z454" s="498">
        <f>IFERROR(__xludf.DUMMYFUNCTION("""COMPUTED_VALUE"""),7211430.0)</f>
        <v>7211430</v>
      </c>
      <c r="AA454" s="495"/>
      <c r="AB454" s="495"/>
      <c r="AC454" s="495"/>
      <c r="AD454" s="495" t="str">
        <f>IFERROR(__xludf.DUMMYFUNCTION("""COMPUTED_VALUE"""),"RC-132_26")</f>
        <v>RC-132_26</v>
      </c>
    </row>
    <row r="455">
      <c r="A455" s="495" t="str">
        <f t="shared" si="1"/>
        <v>RC-133_26</v>
      </c>
      <c r="B455" s="497">
        <f>IFERROR(__xludf.DUMMYFUNCTION("""COMPUTED_VALUE"""),46140.685318414355)</f>
        <v>46140.68532</v>
      </c>
      <c r="C455" s="495" t="str">
        <f>IFERROR(__xludf.DUMMYFUNCTION("""COMPUTED_VALUE"""),"")</f>
        <v/>
      </c>
      <c r="D455" s="495" t="str">
        <f>IFERROR(__xludf.DUMMYFUNCTION("""COMPUTED_VALUE"""),"Juan Ignacio Solís de Ovando")</f>
        <v>Juan Ignacio Solís de Ovando</v>
      </c>
      <c r="E455" s="495"/>
      <c r="F455" s="496" t="str">
        <f>IFERROR(__xludf.DUMMYFUNCTION("""COMPUTED_VALUE"""),"13112-2025")</f>
        <v>13112-2025</v>
      </c>
      <c r="G455" s="495"/>
      <c r="H455" s="495"/>
      <c r="I455" s="495"/>
      <c r="J455" s="495" t="str">
        <f>IFERROR(__xludf.DUMMYFUNCTION("""COMPUTED_VALUE"""),"Campus Dr. Luis Rivas del Canto - CRC")</f>
        <v>Campus Dr. Luis Rivas del Canto - CRC</v>
      </c>
      <c r="K455" s="495">
        <f>IFERROR(__xludf.DUMMYFUNCTION("""COMPUTED_VALUE"""),10.0)</f>
        <v>10</v>
      </c>
      <c r="L455" s="495" t="str">
        <f>IFERROR(__xludf.DUMMYFUNCTION("""COMPUTED_VALUE"""),"Sociedad Comercial Espacio Muebles Ltda")</f>
        <v>Sociedad Comercial Espacio Muebles Ltda</v>
      </c>
      <c r="M455" s="495" t="str">
        <f>IFERROR(__xludf.DUMMYFUNCTION("""COMPUTED_VALUE"""),"77.544.225-5")</f>
        <v>77.544.225-5</v>
      </c>
      <c r="N455" s="495" t="str">
        <f>IFERROR(__xludf.DUMMYFUNCTION("""COMPUTED_VALUE"""),"Emilio Aburto - Director operaciones")</f>
        <v>Emilio Aburto - Director operaciones</v>
      </c>
      <c r="O455" s="495" t="str">
        <f>IFERROR(__xludf.DUMMYFUNCTION("""COMPUTED_VALUE"""),"Obras y Especialidades")</f>
        <v>Obras y Especialidades</v>
      </c>
      <c r="P455" s="495"/>
      <c r="Q455" s="495"/>
      <c r="R455" s="495" t="str">
        <f>IFERROR(__xludf.DUMMYFUNCTION("""COMPUTED_VALUE"""),"Especialidades")</f>
        <v>Especialidades</v>
      </c>
      <c r="S455" s="495" t="str">
        <f>IFERROR(__xludf.DUMMYFUNCTION("""COMPUTED_VALUE"""),"Recepción de Obra - RC")</f>
        <v>Recepción de Obra - RC</v>
      </c>
      <c r="T455" s="495"/>
      <c r="U455" s="495"/>
      <c r="V455" s="495" t="str">
        <f>IFERROR(__xludf.DUMMYFUNCTION("""COMPUTED_VALUE"""),"Armdo e instalación muebles importados")</f>
        <v>Armdo e instalación muebles importados</v>
      </c>
      <c r="W455" s="495"/>
      <c r="X455" s="499" t="str">
        <f>IFERROR(__xludf.DUMMYFUNCTION("""COMPUTED_VALUE"""),"https://drive.google.com/open?id=1xq2rEbmarCSlL4W4zAL_o3yxvYcOuOgF")</f>
        <v>https://drive.google.com/open?id=1xq2rEbmarCSlL4W4zAL_o3yxvYcOuOgF</v>
      </c>
      <c r="Y455" s="495" t="str">
        <f>IFERROR(__xludf.DUMMYFUNCTION("""COMPUTED_VALUE"""),"contacto.espaciomuebles@gmail.com")</f>
        <v>contacto.espaciomuebles@gmail.com</v>
      </c>
      <c r="Z455" s="498">
        <f>IFERROR(__xludf.DUMMYFUNCTION("""COMPUTED_VALUE"""),2783410.0)</f>
        <v>2783410</v>
      </c>
      <c r="AA455" s="495"/>
      <c r="AB455" s="495"/>
      <c r="AC455" s="495"/>
      <c r="AD455" s="495" t="str">
        <f>IFERROR(__xludf.DUMMYFUNCTION("""COMPUTED_VALUE"""),"RC-133_26")</f>
        <v>RC-133_26</v>
      </c>
    </row>
    <row r="456">
      <c r="A456" s="495" t="str">
        <f t="shared" si="1"/>
        <v>RC-134_26</v>
      </c>
      <c r="B456" s="497">
        <f>IFERROR(__xludf.DUMMYFUNCTION("""COMPUTED_VALUE"""),46140.69556290509)</f>
        <v>46140.69556</v>
      </c>
      <c r="C456" s="495" t="str">
        <f>IFERROR(__xludf.DUMMYFUNCTION("""COMPUTED_VALUE"""),"")</f>
        <v/>
      </c>
      <c r="D456" s="495" t="str">
        <f>IFERROR(__xludf.DUMMYFUNCTION("""COMPUTED_VALUE"""),"Leonor Ríos Morales")</f>
        <v>Leonor Ríos Morales</v>
      </c>
      <c r="E456" s="495"/>
      <c r="F456" s="496">
        <f>IFERROR(__xludf.DUMMYFUNCTION("""COMPUTED_VALUE"""),13104.0)</f>
        <v>13104</v>
      </c>
      <c r="G456" s="495"/>
      <c r="H456" s="495"/>
      <c r="I456" s="495"/>
      <c r="J456" s="495" t="str">
        <f>IFERROR(__xludf.DUMMYFUNCTION("""COMPUTED_VALUE"""),"Campus San Francisco - CSF")</f>
        <v>Campus San Francisco - CSF</v>
      </c>
      <c r="K456" s="495" t="str">
        <f>IFERROR(__xludf.DUMMYFUNCTION("""COMPUTED_VALUE"""),"09")</f>
        <v>09</v>
      </c>
      <c r="L456" s="495" t="str">
        <f>IFERROR(__xludf.DUMMYFUNCTION("""COMPUTED_VALUE"""),"PUA DISENO SPA")</f>
        <v>PUA DISENO SPA</v>
      </c>
      <c r="M456" s="495" t="str">
        <f>IFERROR(__xludf.DUMMYFUNCTION("""COMPUTED_VALUE"""),"76.962.330-2")</f>
        <v>76.962.330-2</v>
      </c>
      <c r="N456" s="495" t="str">
        <f>IFERROR(__xludf.DUMMYFUNCTION("""COMPUTED_VALUE"""),"Jorge Martínez - Supervisor de Proyectos")</f>
        <v>Jorge Martínez - Supervisor de Proyectos</v>
      </c>
      <c r="O456" s="495" t="str">
        <f>IFERROR(__xludf.DUMMYFUNCTION("""COMPUTED_VALUE"""),"Obras y Especialidades")</f>
        <v>Obras y Especialidades</v>
      </c>
      <c r="P456" s="495"/>
      <c r="Q456" s="495"/>
      <c r="R456" s="495" t="str">
        <f>IFERROR(__xludf.DUMMYFUNCTION("""COMPUTED_VALUE"""),"Exteriores")</f>
        <v>Exteriores</v>
      </c>
      <c r="S456" s="495" t="str">
        <f>IFERROR(__xludf.DUMMYFUNCTION("""COMPUTED_VALUE"""),"Estado de Pago - EP")</f>
        <v>Estado de Pago - EP</v>
      </c>
      <c r="T456" s="495">
        <f>IFERROR(__xludf.DUMMYFUNCTION("""COMPUTED_VALUE"""),1.0)</f>
        <v>1</v>
      </c>
      <c r="U456" s="498">
        <f>IFERROR(__xludf.DUMMYFUNCTION("""COMPUTED_VALUE"""),5048001.0)</f>
        <v>5048001</v>
      </c>
      <c r="V456" s="495" t="str">
        <f>IFERROR(__xludf.DUMMYFUNCTION("""COMPUTED_VALUE"""),"Indentificador de Edificios 
Instalación de identificadores de edificio, en lugares y altura definidos previamente con la mandante.
Soporte metálico simétrico electropintado de color negro con celosía a ambos lados, metal calado en láser, con ángulos 25x2"&amp;"5x2 mm, pletinas 16 mm. en 3 mm. Medidas generales: 220x37 cm.
Direccionales
Instalación de Direccionales en pilares y altura definidos previamente con la mandante.
Gráficas adhesivas sobre plancha de alucobond da 4 mm. de espesor mn pletina de 4 mm. de "&amp;"espesor electropintada negro mate. Estructura en ángulo 20x20 fijado con abrazaderas para poste. Medidas generales: 768x488 mm.
")</f>
        <v>Indentificador de Edificios 
Instalación de identificadores de edificio, en lugares y altura definidos previamente con la mandante.
Soporte metálico simétrico electropintado de color negro con celosía a ambos lados, metal calado en láser, con ángulos 25x25x2 mm, pletinas 16 mm. en 3 mm. Medidas generales: 220x37 cm.
Direccionales
Instalación de Direccionales en pilares y altura definidos previamente con la mandante.
Gráficas adhesivas sobre plancha de alucobond da 4 mm. de espesor mn pletina de 4 mm. de espesor electropintada negro mate. Estructura en ángulo 20x20 fijado con abrazaderas para poste. Medidas generales: 768x488 mm.
</v>
      </c>
      <c r="W456" s="495"/>
      <c r="X456" s="495" t="str">
        <f>IFERROR(__xludf.DUMMYFUNCTION("""COMPUTED_VALUE"""),"https://drive.google.com/open?id=1YnKKrlrg9lGk0VHaJWEcssbcvzz_QERA, https://drive.google.com/open?id=1wXnZqZczA5I9gVBMZOCCj_8qujA1kCkV, https://drive.google.com/open?id=1Z0B9lWcX5rT4FF_xYlSw6aBJis-qwj-b, https://drive.google.com/open?id=1dQ24g9GVZQXvUb-qp"&amp;"5zQPBc5SSsoozZ3, https://drive.google.com/open?id=1jiUEjAdCtdlEAMWMpDwKh0eQ4AqTQ_vG, https://drive.google.com/open?id=1MTtuksHNjr8hR6d38jbYOYBBYR8uQRca")</f>
        <v>https://drive.google.com/open?id=1YnKKrlrg9lGk0VHaJWEcssbcvzz_QERA, https://drive.google.com/open?id=1wXnZqZczA5I9gVBMZOCCj_8qujA1kCkV, https://drive.google.com/open?id=1Z0B9lWcX5rT4FF_xYlSw6aBJis-qwj-b, https://drive.google.com/open?id=1dQ24g9GVZQXvUb-qp5zQPBc5SSsoozZ3, https://drive.google.com/open?id=1jiUEjAdCtdlEAMWMpDwKh0eQ4AqTQ_vG, https://drive.google.com/open?id=1MTtuksHNjr8hR6d38jbYOYBBYR8uQRca</v>
      </c>
      <c r="Y456" s="495" t="str">
        <f>IFERROR(__xludf.DUMMYFUNCTION("""COMPUTED_VALUE"""),"diseno@pua.cl")</f>
        <v>diseno@pua.cl</v>
      </c>
      <c r="Z456" s="498">
        <f>IFERROR(__xludf.DUMMYFUNCTION("""COMPUTED_VALUE"""),7211430.0)</f>
        <v>7211430</v>
      </c>
      <c r="AA456" s="495"/>
      <c r="AB456" s="495"/>
      <c r="AC456" s="495"/>
      <c r="AD456" s="495" t="str">
        <f>IFERROR(__xludf.DUMMYFUNCTION("""COMPUTED_VALUE"""),"RC-134_26")</f>
        <v>RC-134_26</v>
      </c>
    </row>
    <row r="457">
      <c r="A457" s="495" t="str">
        <f t="shared" si="1"/>
        <v>RC-135_26</v>
      </c>
      <c r="B457" s="497">
        <f>IFERROR(__xludf.DUMMYFUNCTION("""COMPUTED_VALUE"""),46140.70588527778)</f>
        <v>46140.70589</v>
      </c>
      <c r="C457" s="495" t="str">
        <f>IFERROR(__xludf.DUMMYFUNCTION("""COMPUTED_VALUE"""),"")</f>
        <v/>
      </c>
      <c r="D457" s="495" t="str">
        <f>IFERROR(__xludf.DUMMYFUNCTION("""COMPUTED_VALUE"""),"Carol Huenchual Chañilao")</f>
        <v>Carol Huenchual Chañilao</v>
      </c>
      <c r="E457" s="495"/>
      <c r="F457" s="496" t="str">
        <f>IFERROR(__xludf.DUMMYFUNCTION("""COMPUTED_VALUE"""),"4545-1564156")</f>
        <v>4545-1564156</v>
      </c>
      <c r="G457" s="495"/>
      <c r="H457" s="495"/>
      <c r="I457" s="495"/>
      <c r="J457" s="495" t="str">
        <f>IFERROR(__xludf.DUMMYFUNCTION("""COMPUTED_VALUE"""),"Campus Phillippi - CPH")</f>
        <v>Campus Phillippi - CPH</v>
      </c>
      <c r="K457" s="495" t="str">
        <f>IFERROR(__xludf.DUMMYFUNCTION("""COMPUTED_VALUE"""),"08")</f>
        <v>08</v>
      </c>
      <c r="L457" s="495" t="str">
        <f>IFERROR(__xludf.DUMMYFUNCTION("""COMPUTED_VALUE"""),"asdad")</f>
        <v>asdad</v>
      </c>
      <c r="M457" s="495" t="str">
        <f>IFERROR(__xludf.DUMMYFUNCTION("""COMPUTED_VALUE"""),"99.999.999-5")</f>
        <v>99.999.999-5</v>
      </c>
      <c r="N457" s="495" t="str">
        <f>IFERROR(__xludf.DUMMYFUNCTION("""COMPUTED_VALUE"""),"olsacs")</f>
        <v>olsacs</v>
      </c>
      <c r="O457" s="495" t="str">
        <f>IFERROR(__xludf.DUMMYFUNCTION("""COMPUTED_VALUE"""),"Obras y Especialidades")</f>
        <v>Obras y Especialidades</v>
      </c>
      <c r="P457" s="495"/>
      <c r="Q457" s="495"/>
      <c r="R457" s="495" t="str">
        <f>IFERROR(__xludf.DUMMYFUNCTION("""COMPUTED_VALUE"""),"Nuevo Edificio")</f>
        <v>Nuevo Edificio</v>
      </c>
      <c r="S457" s="495" t="str">
        <f>IFERROR(__xludf.DUMMYFUNCTION("""COMPUTED_VALUE"""),"Recepción de Obra - RC")</f>
        <v>Recepción de Obra - RC</v>
      </c>
      <c r="T457" s="495"/>
      <c r="U457" s="495"/>
      <c r="V457" s="495" t="str">
        <f>IFERROR(__xludf.DUMMYFUNCTION("""COMPUTED_VALUE"""),"wqewewq")</f>
        <v>wqewewq</v>
      </c>
      <c r="W457" s="495" t="str">
        <f>IFERROR(__xludf.DUMMYFUNCTION("""COMPUTED_VALUE"""),"eqweqweqweqwe")</f>
        <v>eqweqweqweqwe</v>
      </c>
      <c r="X457" s="499" t="str">
        <f>IFERROR(__xludf.DUMMYFUNCTION("""COMPUTED_VALUE"""),"https://drive.google.com/open?id=17FcYm7p-h0QsU82vZtSn1w_QiWYYAY3I")</f>
        <v>https://drive.google.com/open?id=17FcYm7p-h0QsU82vZtSn1w_QiWYYAY3I</v>
      </c>
      <c r="Y457" s="495" t="str">
        <f>IFERROR(__xludf.DUMMYFUNCTION("""COMPUTED_VALUE"""),"opainen@uct.cl")</f>
        <v>opainen@uct.cl</v>
      </c>
      <c r="Z457" s="498">
        <f>IFERROR(__xludf.DUMMYFUNCTION("""COMPUTED_VALUE"""),1.65446546455E11)</f>
        <v>165446546455</v>
      </c>
      <c r="AA457" s="495"/>
      <c r="AB457" s="495"/>
      <c r="AC457" s="495"/>
      <c r="AD457" s="495" t="str">
        <f>IFERROR(__xludf.DUMMYFUNCTION("""COMPUTED_VALUE"""),"RC-135_26")</f>
        <v>RC-135_26</v>
      </c>
    </row>
    <row r="458">
      <c r="A458" s="495" t="str">
        <f t="shared" si="1"/>
        <v/>
      </c>
      <c r="B458" s="497">
        <f>IFERROR(__xludf.DUMMYFUNCTION("""COMPUTED_VALUE"""),46014.589512858794)</f>
        <v>46014.58951</v>
      </c>
      <c r="C458" s="495" t="str">
        <f>IFERROR(__xludf.DUMMYFUNCTION("""COMPUTED_VALUE"""),"")</f>
        <v/>
      </c>
      <c r="D458" s="495" t="str">
        <f>IFERROR(__xludf.DUMMYFUNCTION("""COMPUTED_VALUE"""),"Carol Huenchual Chañilao")</f>
        <v>Carol Huenchual Chañilao</v>
      </c>
      <c r="E458" s="495"/>
      <c r="F458" s="496" t="str">
        <f>IFERROR(__xludf.DUMMYFUNCTION("""COMPUTED_VALUE"""),"12754 - 2025")</f>
        <v>12754 - 2025</v>
      </c>
      <c r="G458" s="495"/>
      <c r="H458" s="495"/>
      <c r="I458" s="495"/>
      <c r="J458" s="495" t="str">
        <f>IFERROR(__xludf.DUMMYFUNCTION("""COMPUTED_VALUE"""),"Campus San Juan Pablo II - CJP")</f>
        <v>Campus San Juan Pablo II - CJP</v>
      </c>
      <c r="K458" s="495">
        <f>IFERROR(__xludf.DUMMYFUNCTION("""COMPUTED_VALUE"""),10.0)</f>
        <v>10</v>
      </c>
      <c r="L458" s="495" t="str">
        <f>IFERROR(__xludf.DUMMYFUNCTION("""COMPUTED_VALUE"""),"Sergio Flores Garrido")</f>
        <v>Sergio Flores Garrido</v>
      </c>
      <c r="M458" s="495" t="str">
        <f>IFERROR(__xludf.DUMMYFUNCTION("""COMPUTED_VALUE"""),"12.928.980-5")</f>
        <v>12.928.980-5</v>
      </c>
      <c r="N458" s="495" t="str">
        <f>IFERROR(__xludf.DUMMYFUNCTION("""COMPUTED_VALUE"""),"Sergio Flores Garrido ")</f>
        <v>Sergio Flores Garrido </v>
      </c>
      <c r="O458" s="495" t="str">
        <f>IFERROR(__xludf.DUMMYFUNCTION("""COMPUTED_VALUE"""),"Mantenciones")</f>
        <v>Mantenciones</v>
      </c>
      <c r="P458" s="495" t="str">
        <f>IFERROR(__xludf.DUMMYFUNCTION("""COMPUTED_VALUE"""),"Cerramientos Verticales")</f>
        <v>Cerramientos Verticales</v>
      </c>
      <c r="Q458" s="495"/>
      <c r="R458" s="495"/>
      <c r="S458" s="495"/>
      <c r="T458" s="495"/>
      <c r="U458" s="495"/>
      <c r="V458" s="495" t="str">
        <f>IFERROR(__xludf.DUMMYFUNCTION("""COMPUTED_VALUE"""),"Cambio de termopanel quebrado.")</f>
        <v>Cambio de termopanel quebrado.</v>
      </c>
      <c r="W458" s="495" t="str">
        <f>IFERROR(__xludf.DUMMYFUNCTION("""COMPUTED_VALUE"""),"No requiere seguimiento ")</f>
        <v>No requiere seguimiento </v>
      </c>
      <c r="X458" s="499" t="str">
        <f>IFERROR(__xludf.DUMMYFUNCTION("""COMPUTED_VALUE"""),"https://drive.google.com/open?id=1j56VW5TDRbyuG4Gy1o1bLkJ5xkpJPtqc")</f>
        <v>https://drive.google.com/open?id=1j56VW5TDRbyuG4Gy1o1bLkJ5xkpJPtqc</v>
      </c>
      <c r="Y458" s="495" t="str">
        <f>IFERROR(__xludf.DUMMYFUNCTION("""COMPUTED_VALUE"""),"sergiofloresgarrido19731217@gmail.com")</f>
        <v>sergiofloresgarrido19731217@gmail.com</v>
      </c>
      <c r="Z458" s="495"/>
      <c r="AA458" s="495"/>
      <c r="AB458" s="495"/>
      <c r="AC458" s="495"/>
      <c r="AD458" s="495"/>
    </row>
    <row r="459">
      <c r="A459" s="495" t="str">
        <f t="shared" si="1"/>
        <v/>
      </c>
      <c r="B459" s="497">
        <f>IFERROR(__xludf.DUMMYFUNCTION("""COMPUTED_VALUE"""),46014.5832962037)</f>
        <v>46014.5833</v>
      </c>
      <c r="C459" s="495" t="str">
        <f>IFERROR(__xludf.DUMMYFUNCTION("""COMPUTED_VALUE"""),"")</f>
        <v/>
      </c>
      <c r="D459" s="495" t="str">
        <f>IFERROR(__xludf.DUMMYFUNCTION("""COMPUTED_VALUE"""),"Carol Huenchual Chañilao")</f>
        <v>Carol Huenchual Chañilao</v>
      </c>
      <c r="E459" s="495"/>
      <c r="F459" s="496" t="str">
        <f>IFERROR(__xludf.DUMMYFUNCTION("""COMPUTED_VALUE"""),"12914 - 2025")</f>
        <v>12914 - 2025</v>
      </c>
      <c r="G459" s="495"/>
      <c r="H459" s="495"/>
      <c r="I459" s="495"/>
      <c r="J459" s="495" t="str">
        <f>IFERROR(__xludf.DUMMYFUNCTION("""COMPUTED_VALUE"""),"Campus San Francisco - CSF")</f>
        <v>Campus San Francisco - CSF</v>
      </c>
      <c r="K459" s="495">
        <f>IFERROR(__xludf.DUMMYFUNCTION("""COMPUTED_VALUE"""),11.0)</f>
        <v>11</v>
      </c>
      <c r="L459" s="495" t="str">
        <f>IFERROR(__xludf.DUMMYFUNCTION("""COMPUTED_VALUE"""),"Sergio Flores Garrido ")</f>
        <v>Sergio Flores Garrido </v>
      </c>
      <c r="M459" s="495" t="str">
        <f>IFERROR(__xludf.DUMMYFUNCTION("""COMPUTED_VALUE"""),"12.928.980-5")</f>
        <v>12.928.980-5</v>
      </c>
      <c r="N459" s="495" t="str">
        <f>IFERROR(__xludf.DUMMYFUNCTION("""COMPUTED_VALUE"""),"Sergio Flores Garrido ")</f>
        <v>Sergio Flores Garrido </v>
      </c>
      <c r="O459" s="495" t="str">
        <f>IFERROR(__xludf.DUMMYFUNCTION("""COMPUTED_VALUE"""),"Mantenciones")</f>
        <v>Mantenciones</v>
      </c>
      <c r="P459" s="495" t="str">
        <f>IFERROR(__xludf.DUMMYFUNCTION("""COMPUTED_VALUE"""),"Cerramientos Verticales")</f>
        <v>Cerramientos Verticales</v>
      </c>
      <c r="Q459" s="495"/>
      <c r="R459" s="495"/>
      <c r="S459" s="495"/>
      <c r="T459" s="495"/>
      <c r="U459" s="495"/>
      <c r="V459" s="495" t="str">
        <f>IFERROR(__xludf.DUMMYFUNCTION("""COMPUTED_VALUE"""),"Desarme para ajuste de ventana oscilobatiente en PVC con termopanel.")</f>
        <v>Desarme para ajuste de ventana oscilobatiente en PVC con termopanel.</v>
      </c>
      <c r="W459" s="495" t="str">
        <f>IFERROR(__xludf.DUMMYFUNCTION("""COMPUTED_VALUE"""),"No requiere seguimiento.")</f>
        <v>No requiere seguimiento.</v>
      </c>
      <c r="X459" s="495" t="str">
        <f>IFERROR(__xludf.DUMMYFUNCTION("""COMPUTED_VALUE"""),"https://drive.google.com/open?id=1WwR9Agj3EaWAloAcEFAaK9g3yd6G3792, https://drive.google.com/open?id=1uKJkgu4iy_v20ASlOroVkSCFhebAmuQh, https://drive.google.com/open?id=1CHH7qMXQlA2WwkOoK3kfUNT2rUcxGcYw")</f>
        <v>https://drive.google.com/open?id=1WwR9Agj3EaWAloAcEFAaK9g3yd6G3792, https://drive.google.com/open?id=1uKJkgu4iy_v20ASlOroVkSCFhebAmuQh, https://drive.google.com/open?id=1CHH7qMXQlA2WwkOoK3kfUNT2rUcxGcYw</v>
      </c>
      <c r="Y459" s="495" t="str">
        <f>IFERROR(__xludf.DUMMYFUNCTION("""COMPUTED_VALUE"""),"sergiofloresgarrido19731217@gmail.com")</f>
        <v>sergiofloresgarrido19731217@gmail.com</v>
      </c>
      <c r="Z459" s="495"/>
      <c r="AA459" s="495"/>
      <c r="AB459" s="495"/>
      <c r="AC459" s="495"/>
      <c r="AD459" s="495"/>
    </row>
    <row r="460">
      <c r="A460" s="495" t="str">
        <f t="shared" si="1"/>
        <v/>
      </c>
      <c r="B460" s="497">
        <f>IFERROR(__xludf.DUMMYFUNCTION("""COMPUTED_VALUE"""),46014.57781575232)</f>
        <v>46014.57782</v>
      </c>
      <c r="C460" s="495" t="str">
        <f>IFERROR(__xludf.DUMMYFUNCTION("""COMPUTED_VALUE"""),"")</f>
        <v/>
      </c>
      <c r="D460" s="495" t="str">
        <f>IFERROR(__xludf.DUMMYFUNCTION("""COMPUTED_VALUE"""),"Carol Huenchual Chañilao")</f>
        <v>Carol Huenchual Chañilao</v>
      </c>
      <c r="E460" s="495"/>
      <c r="F460" s="496">
        <f>IFERROR(__xludf.DUMMYFUNCTION("""COMPUTED_VALUE"""),12914.0)</f>
        <v>12914</v>
      </c>
      <c r="G460" s="495"/>
      <c r="H460" s="495"/>
      <c r="I460" s="495"/>
      <c r="J460" s="495" t="str">
        <f>IFERROR(__xludf.DUMMYFUNCTION("""COMPUTED_VALUE"""),"Campus Dr. Luis Rivas del Canto - CRC")</f>
        <v>Campus Dr. Luis Rivas del Canto - CRC</v>
      </c>
      <c r="K460" s="495" t="str">
        <f>IFERROR(__xludf.DUMMYFUNCTION("""COMPUTED_VALUE"""),"08")</f>
        <v>08</v>
      </c>
      <c r="L460" s="495" t="str">
        <f>IFERROR(__xludf.DUMMYFUNCTION("""COMPUTED_VALUE"""),"Sergio Flores Garrido")</f>
        <v>Sergio Flores Garrido</v>
      </c>
      <c r="M460" s="495" t="str">
        <f>IFERROR(__xludf.DUMMYFUNCTION("""COMPUTED_VALUE"""),"12.928.980-5")</f>
        <v>12.928.980-5</v>
      </c>
      <c r="N460" s="495" t="str">
        <f>IFERROR(__xludf.DUMMYFUNCTION("""COMPUTED_VALUE"""),"Sergio Flores Garrido")</f>
        <v>Sergio Flores Garrido</v>
      </c>
      <c r="O460" s="495" t="str">
        <f>IFERROR(__xludf.DUMMYFUNCTION("""COMPUTED_VALUE"""),"Mantenciones")</f>
        <v>Mantenciones</v>
      </c>
      <c r="P460" s="495" t="str">
        <f>IFERROR(__xludf.DUMMYFUNCTION("""COMPUTED_VALUE"""),"Cerramientos Verticales")</f>
        <v>Cerramientos Verticales</v>
      </c>
      <c r="Q460" s="495"/>
      <c r="R460" s="495"/>
      <c r="S460" s="495"/>
      <c r="T460" s="495"/>
      <c r="U460" s="495"/>
      <c r="V460" s="495" t="str">
        <f>IFERROR(__xludf.DUMMYFUNCTION("""COMPUTED_VALUE"""),"Cambio e instale ventana corredera de aluminio con manillas.")</f>
        <v>Cambio e instale ventana corredera de aluminio con manillas.</v>
      </c>
      <c r="W460" s="495" t="str">
        <f>IFERROR(__xludf.DUMMYFUNCTION("""COMPUTED_VALUE"""),"No requiere seguimiento.")</f>
        <v>No requiere seguimiento.</v>
      </c>
      <c r="X460" s="495" t="str">
        <f>IFERROR(__xludf.DUMMYFUNCTION("""COMPUTED_VALUE"""),"https://drive.google.com/open?id=1rqkkE01iXWJuD--0zATVdc0uKc2nSEon, https://drive.google.com/open?id=1x0cHqFMw_yVANSpRqlvg_HeeJ1FalIPF")</f>
        <v>https://drive.google.com/open?id=1rqkkE01iXWJuD--0zATVdc0uKc2nSEon, https://drive.google.com/open?id=1x0cHqFMw_yVANSpRqlvg_HeeJ1FalIPF</v>
      </c>
      <c r="Y460" s="495" t="str">
        <f>IFERROR(__xludf.DUMMYFUNCTION("""COMPUTED_VALUE"""),"sergiofloresgarrido19731217@gmail.com")</f>
        <v>sergiofloresgarrido19731217@gmail.com</v>
      </c>
      <c r="Z460" s="495"/>
      <c r="AA460" s="495"/>
      <c r="AB460" s="495"/>
      <c r="AC460" s="495"/>
      <c r="AD460" s="495"/>
    </row>
    <row r="461">
      <c r="A461" s="495" t="str">
        <f t="shared" si="1"/>
        <v>RC-139_26</v>
      </c>
      <c r="B461" s="497">
        <f>IFERROR(__xludf.DUMMYFUNCTION("""COMPUTED_VALUE"""),46141.47098648148)</f>
        <v>46141.47099</v>
      </c>
      <c r="C461" s="495" t="str">
        <f>IFERROR(__xludf.DUMMYFUNCTION("""COMPUTED_VALUE"""),"")</f>
        <v/>
      </c>
      <c r="D461" s="495" t="str">
        <f>IFERROR(__xludf.DUMMYFUNCTION("""COMPUTED_VALUE"""),"Juan Ignacio Solís de Ovando")</f>
        <v>Juan Ignacio Solís de Ovando</v>
      </c>
      <c r="E461" s="495"/>
      <c r="F461" s="496" t="str">
        <f>IFERROR(__xludf.DUMMYFUNCTION("""COMPUTED_VALUE"""),"13112-2025")</f>
        <v>13112-2025</v>
      </c>
      <c r="G461" s="495"/>
      <c r="H461" s="495"/>
      <c r="I461" s="495"/>
      <c r="J461" s="495" t="str">
        <f>IFERROR(__xludf.DUMMYFUNCTION("""COMPUTED_VALUE"""),"Campus Dr. Luis Rivas del Canto - CRC")</f>
        <v>Campus Dr. Luis Rivas del Canto - CRC</v>
      </c>
      <c r="K461" s="495">
        <f>IFERROR(__xludf.DUMMYFUNCTION("""COMPUTED_VALUE"""),10.0)</f>
        <v>10</v>
      </c>
      <c r="L461" s="495" t="str">
        <f>IFERROR(__xludf.DUMMYFUNCTION("""COMPUTED_VALUE"""),"Sociedad Comercial Espacio Muebles LTDa")</f>
        <v>Sociedad Comercial Espacio Muebles LTDa</v>
      </c>
      <c r="M461" s="495" t="str">
        <f>IFERROR(__xludf.DUMMYFUNCTION("""COMPUTED_VALUE"""),"77.544.225-5")</f>
        <v>77.544.225-5</v>
      </c>
      <c r="N461" s="495" t="str">
        <f>IFERROR(__xludf.DUMMYFUNCTION("""COMPUTED_VALUE"""),"Emilio Aburto - Director de operaciones")</f>
        <v>Emilio Aburto - Director de operaciones</v>
      </c>
      <c r="O461" s="495" t="str">
        <f>IFERROR(__xludf.DUMMYFUNCTION("""COMPUTED_VALUE"""),"Obras y Especialidades")</f>
        <v>Obras y Especialidades</v>
      </c>
      <c r="P461" s="495"/>
      <c r="Q461" s="495"/>
      <c r="R461" s="495" t="str">
        <f>IFERROR(__xludf.DUMMYFUNCTION("""COMPUTED_VALUE"""),"Especialidades")</f>
        <v>Especialidades</v>
      </c>
      <c r="S461" s="495" t="str">
        <f>IFERROR(__xludf.DUMMYFUNCTION("""COMPUTED_VALUE"""),"Estado de Pago - EP")</f>
        <v>Estado de Pago - EP</v>
      </c>
      <c r="T461" s="495">
        <f>IFERROR(__xludf.DUMMYFUNCTION("""COMPUTED_VALUE"""),3.0)</f>
        <v>3</v>
      </c>
      <c r="U461" s="498">
        <f>IFERROR(__xludf.DUMMYFUNCTION("""COMPUTED_VALUE"""),2783410.0)</f>
        <v>2783410</v>
      </c>
      <c r="V461" s="495" t="str">
        <f>IFERROR(__xludf.DUMMYFUNCTION("""COMPUTED_VALUE"""),"Armado, distribución e instalación de mubles")</f>
        <v>Armado, distribución e instalación de mubles</v>
      </c>
      <c r="W461" s="495"/>
      <c r="X461" s="499" t="str">
        <f>IFERROR(__xludf.DUMMYFUNCTION("""COMPUTED_VALUE"""),"https://drive.google.com/open?id=104mjxPUf2yhcLYy8HSQLFQwwXIb6B5sT")</f>
        <v>https://drive.google.com/open?id=104mjxPUf2yhcLYy8HSQLFQwwXIb6B5sT</v>
      </c>
      <c r="Y461" s="495" t="str">
        <f>IFERROR(__xludf.DUMMYFUNCTION("""COMPUTED_VALUE"""),"contacto.espaciomuebles@gmail.com")</f>
        <v>contacto.espaciomuebles@gmail.com</v>
      </c>
      <c r="Z461" s="498">
        <f>IFERROR(__xludf.DUMMYFUNCTION("""COMPUTED_VALUE"""),1.391705E7)</f>
        <v>13917050</v>
      </c>
      <c r="AA461" s="495"/>
      <c r="AB461" s="495"/>
      <c r="AC461" s="495"/>
      <c r="AD461" s="495" t="str">
        <f>IFERROR(__xludf.DUMMYFUNCTION("""COMPUTED_VALUE"""),"RC-139_26")</f>
        <v>RC-139_26</v>
      </c>
    </row>
    <row r="462">
      <c r="A462" s="495" t="str">
        <f t="shared" si="1"/>
        <v>RC-140_26</v>
      </c>
      <c r="B462" s="497">
        <f>IFERROR(__xludf.DUMMYFUNCTION("""COMPUTED_VALUE"""),46141.61691776621)</f>
        <v>46141.61692</v>
      </c>
      <c r="C462" s="495" t="str">
        <f>IFERROR(__xludf.DUMMYFUNCTION("""COMPUTED_VALUE"""),"")</f>
        <v/>
      </c>
      <c r="D462" s="495" t="str">
        <f>IFERROR(__xludf.DUMMYFUNCTION("""COMPUTED_VALUE"""),"Juan Ignacio Solís de Ovando")</f>
        <v>Juan Ignacio Solís de Ovando</v>
      </c>
      <c r="E462" s="495"/>
      <c r="F462" s="496" t="str">
        <f>IFERROR(__xludf.DUMMYFUNCTION("""COMPUTED_VALUE"""),"1426-2026")</f>
        <v>1426-2026</v>
      </c>
      <c r="G462" s="495"/>
      <c r="H462" s="495"/>
      <c r="I462" s="495"/>
      <c r="J462" s="495" t="str">
        <f>IFERROR(__xludf.DUMMYFUNCTION("""COMPUTED_VALUE"""),"Campus Dr. Luis Rivas del Canto - CRC")</f>
        <v>Campus Dr. Luis Rivas del Canto - CRC</v>
      </c>
      <c r="K462" s="495" t="str">
        <f>IFERROR(__xludf.DUMMYFUNCTION("""COMPUTED_VALUE"""),"Sin número")</f>
        <v>Sin número</v>
      </c>
      <c r="L462" s="495" t="str">
        <f>IFERROR(__xludf.DUMMYFUNCTION("""COMPUTED_VALUE"""),"LSA INGENIERIA Y CONSTRUCCION EIRL")</f>
        <v>LSA INGENIERIA Y CONSTRUCCION EIRL</v>
      </c>
      <c r="M462" s="495" t="str">
        <f>IFERROR(__xludf.DUMMYFUNCTION("""COMPUTED_VALUE"""),"76.219.281-0")</f>
        <v>76.219.281-0</v>
      </c>
      <c r="N462" s="495" t="str">
        <f>IFERROR(__xludf.DUMMYFUNCTION("""COMPUTED_VALUE"""),"CLAUDIA SANZANA - ADMINISTRADOR DE OBRA")</f>
        <v>CLAUDIA SANZANA - ADMINISTRADOR DE OBRA</v>
      </c>
      <c r="O462" s="495" t="str">
        <f>IFERROR(__xludf.DUMMYFUNCTION("""COMPUTED_VALUE"""),"Obras y Especialidades")</f>
        <v>Obras y Especialidades</v>
      </c>
      <c r="P462" s="495"/>
      <c r="Q462" s="495"/>
      <c r="R462" s="495" t="str">
        <f>IFERROR(__xludf.DUMMYFUNCTION("""COMPUTED_VALUE"""),"Nuevo Edificio")</f>
        <v>Nuevo Edificio</v>
      </c>
      <c r="S462" s="495" t="str">
        <f>IFERROR(__xludf.DUMMYFUNCTION("""COMPUTED_VALUE"""),"Estado de Pago - EP")</f>
        <v>Estado de Pago - EP</v>
      </c>
      <c r="T462" s="495">
        <f>IFERROR(__xludf.DUMMYFUNCTION("""COMPUTED_VALUE"""),2.0)</f>
        <v>2</v>
      </c>
      <c r="U462" s="498">
        <f>IFERROR(__xludf.DUMMYFUNCTION("""COMPUTED_VALUE"""),6.9931126E7)</f>
        <v>69931126</v>
      </c>
      <c r="V462" s="495" t="str">
        <f>IFERROR(__xludf.DUMMYFUNCTION("""COMPUTED_VALUE"""),"CONSTRUCCION EDIFICIO NUEVO")</f>
        <v>CONSTRUCCION EDIFICIO NUEVO</v>
      </c>
      <c r="W462" s="495"/>
      <c r="X462" s="495" t="str">
        <f>IFERROR(__xludf.DUMMYFUNCTION("""COMPUTED_VALUE"""),"https://drive.google.com/open?id=1b0Lk_AQ06JAXmu5Ne7TeQsP26EBZonDR, https://drive.google.com/open?id=1NZsI4mIXrPN3rFLMba-R_k9bb2PXzJrR, https://drive.google.com/open?id=1233pnWyecXGIzSPlJ_at1VlP6kZAXPAV, https://drive.google.com/open?id=17yAbPXxKrdfzvbDli"&amp;"ks92y5UelXAL27R, https://drive.google.com/open?id=1no-29ptAnXbUVNqqQk1ziBnSa7RPzXyd")</f>
        <v>https://drive.google.com/open?id=1b0Lk_AQ06JAXmu5Ne7TeQsP26EBZonDR, https://drive.google.com/open?id=1NZsI4mIXrPN3rFLMba-R_k9bb2PXzJrR, https://drive.google.com/open?id=1233pnWyecXGIzSPlJ_at1VlP6kZAXPAV, https://drive.google.com/open?id=17yAbPXxKrdfzvbDliks92y5UelXAL27R, https://drive.google.com/open?id=1no-29ptAnXbUVNqqQk1ziBnSa7RPzXyd</v>
      </c>
      <c r="Y462" s="495" t="str">
        <f>IFERROR(__xludf.DUMMYFUNCTION("""COMPUTED_VALUE"""),"claudiasanzana@lsaingenieria.cl")</f>
        <v>claudiasanzana@lsaingenieria.cl</v>
      </c>
      <c r="Z462" s="498">
        <f>IFERROR(__xludf.DUMMYFUNCTION("""COMPUTED_VALUE"""),8.55200912E8)</f>
        <v>855200912</v>
      </c>
      <c r="AA462" s="495"/>
      <c r="AB462" s="495"/>
      <c r="AC462" s="495"/>
      <c r="AD462" s="495" t="str">
        <f>IFERROR(__xludf.DUMMYFUNCTION("""COMPUTED_VALUE"""),"RC-140_26")</f>
        <v>RC-140_26</v>
      </c>
    </row>
    <row r="463">
      <c r="A463" s="495" t="str">
        <f t="shared" si="1"/>
        <v/>
      </c>
      <c r="B463" s="497">
        <f>IFERROR(__xludf.DUMMYFUNCTION("""COMPUTED_VALUE"""),46014.57415973379)</f>
        <v>46014.57416</v>
      </c>
      <c r="C463" s="495" t="str">
        <f>IFERROR(__xludf.DUMMYFUNCTION("""COMPUTED_VALUE"""),"")</f>
        <v/>
      </c>
      <c r="D463" s="495" t="str">
        <f>IFERROR(__xludf.DUMMYFUNCTION("""COMPUTED_VALUE"""),"Carol Huenchual Chañilao")</f>
        <v>Carol Huenchual Chañilao</v>
      </c>
      <c r="E463" s="495"/>
      <c r="F463" s="496" t="str">
        <f>IFERROR(__xludf.DUMMYFUNCTION("""COMPUTED_VALUE"""),"12914 - 2025")</f>
        <v>12914 - 2025</v>
      </c>
      <c r="G463" s="495"/>
      <c r="H463" s="495"/>
      <c r="I463" s="495"/>
      <c r="J463" s="495" t="str">
        <f>IFERROR(__xludf.DUMMYFUNCTION("""COMPUTED_VALUE"""),"Campus San Francisco - CSF")</f>
        <v>Campus San Francisco - CSF</v>
      </c>
      <c r="K463" s="495">
        <f>IFERROR(__xludf.DUMMYFUNCTION("""COMPUTED_VALUE"""),15.0)</f>
        <v>15</v>
      </c>
      <c r="L463" s="495" t="str">
        <f>IFERROR(__xludf.DUMMYFUNCTION("""COMPUTED_VALUE"""),"Sergio Flores Garrido")</f>
        <v>Sergio Flores Garrido</v>
      </c>
      <c r="M463" s="495" t="str">
        <f>IFERROR(__xludf.DUMMYFUNCTION("""COMPUTED_VALUE"""),"12.928.980-5")</f>
        <v>12.928.980-5</v>
      </c>
      <c r="N463" s="495" t="str">
        <f>IFERROR(__xludf.DUMMYFUNCTION("""COMPUTED_VALUE"""),"Sergio Flores Garrido")</f>
        <v>Sergio Flores Garrido</v>
      </c>
      <c r="O463" s="495" t="str">
        <f>IFERROR(__xludf.DUMMYFUNCTION("""COMPUTED_VALUE"""),"Mantenciones")</f>
        <v>Mantenciones</v>
      </c>
      <c r="P463" s="495" t="str">
        <f>IFERROR(__xludf.DUMMYFUNCTION("""COMPUTED_VALUE"""),"Terminaciones Interiores")</f>
        <v>Terminaciones Interiores</v>
      </c>
      <c r="Q463" s="495"/>
      <c r="R463" s="495"/>
      <c r="S463" s="495"/>
      <c r="T463" s="495"/>
      <c r="U463" s="495"/>
      <c r="V463" s="495" t="str">
        <f>IFERROR(__xludf.DUMMYFUNCTION("""COMPUTED_VALUE"""),"Cambio de puerta de acceso a sala de estar.")</f>
        <v>Cambio de puerta de acceso a sala de estar.</v>
      </c>
      <c r="W463" s="495" t="str">
        <f>IFERROR(__xludf.DUMMYFUNCTION("""COMPUTED_VALUE"""),"No requiere seguimiento.")</f>
        <v>No requiere seguimiento.</v>
      </c>
      <c r="X463" s="499" t="str">
        <f>IFERROR(__xludf.DUMMYFUNCTION("""COMPUTED_VALUE"""),"https://drive.google.com/open?id=1poE_-1amvb8l2wZMCDTVAM0WvqjO93Fw")</f>
        <v>https://drive.google.com/open?id=1poE_-1amvb8l2wZMCDTVAM0WvqjO93Fw</v>
      </c>
      <c r="Y463" s="495" t="str">
        <f>IFERROR(__xludf.DUMMYFUNCTION("""COMPUTED_VALUE"""),"sergiofloresgarrido19731217@gmail.com")</f>
        <v>sergiofloresgarrido19731217@gmail.com</v>
      </c>
      <c r="Z463" s="495"/>
      <c r="AA463" s="495"/>
      <c r="AB463" s="495"/>
      <c r="AC463" s="495"/>
      <c r="AD463" s="495"/>
    </row>
    <row r="464">
      <c r="A464" s="495" t="str">
        <f t="shared" si="1"/>
        <v/>
      </c>
      <c r="B464" s="497">
        <f>IFERROR(__xludf.DUMMYFUNCTION("""COMPUTED_VALUE"""),46014.56982568287)</f>
        <v>46014.56983</v>
      </c>
      <c r="C464" s="495" t="str">
        <f>IFERROR(__xludf.DUMMYFUNCTION("""COMPUTED_VALUE"""),"")</f>
        <v/>
      </c>
      <c r="D464" s="495" t="str">
        <f>IFERROR(__xludf.DUMMYFUNCTION("""COMPUTED_VALUE"""),"Carol Huenchual Chañilao")</f>
        <v>Carol Huenchual Chañilao</v>
      </c>
      <c r="E464" s="495"/>
      <c r="F464" s="496" t="str">
        <f>IFERROR(__xludf.DUMMYFUNCTION("""COMPUTED_VALUE"""),"12914 - 2025")</f>
        <v>12914 - 2025</v>
      </c>
      <c r="G464" s="495"/>
      <c r="H464" s="495"/>
      <c r="I464" s="495"/>
      <c r="J464" s="495" t="str">
        <f>IFERROR(__xludf.DUMMYFUNCTION("""COMPUTED_VALUE"""),"Campus San Juan Pablo II - CJP")</f>
        <v>Campus San Juan Pablo II - CJP</v>
      </c>
      <c r="K464" s="495" t="str">
        <f>IFERROR(__xludf.DUMMYFUNCTION("""COMPUTED_VALUE"""),"04")</f>
        <v>04</v>
      </c>
      <c r="L464" s="495" t="str">
        <f>IFERROR(__xludf.DUMMYFUNCTION("""COMPUTED_VALUE"""),"Sergio Flores Garrido ")</f>
        <v>Sergio Flores Garrido </v>
      </c>
      <c r="M464" s="495" t="str">
        <f>IFERROR(__xludf.DUMMYFUNCTION("""COMPUTED_VALUE"""),"12.928.980-5")</f>
        <v>12.928.980-5</v>
      </c>
      <c r="N464" s="495" t="str">
        <f>IFERROR(__xludf.DUMMYFUNCTION("""COMPUTED_VALUE"""),"Carol Huenchual")</f>
        <v>Carol Huenchual</v>
      </c>
      <c r="O464" s="495" t="str">
        <f>IFERROR(__xludf.DUMMYFUNCTION("""COMPUTED_VALUE"""),"Mantenciones")</f>
        <v>Mantenciones</v>
      </c>
      <c r="P464" s="495" t="str">
        <f>IFERROR(__xludf.DUMMYFUNCTION("""COMPUTED_VALUE"""),"Cerramientos Verticales")</f>
        <v>Cerramientos Verticales</v>
      </c>
      <c r="Q464" s="495"/>
      <c r="R464" s="495"/>
      <c r="S464" s="495"/>
      <c r="T464" s="495"/>
      <c r="U464" s="495"/>
      <c r="V464" s="495" t="str">
        <f>IFERROR(__xludf.DUMMYFUNCTION("""COMPUTED_VALUE"""),"Reparación y ajuste puerta con termopanel ,salida a terraza.")</f>
        <v>Reparación y ajuste puerta con termopanel ,salida a terraza.</v>
      </c>
      <c r="W464" s="495" t="str">
        <f>IFERROR(__xludf.DUMMYFUNCTION("""COMPUTED_VALUE"""),"No requiere seguimiento.")</f>
        <v>No requiere seguimiento.</v>
      </c>
      <c r="X464" s="499" t="str">
        <f>IFERROR(__xludf.DUMMYFUNCTION("""COMPUTED_VALUE"""),"https://drive.google.com/open?id=1V72PABx2DSSLYD5lHoiwJeGcnyLE8oHb")</f>
        <v>https://drive.google.com/open?id=1V72PABx2DSSLYD5lHoiwJeGcnyLE8oHb</v>
      </c>
      <c r="Y464" s="495" t="str">
        <f>IFERROR(__xludf.DUMMYFUNCTION("""COMPUTED_VALUE"""),"sergiofloresgarrido19731217@gmail.com")</f>
        <v>sergiofloresgarrido19731217@gmail.com</v>
      </c>
      <c r="Z464" s="495"/>
      <c r="AA464" s="495"/>
      <c r="AB464" s="495"/>
      <c r="AC464" s="495"/>
      <c r="AD464" s="495"/>
    </row>
    <row r="465">
      <c r="A465" s="495" t="str">
        <f t="shared" si="1"/>
        <v>RC-163</v>
      </c>
      <c r="B465" s="497">
        <f>IFERROR(__xludf.DUMMYFUNCTION("""COMPUTED_VALUE"""),46013.655616331016)</f>
        <v>46013.65562</v>
      </c>
      <c r="C465" s="495" t="str">
        <f>IFERROR(__xludf.DUMMYFUNCTION("""COMPUTED_VALUE"""),"")</f>
        <v/>
      </c>
      <c r="D465" s="495" t="str">
        <f>IFERROR(__xludf.DUMMYFUNCTION("""COMPUTED_VALUE"""),"Arturo Meza Vega")</f>
        <v>Arturo Meza Vega</v>
      </c>
      <c r="E465" s="495"/>
      <c r="F465" s="496" t="str">
        <f>IFERROR(__xludf.DUMMYFUNCTION("""COMPUTED_VALUE"""),"12319 - 2025")</f>
        <v>12319 - 2025</v>
      </c>
      <c r="G465" s="495"/>
      <c r="H465" s="495"/>
      <c r="I465" s="495"/>
      <c r="J465" s="495" t="str">
        <f>IFERROR(__xludf.DUMMYFUNCTION("""COMPUTED_VALUE"""),"Campus San Francisco - CSF")</f>
        <v>Campus San Francisco - CSF</v>
      </c>
      <c r="K465" s="495" t="str">
        <f>IFERROR(__xludf.DUMMYFUNCTION("""COMPUTED_VALUE"""),"Sin número")</f>
        <v>Sin número</v>
      </c>
      <c r="L465" s="495" t="str">
        <f>IFERROR(__xludf.DUMMYFUNCTION("""COMPUTED_VALUE"""),"SERVICIOS DE INGENIERÍA VOLTIUS LTDA")</f>
        <v>SERVICIOS DE INGENIERÍA VOLTIUS LTDA</v>
      </c>
      <c r="M465" s="495" t="str">
        <f>IFERROR(__xludf.DUMMYFUNCTION("""COMPUTED_VALUE"""),"77.193.583-4")</f>
        <v>77.193.583-4</v>
      </c>
      <c r="N465" s="495" t="str">
        <f>IFERROR(__xludf.DUMMYFUNCTION("""COMPUTED_VALUE"""),"José Espinoza Aguilera Encargado de proyectos")</f>
        <v>José Espinoza Aguilera Encargado de proyectos</v>
      </c>
      <c r="O465" s="495" t="str">
        <f>IFERROR(__xludf.DUMMYFUNCTION("""COMPUTED_VALUE"""),"Mantenciones")</f>
        <v>Mantenciones</v>
      </c>
      <c r="P465" s="495" t="str">
        <f>IFERROR(__xludf.DUMMYFUNCTION("""COMPUTED_VALUE"""),"Instalaciones Eléctricas")</f>
        <v>Instalaciones Eléctricas</v>
      </c>
      <c r="Q465" s="495"/>
      <c r="R465" s="495"/>
      <c r="S465" s="495"/>
      <c r="T465" s="495"/>
      <c r="U465" s="495"/>
      <c r="V465" s="495" t="str">
        <f>IFERROR(__xludf.DUMMYFUNCTION("""COMPUTED_VALUE"""),"Mantenimiento de tableros eléctricos ")</f>
        <v>Mantenimiento de tableros eléctricos </v>
      </c>
      <c r="W465" s="495" t="str">
        <f>IFERROR(__xludf.DUMMYFUNCTION("""COMPUTED_VALUE"""),"Adjuntas en informes")</f>
        <v>Adjuntas en informes</v>
      </c>
      <c r="X465" s="499" t="str">
        <f>IFERROR(__xludf.DUMMYFUNCTION("""COMPUTED_VALUE"""),"https://drive.google.com/open?id=18MKJafgbQ86rQEWiJfgziyuim9v29P-7")</f>
        <v>https://drive.google.com/open?id=18MKJafgbQ86rQEWiJfgziyuim9v29P-7</v>
      </c>
      <c r="Y465" s="495" t="str">
        <f>IFERROR(__xludf.DUMMYFUNCTION("""COMPUTED_VALUE"""),"espinoza.aguilera01@gmail.com")</f>
        <v>espinoza.aguilera01@gmail.com</v>
      </c>
      <c r="Z465" s="495"/>
      <c r="AA465" s="495"/>
      <c r="AB465" s="495"/>
      <c r="AC465" s="495"/>
      <c r="AD465" s="495" t="str">
        <f>IFERROR(__xludf.DUMMYFUNCTION("""COMPUTED_VALUE"""),"RC-163")</f>
        <v>RC-163</v>
      </c>
    </row>
    <row r="466">
      <c r="A466" s="495" t="str">
        <f t="shared" si="1"/>
        <v>RC-144_26</v>
      </c>
      <c r="B466" s="497">
        <f>IFERROR(__xludf.DUMMYFUNCTION("""COMPUTED_VALUE"""),46146.80161094907)</f>
        <v>46146.80161</v>
      </c>
      <c r="C466" s="495" t="str">
        <f>IFERROR(__xludf.DUMMYFUNCTION("""COMPUTED_VALUE"""),"")</f>
        <v/>
      </c>
      <c r="D466" s="495" t="str">
        <f>IFERROR(__xludf.DUMMYFUNCTION("""COMPUTED_VALUE"""),"David Silva Roco")</f>
        <v>David Silva Roco</v>
      </c>
      <c r="E466" s="495"/>
      <c r="F466" s="496" t="str">
        <f>IFERROR(__xludf.DUMMYFUNCTION("""COMPUTED_VALUE"""),"3119-226")</f>
        <v>3119-226</v>
      </c>
      <c r="G466" s="495"/>
      <c r="H466" s="495"/>
      <c r="I466" s="495"/>
      <c r="J466" s="495" t="str">
        <f>IFERROR(__xludf.DUMMYFUNCTION("""COMPUTED_VALUE"""),"Campus San Francisco - CSF")</f>
        <v>Campus San Francisco - CSF</v>
      </c>
      <c r="K466" s="495">
        <f>IFERROR(__xludf.DUMMYFUNCTION("""COMPUTED_VALUE"""),14.0)</f>
        <v>14</v>
      </c>
      <c r="L466" s="495" t="str">
        <f>IFERROR(__xludf.DUMMYFUNCTION("""COMPUTED_VALUE"""),"CONSTRUCCIONES AVANTI LIMITADA")</f>
        <v>CONSTRUCCIONES AVANTI LIMITADA</v>
      </c>
      <c r="M466" s="495" t="str">
        <f>IFERROR(__xludf.DUMMYFUNCTION("""COMPUTED_VALUE"""),"77.790.223-7")</f>
        <v>77.790.223-7</v>
      </c>
      <c r="N466" s="495" t="str">
        <f>IFERROR(__xludf.DUMMYFUNCTION("""COMPUTED_VALUE"""),"RODRIGO RIOS SALAZAR - INGENIERO CIVIL")</f>
        <v>RODRIGO RIOS SALAZAR - INGENIERO CIVIL</v>
      </c>
      <c r="O466" s="495" t="str">
        <f>IFERROR(__xludf.DUMMYFUNCTION("""COMPUTED_VALUE"""),"Obras y Especialidades")</f>
        <v>Obras y Especialidades</v>
      </c>
      <c r="P466" s="495"/>
      <c r="Q466" s="495"/>
      <c r="R466" s="495" t="str">
        <f>IFERROR(__xludf.DUMMYFUNCTION("""COMPUTED_VALUE"""),"Exteriores")</f>
        <v>Exteriores</v>
      </c>
      <c r="S466" s="495" t="str">
        <f>IFERROR(__xludf.DUMMYFUNCTION("""COMPUTED_VALUE"""),"Recepción de Obra - RC")</f>
        <v>Recepción de Obra - RC</v>
      </c>
      <c r="T466" s="495"/>
      <c r="U466" s="495"/>
      <c r="V466" s="495" t="str">
        <f>IFERROR(__xludf.DUMMYFUNCTION("""COMPUTED_VALUE"""),"INSTALACION REVESTIMIENTO C/ALUMINIO COMPUESTO ALUKOMP NEGRO EN VIGAS Y HOJALATERIA ZINC ALUM SOBRE TAPACANTO")</f>
        <v>INSTALACION REVESTIMIENTO C/ALUMINIO COMPUESTO ALUKOMP NEGRO EN VIGAS Y HOJALATERIA ZINC ALUM SOBRE TAPACANTO</v>
      </c>
      <c r="W466" s="495"/>
      <c r="X466" s="495" t="str">
        <f>IFERROR(__xludf.DUMMYFUNCTION("""COMPUTED_VALUE"""),"https://drive.google.com/open?id=1SznXRHZHPD6LVmx6BCP-V7cBzStgtvEG, https://drive.google.com/open?id=1REahBDNv3FGIAafBT0VTd4qvCldzaXO1, https://drive.google.com/open?id=1mHcfVsx05OzclIJKXnqSeWNMrh8TtzBF")</f>
        <v>https://drive.google.com/open?id=1SznXRHZHPD6LVmx6BCP-V7cBzStgtvEG, https://drive.google.com/open?id=1REahBDNv3FGIAafBT0VTd4qvCldzaXO1, https://drive.google.com/open?id=1mHcfVsx05OzclIJKXnqSeWNMrh8TtzBF</v>
      </c>
      <c r="Y466" s="495" t="str">
        <f>IFERROR(__xludf.DUMMYFUNCTION("""COMPUTED_VALUE"""),"rrios.avanti@gmail.com")</f>
        <v>rrios.avanti@gmail.com</v>
      </c>
      <c r="Z466" s="498">
        <f>IFERROR(__xludf.DUMMYFUNCTION("""COMPUTED_VALUE"""),8504097.0)</f>
        <v>8504097</v>
      </c>
      <c r="AA466" s="495"/>
      <c r="AB466" s="495"/>
      <c r="AC466" s="495"/>
      <c r="AD466" s="495" t="str">
        <f>IFERROR(__xludf.DUMMYFUNCTION("""COMPUTED_VALUE"""),"RC-144_26")</f>
        <v>RC-144_26</v>
      </c>
    </row>
    <row r="467">
      <c r="A467" s="495" t="str">
        <f t="shared" si="1"/>
        <v>RC-162</v>
      </c>
      <c r="B467" s="497">
        <f>IFERROR(__xludf.DUMMYFUNCTION("""COMPUTED_VALUE"""),46013.53608601852)</f>
        <v>46013.53609</v>
      </c>
      <c r="C467" s="495" t="str">
        <f>IFERROR(__xludf.DUMMYFUNCTION("""COMPUTED_VALUE"""),"")</f>
        <v/>
      </c>
      <c r="D467" s="495" t="str">
        <f>IFERROR(__xludf.DUMMYFUNCTION("""COMPUTED_VALUE"""),"Felipe Anselme Grandón")</f>
        <v>Felipe Anselme Grandón</v>
      </c>
      <c r="E467" s="495"/>
      <c r="F467" s="496" t="str">
        <f>IFERROR(__xludf.DUMMYFUNCTION("""COMPUTED_VALUE"""),"12200-2025")</f>
        <v>12200-2025</v>
      </c>
      <c r="G467" s="495"/>
      <c r="H467" s="495"/>
      <c r="I467" s="495"/>
      <c r="J467" s="495" t="str">
        <f>IFERROR(__xludf.DUMMYFUNCTION("""COMPUTED_VALUE"""),"Campus San Juan Pablo II - CJP")</f>
        <v>Campus San Juan Pablo II - CJP</v>
      </c>
      <c r="K467" s="495" t="str">
        <f>IFERROR(__xludf.DUMMYFUNCTION("""COMPUTED_VALUE"""),"Sin número")</f>
        <v>Sin número</v>
      </c>
      <c r="L467" s="495" t="str">
        <f>IFERROR(__xludf.DUMMYFUNCTION("""COMPUTED_VALUE"""),"MR Electroclima SPA")</f>
        <v>MR Electroclima SPA</v>
      </c>
      <c r="M467" s="495" t="str">
        <f>IFERROR(__xludf.DUMMYFUNCTION("""COMPUTED_VALUE"""),"77.773.634-5")</f>
        <v>77.773.634-5</v>
      </c>
      <c r="N467" s="495" t="str">
        <f>IFERROR(__xludf.DUMMYFUNCTION("""COMPUTED_VALUE"""),"Patricio Manriquez Riffo")</f>
        <v>Patricio Manriquez Riffo</v>
      </c>
      <c r="O467" s="495" t="str">
        <f>IFERROR(__xludf.DUMMYFUNCTION("""COMPUTED_VALUE"""),"Mantenciones")</f>
        <v>Mantenciones</v>
      </c>
      <c r="P467" s="495" t="str">
        <f>IFERROR(__xludf.DUMMYFUNCTION("""COMPUTED_VALUE"""),"Requerimientos Emergentes e Imprevistos")</f>
        <v>Requerimientos Emergentes e Imprevistos</v>
      </c>
      <c r="Q467" s="495"/>
      <c r="R467" s="495"/>
      <c r="S467" s="495"/>
      <c r="T467" s="495"/>
      <c r="U467" s="495"/>
      <c r="V467" s="495" t="str">
        <f>IFERROR(__xludf.DUMMYFUNCTION("""COMPUTED_VALUE"""),"Cambio Sonda calefactora Desagüe camara congelados casino Juan Pablo segundo.")</f>
        <v>Cambio Sonda calefactora Desagüe camara congelados casino Juan Pablo segundo.</v>
      </c>
      <c r="W467" s="495" t="str">
        <f>IFERROR(__xludf.DUMMYFUNCTION("""COMPUTED_VALUE"""),"Solicitud generada de emergencia.")</f>
        <v>Solicitud generada de emergencia.</v>
      </c>
      <c r="X467" s="495" t="str">
        <f>IFERROR(__xludf.DUMMYFUNCTION("""COMPUTED_VALUE"""),"https://drive.google.com/open?id=11fLQt4h176oUs1PBWkvHnSariovDE_E0, https://drive.google.com/open?id=1gktwQX1oTiLzELfWe5Vvcj3RJG8MKPdI, https://drive.google.com/open?id=15QDQu8pSC7Beej0T3aBVSTYnAq4csxiM, https://drive.google.com/open?id=1N5AhBeTrPBFJSZpur"&amp;"0nUg4W_j-Lnv-SK, https://drive.google.com/open?id=1V4ushmBRK0e1NuRYfzL5yP7LejnOevaq")</f>
        <v>https://drive.google.com/open?id=11fLQt4h176oUs1PBWkvHnSariovDE_E0, https://drive.google.com/open?id=1gktwQX1oTiLzELfWe5Vvcj3RJG8MKPdI, https://drive.google.com/open?id=15QDQu8pSC7Beej0T3aBVSTYnAq4csxiM, https://drive.google.com/open?id=1N5AhBeTrPBFJSZpur0nUg4W_j-Lnv-SK, https://drive.google.com/open?id=1V4ushmBRK0e1NuRYfzL5yP7LejnOevaq</v>
      </c>
      <c r="Y467" s="495" t="str">
        <f>IFERROR(__xludf.DUMMYFUNCTION("""COMPUTED_VALUE"""),"patriciomanriquezr@gmail.com")</f>
        <v>patriciomanriquezr@gmail.com</v>
      </c>
      <c r="Z467" s="495"/>
      <c r="AA467" s="495"/>
      <c r="AB467" s="495"/>
      <c r="AC467" s="495"/>
      <c r="AD467" s="495" t="str">
        <f>IFERROR(__xludf.DUMMYFUNCTION("""COMPUTED_VALUE"""),"RC-162")</f>
        <v>RC-162</v>
      </c>
    </row>
    <row r="468">
      <c r="A468" s="495" t="str">
        <f t="shared" si="1"/>
        <v>RC-161</v>
      </c>
      <c r="B468" s="497">
        <f>IFERROR(__xludf.DUMMYFUNCTION("""COMPUTED_VALUE"""),46010.622829375)</f>
        <v>46010.62283</v>
      </c>
      <c r="C468" s="495" t="str">
        <f>IFERROR(__xludf.DUMMYFUNCTION("""COMPUTED_VALUE"""),"")</f>
        <v/>
      </c>
      <c r="D468" s="495" t="str">
        <f>IFERROR(__xludf.DUMMYFUNCTION("""COMPUTED_VALUE"""),"Mauricio Zurita Aldea")</f>
        <v>Mauricio Zurita Aldea</v>
      </c>
      <c r="E468" s="495"/>
      <c r="F468" s="496" t="str">
        <f>IFERROR(__xludf.DUMMYFUNCTION("""COMPUTED_VALUE"""),"12084-2025")</f>
        <v>12084-2025</v>
      </c>
      <c r="G468" s="495"/>
      <c r="H468" s="495"/>
      <c r="I468" s="495"/>
      <c r="J468" s="495" t="str">
        <f>IFERROR(__xludf.DUMMYFUNCTION("""COMPUTED_VALUE"""),"Campus Monseñor Alejandro Menchaca Lira - CML")</f>
        <v>Campus Monseñor Alejandro Menchaca Lira - CML</v>
      </c>
      <c r="K468" s="495" t="str">
        <f>IFERROR(__xludf.DUMMYFUNCTION("""COMPUTED_VALUE"""),"Exterior")</f>
        <v>Exterior</v>
      </c>
      <c r="L468" s="495" t="str">
        <f>IFERROR(__xludf.DUMMYFUNCTION("""COMPUTED_VALUE"""),"GATICAR SPA")</f>
        <v>GATICAR SPA</v>
      </c>
      <c r="M468" s="495" t="str">
        <f>IFERROR(__xludf.DUMMYFUNCTION("""COMPUTED_VALUE"""),"77.578.487-3")</f>
        <v>77.578.487-3</v>
      </c>
      <c r="N468" s="495" t="str">
        <f>IFERROR(__xludf.DUMMYFUNCTION("""COMPUTED_VALUE"""),"HECTOR GATICA")</f>
        <v>HECTOR GATICA</v>
      </c>
      <c r="O468" s="495" t="str">
        <f>IFERROR(__xludf.DUMMYFUNCTION("""COMPUTED_VALUE"""),"Mantenciones")</f>
        <v>Mantenciones</v>
      </c>
      <c r="P468" s="495" t="str">
        <f>IFERROR(__xludf.DUMMYFUNCTION("""COMPUTED_VALUE"""),"Requerimientos Emergentes e Imprevistos")</f>
        <v>Requerimientos Emergentes e Imprevistos</v>
      </c>
      <c r="Q468" s="495"/>
      <c r="R468" s="495"/>
      <c r="S468" s="495"/>
      <c r="T468" s="495"/>
      <c r="U468" s="495"/>
      <c r="V468" s="495" t="str">
        <f>IFERROR(__xludf.DUMMYFUNCTION("""COMPUTED_VALUE"""),"MANTENIMIENTO PREVENTIVO GRUPO ELECTROGENO CASA CENTRAL")</f>
        <v>MANTENIMIENTO PREVENTIVO GRUPO ELECTROGENO CASA CENTRAL</v>
      </c>
      <c r="W468" s="495"/>
      <c r="X468" s="495" t="str">
        <f>IFERROR(__xludf.DUMMYFUNCTION("""COMPUTED_VALUE"""),"https://drive.google.com/open?id=1d86bxNCEjH7hdKBil47iXcu-KkvVBWc5, https://drive.google.com/open?id=1uluQgzO9shSlXiX775CM2yMPUacDoDAo, https://drive.google.com/open?id=1j9z3pOSzL7j3aSg7Kk6_NF8vrN4tUe7I, https://drive.google.com/open?id=1_3BdlZMyDjT9kh6ob"&amp;"Uj0O0EnudXfgZMx")</f>
        <v>https://drive.google.com/open?id=1d86bxNCEjH7hdKBil47iXcu-KkvVBWc5, https://drive.google.com/open?id=1uluQgzO9shSlXiX775CM2yMPUacDoDAo, https://drive.google.com/open?id=1j9z3pOSzL7j3aSg7Kk6_NF8vrN4tUe7I, https://drive.google.com/open?id=1_3BdlZMyDjT9kh6obUj0O0EnudXfgZMx</v>
      </c>
      <c r="Y468" s="495" t="str">
        <f>IFERROR(__xludf.DUMMYFUNCTION("""COMPUTED_VALUE"""),"SERVICIOGATICAR@GMAIL.COM")</f>
        <v>SERVICIOGATICAR@GMAIL.COM</v>
      </c>
      <c r="Z468" s="495"/>
      <c r="AA468" s="495"/>
      <c r="AB468" s="495"/>
      <c r="AC468" s="495"/>
      <c r="AD468" s="495" t="str">
        <f>IFERROR(__xludf.DUMMYFUNCTION("""COMPUTED_VALUE"""),"RC-161")</f>
        <v>RC-161</v>
      </c>
    </row>
    <row r="469">
      <c r="A469" s="495" t="str">
        <f t="shared" si="1"/>
        <v>RC-147_26</v>
      </c>
      <c r="B469" s="497">
        <f>IFERROR(__xludf.DUMMYFUNCTION("""COMPUTED_VALUE"""),46147.690516793984)</f>
        <v>46147.69052</v>
      </c>
      <c r="C469" s="495" t="str">
        <f>IFERROR(__xludf.DUMMYFUNCTION("""COMPUTED_VALUE"""),"")</f>
        <v/>
      </c>
      <c r="D469" s="495" t="str">
        <f>IFERROR(__xludf.DUMMYFUNCTION("""COMPUTED_VALUE"""),"Arturo Meza Vega")</f>
        <v>Arturo Meza Vega</v>
      </c>
      <c r="E469" s="495"/>
      <c r="F469" s="496" t="str">
        <f>IFERROR(__xludf.DUMMYFUNCTION("""COMPUTED_VALUE"""),"12319 2025")</f>
        <v>12319 2025</v>
      </c>
      <c r="G469" s="495"/>
      <c r="H469" s="495"/>
      <c r="I469" s="495"/>
      <c r="J469" s="495" t="str">
        <f>IFERROR(__xludf.DUMMYFUNCTION("""COMPUTED_VALUE"""),"Campus San Juan Pablo II - CJP")</f>
        <v>Campus San Juan Pablo II - CJP</v>
      </c>
      <c r="K469" s="495" t="str">
        <f>IFERROR(__xludf.DUMMYFUNCTION("""COMPUTED_VALUE"""),"07")</f>
        <v>07</v>
      </c>
      <c r="L469" s="495" t="str">
        <f>IFERROR(__xludf.DUMMYFUNCTION("""COMPUTED_VALUE"""),"Voltius Ltda")</f>
        <v>Voltius Ltda</v>
      </c>
      <c r="M469" s="495" t="str">
        <f>IFERROR(__xludf.DUMMYFUNCTION("""COMPUTED_VALUE"""),"77.193.583-4")</f>
        <v>77.193.583-4</v>
      </c>
      <c r="N469" s="495" t="str">
        <f>IFERROR(__xludf.DUMMYFUNCTION("""COMPUTED_VALUE"""),"José Espinoza Jefe de proyectos")</f>
        <v>José Espinoza Jefe de proyectos</v>
      </c>
      <c r="O469" s="495" t="str">
        <f>IFERROR(__xludf.DUMMYFUNCTION("""COMPUTED_VALUE"""),"Obras y Especialidades")</f>
        <v>Obras y Especialidades</v>
      </c>
      <c r="P469" s="495"/>
      <c r="Q469" s="495"/>
      <c r="R469" s="495" t="str">
        <f>IFERROR(__xludf.DUMMYFUNCTION("""COMPUTED_VALUE"""),"Especialidades")</f>
        <v>Especialidades</v>
      </c>
      <c r="S469" s="495" t="str">
        <f>IFERROR(__xludf.DUMMYFUNCTION("""COMPUTED_VALUE"""),"Estado de Pago - EP")</f>
        <v>Estado de Pago - EP</v>
      </c>
      <c r="T469" s="495">
        <f>IFERROR(__xludf.DUMMYFUNCTION("""COMPUTED_VALUE"""),3.0)</f>
        <v>3</v>
      </c>
      <c r="U469" s="498">
        <f>IFERROR(__xludf.DUMMYFUNCTION("""COMPUTED_VALUE"""),1677900.0)</f>
        <v>1677900</v>
      </c>
      <c r="V469" s="495" t="str">
        <f>IFERROR(__xludf.DUMMYFUNCTION("""COMPUTED_VALUE"""),"Mantención de tableros eléctricos")</f>
        <v>Mantención de tableros eléctricos</v>
      </c>
      <c r="W469" s="495"/>
      <c r="X469" s="499" t="str">
        <f>IFERROR(__xludf.DUMMYFUNCTION("""COMPUTED_VALUE"""),"https://drive.google.com/open?id=1QXfMUaZklC4Yc08CPxhpoX-cAhCVZIbQ")</f>
        <v>https://drive.google.com/open?id=1QXfMUaZklC4Yc08CPxhpoX-cAhCVZIbQ</v>
      </c>
      <c r="Y469" s="495" t="str">
        <f>IFERROR(__xludf.DUMMYFUNCTION("""COMPUTED_VALUE"""),"espinoza.aguilera01@gmail.com")</f>
        <v>espinoza.aguilera01@gmail.com</v>
      </c>
      <c r="Z469" s="498">
        <f>IFERROR(__xludf.DUMMYFUNCTION("""COMPUTED_VALUE"""),1677900.0)</f>
        <v>1677900</v>
      </c>
      <c r="AA469" s="495"/>
      <c r="AB469" s="495"/>
      <c r="AC469" s="495"/>
      <c r="AD469" s="495" t="str">
        <f>IFERROR(__xludf.DUMMYFUNCTION("""COMPUTED_VALUE"""),"RC-147_26")</f>
        <v>RC-147_26</v>
      </c>
    </row>
    <row r="470">
      <c r="A470" s="495" t="str">
        <f t="shared" si="1"/>
        <v>RC-160</v>
      </c>
      <c r="B470" s="497">
        <f>IFERROR(__xludf.DUMMYFUNCTION("""COMPUTED_VALUE"""),46010.6187015162)</f>
        <v>46010.6187</v>
      </c>
      <c r="C470" s="495" t="str">
        <f>IFERROR(__xludf.DUMMYFUNCTION("""COMPUTED_VALUE"""),"")</f>
        <v/>
      </c>
      <c r="D470" s="495" t="str">
        <f>IFERROR(__xludf.DUMMYFUNCTION("""COMPUTED_VALUE"""),"Mauricio Zurita Aldea")</f>
        <v>Mauricio Zurita Aldea</v>
      </c>
      <c r="E470" s="495"/>
      <c r="F470" s="496" t="str">
        <f>IFERROR(__xludf.DUMMYFUNCTION("""COMPUTED_VALUE"""),"12060-2025")</f>
        <v>12060-2025</v>
      </c>
      <c r="G470" s="495"/>
      <c r="H470" s="495"/>
      <c r="I470" s="495"/>
      <c r="J470" s="495" t="str">
        <f>IFERROR(__xludf.DUMMYFUNCTION("""COMPUTED_VALUE"""),"Campus Pillanlelbun - CPL")</f>
        <v>Campus Pillanlelbun - CPL</v>
      </c>
      <c r="K470" s="495" t="str">
        <f>IFERROR(__xludf.DUMMYFUNCTION("""COMPUTED_VALUE"""),"Exterior")</f>
        <v>Exterior</v>
      </c>
      <c r="L470" s="495" t="str">
        <f>IFERROR(__xludf.DUMMYFUNCTION("""COMPUTED_VALUE"""),"GATICAR SPA")</f>
        <v>GATICAR SPA</v>
      </c>
      <c r="M470" s="495" t="str">
        <f>IFERROR(__xludf.DUMMYFUNCTION("""COMPUTED_VALUE"""),"77.578.487-3")</f>
        <v>77.578.487-3</v>
      </c>
      <c r="N470" s="495" t="str">
        <f>IFERROR(__xludf.DUMMYFUNCTION("""COMPUTED_VALUE"""),"HECTOR GATICA")</f>
        <v>HECTOR GATICA</v>
      </c>
      <c r="O470" s="495" t="str">
        <f>IFERROR(__xludf.DUMMYFUNCTION("""COMPUTED_VALUE"""),"Mantenciones")</f>
        <v>Mantenciones</v>
      </c>
      <c r="P470" s="495" t="str">
        <f>IFERROR(__xludf.DUMMYFUNCTION("""COMPUTED_VALUE"""),"Requerimientos Emergentes e Imprevistos")</f>
        <v>Requerimientos Emergentes e Imprevistos</v>
      </c>
      <c r="Q470" s="495"/>
      <c r="R470" s="495"/>
      <c r="S470" s="495"/>
      <c r="T470" s="495"/>
      <c r="U470" s="495"/>
      <c r="V470" s="495" t="str">
        <f>IFERROR(__xludf.DUMMYFUNCTION("""COMPUTED_VALUE"""),"MANTENCION EQUIPO ELECTROGENO PREDIO PILLANLELBUN")</f>
        <v>MANTENCION EQUIPO ELECTROGENO PREDIO PILLANLELBUN</v>
      </c>
      <c r="W470" s="495"/>
      <c r="X470" s="495" t="str">
        <f>IFERROR(__xludf.DUMMYFUNCTION("""COMPUTED_VALUE"""),"https://drive.google.com/open?id=1OyuRv9oMjIXR2HnS3U97_fDL6kHrPMlE, https://drive.google.com/open?id=1wosKbUpnWJNcO53yidE4pdD7fKVavBxA, https://drive.google.com/open?id=1qCGKip2PhC8pMeZqWgV2HJ0lf0vFS7zP, https://drive.google.com/open?id=1VxI-eyU8LTaw5ZzNJ"&amp;"Kh27wg7wlo_AjvA")</f>
        <v>https://drive.google.com/open?id=1OyuRv9oMjIXR2HnS3U97_fDL6kHrPMlE, https://drive.google.com/open?id=1wosKbUpnWJNcO53yidE4pdD7fKVavBxA, https://drive.google.com/open?id=1qCGKip2PhC8pMeZqWgV2HJ0lf0vFS7zP, https://drive.google.com/open?id=1VxI-eyU8LTaw5ZzNJKh27wg7wlo_AjvA</v>
      </c>
      <c r="Y470" s="495" t="str">
        <f>IFERROR(__xludf.DUMMYFUNCTION("""COMPUTED_VALUE"""),"SERVICIOGATICAR@GMAIL.COM")</f>
        <v>SERVICIOGATICAR@GMAIL.COM</v>
      </c>
      <c r="Z470" s="495"/>
      <c r="AA470" s="495"/>
      <c r="AB470" s="495"/>
      <c r="AC470" s="495"/>
      <c r="AD470" s="495" t="str">
        <f>IFERROR(__xludf.DUMMYFUNCTION("""COMPUTED_VALUE"""),"RC-160")</f>
        <v>RC-160</v>
      </c>
    </row>
    <row r="471">
      <c r="A471" s="495" t="str">
        <f t="shared" si="1"/>
        <v>RC-159</v>
      </c>
      <c r="B471" s="497">
        <f>IFERROR(__xludf.DUMMYFUNCTION("""COMPUTED_VALUE"""),46010.6144546875)</f>
        <v>46010.61445</v>
      </c>
      <c r="C471" s="495" t="str">
        <f>IFERROR(__xludf.DUMMYFUNCTION("""COMPUTED_VALUE"""),"")</f>
        <v/>
      </c>
      <c r="D471" s="495" t="str">
        <f>IFERROR(__xludf.DUMMYFUNCTION("""COMPUTED_VALUE"""),"Mauricio Zurita Aldea")</f>
        <v>Mauricio Zurita Aldea</v>
      </c>
      <c r="E471" s="495"/>
      <c r="F471" s="496" t="str">
        <f>IFERROR(__xludf.DUMMYFUNCTION("""COMPUTED_VALUE"""),"12062-2025")</f>
        <v>12062-2025</v>
      </c>
      <c r="G471" s="495"/>
      <c r="H471" s="495"/>
      <c r="I471" s="495"/>
      <c r="J471" s="495" t="str">
        <f>IFERROR(__xludf.DUMMYFUNCTION("""COMPUTED_VALUE"""),"Campus Pillanlelbun - CPL")</f>
        <v>Campus Pillanlelbun - CPL</v>
      </c>
      <c r="K471" s="495" t="str">
        <f>IFERROR(__xludf.DUMMYFUNCTION("""COMPUTED_VALUE"""),"Exterior")</f>
        <v>Exterior</v>
      </c>
      <c r="L471" s="495" t="str">
        <f>IFERROR(__xludf.DUMMYFUNCTION("""COMPUTED_VALUE"""),"GATICAR SPA")</f>
        <v>GATICAR SPA</v>
      </c>
      <c r="M471" s="495" t="str">
        <f>IFERROR(__xludf.DUMMYFUNCTION("""COMPUTED_VALUE"""),"77.578.487-3")</f>
        <v>77.578.487-3</v>
      </c>
      <c r="N471" s="495" t="str">
        <f>IFERROR(__xludf.DUMMYFUNCTION("""COMPUTED_VALUE"""),"HECTOR GATICA")</f>
        <v>HECTOR GATICA</v>
      </c>
      <c r="O471" s="495" t="str">
        <f>IFERROR(__xludf.DUMMYFUNCTION("""COMPUTED_VALUE"""),"Mantenciones")</f>
        <v>Mantenciones</v>
      </c>
      <c r="P471" s="495" t="str">
        <f>IFERROR(__xludf.DUMMYFUNCTION("""COMPUTED_VALUE"""),"Requerimientos Emergentes e Imprevistos")</f>
        <v>Requerimientos Emergentes e Imprevistos</v>
      </c>
      <c r="Q471" s="495"/>
      <c r="R471" s="495"/>
      <c r="S471" s="495"/>
      <c r="T471" s="495"/>
      <c r="U471" s="495"/>
      <c r="V471" s="495" t="str">
        <f>IFERROR(__xludf.DUMMYFUNCTION("""COMPUTED_VALUE"""),"MANTENCION EQUIPO ELECTROGENO PREVIO PILLANLELBUN")</f>
        <v>MANTENCION EQUIPO ELECTROGENO PREVIO PILLANLELBUN</v>
      </c>
      <c r="W471" s="495"/>
      <c r="X471" s="495" t="str">
        <f>IFERROR(__xludf.DUMMYFUNCTION("""COMPUTED_VALUE"""),"https://drive.google.com/open?id=1kFGTE1pkCBnmtUaXNUSzEEzc0s1aPsoJ, https://drive.google.com/open?id=1sRNL-nHdW2klJCkJHa_qazfEP3YSYopC, https://drive.google.com/open?id=11Ghkk_2dAdcdmWX7QdsW2tXtnMVImFjP, https://drive.google.com/open?id=1nhRWvUIQl8A1JWBEi"&amp;"e0stY9NDU_AGhmZ")</f>
        <v>https://drive.google.com/open?id=1kFGTE1pkCBnmtUaXNUSzEEzc0s1aPsoJ, https://drive.google.com/open?id=1sRNL-nHdW2klJCkJHa_qazfEP3YSYopC, https://drive.google.com/open?id=11Ghkk_2dAdcdmWX7QdsW2tXtnMVImFjP, https://drive.google.com/open?id=1nhRWvUIQl8A1JWBEie0stY9NDU_AGhmZ</v>
      </c>
      <c r="Y471" s="495" t="str">
        <f>IFERROR(__xludf.DUMMYFUNCTION("""COMPUTED_VALUE"""),"SERVICIOGATICAR@GMAIL.COM")</f>
        <v>SERVICIOGATICAR@GMAIL.COM</v>
      </c>
      <c r="Z471" s="495"/>
      <c r="AA471" s="495"/>
      <c r="AB471" s="495"/>
      <c r="AC471" s="495"/>
      <c r="AD471" s="495" t="str">
        <f>IFERROR(__xludf.DUMMYFUNCTION("""COMPUTED_VALUE"""),"RC-159")</f>
        <v>RC-159</v>
      </c>
    </row>
    <row r="472">
      <c r="A472" s="495" t="str">
        <f t="shared" si="1"/>
        <v>RC-150_26</v>
      </c>
      <c r="B472" s="497">
        <f>IFERROR(__xludf.DUMMYFUNCTION("""COMPUTED_VALUE"""),46148.158245416664)</f>
        <v>46148.15825</v>
      </c>
      <c r="C472" s="495" t="str">
        <f>IFERROR(__xludf.DUMMYFUNCTION("""COMPUTED_VALUE"""),"")</f>
        <v/>
      </c>
      <c r="D472" s="495" t="str">
        <f>IFERROR(__xludf.DUMMYFUNCTION("""COMPUTED_VALUE"""),"Felipe Anselme Grandón")</f>
        <v>Felipe Anselme Grandón</v>
      </c>
      <c r="E472" s="495"/>
      <c r="F472" s="496" t="str">
        <f>IFERROR(__xludf.DUMMYFUNCTION("""COMPUTED_VALUE"""),"12560-2025")</f>
        <v>12560-2025</v>
      </c>
      <c r="G472" s="495"/>
      <c r="H472" s="495"/>
      <c r="I472" s="495"/>
      <c r="J472" s="495" t="str">
        <f>IFERROR(__xludf.DUMMYFUNCTION("""COMPUTED_VALUE"""),"Campus San Francisco - CSF")</f>
        <v>Campus San Francisco - CSF</v>
      </c>
      <c r="K472" s="495">
        <f>IFERROR(__xludf.DUMMYFUNCTION("""COMPUTED_VALUE"""),21.0)</f>
        <v>21</v>
      </c>
      <c r="L472" s="495" t="str">
        <f>IFERROR(__xludf.DUMMYFUNCTION("""COMPUTED_VALUE"""),"Caudal Ingenieria Spa")</f>
        <v>Caudal Ingenieria Spa</v>
      </c>
      <c r="M472" s="495" t="str">
        <f>IFERROR(__xludf.DUMMYFUNCTION("""COMPUTED_VALUE"""),"77.026.949-0")</f>
        <v>77.026.949-0</v>
      </c>
      <c r="N472" s="495" t="str">
        <f>IFERROR(__xludf.DUMMYFUNCTION("""COMPUTED_VALUE"""),"Carlos Ortiz ")</f>
        <v>Carlos Ortiz </v>
      </c>
      <c r="O472" s="495" t="str">
        <f>IFERROR(__xludf.DUMMYFUNCTION("""COMPUTED_VALUE"""),"Obras y Especialidades")</f>
        <v>Obras y Especialidades</v>
      </c>
      <c r="P472" s="495"/>
      <c r="Q472" s="495"/>
      <c r="R472" s="495" t="str">
        <f>IFERROR(__xludf.DUMMYFUNCTION("""COMPUTED_VALUE"""),"Especialidades")</f>
        <v>Especialidades</v>
      </c>
      <c r="S472" s="495" t="str">
        <f>IFERROR(__xludf.DUMMYFUNCTION("""COMPUTED_VALUE"""),"Recepción de Obra - RC")</f>
        <v>Recepción de Obra - RC</v>
      </c>
      <c r="T472" s="495"/>
      <c r="U472" s="495"/>
      <c r="V472" s="495" t="str">
        <f>IFERROR(__xludf.DUMMYFUNCTION("""COMPUTED_VALUE"""),"Regularización Proyecto Sanitario ante Aguas Araucania, Edificio Pabellón Docente.")</f>
        <v>Regularización Proyecto Sanitario ante Aguas Araucania, Edificio Pabellón Docente.</v>
      </c>
      <c r="W472" s="495" t="str">
        <f>IFERROR(__xludf.DUMMYFUNCTION("""COMPUTED_VALUE"""),"Ya aprobado, se debe gestionar y tramitar la recepción para emitir Certificado de Dotación.")</f>
        <v>Ya aprobado, se debe gestionar y tramitar la recepción para emitir Certificado de Dotación.</v>
      </c>
      <c r="X472" s="499" t="str">
        <f>IFERROR(__xludf.DUMMYFUNCTION("""COMPUTED_VALUE"""),"https://drive.google.com/open?id=1W7Lzd5g0ui6xj3yUEqbmaS0PFLFhypwS")</f>
        <v>https://drive.google.com/open?id=1W7Lzd5g0ui6xj3yUEqbmaS0PFLFhypwS</v>
      </c>
      <c r="Y472" s="495" t="str">
        <f>IFERROR(__xludf.DUMMYFUNCTION("""COMPUTED_VALUE"""),"cortiz@caudalspa.cl")</f>
        <v>cortiz@caudalspa.cl</v>
      </c>
      <c r="Z472" s="498">
        <f>IFERROR(__xludf.DUMMYFUNCTION("""COMPUTED_VALUE"""),1880200.0)</f>
        <v>1880200</v>
      </c>
      <c r="AA472" s="495"/>
      <c r="AB472" s="495"/>
      <c r="AC472" s="495"/>
      <c r="AD472" s="495" t="str">
        <f>IFERROR(__xludf.DUMMYFUNCTION("""COMPUTED_VALUE"""),"RC-150_26")</f>
        <v>RC-150_26</v>
      </c>
    </row>
    <row r="473">
      <c r="A473" s="495" t="str">
        <f t="shared" si="1"/>
        <v>RC-158</v>
      </c>
      <c r="B473" s="497">
        <f>IFERROR(__xludf.DUMMYFUNCTION("""COMPUTED_VALUE"""),46010.607289374995)</f>
        <v>46010.60729</v>
      </c>
      <c r="C473" s="495" t="str">
        <f>IFERROR(__xludf.DUMMYFUNCTION("""COMPUTED_VALUE"""),"")</f>
        <v/>
      </c>
      <c r="D473" s="495" t="str">
        <f>IFERROR(__xludf.DUMMYFUNCTION("""COMPUTED_VALUE"""),"Mauricio Zurita Aldea")</f>
        <v>Mauricio Zurita Aldea</v>
      </c>
      <c r="E473" s="495"/>
      <c r="F473" s="496" t="str">
        <f>IFERROR(__xludf.DUMMYFUNCTION("""COMPUTED_VALUE"""),"12060-2025")</f>
        <v>12060-2025</v>
      </c>
      <c r="G473" s="495"/>
      <c r="H473" s="495"/>
      <c r="I473" s="495"/>
      <c r="J473" s="495" t="str">
        <f>IFERROR(__xludf.DUMMYFUNCTION("""COMPUTED_VALUE"""),"Campus El Bosque - CBQ")</f>
        <v>Campus El Bosque - CBQ</v>
      </c>
      <c r="K473" s="495" t="str">
        <f>IFERROR(__xludf.DUMMYFUNCTION("""COMPUTED_VALUE"""),"03")</f>
        <v>03</v>
      </c>
      <c r="L473" s="495" t="str">
        <f>IFERROR(__xludf.DUMMYFUNCTION("""COMPUTED_VALUE"""),"GATICAR SPA")</f>
        <v>GATICAR SPA</v>
      </c>
      <c r="M473" s="495" t="str">
        <f>IFERROR(__xludf.DUMMYFUNCTION("""COMPUTED_VALUE"""),"77.578.487-3")</f>
        <v>77.578.487-3</v>
      </c>
      <c r="N473" s="495" t="str">
        <f>IFERROR(__xludf.DUMMYFUNCTION("""COMPUTED_VALUE"""),"HECTOR GATICA")</f>
        <v>HECTOR GATICA</v>
      </c>
      <c r="O473" s="495" t="str">
        <f>IFERROR(__xludf.DUMMYFUNCTION("""COMPUTED_VALUE"""),"Mantenciones")</f>
        <v>Mantenciones</v>
      </c>
      <c r="P473" s="495" t="str">
        <f>IFERROR(__xludf.DUMMYFUNCTION("""COMPUTED_VALUE"""),"Requerimientos Emergentes e Imprevistos")</f>
        <v>Requerimientos Emergentes e Imprevistos</v>
      </c>
      <c r="Q473" s="495"/>
      <c r="R473" s="495"/>
      <c r="S473" s="495"/>
      <c r="T473" s="495"/>
      <c r="U473" s="495"/>
      <c r="V473" s="495" t="str">
        <f>IFERROR(__xludf.DUMMYFUNCTION("""COMPUTED_VALUE"""),"MANTENCION EQUIPO ELECTROGENO LABORATORIO CLINICO")</f>
        <v>MANTENCION EQUIPO ELECTROGENO LABORATORIO CLINICO</v>
      </c>
      <c r="W473" s="495"/>
      <c r="X473" s="495" t="str">
        <f>IFERROR(__xludf.DUMMYFUNCTION("""COMPUTED_VALUE"""),"https://drive.google.com/open?id=1U7ZJWcfVid3zL3RjWBEUYdvNCScXUesO, https://drive.google.com/open?id=1RqaMKpWqvTyvssGWEG4l_Mewy1M5V2kz, https://drive.google.com/open?id=15SDFsgf-xbPjYruCaVSjpki6b5YBQZCR, https://drive.google.com/open?id=1GaX2lE4O1cihLHVtG"&amp;"g9YbtCGbsVJLkjD")</f>
        <v>https://drive.google.com/open?id=1U7ZJWcfVid3zL3RjWBEUYdvNCScXUesO, https://drive.google.com/open?id=1RqaMKpWqvTyvssGWEG4l_Mewy1M5V2kz, https://drive.google.com/open?id=15SDFsgf-xbPjYruCaVSjpki6b5YBQZCR, https://drive.google.com/open?id=1GaX2lE4O1cihLHVtGg9YbtCGbsVJLkjD</v>
      </c>
      <c r="Y473" s="495" t="str">
        <f>IFERROR(__xludf.DUMMYFUNCTION("""COMPUTED_VALUE"""),"serviciogaticar@gmail.com")</f>
        <v>serviciogaticar@gmail.com</v>
      </c>
      <c r="Z473" s="495"/>
      <c r="AA473" s="495"/>
      <c r="AB473" s="495"/>
      <c r="AC473" s="495"/>
      <c r="AD473" s="495" t="str">
        <f>IFERROR(__xludf.DUMMYFUNCTION("""COMPUTED_VALUE"""),"RC-158")</f>
        <v>RC-158</v>
      </c>
    </row>
    <row r="474">
      <c r="A474" s="495" t="str">
        <f t="shared" si="1"/>
        <v>RC-152_26</v>
      </c>
      <c r="B474" s="497">
        <f>IFERROR(__xludf.DUMMYFUNCTION("""COMPUTED_VALUE"""),46148.61139131944)</f>
        <v>46148.61139</v>
      </c>
      <c r="C474" s="495" t="str">
        <f>IFERROR(__xludf.DUMMYFUNCTION("""COMPUTED_VALUE"""),"")</f>
        <v/>
      </c>
      <c r="D474" s="495" t="str">
        <f>IFERROR(__xludf.DUMMYFUNCTION("""COMPUTED_VALUE"""),"Felipe Anselme Grandón")</f>
        <v>Felipe Anselme Grandón</v>
      </c>
      <c r="E474" s="495"/>
      <c r="F474" s="496" t="str">
        <f>IFERROR(__xludf.DUMMYFUNCTION("""COMPUTED_VALUE"""),"2446 - 2026")</f>
        <v>2446 - 2026</v>
      </c>
      <c r="G474" s="495"/>
      <c r="H474" s="495"/>
      <c r="I474" s="495"/>
      <c r="J474" s="495" t="str">
        <f>IFERROR(__xludf.DUMMYFUNCTION("""COMPUTED_VALUE"""),"Campus Dr. Luis Rivas del Canto - CRC")</f>
        <v>Campus Dr. Luis Rivas del Canto - CRC</v>
      </c>
      <c r="K474" s="495" t="str">
        <f>IFERROR(__xludf.DUMMYFUNCTION("""COMPUTED_VALUE"""),"Exterior")</f>
        <v>Exterior</v>
      </c>
      <c r="L474" s="495" t="str">
        <f>IFERROR(__xludf.DUMMYFUNCTION("""COMPUTED_VALUE"""),"Nicolas Riquelme Lizama")</f>
        <v>Nicolas Riquelme Lizama</v>
      </c>
      <c r="M474" s="495" t="str">
        <f>IFERROR(__xludf.DUMMYFUNCTION("""COMPUTED_VALUE"""),"9.937.535-3")</f>
        <v>9.937.535-3</v>
      </c>
      <c r="N474" s="495" t="str">
        <f>IFERROR(__xludf.DUMMYFUNCTION("""COMPUTED_VALUE"""),"Felipe Anselme")</f>
        <v>Felipe Anselme</v>
      </c>
      <c r="O474" s="495" t="str">
        <f>IFERROR(__xludf.DUMMYFUNCTION("""COMPUTED_VALUE"""),"Obras y Especialidades")</f>
        <v>Obras y Especialidades</v>
      </c>
      <c r="P474" s="495"/>
      <c r="Q474" s="495"/>
      <c r="R474" s="495" t="str">
        <f>IFERROR(__xludf.DUMMYFUNCTION("""COMPUTED_VALUE"""),"Exteriores")</f>
        <v>Exteriores</v>
      </c>
      <c r="S474" s="495" t="str">
        <f>IFERROR(__xludf.DUMMYFUNCTION("""COMPUTED_VALUE"""),"Recepción de Obra - RC")</f>
        <v>Recepción de Obra - RC</v>
      </c>
      <c r="T474" s="495"/>
      <c r="U474" s="495"/>
      <c r="V474" s="495" t="str">
        <f>IFERROR(__xludf.DUMMYFUNCTION("""COMPUTED_VALUE"""),"Limpieza, pintura trafico en estacionamiento. Letrero con poste identificatorio según diseño ")</f>
        <v>Limpieza, pintura trafico en estacionamiento. Letrero con poste identificatorio según diseño </v>
      </c>
      <c r="W474" s="495" t="str">
        <f>IFERROR(__xludf.DUMMYFUNCTION("""COMPUTED_VALUE"""),"limpieza esporádica")</f>
        <v>limpieza esporádica</v>
      </c>
      <c r="X474" s="499" t="str">
        <f>IFERROR(__xludf.DUMMYFUNCTION("""COMPUTED_VALUE"""),"https://drive.google.com/open?id=1fGWFLUJ_zvVW5BevT1CIjYKN1i9u8Uw_")</f>
        <v>https://drive.google.com/open?id=1fGWFLUJ_zvVW5BevT1CIjYKN1i9u8Uw_</v>
      </c>
      <c r="Y474" s="495" t="str">
        <f>IFERROR(__xludf.DUMMYFUNCTION("""COMPUTED_VALUE"""),"nicolas.rotulados@gmail.com")</f>
        <v>nicolas.rotulados@gmail.com</v>
      </c>
      <c r="Z474" s="498">
        <f>IFERROR(__xludf.DUMMYFUNCTION("""COMPUTED_VALUE"""),354620.0)</f>
        <v>354620</v>
      </c>
      <c r="AA474" s="495"/>
      <c r="AB474" s="495"/>
      <c r="AC474" s="495"/>
      <c r="AD474" s="495" t="str">
        <f>IFERROR(__xludf.DUMMYFUNCTION("""COMPUTED_VALUE"""),"RC-152_26")</f>
        <v>RC-152_26</v>
      </c>
    </row>
    <row r="475">
      <c r="A475" s="495" t="str">
        <f t="shared" si="1"/>
        <v>RC-157</v>
      </c>
      <c r="B475" s="497">
        <f>IFERROR(__xludf.DUMMYFUNCTION("""COMPUTED_VALUE"""),46010.59826782407)</f>
        <v>46010.59827</v>
      </c>
      <c r="C475" s="495" t="str">
        <f>IFERROR(__xludf.DUMMYFUNCTION("""COMPUTED_VALUE"""),"")</f>
        <v/>
      </c>
      <c r="D475" s="495" t="str">
        <f>IFERROR(__xludf.DUMMYFUNCTION("""COMPUTED_VALUE"""),"Mauricio Zurita Aldea")</f>
        <v>Mauricio Zurita Aldea</v>
      </c>
      <c r="E475" s="495"/>
      <c r="F475" s="496" t="str">
        <f>IFERROR(__xludf.DUMMYFUNCTION("""COMPUTED_VALUE"""),"12059-2025")</f>
        <v>12059-2025</v>
      </c>
      <c r="G475" s="495"/>
      <c r="H475" s="495"/>
      <c r="I475" s="495"/>
      <c r="J475" s="495" t="str">
        <f>IFERROR(__xludf.DUMMYFUNCTION("""COMPUTED_VALUE"""),"Campus San Juan Pablo II - CJP")</f>
        <v>Campus San Juan Pablo II - CJP</v>
      </c>
      <c r="K475" s="495" t="str">
        <f>IFERROR(__xludf.DUMMYFUNCTION("""COMPUTED_VALUE"""),"04")</f>
        <v>04</v>
      </c>
      <c r="L475" s="495" t="str">
        <f>IFERROR(__xludf.DUMMYFUNCTION("""COMPUTED_VALUE"""),"GARICAR SPA")</f>
        <v>GARICAR SPA</v>
      </c>
      <c r="M475" s="495" t="str">
        <f>IFERROR(__xludf.DUMMYFUNCTION("""COMPUTED_VALUE"""),"77.578.487-3")</f>
        <v>77.578.487-3</v>
      </c>
      <c r="N475" s="495" t="str">
        <f>IFERROR(__xludf.DUMMYFUNCTION("""COMPUTED_VALUE"""),"HECTOR GATICA")</f>
        <v>HECTOR GATICA</v>
      </c>
      <c r="O475" s="495" t="str">
        <f>IFERROR(__xludf.DUMMYFUNCTION("""COMPUTED_VALUE"""),"Mantenciones")</f>
        <v>Mantenciones</v>
      </c>
      <c r="P475" s="495" t="str">
        <f>IFERROR(__xludf.DUMMYFUNCTION("""COMPUTED_VALUE"""),"Requerimientos Emergentes e Imprevistos")</f>
        <v>Requerimientos Emergentes e Imprevistos</v>
      </c>
      <c r="Q475" s="495"/>
      <c r="R475" s="495"/>
      <c r="S475" s="495"/>
      <c r="T475" s="495"/>
      <c r="U475" s="495"/>
      <c r="V475" s="495" t="str">
        <f>IFERROR(__xludf.DUMMYFUNCTION("""COMPUTED_VALUE"""),"MANTENIMIENTO PREVENTIVO GRUPO ELECTROGENO ")</f>
        <v>MANTENIMIENTO PREVENTIVO GRUPO ELECTROGENO </v>
      </c>
      <c r="W475" s="495"/>
      <c r="X475" s="495" t="str">
        <f>IFERROR(__xludf.DUMMYFUNCTION("""COMPUTED_VALUE"""),"https://drive.google.com/open?id=12slweumPcfV4ElgJxzwt2Yb0rbktDMVz, https://drive.google.com/open?id=1egiArVzdFiy7CIsyXqly-SzoV_JSkfhC, https://drive.google.com/open?id=1zU7ITEKxNqXpEiZa_0W9urJC0P3zvEeM")</f>
        <v>https://drive.google.com/open?id=12slweumPcfV4ElgJxzwt2Yb0rbktDMVz, https://drive.google.com/open?id=1egiArVzdFiy7CIsyXqly-SzoV_JSkfhC, https://drive.google.com/open?id=1zU7ITEKxNqXpEiZa_0W9urJC0P3zvEeM</v>
      </c>
      <c r="Y475" s="495" t="str">
        <f>IFERROR(__xludf.DUMMYFUNCTION("""COMPUTED_VALUE"""),"SERVICIOGATICAR@GMAIL.COM")</f>
        <v>SERVICIOGATICAR@GMAIL.COM</v>
      </c>
      <c r="Z475" s="495"/>
      <c r="AA475" s="495"/>
      <c r="AB475" s="495"/>
      <c r="AC475" s="495"/>
      <c r="AD475" s="495" t="str">
        <f>IFERROR(__xludf.DUMMYFUNCTION("""COMPUTED_VALUE"""),"RC-157")</f>
        <v>RC-157</v>
      </c>
    </row>
    <row r="476">
      <c r="A476" s="495" t="str">
        <f t="shared" si="1"/>
        <v>RC-156</v>
      </c>
      <c r="B476" s="497">
        <f>IFERROR(__xludf.DUMMYFUNCTION("""COMPUTED_VALUE"""),46010.54731033565)</f>
        <v>46010.54731</v>
      </c>
      <c r="C476" s="495" t="str">
        <f>IFERROR(__xludf.DUMMYFUNCTION("""COMPUTED_VALUE"""),"")</f>
        <v/>
      </c>
      <c r="D476" s="495" t="str">
        <f>IFERROR(__xludf.DUMMYFUNCTION("""COMPUTED_VALUE"""),"Mauricio Zurita Aldea")</f>
        <v>Mauricio Zurita Aldea</v>
      </c>
      <c r="E476" s="495"/>
      <c r="F476" s="496" t="str">
        <f>IFERROR(__xludf.DUMMYFUNCTION("""COMPUTED_VALUE"""),"12058-2025")</f>
        <v>12058-2025</v>
      </c>
      <c r="G476" s="495"/>
      <c r="H476" s="495"/>
      <c r="I476" s="495"/>
      <c r="J476" s="495" t="str">
        <f>IFERROR(__xludf.DUMMYFUNCTION("""COMPUTED_VALUE"""),"Campus San Francisco - CSF")</f>
        <v>Campus San Francisco - CSF</v>
      </c>
      <c r="K476" s="495">
        <f>IFERROR(__xludf.DUMMYFUNCTION("""COMPUTED_VALUE"""),11.0)</f>
        <v>11</v>
      </c>
      <c r="L476" s="495" t="str">
        <f>IFERROR(__xludf.DUMMYFUNCTION("""COMPUTED_VALUE"""),"GATICAR SPA")</f>
        <v>GATICAR SPA</v>
      </c>
      <c r="M476" s="495" t="str">
        <f>IFERROR(__xludf.DUMMYFUNCTION("""COMPUTED_VALUE"""),"77.578.487-3")</f>
        <v>77.578.487-3</v>
      </c>
      <c r="N476" s="495" t="str">
        <f>IFERROR(__xludf.DUMMYFUNCTION("""COMPUTED_VALUE"""),"HECTOR GATICA ")</f>
        <v>HECTOR GATICA </v>
      </c>
      <c r="O476" s="495" t="str">
        <f>IFERROR(__xludf.DUMMYFUNCTION("""COMPUTED_VALUE"""),"Mantenciones")</f>
        <v>Mantenciones</v>
      </c>
      <c r="P476" s="495" t="str">
        <f>IFERROR(__xludf.DUMMYFUNCTION("""COMPUTED_VALUE"""),"Requerimientos Emergentes e Imprevistos")</f>
        <v>Requerimientos Emergentes e Imprevistos</v>
      </c>
      <c r="Q476" s="495"/>
      <c r="R476" s="495"/>
      <c r="S476" s="495"/>
      <c r="T476" s="495"/>
      <c r="U476" s="495"/>
      <c r="V476" s="495" t="str">
        <f>IFERROR(__xludf.DUMMYFUNCTION("""COMPUTED_VALUE"""),"MANTENIMIENTO PREVENTIVO GRUPO ELECTROGENO")</f>
        <v>MANTENIMIENTO PREVENTIVO GRUPO ELECTROGENO</v>
      </c>
      <c r="W476" s="495"/>
      <c r="X476" s="495" t="str">
        <f>IFERROR(__xludf.DUMMYFUNCTION("""COMPUTED_VALUE"""),"https://drive.google.com/open?id=1ynglL4z6815ShTUXZTWdq86iBEmakNwz, https://drive.google.com/open?id=1NZ6f-VelGemGhbSDcolPyv41jNDJAoXV, https://drive.google.com/open?id=1fApZGR7lEe_8-kA0bLyOnb7E6kLczFgi")</f>
        <v>https://drive.google.com/open?id=1ynglL4z6815ShTUXZTWdq86iBEmakNwz, https://drive.google.com/open?id=1NZ6f-VelGemGhbSDcolPyv41jNDJAoXV, https://drive.google.com/open?id=1fApZGR7lEe_8-kA0bLyOnb7E6kLczFgi</v>
      </c>
      <c r="Y476" s="495" t="str">
        <f>IFERROR(__xludf.DUMMYFUNCTION("""COMPUTED_VALUE"""),"serviciogaticar@gmail.com")</f>
        <v>serviciogaticar@gmail.com</v>
      </c>
      <c r="Z476" s="495"/>
      <c r="AA476" s="495"/>
      <c r="AB476" s="495"/>
      <c r="AC476" s="495"/>
      <c r="AD476" s="495" t="str">
        <f>IFERROR(__xludf.DUMMYFUNCTION("""COMPUTED_VALUE"""),"RC-156")</f>
        <v>RC-156</v>
      </c>
    </row>
    <row r="477">
      <c r="A477" s="495" t="str">
        <f t="shared" si="1"/>
        <v>RC-155_26</v>
      </c>
      <c r="B477" s="497">
        <f>IFERROR(__xludf.DUMMYFUNCTION("""COMPUTED_VALUE"""),46149.42329038194)</f>
        <v>46149.42329</v>
      </c>
      <c r="C477" s="495" t="str">
        <f>IFERROR(__xludf.DUMMYFUNCTION("""COMPUTED_VALUE"""),"")</f>
        <v/>
      </c>
      <c r="D477" s="495" t="str">
        <f>IFERROR(__xludf.DUMMYFUNCTION("""COMPUTED_VALUE"""),"Mauricio Matus Belmar")</f>
        <v>Mauricio Matus Belmar</v>
      </c>
      <c r="E477" s="495"/>
      <c r="F477" s="496" t="str">
        <f>IFERROR(__xludf.DUMMYFUNCTION("""COMPUTED_VALUE"""),"2257-2026")</f>
        <v>2257-2026</v>
      </c>
      <c r="G477" s="495"/>
      <c r="H477" s="495"/>
      <c r="I477" s="495"/>
      <c r="J477" s="495" t="str">
        <f>IFERROR(__xludf.DUMMYFUNCTION("""COMPUTED_VALUE"""),"Campus San Juan Pablo II - CJP")</f>
        <v>Campus San Juan Pablo II - CJP</v>
      </c>
      <c r="K477" s="495" t="str">
        <f>IFERROR(__xludf.DUMMYFUNCTION("""COMPUTED_VALUE"""),"07")</f>
        <v>07</v>
      </c>
      <c r="L477" s="495" t="str">
        <f>IFERROR(__xludf.DUMMYFUNCTION("""COMPUTED_VALUE"""),"MR ELECTROCLIMA SPA")</f>
        <v>MR ELECTROCLIMA SPA</v>
      </c>
      <c r="M477" s="495" t="str">
        <f>IFERROR(__xludf.DUMMYFUNCTION("""COMPUTED_VALUE"""),"77.773.634-5")</f>
        <v>77.773.634-5</v>
      </c>
      <c r="N477" s="495" t="str">
        <f>IFERROR(__xludf.DUMMYFUNCTION("""COMPUTED_VALUE"""),"Patricio Manriquez Riffo")</f>
        <v>Patricio Manriquez Riffo</v>
      </c>
      <c r="O477" s="495" t="str">
        <f>IFERROR(__xludf.DUMMYFUNCTION("""COMPUTED_VALUE"""),"Operación")</f>
        <v>Operación</v>
      </c>
      <c r="P477" s="495"/>
      <c r="Q477" s="495" t="str">
        <f>IFERROR(__xludf.DUMMYFUNCTION("""COMPUTED_VALUE"""),"Climatización")</f>
        <v>Climatización</v>
      </c>
      <c r="R477" s="495"/>
      <c r="S477" s="495"/>
      <c r="T477" s="495"/>
      <c r="U477" s="495"/>
      <c r="V477" s="495" t="str">
        <f>IFERROR(__xludf.DUMMYFUNCTION("""COMPUTED_VALUE"""),"Mantenimiento preventivo equipo aire acondicionado tipo Fan Coil, se incluye equipos de edificios 5,7 y 10. Se realiza limpieza y desinfección, revisión eléctrica, mecánica y comunicación de termostatos.")</f>
        <v>Mantenimiento preventivo equipo aire acondicionado tipo Fan Coil, se incluye equipos de edificios 5,7 y 10. Se realiza limpieza y desinfección, revisión eléctrica, mecánica y comunicación de termostatos.</v>
      </c>
      <c r="W477" s="495" t="str">
        <f>IFERROR(__xludf.DUMMYFUNCTION("""COMPUTED_VALUE"""),"Aumentar periodo de Mantenimiento a 180 días.")</f>
        <v>Aumentar periodo de Mantenimiento a 180 días.</v>
      </c>
      <c r="X477" s="495" t="str">
        <f>IFERROR(__xludf.DUMMYFUNCTION("""COMPUTED_VALUE"""),"https://drive.google.com/open?id=1e4uAqpnSO9pDIBdRWPOHj0RniOKMD7Kp, https://drive.google.com/open?id=19mrEglBh6tfMHLclGlYUabCviT86FsZ4, https://drive.google.com/open?id=1AzgIDEti9wOYgxL1q5Vr2jjTux78CL-E, https://drive.google.com/open?id=1tATIu0Z4iqBnNLL1l"&amp;"aDNzOuOj8yLpuHc, https://drive.google.com/open?id=1q69UX36aO1sdzH85StqhZl50zmN_Ae3A")</f>
        <v>https://drive.google.com/open?id=1e4uAqpnSO9pDIBdRWPOHj0RniOKMD7Kp, https://drive.google.com/open?id=19mrEglBh6tfMHLclGlYUabCviT86FsZ4, https://drive.google.com/open?id=1AzgIDEti9wOYgxL1q5Vr2jjTux78CL-E, https://drive.google.com/open?id=1tATIu0Z4iqBnNLL1laDNzOuOj8yLpuHc, https://drive.google.com/open?id=1q69UX36aO1sdzH85StqhZl50zmN_Ae3A</v>
      </c>
      <c r="Y477" s="495" t="str">
        <f>IFERROR(__xludf.DUMMYFUNCTION("""COMPUTED_VALUE"""),"luismanriquez555@gmail.com")</f>
        <v>luismanriquez555@gmail.com</v>
      </c>
      <c r="Z477" s="498">
        <f>IFERROR(__xludf.DUMMYFUNCTION("""COMPUTED_VALUE"""),1607809.0)</f>
        <v>1607809</v>
      </c>
      <c r="AA477" s="495"/>
      <c r="AB477" s="495"/>
      <c r="AC477" s="495"/>
      <c r="AD477" s="495" t="str">
        <f>IFERROR(__xludf.DUMMYFUNCTION("""COMPUTED_VALUE"""),"RC-155_26")</f>
        <v>RC-155_26</v>
      </c>
    </row>
    <row r="478">
      <c r="A478" s="495" t="str">
        <f t="shared" si="1"/>
        <v>RC-156_26</v>
      </c>
      <c r="B478" s="497">
        <f>IFERROR(__xludf.DUMMYFUNCTION("""COMPUTED_VALUE"""),46149.46473511574)</f>
        <v>46149.46474</v>
      </c>
      <c r="C478" s="495" t="str">
        <f>IFERROR(__xludf.DUMMYFUNCTION("""COMPUTED_VALUE"""),"")</f>
        <v/>
      </c>
      <c r="D478" s="495" t="str">
        <f>IFERROR(__xludf.DUMMYFUNCTION("""COMPUTED_VALUE"""),"Juan Ignacio Solís de Ovando")</f>
        <v>Juan Ignacio Solís de Ovando</v>
      </c>
      <c r="E478" s="495"/>
      <c r="F478" s="496" t="str">
        <f>IFERROR(__xludf.DUMMYFUNCTION("""COMPUTED_VALUE"""),"2692-2026")</f>
        <v>2692-2026</v>
      </c>
      <c r="G478" s="495"/>
      <c r="H478" s="495"/>
      <c r="I478" s="495"/>
      <c r="J478" s="495" t="str">
        <f>IFERROR(__xludf.DUMMYFUNCTION("""COMPUTED_VALUE"""),"Campus Dr. Luis Rivas del Canto - CRC")</f>
        <v>Campus Dr. Luis Rivas del Canto - CRC</v>
      </c>
      <c r="K478" s="495">
        <f>IFERROR(__xludf.DUMMYFUNCTION("""COMPUTED_VALUE"""),10.0)</f>
        <v>10</v>
      </c>
      <c r="L478" s="495" t="str">
        <f>IFERROR(__xludf.DUMMYFUNCTION("""COMPUTED_VALUE"""),"Sociedad Comercial Espacio Muebles Ltda")</f>
        <v>Sociedad Comercial Espacio Muebles Ltda</v>
      </c>
      <c r="M478" s="495" t="str">
        <f>IFERROR(__xludf.DUMMYFUNCTION("""COMPUTED_VALUE"""),"77.544.225-5")</f>
        <v>77.544.225-5</v>
      </c>
      <c r="N478" s="495" t="str">
        <f>IFERROR(__xludf.DUMMYFUNCTION("""COMPUTED_VALUE"""),"Emilio Aburto")</f>
        <v>Emilio Aburto</v>
      </c>
      <c r="O478" s="495" t="str">
        <f>IFERROR(__xludf.DUMMYFUNCTION("""COMPUTED_VALUE"""),"Obras y Especialidades")</f>
        <v>Obras y Especialidades</v>
      </c>
      <c r="P478" s="495"/>
      <c r="Q478" s="495"/>
      <c r="R478" s="495" t="str">
        <f>IFERROR(__xludf.DUMMYFUNCTION("""COMPUTED_VALUE"""),"Especialidades")</f>
        <v>Especialidades</v>
      </c>
      <c r="S478" s="495" t="str">
        <f>IFERROR(__xludf.DUMMYFUNCTION("""COMPUTED_VALUE"""),"Recepción de Obra - RC")</f>
        <v>Recepción de Obra - RC</v>
      </c>
      <c r="T478" s="495"/>
      <c r="U478" s="495"/>
      <c r="V478" s="495" t="str">
        <f>IFERROR(__xludf.DUMMYFUNCTION("""COMPUTED_VALUE"""),"Fabricación muebles Laboratorio")</f>
        <v>Fabricación muebles Laboratorio</v>
      </c>
      <c r="W478" s="495"/>
      <c r="X478" s="495" t="str">
        <f>IFERROR(__xludf.DUMMYFUNCTION("""COMPUTED_VALUE"""),"https://drive.google.com/open?id=1pKev3HHG5QLor365WcCX7BiBI4A3tzfx, https://drive.google.com/open?id=1LhI0DYtnQrT5v_1SwgXu0dAR_m-VTSCm, https://drive.google.com/open?id=1X5fkZ5wqJFbSV6xQ8P8l93NpgtLhPzQ4, https://drive.google.com/open?id=1fSLbFYWEh1bC50rSK"&amp;"blMg0FU9LnGnSJo")</f>
        <v>https://drive.google.com/open?id=1pKev3HHG5QLor365WcCX7BiBI4A3tzfx, https://drive.google.com/open?id=1LhI0DYtnQrT5v_1SwgXu0dAR_m-VTSCm, https://drive.google.com/open?id=1X5fkZ5wqJFbSV6xQ8P8l93NpgtLhPzQ4, https://drive.google.com/open?id=1fSLbFYWEh1bC50rSKblMg0FU9LnGnSJo</v>
      </c>
      <c r="Y478" s="495" t="str">
        <f>IFERROR(__xludf.DUMMYFUNCTION("""COMPUTED_VALUE"""),"contacto.espaciomuebles@gmail.com")</f>
        <v>contacto.espaciomuebles@gmail.com</v>
      </c>
      <c r="Z478" s="498">
        <f>IFERROR(__xludf.DUMMYFUNCTION("""COMPUTED_VALUE"""),2.846837E7)</f>
        <v>28468370</v>
      </c>
      <c r="AA478" s="495"/>
      <c r="AB478" s="495"/>
      <c r="AC478" s="495"/>
      <c r="AD478" s="495" t="str">
        <f>IFERROR(__xludf.DUMMYFUNCTION("""COMPUTED_VALUE"""),"RC-156_26")</f>
        <v>RC-156_26</v>
      </c>
    </row>
    <row r="479">
      <c r="A479" s="495" t="str">
        <f t="shared" si="1"/>
        <v>RC-157_26</v>
      </c>
      <c r="B479" s="497">
        <f>IFERROR(__xludf.DUMMYFUNCTION("""COMPUTED_VALUE"""),46149.49374261574)</f>
        <v>46149.49374</v>
      </c>
      <c r="C479" s="495" t="str">
        <f>IFERROR(__xludf.DUMMYFUNCTION("""COMPUTED_VALUE"""),"")</f>
        <v/>
      </c>
      <c r="D479" s="495" t="str">
        <f>IFERROR(__xludf.DUMMYFUNCTION("""COMPUTED_VALUE"""),"Juan Ignacio Solís de Ovando")</f>
        <v>Juan Ignacio Solís de Ovando</v>
      </c>
      <c r="E479" s="495"/>
      <c r="F479" s="496" t="str">
        <f>IFERROR(__xludf.DUMMYFUNCTION("""COMPUTED_VALUE"""),"2692-2026")</f>
        <v>2692-2026</v>
      </c>
      <c r="G479" s="495"/>
      <c r="H479" s="495"/>
      <c r="I479" s="495"/>
      <c r="J479" s="495" t="str">
        <f>IFERROR(__xludf.DUMMYFUNCTION("""COMPUTED_VALUE"""),"Campus Dr. Luis Rivas del Canto - CRC")</f>
        <v>Campus Dr. Luis Rivas del Canto - CRC</v>
      </c>
      <c r="K479" s="495">
        <f>IFERROR(__xludf.DUMMYFUNCTION("""COMPUTED_VALUE"""),10.0)</f>
        <v>10</v>
      </c>
      <c r="L479" s="495" t="str">
        <f>IFERROR(__xludf.DUMMYFUNCTION("""COMPUTED_VALUE"""),"SOCIEDAD COMERCIAL ESPACIO MUEBLES LTDA")</f>
        <v>SOCIEDAD COMERCIAL ESPACIO MUEBLES LTDA</v>
      </c>
      <c r="M479" s="495" t="str">
        <f>IFERROR(__xludf.DUMMYFUNCTION("""COMPUTED_VALUE"""),"77.544.225-5")</f>
        <v>77.544.225-5</v>
      </c>
      <c r="N479" s="495" t="str">
        <f>IFERROR(__xludf.DUMMYFUNCTION("""COMPUTED_VALUE"""),"Emilio Aburto - Director de operaciones")</f>
        <v>Emilio Aburto - Director de operaciones</v>
      </c>
      <c r="O479" s="495" t="str">
        <f>IFERROR(__xludf.DUMMYFUNCTION("""COMPUTED_VALUE"""),"Obras y Especialidades")</f>
        <v>Obras y Especialidades</v>
      </c>
      <c r="P479" s="495"/>
      <c r="Q479" s="495"/>
      <c r="R479" s="495" t="str">
        <f>IFERROR(__xludf.DUMMYFUNCTION("""COMPUTED_VALUE"""),"Especialidades")</f>
        <v>Especialidades</v>
      </c>
      <c r="S479" s="495" t="str">
        <f>IFERROR(__xludf.DUMMYFUNCTION("""COMPUTED_VALUE"""),"Estado de Pago - EP")</f>
        <v>Estado de Pago - EP</v>
      </c>
      <c r="T479" s="495">
        <f>IFERROR(__xludf.DUMMYFUNCTION("""COMPUTED_VALUE"""),1.0)</f>
        <v>1</v>
      </c>
      <c r="U479" s="498">
        <f>IFERROR(__xludf.DUMMYFUNCTION("""COMPUTED_VALUE"""),2.846837E7)</f>
        <v>28468370</v>
      </c>
      <c r="V479" s="495" t="str">
        <f>IFERROR(__xludf.DUMMYFUNCTION("""COMPUTED_VALUE"""),"Fabricación e instalación muebles Laboratorio")</f>
        <v>Fabricación e instalación muebles Laboratorio</v>
      </c>
      <c r="W479" s="495"/>
      <c r="X479" s="495" t="str">
        <f>IFERROR(__xludf.DUMMYFUNCTION("""COMPUTED_VALUE"""),"https://drive.google.com/open?id=123jHjksYkpjC0R2A9IcOcG17qgO_kN1V, https://drive.google.com/open?id=1pXkkvxr23CLlyX3Ou9NrFyjvsn_NDZXb, https://drive.google.com/open?id=1O1G1yuifKs7L7L0PyuAVYZpTR5Vsta2f, https://drive.google.com/open?id=1XO2UrWWOsyUZ7f1k_"&amp;"3iHUxh-L7p3JB0Q")</f>
        <v>https://drive.google.com/open?id=123jHjksYkpjC0R2A9IcOcG17qgO_kN1V, https://drive.google.com/open?id=1pXkkvxr23CLlyX3Ou9NrFyjvsn_NDZXb, https://drive.google.com/open?id=1O1G1yuifKs7L7L0PyuAVYZpTR5Vsta2f, https://drive.google.com/open?id=1XO2UrWWOsyUZ7f1k_3iHUxh-L7p3JB0Q</v>
      </c>
      <c r="Y479" s="495" t="str">
        <f>IFERROR(__xludf.DUMMYFUNCTION("""COMPUTED_VALUE"""),"contacto.espaciomuebles@gmail.com")</f>
        <v>contacto.espaciomuebles@gmail.com</v>
      </c>
      <c r="Z479" s="498">
        <f>IFERROR(__xludf.DUMMYFUNCTION("""COMPUTED_VALUE"""),2.846837E7)</f>
        <v>28468370</v>
      </c>
      <c r="AA479" s="495"/>
      <c r="AB479" s="495"/>
      <c r="AC479" s="495"/>
      <c r="AD479" s="495" t="str">
        <f>IFERROR(__xludf.DUMMYFUNCTION("""COMPUTED_VALUE"""),"RC-157_26")</f>
        <v>RC-157_26</v>
      </c>
    </row>
    <row r="480">
      <c r="A480" s="495" t="str">
        <f t="shared" si="1"/>
        <v>RC-158_26</v>
      </c>
      <c r="B480" s="497">
        <f>IFERROR(__xludf.DUMMYFUNCTION("""COMPUTED_VALUE"""),46149.547589305555)</f>
        <v>46149.54759</v>
      </c>
      <c r="C480" s="495" t="str">
        <f>IFERROR(__xludf.DUMMYFUNCTION("""COMPUTED_VALUE"""),"")</f>
        <v/>
      </c>
      <c r="D480" s="495" t="str">
        <f>IFERROR(__xludf.DUMMYFUNCTION("""COMPUTED_VALUE"""),"Juan Ignacio Solís de Ovando")</f>
        <v>Juan Ignacio Solís de Ovando</v>
      </c>
      <c r="E480" s="495"/>
      <c r="F480" s="496" t="str">
        <f>IFERROR(__xludf.DUMMYFUNCTION("""COMPUTED_VALUE"""),"8022-2024")</f>
        <v>8022-2024</v>
      </c>
      <c r="G480" s="495"/>
      <c r="H480" s="495"/>
      <c r="I480" s="495"/>
      <c r="J480" s="495" t="str">
        <f>IFERROR(__xludf.DUMMYFUNCTION("""COMPUTED_VALUE"""),"Campus Dr. Luis Rivas del Canto - CRC")</f>
        <v>Campus Dr. Luis Rivas del Canto - CRC</v>
      </c>
      <c r="K480" s="495">
        <f>IFERROR(__xludf.DUMMYFUNCTION("""COMPUTED_VALUE"""),10.0)</f>
        <v>10</v>
      </c>
      <c r="L480" s="495" t="str">
        <f>IFERROR(__xludf.DUMMYFUNCTION("""COMPUTED_VALUE"""),"luis saez allendes ingenieria y construccion eirl")</f>
        <v>luis saez allendes ingenieria y construccion eirl</v>
      </c>
      <c r="M480" s="495" t="str">
        <f>IFERROR(__xludf.DUMMYFUNCTION("""COMPUTED_VALUE"""),"76.219.281-0")</f>
        <v>76.219.281-0</v>
      </c>
      <c r="N480" s="495" t="str">
        <f>IFERROR(__xludf.DUMMYFUNCTION("""COMPUTED_VALUE"""),"luis saez allendes")</f>
        <v>luis saez allendes</v>
      </c>
      <c r="O480" s="495" t="str">
        <f>IFERROR(__xludf.DUMMYFUNCTION("""COMPUTED_VALUE"""),"Obras y Especialidades")</f>
        <v>Obras y Especialidades</v>
      </c>
      <c r="P480" s="495"/>
      <c r="Q480" s="495"/>
      <c r="R480" s="495" t="str">
        <f>IFERROR(__xludf.DUMMYFUNCTION("""COMPUTED_VALUE"""),"Nuevo Edificio")</f>
        <v>Nuevo Edificio</v>
      </c>
      <c r="S480" s="495" t="str">
        <f>IFERROR(__xludf.DUMMYFUNCTION("""COMPUTED_VALUE"""),"Recepción de Obra - RC")</f>
        <v>Recepción de Obra - RC</v>
      </c>
      <c r="T480" s="495"/>
      <c r="U480" s="495"/>
      <c r="V480" s="495" t="str">
        <f>IFERROR(__xludf.DUMMYFUNCTION("""COMPUTED_VALUE"""),"cobro de retenciones de obra")</f>
        <v>cobro de retenciones de obra</v>
      </c>
      <c r="W480" s="495"/>
      <c r="X480" s="499" t="str">
        <f>IFERROR(__xludf.DUMMYFUNCTION("""COMPUTED_VALUE"""),"https://drive.google.com/open?id=1vz60JfUjAD6ebhW53OCnPLCAD9hvKFDM")</f>
        <v>https://drive.google.com/open?id=1vz60JfUjAD6ebhW53OCnPLCAD9hvKFDM</v>
      </c>
      <c r="Y480" s="495" t="str">
        <f>IFERROR(__xludf.DUMMYFUNCTION("""COMPUTED_VALUE"""),"luissaez@LSAingenieria.cl")</f>
        <v>luissaez@LSAingenieria.cl</v>
      </c>
      <c r="Z480" s="498">
        <f>IFERROR(__xludf.DUMMYFUNCTION("""COMPUTED_VALUE"""),4.40829987E9)</f>
        <v>4408299870</v>
      </c>
      <c r="AA480" s="495"/>
      <c r="AB480" s="495"/>
      <c r="AC480" s="495"/>
      <c r="AD480" s="495" t="str">
        <f>IFERROR(__xludf.DUMMYFUNCTION("""COMPUTED_VALUE"""),"RC-158_26")</f>
        <v>RC-158_26</v>
      </c>
    </row>
    <row r="481">
      <c r="A481" s="495" t="str">
        <f t="shared" si="1"/>
        <v>RC-159_26</v>
      </c>
      <c r="B481" s="497">
        <f>IFERROR(__xludf.DUMMYFUNCTION("""COMPUTED_VALUE"""),46149.682883483794)</f>
        <v>46149.68288</v>
      </c>
      <c r="C481" s="495" t="str">
        <f>IFERROR(__xludf.DUMMYFUNCTION("""COMPUTED_VALUE"""),"")</f>
        <v/>
      </c>
      <c r="D481" s="495" t="str">
        <f>IFERROR(__xludf.DUMMYFUNCTION("""COMPUTED_VALUE"""),"Juan Ignacio Solís de Ovando")</f>
        <v>Juan Ignacio Solís de Ovando</v>
      </c>
      <c r="E481" s="495"/>
      <c r="F481" s="496" t="str">
        <f>IFERROR(__xludf.DUMMYFUNCTION("""COMPUTED_VALUE"""),"8022-2024")</f>
        <v>8022-2024</v>
      </c>
      <c r="G481" s="495"/>
      <c r="H481" s="495"/>
      <c r="I481" s="495"/>
      <c r="J481" s="495" t="str">
        <f>IFERROR(__xludf.DUMMYFUNCTION("""COMPUTED_VALUE"""),"Campus Dr. Luis Rivas del Canto - CRC")</f>
        <v>Campus Dr. Luis Rivas del Canto - CRC</v>
      </c>
      <c r="K481" s="495">
        <f>IFERROR(__xludf.DUMMYFUNCTION("""COMPUTED_VALUE"""),10.0)</f>
        <v>10</v>
      </c>
      <c r="L481" s="495" t="str">
        <f>IFERROR(__xludf.DUMMYFUNCTION("""COMPUTED_VALUE"""),"luis saez allendes ingenieria y construccion eirl")</f>
        <v>luis saez allendes ingenieria y construccion eirl</v>
      </c>
      <c r="M481" s="495" t="str">
        <f>IFERROR(__xludf.DUMMYFUNCTION("""COMPUTED_VALUE"""),"76.219.281-0")</f>
        <v>76.219.281-0</v>
      </c>
      <c r="N481" s="495" t="str">
        <f>IFERROR(__xludf.DUMMYFUNCTION("""COMPUTED_VALUE"""),"Luis Sáez Allendes - representante legal")</f>
        <v>Luis Sáez Allendes - representante legal</v>
      </c>
      <c r="O481" s="495" t="str">
        <f>IFERROR(__xludf.DUMMYFUNCTION("""COMPUTED_VALUE"""),"Obras y Especialidades")</f>
        <v>Obras y Especialidades</v>
      </c>
      <c r="P481" s="495"/>
      <c r="Q481" s="495"/>
      <c r="R481" s="495" t="str">
        <f>IFERROR(__xludf.DUMMYFUNCTION("""COMPUTED_VALUE"""),"Nuevo Edificio")</f>
        <v>Nuevo Edificio</v>
      </c>
      <c r="S481" s="495" t="str">
        <f>IFERROR(__xludf.DUMMYFUNCTION("""COMPUTED_VALUE"""),"Estado de Pago - EP")</f>
        <v>Estado de Pago - EP</v>
      </c>
      <c r="T481" s="495">
        <f>IFERROR(__xludf.DUMMYFUNCTION("""COMPUTED_VALUE"""),20.0)</f>
        <v>20</v>
      </c>
      <c r="U481" s="498">
        <f>IFERROR(__xludf.DUMMYFUNCTION("""COMPUTED_VALUE"""),2.20415164E8)</f>
        <v>220415164</v>
      </c>
      <c r="V481" s="495" t="str">
        <f>IFERROR(__xludf.DUMMYFUNCTION("""COMPUTED_VALUE"""),"CONSTRUCCION NUEVO EDIFICIO FACULTA DE INGENIERIA ")</f>
        <v>CONSTRUCCION NUEVO EDIFICIO FACULTA DE INGENIERIA </v>
      </c>
      <c r="W481" s="495" t="str">
        <f>IFERROR(__xludf.DUMMYFUNCTION("""COMPUTED_VALUE"""),"ESTADO DE PAGO RETENCIONES DE OBRA")</f>
        <v>ESTADO DE PAGO RETENCIONES DE OBRA</v>
      </c>
      <c r="X481" s="499" t="str">
        <f>IFERROR(__xludf.DUMMYFUNCTION("""COMPUTED_VALUE"""),"https://drive.google.com/open?id=1lc5ncNFU0L0Pd7o8yZgcimfZ4R9kqT1I")</f>
        <v>https://drive.google.com/open?id=1lc5ncNFU0L0Pd7o8yZgcimfZ4R9kqT1I</v>
      </c>
      <c r="Y481" s="495" t="str">
        <f>IFERROR(__xludf.DUMMYFUNCTION("""COMPUTED_VALUE"""),"luissaez@lsaingenieria.cl")</f>
        <v>luissaez@lsaingenieria.cl</v>
      </c>
      <c r="Z481" s="498">
        <f>IFERROR(__xludf.DUMMYFUNCTION("""COMPUTED_VALUE"""),4.40829987E9)</f>
        <v>4408299870</v>
      </c>
      <c r="AA481" s="495"/>
      <c r="AB481" s="495"/>
      <c r="AC481" s="495"/>
      <c r="AD481" s="495" t="str">
        <f>IFERROR(__xludf.DUMMYFUNCTION("""COMPUTED_VALUE"""),"RC-159_26")</f>
        <v>RC-159_26</v>
      </c>
    </row>
    <row r="482">
      <c r="A482" s="495" t="str">
        <f t="shared" si="1"/>
        <v>RC-154</v>
      </c>
      <c r="B482" s="497">
        <f>IFERROR(__xludf.DUMMYFUNCTION("""COMPUTED_VALUE"""),46010.425365601855)</f>
        <v>46010.42537</v>
      </c>
      <c r="C482" s="495" t="str">
        <f>IFERROR(__xludf.DUMMYFUNCTION("""COMPUTED_VALUE"""),"")</f>
        <v/>
      </c>
      <c r="D482" s="495" t="str">
        <f>IFERROR(__xludf.DUMMYFUNCTION("""COMPUTED_VALUE"""),"Carol Huenchual Chañilao")</f>
        <v>Carol Huenchual Chañilao</v>
      </c>
      <c r="E482" s="495"/>
      <c r="F482" s="496" t="str">
        <f>IFERROR(__xludf.DUMMYFUNCTION("""COMPUTED_VALUE"""),"12235-2025")</f>
        <v>12235-2025</v>
      </c>
      <c r="G482" s="495"/>
      <c r="H482" s="495"/>
      <c r="I482" s="495"/>
      <c r="J482" s="495" t="str">
        <f>IFERROR(__xludf.DUMMYFUNCTION("""COMPUTED_VALUE"""),"Campus San Juan Pablo II - CJP")</f>
        <v>Campus San Juan Pablo II - CJP</v>
      </c>
      <c r="K482" s="495" t="str">
        <f>IFERROR(__xludf.DUMMYFUNCTION("""COMPUTED_VALUE"""),"04")</f>
        <v>04</v>
      </c>
      <c r="L482" s="495" t="str">
        <f>IFERROR(__xludf.DUMMYFUNCTION("""COMPUTED_VALUE"""),"Flavia Oyarzun Soto ")</f>
        <v>Flavia Oyarzun Soto </v>
      </c>
      <c r="M482" s="495" t="str">
        <f>IFERROR(__xludf.DUMMYFUNCTION("""COMPUTED_VALUE"""),"5.503.590-3 ")</f>
        <v>5.503.590-3 </v>
      </c>
      <c r="N482" s="495" t="str">
        <f>IFERROR(__xludf.DUMMYFUNCTION("""COMPUTED_VALUE"""),"Roberto Lassalle ")</f>
        <v>Roberto Lassalle </v>
      </c>
      <c r="O482" s="495" t="str">
        <f>IFERROR(__xludf.DUMMYFUNCTION("""COMPUTED_VALUE"""),"Mantenciones")</f>
        <v>Mantenciones</v>
      </c>
      <c r="P482" s="495" t="str">
        <f>IFERROR(__xludf.DUMMYFUNCTION("""COMPUTED_VALUE"""),"Terminaciones Interiores")</f>
        <v>Terminaciones Interiores</v>
      </c>
      <c r="Q482" s="495"/>
      <c r="R482" s="495"/>
      <c r="S482" s="495"/>
      <c r="T482" s="495"/>
      <c r="U482" s="495"/>
      <c r="V482" s="495" t="str">
        <f>IFERROR(__xludf.DUMMYFUNCTION("""COMPUTED_VALUE"""),"Aplicación de pintura interior en muros cubículos estudiantes, solicitado por inkatun")</f>
        <v>Aplicación de pintura interior en muros cubículos estudiantes, solicitado por inkatun</v>
      </c>
      <c r="W482" s="495" t="str">
        <f>IFERROR(__xludf.DUMMYFUNCTION("""COMPUTED_VALUE"""),"Se entrega trabajo en terreno")</f>
        <v>Se entrega trabajo en terreno</v>
      </c>
      <c r="X482" s="495" t="str">
        <f>IFERROR(__xludf.DUMMYFUNCTION("""COMPUTED_VALUE"""),"https://drive.google.com/open?id=1D0eM60e-7xwOAWPdJLIWQx4Q8lr3w8Q1, https://drive.google.com/open?id=164QKQDHCgWYrTySKSnomKi3Rt2QSFRSE, https://drive.google.com/open?id=1A5YNeRyW3gnwbJ8Af0BhkT0QpSPpwO-b, https://drive.google.com/open?id=1FxkChYiNeaQHdI9rZ"&amp;"EUL9xptQvQ2J4xm, https://drive.google.com/open?id=1JXtd3dPAkrRnr6pekJOLFfUeRZyZBnT8")</f>
        <v>https://drive.google.com/open?id=1D0eM60e-7xwOAWPdJLIWQx4Q8lr3w8Q1, https://drive.google.com/open?id=164QKQDHCgWYrTySKSnomKi3Rt2QSFRSE, https://drive.google.com/open?id=1A5YNeRyW3gnwbJ8Af0BhkT0QpSPpwO-b, https://drive.google.com/open?id=1FxkChYiNeaQHdI9rZEUL9xptQvQ2J4xm, https://drive.google.com/open?id=1JXtd3dPAkrRnr6pekJOLFfUeRZyZBnT8</v>
      </c>
      <c r="Y482" s="495" t="str">
        <f>IFERROR(__xludf.DUMMYFUNCTION("""COMPUTED_VALUE"""),"roberto.lassalle@gmail.com")</f>
        <v>roberto.lassalle@gmail.com</v>
      </c>
      <c r="Z482" s="495"/>
      <c r="AA482" s="495"/>
      <c r="AB482" s="495"/>
      <c r="AC482" s="495"/>
      <c r="AD482" s="495" t="str">
        <f>IFERROR(__xludf.DUMMYFUNCTION("""COMPUTED_VALUE"""),"RC-154")</f>
        <v>RC-154</v>
      </c>
    </row>
    <row r="483">
      <c r="A483" s="495" t="str">
        <f t="shared" si="1"/>
        <v>RC-152</v>
      </c>
      <c r="B483" s="497">
        <f>IFERROR(__xludf.DUMMYFUNCTION("""COMPUTED_VALUE"""),46009.01549420139)</f>
        <v>46009.01549</v>
      </c>
      <c r="C483" s="495" t="str">
        <f>IFERROR(__xludf.DUMMYFUNCTION("""COMPUTED_VALUE"""),"")</f>
        <v/>
      </c>
      <c r="D483" s="495" t="str">
        <f>IFERROR(__xludf.DUMMYFUNCTION("""COMPUTED_VALUE"""),"Mauricio Zurita Aldea")</f>
        <v>Mauricio Zurita Aldea</v>
      </c>
      <c r="E483" s="495"/>
      <c r="F483" s="496" t="str">
        <f>IFERROR(__xludf.DUMMYFUNCTION("""COMPUTED_VALUE"""),"12361-2025")</f>
        <v>12361-2025</v>
      </c>
      <c r="G483" s="495"/>
      <c r="H483" s="495"/>
      <c r="I483" s="495"/>
      <c r="J483" s="495" t="str">
        <f>IFERROR(__xludf.DUMMYFUNCTION("""COMPUTED_VALUE"""),"Campus San Juan Pablo II - CJP")</f>
        <v>Campus San Juan Pablo II - CJP</v>
      </c>
      <c r="K483" s="495">
        <f>IFERROR(__xludf.DUMMYFUNCTION("""COMPUTED_VALUE"""),10.0)</f>
        <v>10</v>
      </c>
      <c r="L483" s="495" t="str">
        <f>IFERROR(__xludf.DUMMYFUNCTION("""COMPUTED_VALUE"""),"INGENIERIA Y CONSTRUCCIONES ELEKTRICA SPA")</f>
        <v>INGENIERIA Y CONSTRUCCIONES ELEKTRICA SPA</v>
      </c>
      <c r="M483" s="495" t="str">
        <f>IFERROR(__xludf.DUMMYFUNCTION("""COMPUTED_VALUE"""),"76.884.395-3")</f>
        <v>76.884.395-3</v>
      </c>
      <c r="N483" s="495" t="str">
        <f>IFERROR(__xludf.DUMMYFUNCTION("""COMPUTED_VALUE"""),"Marco Paine Salgado- Gerente")</f>
        <v>Marco Paine Salgado- Gerente</v>
      </c>
      <c r="O483" s="495" t="str">
        <f>IFERROR(__xludf.DUMMYFUNCTION("""COMPUTED_VALUE"""),"Mantenciones")</f>
        <v>Mantenciones</v>
      </c>
      <c r="P483" s="495" t="str">
        <f>IFERROR(__xludf.DUMMYFUNCTION("""COMPUTED_VALUE"""),"Instalaciones Eléctricas")</f>
        <v>Instalaciones Eléctricas</v>
      </c>
      <c r="Q483" s="495"/>
      <c r="R483" s="495"/>
      <c r="S483" s="495"/>
      <c r="T483" s="495"/>
      <c r="U483" s="495"/>
      <c r="V483" s="495" t="str">
        <f>IFERROR(__xludf.DUMMYFUNCTION("""COMPUTED_VALUE"""),"Reemplazo de barra tetrapolar por daños de sobrecalentamiento eléctrico, en tercer piso de edifico N°10 ")</f>
        <v>Reemplazo de barra tetrapolar por daños de sobrecalentamiento eléctrico, en tercer piso de edifico N°10 </v>
      </c>
      <c r="W483" s="495" t="str">
        <f>IFERROR(__xludf.DUMMYFUNCTION("""COMPUTED_VALUE"""),"Realizar mantención preventiva de reapriete de terminales y conexiones")</f>
        <v>Realizar mantención preventiva de reapriete de terminales y conexiones</v>
      </c>
      <c r="X483" s="495" t="str">
        <f>IFERROR(__xludf.DUMMYFUNCTION("""COMPUTED_VALUE"""),"https://drive.google.com/open?id=1EQ8MEaLoyV6DvNcFFouNcl_EipC6Wtkg, https://drive.google.com/open?id=12hP-w276dDumPZugAp9_I1Bqb2o3BVUr")</f>
        <v>https://drive.google.com/open?id=1EQ8MEaLoyV6DvNcFFouNcl_EipC6Wtkg, https://drive.google.com/open?id=12hP-w276dDumPZugAp9_I1Bqb2o3BVUr</v>
      </c>
      <c r="Y483" s="495" t="str">
        <f>IFERROR(__xludf.DUMMYFUNCTION("""COMPUTED_VALUE"""),"marcopaine@gmail.com")</f>
        <v>marcopaine@gmail.com</v>
      </c>
      <c r="Z483" s="495"/>
      <c r="AA483" s="495"/>
      <c r="AB483" s="495"/>
      <c r="AC483" s="495"/>
      <c r="AD483" s="495" t="str">
        <f>IFERROR(__xludf.DUMMYFUNCTION("""COMPUTED_VALUE"""),"RC-152")</f>
        <v>RC-152</v>
      </c>
    </row>
    <row r="484">
      <c r="A484" s="495" t="str">
        <f t="shared" si="1"/>
        <v>RC-151</v>
      </c>
      <c r="B484" s="497">
        <f>IFERROR(__xludf.DUMMYFUNCTION("""COMPUTED_VALUE"""),46008.72316850694)</f>
        <v>46008.72317</v>
      </c>
      <c r="C484" s="495" t="str">
        <f>IFERROR(__xludf.DUMMYFUNCTION("""COMPUTED_VALUE"""),"")</f>
        <v/>
      </c>
      <c r="D484" s="495" t="str">
        <f>IFERROR(__xludf.DUMMYFUNCTION("""COMPUTED_VALUE"""),"Mauricio Zurita Aldea")</f>
        <v>Mauricio Zurita Aldea</v>
      </c>
      <c r="E484" s="495"/>
      <c r="F484" s="496">
        <f>IFERROR(__xludf.DUMMYFUNCTION("""COMPUTED_VALUE"""),12356.0)</f>
        <v>12356</v>
      </c>
      <c r="G484" s="495"/>
      <c r="H484" s="495"/>
      <c r="I484" s="495"/>
      <c r="J484" s="495" t="str">
        <f>IFERROR(__xludf.DUMMYFUNCTION("""COMPUTED_VALUE"""),"Campus Educación Continua - CEC")</f>
        <v>Campus Educación Continua - CEC</v>
      </c>
      <c r="K484" s="495" t="str">
        <f>IFERROR(__xludf.DUMMYFUNCTION("""COMPUTED_VALUE"""),"01")</f>
        <v>01</v>
      </c>
      <c r="L484" s="495" t="str">
        <f>IFERROR(__xludf.DUMMYFUNCTION("""COMPUTED_VALUE"""),"Gyg servicios spa.")</f>
        <v>Gyg servicios spa.</v>
      </c>
      <c r="M484" s="495" t="str">
        <f>IFERROR(__xludf.DUMMYFUNCTION("""COMPUTED_VALUE"""),"77.215.624-3")</f>
        <v>77.215.624-3</v>
      </c>
      <c r="N484" s="495" t="str">
        <f>IFERROR(__xludf.DUMMYFUNCTION("""COMPUTED_VALUE"""),"Gustavo Fuentes")</f>
        <v>Gustavo Fuentes</v>
      </c>
      <c r="O484" s="495" t="str">
        <f>IFERROR(__xludf.DUMMYFUNCTION("""COMPUTED_VALUE"""),"Mantenciones")</f>
        <v>Mantenciones</v>
      </c>
      <c r="P484" s="495" t="str">
        <f>IFERROR(__xludf.DUMMYFUNCTION("""COMPUTED_VALUE"""),"Instalaciones Eléctricas")</f>
        <v>Instalaciones Eléctricas</v>
      </c>
      <c r="Q484" s="495"/>
      <c r="R484" s="495"/>
      <c r="S484" s="495"/>
      <c r="T484" s="495"/>
      <c r="U484" s="495"/>
      <c r="V484" s="495" t="str">
        <f>IFERROR(__xludf.DUMMYFUNCTION("""COMPUTED_VALUE"""),"Instalación punto eléctrico y red of cec147")</f>
        <v>Instalación punto eléctrico y red of cec147</v>
      </c>
      <c r="W484" s="495"/>
      <c r="X484" s="495" t="str">
        <f>IFERROR(__xludf.DUMMYFUNCTION("""COMPUTED_VALUE"""),"https://drive.google.com/open?id=1K3DSn6g3Konz_ssnDQxIsjiowjl3oWqk, https://drive.google.com/open?id=1k4VhUbewiMURxseezc_8-1N_gpfLIY_7, https://drive.google.com/open?id=11tXFq7uj-hiWsHQcEhbpTF2MSSzdeKZy")</f>
        <v>https://drive.google.com/open?id=1K3DSn6g3Konz_ssnDQxIsjiowjl3oWqk, https://drive.google.com/open?id=1k4VhUbewiMURxseezc_8-1N_gpfLIY_7, https://drive.google.com/open?id=11tXFq7uj-hiWsHQcEhbpTF2MSSzdeKZy</v>
      </c>
      <c r="Y484" s="495" t="str">
        <f>IFERROR(__xludf.DUMMYFUNCTION("""COMPUTED_VALUE"""),"contacto@gygtecnologias.com")</f>
        <v>contacto@gygtecnologias.com</v>
      </c>
      <c r="Z484" s="495"/>
      <c r="AA484" s="495"/>
      <c r="AB484" s="495"/>
      <c r="AC484" s="495"/>
      <c r="AD484" s="495" t="str">
        <f>IFERROR(__xludf.DUMMYFUNCTION("""COMPUTED_VALUE"""),"RC-151")</f>
        <v>RC-151</v>
      </c>
    </row>
    <row r="485">
      <c r="A485" s="495" t="str">
        <f t="shared" si="1"/>
        <v>RC-150</v>
      </c>
      <c r="B485" s="497">
        <f>IFERROR(__xludf.DUMMYFUNCTION("""COMPUTED_VALUE"""),46008.71589864584)</f>
        <v>46008.7159</v>
      </c>
      <c r="C485" s="495" t="str">
        <f>IFERROR(__xludf.DUMMYFUNCTION("""COMPUTED_VALUE"""),"")</f>
        <v/>
      </c>
      <c r="D485" s="495" t="str">
        <f>IFERROR(__xludf.DUMMYFUNCTION("""COMPUTED_VALUE"""),"Carol Huenchual Chañilao")</f>
        <v>Carol Huenchual Chañilao</v>
      </c>
      <c r="E485" s="495"/>
      <c r="F485" s="496" t="str">
        <f>IFERROR(__xludf.DUMMYFUNCTION("""COMPUTED_VALUE"""),"12956-2025")</f>
        <v>12956-2025</v>
      </c>
      <c r="G485" s="495"/>
      <c r="H485" s="495"/>
      <c r="I485" s="495"/>
      <c r="J485" s="495" t="str">
        <f>IFERROR(__xludf.DUMMYFUNCTION("""COMPUTED_VALUE"""),"Campus Dr. Luis Rivas del Canto - CRC")</f>
        <v>Campus Dr. Luis Rivas del Canto - CRC</v>
      </c>
      <c r="K485" s="495" t="str">
        <f>IFERROR(__xludf.DUMMYFUNCTION("""COMPUTED_VALUE"""),"01")</f>
        <v>01</v>
      </c>
      <c r="L485" s="495" t="str">
        <f>IFERROR(__xludf.DUMMYFUNCTION("""COMPUTED_VALUE"""),"Flavia Oyarzun Soto ")</f>
        <v>Flavia Oyarzun Soto </v>
      </c>
      <c r="M485" s="495" t="str">
        <f>IFERROR(__xludf.DUMMYFUNCTION("""COMPUTED_VALUE"""),"5.503.590-3 ")</f>
        <v>5.503.590-3 </v>
      </c>
      <c r="N485" s="495" t="str">
        <f>IFERROR(__xludf.DUMMYFUNCTION("""COMPUTED_VALUE"""),"Roberto Lassalle ")</f>
        <v>Roberto Lassalle </v>
      </c>
      <c r="O485" s="495" t="str">
        <f>IFERROR(__xludf.DUMMYFUNCTION("""COMPUTED_VALUE"""),"Mantenciones")</f>
        <v>Mantenciones</v>
      </c>
      <c r="P485" s="495" t="str">
        <f>IFERROR(__xludf.DUMMYFUNCTION("""COMPUTED_VALUE"""),"Suelos")</f>
        <v>Suelos</v>
      </c>
      <c r="Q485" s="495"/>
      <c r="R485" s="495"/>
      <c r="S485" s="495"/>
      <c r="T485" s="495"/>
      <c r="U485" s="495"/>
      <c r="V485" s="495" t="str">
        <f>IFERROR(__xludf.DUMMYFUNCTION("""COMPUTED_VALUE"""),"Reposición tapa cámara de hormigón ")</f>
        <v>Reposición tapa cámara de hormigón </v>
      </c>
      <c r="W485" s="495" t="str">
        <f>IFERROR(__xludf.DUMMYFUNCTION("""COMPUTED_VALUE"""),"Se adjunta imágenes ")</f>
        <v>Se adjunta imágenes </v>
      </c>
      <c r="X485" s="499" t="str">
        <f>IFERROR(__xludf.DUMMYFUNCTION("""COMPUTED_VALUE"""),"https://drive.google.com/open?id=1_OrfMKcEWuQsg7Q5zz15XZBVde9fvxfM")</f>
        <v>https://drive.google.com/open?id=1_OrfMKcEWuQsg7Q5zz15XZBVde9fvxfM</v>
      </c>
      <c r="Y485" s="495" t="str">
        <f>IFERROR(__xludf.DUMMYFUNCTION("""COMPUTED_VALUE"""),"roberto.lassalle@gmail.com")</f>
        <v>roberto.lassalle@gmail.com</v>
      </c>
      <c r="Z485" s="495"/>
      <c r="AA485" s="495"/>
      <c r="AB485" s="495"/>
      <c r="AC485" s="495"/>
      <c r="AD485" s="495" t="str">
        <f>IFERROR(__xludf.DUMMYFUNCTION("""COMPUTED_VALUE"""),"RC-150")</f>
        <v>RC-150</v>
      </c>
    </row>
    <row r="486">
      <c r="A486" s="495" t="str">
        <f t="shared" si="1"/>
        <v>RC-149</v>
      </c>
      <c r="B486" s="497">
        <f>IFERROR(__xludf.DUMMYFUNCTION("""COMPUTED_VALUE"""),46008.70219609953)</f>
        <v>46008.7022</v>
      </c>
      <c r="C486" s="495" t="str">
        <f>IFERROR(__xludf.DUMMYFUNCTION("""COMPUTED_VALUE"""),"")</f>
        <v/>
      </c>
      <c r="D486" s="495" t="str">
        <f>IFERROR(__xludf.DUMMYFUNCTION("""COMPUTED_VALUE"""),"Mauricio Zurita Aldea")</f>
        <v>Mauricio Zurita Aldea</v>
      </c>
      <c r="E486" s="495"/>
      <c r="F486" s="496" t="str">
        <f>IFERROR(__xludf.DUMMYFUNCTION("""COMPUTED_VALUE"""),"12904-2025")</f>
        <v>12904-2025</v>
      </c>
      <c r="G486" s="495"/>
      <c r="H486" s="495"/>
      <c r="I486" s="495"/>
      <c r="J486" s="495" t="str">
        <f>IFERROR(__xludf.DUMMYFUNCTION("""COMPUTED_VALUE"""),"Campus San Francisco - CSF")</f>
        <v>Campus San Francisco - CSF</v>
      </c>
      <c r="K486" s="495" t="str">
        <f>IFERROR(__xludf.DUMMYFUNCTION("""COMPUTED_VALUE"""),"01")</f>
        <v>01</v>
      </c>
      <c r="L486" s="495" t="str">
        <f>IFERROR(__xludf.DUMMYFUNCTION("""COMPUTED_VALUE"""),"Gyg servicios spa.")</f>
        <v>Gyg servicios spa.</v>
      </c>
      <c r="M486" s="495" t="str">
        <f>IFERROR(__xludf.DUMMYFUNCTION("""COMPUTED_VALUE"""),"77.215.624-3")</f>
        <v>77.215.624-3</v>
      </c>
      <c r="N486" s="495" t="str">
        <f>IFERROR(__xludf.DUMMYFUNCTION("""COMPUTED_VALUE"""),"Gerardo Paillalef")</f>
        <v>Gerardo Paillalef</v>
      </c>
      <c r="O486" s="495" t="str">
        <f>IFERROR(__xludf.DUMMYFUNCTION("""COMPUTED_VALUE"""),"Mantenciones")</f>
        <v>Mantenciones</v>
      </c>
      <c r="P486" s="495" t="str">
        <f>IFERROR(__xludf.DUMMYFUNCTION("""COMPUTED_VALUE"""),"Instalaciones Eléctricas")</f>
        <v>Instalaciones Eléctricas</v>
      </c>
      <c r="Q486" s="495"/>
      <c r="R486" s="495"/>
      <c r="S486" s="495"/>
      <c r="T486" s="495"/>
      <c r="U486" s="495"/>
      <c r="V486" s="495" t="str">
        <f>IFERROR(__xludf.DUMMYFUNCTION("""COMPUTED_VALUE"""),"Instalación de punto de red y rack de comunicaciones ")</f>
        <v>Instalación de punto de red y rack de comunicaciones </v>
      </c>
      <c r="W486" s="495"/>
      <c r="X486" s="495" t="str">
        <f>IFERROR(__xludf.DUMMYFUNCTION("""COMPUTED_VALUE"""),"https://drive.google.com/open?id=18GQplljgRRxvVES1UQanKTC_7ozNga3C, https://drive.google.com/open?id=1FSJ0bNm4bGw5yduyXanRyCr3eRG730fI, https://drive.google.com/open?id=1RpJlS6mC_EG2Pz_Tly7R9Ffl2Gj1jTt-, https://drive.google.com/open?id=1SuaVpBg9NTUUj9Y42"&amp;"JZTki9bL8TS9YDb, https://drive.google.com/open?id=199NCyZRkjn4cqaneamt9uv4pzprIg1Qo")</f>
        <v>https://drive.google.com/open?id=18GQplljgRRxvVES1UQanKTC_7ozNga3C, https://drive.google.com/open?id=1FSJ0bNm4bGw5yduyXanRyCr3eRG730fI, https://drive.google.com/open?id=1RpJlS6mC_EG2Pz_Tly7R9Ffl2Gj1jTt-, https://drive.google.com/open?id=1SuaVpBg9NTUUj9Y42JZTki9bL8TS9YDb, https://drive.google.com/open?id=199NCyZRkjn4cqaneamt9uv4pzprIg1Qo</v>
      </c>
      <c r="Y486" s="495" t="str">
        <f>IFERROR(__xludf.DUMMYFUNCTION("""COMPUTED_VALUE"""),"contacto@gygtecnologias.com")</f>
        <v>contacto@gygtecnologias.com</v>
      </c>
      <c r="Z486" s="495"/>
      <c r="AA486" s="495"/>
      <c r="AB486" s="495"/>
      <c r="AC486" s="495"/>
      <c r="AD486" s="495" t="str">
        <f>IFERROR(__xludf.DUMMYFUNCTION("""COMPUTED_VALUE"""),"RC-149")</f>
        <v>RC-149</v>
      </c>
    </row>
    <row r="487">
      <c r="A487" s="495" t="str">
        <f t="shared" si="1"/>
        <v>RC-147</v>
      </c>
      <c r="B487" s="497">
        <f>IFERROR(__xludf.DUMMYFUNCTION("""COMPUTED_VALUE"""),46008.49831473379)</f>
        <v>46008.49831</v>
      </c>
      <c r="C487" s="495" t="str">
        <f>IFERROR(__xludf.DUMMYFUNCTION("""COMPUTED_VALUE"""),"")</f>
        <v/>
      </c>
      <c r="D487" s="495" t="str">
        <f>IFERROR(__xludf.DUMMYFUNCTION("""COMPUTED_VALUE"""),"Carol Huenchual Chañilao")</f>
        <v>Carol Huenchual Chañilao</v>
      </c>
      <c r="E487" s="495"/>
      <c r="F487" s="496" t="str">
        <f>IFERROR(__xludf.DUMMYFUNCTION("""COMPUTED_VALUE"""),"13088 - 2025")</f>
        <v>13088 - 2025</v>
      </c>
      <c r="G487" s="495"/>
      <c r="H487" s="495"/>
      <c r="I487" s="495"/>
      <c r="J487" s="495" t="str">
        <f>IFERROR(__xludf.DUMMYFUNCTION("""COMPUTED_VALUE"""),"Campus San Juan Pablo II - CJP")</f>
        <v>Campus San Juan Pablo II - CJP</v>
      </c>
      <c r="K487" s="495" t="str">
        <f>IFERROR(__xludf.DUMMYFUNCTION("""COMPUTED_VALUE"""),"Exterior")</f>
        <v>Exterior</v>
      </c>
      <c r="L487" s="495" t="str">
        <f>IFERROR(__xludf.DUMMYFUNCTION("""COMPUTED_VALUE"""),"Empresa Constructora IGECE Ltda.")</f>
        <v>Empresa Constructora IGECE Ltda.</v>
      </c>
      <c r="M487" s="495" t="str">
        <f>IFERROR(__xludf.DUMMYFUNCTION("""COMPUTED_VALUE"""),"76.878.824-3")</f>
        <v>76.878.824-3</v>
      </c>
      <c r="N487" s="495" t="str">
        <f>IFERROR(__xludf.DUMMYFUNCTION("""COMPUTED_VALUE"""),"Carlos Troncoso _ Gerente General ")</f>
        <v>Carlos Troncoso _ Gerente General </v>
      </c>
      <c r="O487" s="495" t="str">
        <f>IFERROR(__xludf.DUMMYFUNCTION("""COMPUTED_VALUE"""),"Mantenciones")</f>
        <v>Mantenciones</v>
      </c>
      <c r="P487" s="495" t="str">
        <f>IFERROR(__xludf.DUMMYFUNCTION("""COMPUTED_VALUE"""),"Cubiertas")</f>
        <v>Cubiertas</v>
      </c>
      <c r="Q487" s="495"/>
      <c r="R487" s="495"/>
      <c r="S487" s="495"/>
      <c r="T487" s="495"/>
      <c r="U487" s="495"/>
      <c r="V487" s="495" t="str">
        <f>IFERROR(__xludf.DUMMYFUNCTION("""COMPUTED_VALUE"""),"-Retiro planchas Zinc, retiro terciado, sellos, inspección cubierta distintos sectores, cambio tornillos, una vez ya trabaja la área de filtración, se procede a realizar el tapado y sellos.
-Cambio Forros dañados en cielo y laterales de ventana 
-pintura "&amp;"muros + cielo + guardapolvo 
-reparación 2 lucarnas
")</f>
        <v>-Retiro planchas Zinc, retiro terciado, sellos, inspección cubierta distintos sectores, cambio tornillos, una vez ya trabaja la área de filtración, se procede a realizar el tapado y sellos.
-Cambio Forros dañados en cielo y laterales de ventana 
-pintura muros + cielo + guardapolvo 
-reparación 2 lucarnas
</v>
      </c>
      <c r="W487" s="495"/>
      <c r="X487" s="495" t="str">
        <f>IFERROR(__xludf.DUMMYFUNCTION("""COMPUTED_VALUE"""),"https://drive.google.com/open?id=1P_DMe4G-RgKkXsN2j_0DUguUUZ5gdFRt, https://drive.google.com/open?id=17vSpWXXZkrbBxZ1xKxkVdmR-LXAuDx55, https://drive.google.com/open?id=1PbyfuwndqssXt2LjzJVDG1px0qhiTnNq")</f>
        <v>https://drive.google.com/open?id=1P_DMe4G-RgKkXsN2j_0DUguUUZ5gdFRt, https://drive.google.com/open?id=17vSpWXXZkrbBxZ1xKxkVdmR-LXAuDx55, https://drive.google.com/open?id=1PbyfuwndqssXt2LjzJVDG1px0qhiTnNq</v>
      </c>
      <c r="Y487" s="495" t="str">
        <f>IFERROR(__xludf.DUMMYFUNCTION("""COMPUTED_VALUE"""),"carlostroncosom@hotmail.com")</f>
        <v>carlostroncosom@hotmail.com</v>
      </c>
      <c r="Z487" s="495"/>
      <c r="AA487" s="495"/>
      <c r="AB487" s="495"/>
      <c r="AC487" s="495"/>
      <c r="AD487" s="495" t="str">
        <f>IFERROR(__xludf.DUMMYFUNCTION("""COMPUTED_VALUE"""),"RC-147")</f>
        <v>RC-147</v>
      </c>
    </row>
    <row r="488">
      <c r="A488" s="495" t="str">
        <f t="shared" si="1"/>
        <v>RC-146</v>
      </c>
      <c r="B488" s="497">
        <f>IFERROR(__xludf.DUMMYFUNCTION("""COMPUTED_VALUE"""),46008.49269638889)</f>
        <v>46008.4927</v>
      </c>
      <c r="C488" s="495" t="str">
        <f>IFERROR(__xludf.DUMMYFUNCTION("""COMPUTED_VALUE"""),"")</f>
        <v/>
      </c>
      <c r="D488" s="495" t="str">
        <f>IFERROR(__xludf.DUMMYFUNCTION("""COMPUTED_VALUE"""),"Carol Huenchual Chañilao")</f>
        <v>Carol Huenchual Chañilao</v>
      </c>
      <c r="E488" s="495"/>
      <c r="F488" s="496" t="str">
        <f>IFERROR(__xludf.DUMMYFUNCTION("""COMPUTED_VALUE"""),"13090 - 2025")</f>
        <v>13090 - 2025</v>
      </c>
      <c r="G488" s="495"/>
      <c r="H488" s="495"/>
      <c r="I488" s="495"/>
      <c r="J488" s="495" t="str">
        <f>IFERROR(__xludf.DUMMYFUNCTION("""COMPUTED_VALUE"""),"Campus San Juan Pablo II - CJP")</f>
        <v>Campus San Juan Pablo II - CJP</v>
      </c>
      <c r="K488" s="495">
        <f>IFERROR(__xludf.DUMMYFUNCTION("""COMPUTED_VALUE"""),10.0)</f>
        <v>10</v>
      </c>
      <c r="L488" s="495" t="str">
        <f>IFERROR(__xludf.DUMMYFUNCTION("""COMPUTED_VALUE"""),"Empresa Constructora IGECE Ltda.")</f>
        <v>Empresa Constructora IGECE Ltda.</v>
      </c>
      <c r="M488" s="495" t="str">
        <f>IFERROR(__xludf.DUMMYFUNCTION("""COMPUTED_VALUE"""),"76.878.824-3")</f>
        <v>76.878.824-3</v>
      </c>
      <c r="N488" s="495" t="str">
        <f>IFERROR(__xludf.DUMMYFUNCTION("""COMPUTED_VALUE"""),"Carlos Troncoso - Gerente General ")</f>
        <v>Carlos Troncoso - Gerente General </v>
      </c>
      <c r="O488" s="495" t="str">
        <f>IFERROR(__xludf.DUMMYFUNCTION("""COMPUTED_VALUE"""),"Mantenciones")</f>
        <v>Mantenciones</v>
      </c>
      <c r="P488" s="495" t="str">
        <f>IFERROR(__xludf.DUMMYFUNCTION("""COMPUTED_VALUE"""),"Cubiertas")</f>
        <v>Cubiertas</v>
      </c>
      <c r="Q488" s="495"/>
      <c r="R488" s="495"/>
      <c r="S488" s="495"/>
      <c r="T488" s="495"/>
      <c r="U488" s="495"/>
      <c r="V488" s="495" t="str">
        <f>IFERROR(__xludf.DUMMYFUNCTION("""COMPUTED_VALUE"""),"Realización Pruebas de agua - 1 Gatera para inspección cubierta - Retiro 100% revestimiento cubierta (plancha Zinc) - Limpieza cerchas - 2 manos de anticorrosivo triple acción negro cerchas - Cambio 4 planchas terciado - Instalación papel Tyvek 100% cubie"&amp;"rta - Reinstalación Planchas Zinc Cubierta - Cambio tornillos hexagonales - Corte EIFS para instalación hojalatería - Instalación hojalatería.")</f>
        <v>Realización Pruebas de agua - 1 Gatera para inspección cubierta - Retiro 100% revestimiento cubierta (plancha Zinc) - Limpieza cerchas - 2 manos de anticorrosivo triple acción negro cerchas - Cambio 4 planchas terciado - Instalación papel Tyvek 100% cubierta - Reinstalación Planchas Zinc Cubierta - Cambio tornillos hexagonales - Corte EIFS para instalación hojalatería - Instalación hojalatería.</v>
      </c>
      <c r="W488" s="495"/>
      <c r="X488" s="495" t="str">
        <f>IFERROR(__xludf.DUMMYFUNCTION("""COMPUTED_VALUE"""),"https://drive.google.com/open?id=1NiHEaezcENEqOkB3B-VbM-D6SZu1Y868, https://drive.google.com/open?id=1YYJJNYbkgSF6WVt8ygfBpUef_lMOr5LD, https://drive.google.com/open?id=1UoKweUfkFxbdoa4SVbut1boIsk95hFSK")</f>
        <v>https://drive.google.com/open?id=1NiHEaezcENEqOkB3B-VbM-D6SZu1Y868, https://drive.google.com/open?id=1YYJJNYbkgSF6WVt8ygfBpUef_lMOr5LD, https://drive.google.com/open?id=1UoKweUfkFxbdoa4SVbut1boIsk95hFSK</v>
      </c>
      <c r="Y488" s="495" t="str">
        <f>IFERROR(__xludf.DUMMYFUNCTION("""COMPUTED_VALUE"""),"carlostroncosom@hotmail.com")</f>
        <v>carlostroncosom@hotmail.com</v>
      </c>
      <c r="Z488" s="495"/>
      <c r="AA488" s="495"/>
      <c r="AB488" s="495"/>
      <c r="AC488" s="495"/>
      <c r="AD488" s="495" t="str">
        <f>IFERROR(__xludf.DUMMYFUNCTION("""COMPUTED_VALUE"""),"RC-146")</f>
        <v>RC-146</v>
      </c>
    </row>
    <row r="489">
      <c r="A489" s="495" t="str">
        <f t="shared" si="1"/>
        <v>RC-167_26</v>
      </c>
      <c r="B489" s="497">
        <f>IFERROR(__xludf.DUMMYFUNCTION("""COMPUTED_VALUE"""),46155.508362928245)</f>
        <v>46155.50836</v>
      </c>
      <c r="C489" s="495" t="str">
        <f>IFERROR(__xludf.DUMMYFUNCTION("""COMPUTED_VALUE"""),"")</f>
        <v/>
      </c>
      <c r="D489" s="495" t="str">
        <f>IFERROR(__xludf.DUMMYFUNCTION("""COMPUTED_VALUE"""),"Cristóbal Correa del Río")</f>
        <v>Cristóbal Correa del Río</v>
      </c>
      <c r="E489" s="495"/>
      <c r="F489" s="496" t="str">
        <f>IFERROR(__xludf.DUMMYFUNCTION("""COMPUTED_VALUE"""),"2771 - 2026")</f>
        <v>2771 - 2026</v>
      </c>
      <c r="G489" s="495"/>
      <c r="H489" s="495"/>
      <c r="I489" s="495"/>
      <c r="J489" s="495" t="str">
        <f>IFERROR(__xludf.DUMMYFUNCTION("""COMPUTED_VALUE"""),"Campus San Francisco - CSF")</f>
        <v>Campus San Francisco - CSF</v>
      </c>
      <c r="K489" s="495">
        <f>IFERROR(__xludf.DUMMYFUNCTION("""COMPUTED_VALUE"""),21.0)</f>
        <v>21</v>
      </c>
      <c r="L489" s="495" t="str">
        <f>IFERROR(__xludf.DUMMYFUNCTION("""COMPUTED_VALUE"""),"Constructora IGECE Ltda.")</f>
        <v>Constructora IGECE Ltda.</v>
      </c>
      <c r="M489" s="495" t="str">
        <f>IFERROR(__xludf.DUMMYFUNCTION("""COMPUTED_VALUE"""),"76.878.824-3")</f>
        <v>76.878.824-3</v>
      </c>
      <c r="N489" s="495" t="str">
        <f>IFERROR(__xludf.DUMMYFUNCTION("""COMPUTED_VALUE"""),"Carlos Troncoso - Gerente General ")</f>
        <v>Carlos Troncoso - Gerente General </v>
      </c>
      <c r="O489" s="495" t="str">
        <f>IFERROR(__xludf.DUMMYFUNCTION("""COMPUTED_VALUE"""),"Obras y Especialidades")</f>
        <v>Obras y Especialidades</v>
      </c>
      <c r="P489" s="495"/>
      <c r="Q489" s="495"/>
      <c r="R489" s="495" t="str">
        <f>IFERROR(__xludf.DUMMYFUNCTION("""COMPUTED_VALUE"""),"Exteriores")</f>
        <v>Exteriores</v>
      </c>
      <c r="S489" s="495" t="str">
        <f>IFERROR(__xludf.DUMMYFUNCTION("""COMPUTED_VALUE"""),"Recepción de Obra - RC")</f>
        <v>Recepción de Obra - RC</v>
      </c>
      <c r="T489" s="495"/>
      <c r="U489" s="495"/>
      <c r="V489" s="495" t="str">
        <f>IFERROR(__xludf.DUMMYFUNCTION("""COMPUTED_VALUE"""),"Instalación Gomas Reflectantes: Instalación 92 gomas reflectantes de
esquina caucho (Negro - Amarillo ), Fijación mediante pate poliuretano")</f>
        <v>Instalación Gomas Reflectantes: Instalación 92 gomas reflectantes de
esquina caucho (Negro - Amarillo ), Fijación mediante pate poliuretano</v>
      </c>
      <c r="W489" s="495"/>
      <c r="X489" s="495" t="str">
        <f>IFERROR(__xludf.DUMMYFUNCTION("""COMPUTED_VALUE"""),"https://drive.google.com/open?id=1C67If10PoaTfSFzPfQcdLQ5Vvfv9NxlK, https://drive.google.com/open?id=1Ldg1ivPPNZqsly_-_nWN1A2UhGGCXSTG, https://drive.google.com/open?id=1IwjxGyORosUgGJsF6TiwWXcT5H0t7-X6, https://drive.google.com/open?id=1NH7s7C0VjGEqG7484"&amp;"BOJDrDBwyI_4Rqd, https://drive.google.com/open?id=1q6foR7Krh-y_9n6F8lwcDCqaUcZoNT3p")</f>
        <v>https://drive.google.com/open?id=1C67If10PoaTfSFzPfQcdLQ5Vvfv9NxlK, https://drive.google.com/open?id=1Ldg1ivPPNZqsly_-_nWN1A2UhGGCXSTG, https://drive.google.com/open?id=1IwjxGyORosUgGJsF6TiwWXcT5H0t7-X6, https://drive.google.com/open?id=1NH7s7C0VjGEqG7484BOJDrDBwyI_4Rqd, https://drive.google.com/open?id=1q6foR7Krh-y_9n6F8lwcDCqaUcZoNT3p</v>
      </c>
      <c r="Y489" s="495" t="str">
        <f>IFERROR(__xludf.DUMMYFUNCTION("""COMPUTED_VALUE"""),"fabian.i.burgos.s@gmail.com")</f>
        <v>fabian.i.burgos.s@gmail.com</v>
      </c>
      <c r="Z489" s="498">
        <f>IFERROR(__xludf.DUMMYFUNCTION("""COMPUTED_VALUE"""),1427829.0)</f>
        <v>1427829</v>
      </c>
      <c r="AA489" s="495"/>
      <c r="AB489" s="495"/>
      <c r="AC489" s="495"/>
      <c r="AD489" s="495" t="str">
        <f>IFERROR(__xludf.DUMMYFUNCTION("""COMPUTED_VALUE"""),"RC-167_26")</f>
        <v>RC-167_26</v>
      </c>
    </row>
    <row r="490">
      <c r="A490" s="495" t="str">
        <f t="shared" si="1"/>
        <v>RC-145</v>
      </c>
      <c r="B490" s="497">
        <f>IFERROR(__xludf.DUMMYFUNCTION("""COMPUTED_VALUE"""),46008.48897060185)</f>
        <v>46008.48897</v>
      </c>
      <c r="C490" s="495" t="str">
        <f>IFERROR(__xludf.DUMMYFUNCTION("""COMPUTED_VALUE"""),"")</f>
        <v/>
      </c>
      <c r="D490" s="495" t="str">
        <f>IFERROR(__xludf.DUMMYFUNCTION("""COMPUTED_VALUE"""),"Carol Huenchual Chañilao")</f>
        <v>Carol Huenchual Chañilao</v>
      </c>
      <c r="E490" s="495"/>
      <c r="F490" s="496" t="str">
        <f>IFERROR(__xludf.DUMMYFUNCTION("""COMPUTED_VALUE"""),"13086 - 2025")</f>
        <v>13086 - 2025</v>
      </c>
      <c r="G490" s="495"/>
      <c r="H490" s="495"/>
      <c r="I490" s="495"/>
      <c r="J490" s="495" t="str">
        <f>IFERROR(__xludf.DUMMYFUNCTION("""COMPUTED_VALUE"""),"Campus San Francisco - CSF")</f>
        <v>Campus San Francisco - CSF</v>
      </c>
      <c r="K490" s="495" t="str">
        <f>IFERROR(__xludf.DUMMYFUNCTION("""COMPUTED_VALUE"""),"Exterior")</f>
        <v>Exterior</v>
      </c>
      <c r="L490" s="495" t="str">
        <f>IFERROR(__xludf.DUMMYFUNCTION("""COMPUTED_VALUE"""),"Empresa Constructora IGECE Ltda.")</f>
        <v>Empresa Constructora IGECE Ltda.</v>
      </c>
      <c r="M490" s="495" t="str">
        <f>IFERROR(__xludf.DUMMYFUNCTION("""COMPUTED_VALUE"""),"76.878.824-3")</f>
        <v>76.878.824-3</v>
      </c>
      <c r="N490" s="495" t="str">
        <f>IFERROR(__xludf.DUMMYFUNCTION("""COMPUTED_VALUE"""),"Carlos Troncoso - Gerente General ")</f>
        <v>Carlos Troncoso - Gerente General </v>
      </c>
      <c r="O490" s="495" t="str">
        <f>IFERROR(__xludf.DUMMYFUNCTION("""COMPUTED_VALUE"""),"Mantenciones")</f>
        <v>Mantenciones</v>
      </c>
      <c r="P490" s="495" t="str">
        <f>IFERROR(__xludf.DUMMYFUNCTION("""COMPUTED_VALUE"""),"Requerimientos Emergentes e Imprevistos")</f>
        <v>Requerimientos Emergentes e Imprevistos</v>
      </c>
      <c r="Q490" s="495"/>
      <c r="R490" s="495"/>
      <c r="S490" s="495"/>
      <c r="T490" s="495"/>
      <c r="U490" s="495"/>
      <c r="V490" s="495" t="str">
        <f>IFERROR(__xludf.DUMMYFUNCTION("""COMPUTED_VALUE"""),"MANTENCIÓN EDIFICIO K CSF17
MANTENCIÓN GIMNASIO CAMPUS SAN 
MANTENCIÓN EDIFICIO B CSF14 
MANTENCIÓN EDIFICIO U CSF11 
MANTENCIÓN EDIFICIO H CSF09 
MANTENCIÓN EDIFICIO D CSF02 ")</f>
        <v>MANTENCIÓN EDIFICIO K CSF17
MANTENCIÓN GIMNASIO CAMPUS SAN 
MANTENCIÓN EDIFICIO B CSF14 
MANTENCIÓN EDIFICIO U CSF11 
MANTENCIÓN EDIFICIO H CSF09 
MANTENCIÓN EDIFICIO D CSF02 </v>
      </c>
      <c r="W490" s="495"/>
      <c r="X490" s="495" t="str">
        <f>IFERROR(__xludf.DUMMYFUNCTION("""COMPUTED_VALUE"""),"https://drive.google.com/open?id=1xne94YAAuT3obyrMxG1u4-DxRRrBsais, https://drive.google.com/open?id=1-wJB8DhAqV_t-_IOu9n-H4ee9IC_1vXk, https://drive.google.com/open?id=1nbE6iC2cHWqkd3TaOxg1zN2B3VJgoRkw")</f>
        <v>https://drive.google.com/open?id=1xne94YAAuT3obyrMxG1u4-DxRRrBsais, https://drive.google.com/open?id=1-wJB8DhAqV_t-_IOu9n-H4ee9IC_1vXk, https://drive.google.com/open?id=1nbE6iC2cHWqkd3TaOxg1zN2B3VJgoRkw</v>
      </c>
      <c r="Y490" s="495" t="str">
        <f>IFERROR(__xludf.DUMMYFUNCTION("""COMPUTED_VALUE"""),"carlostroncosom@hotmail.com")</f>
        <v>carlostroncosom@hotmail.com</v>
      </c>
      <c r="Z490" s="495"/>
      <c r="AA490" s="495"/>
      <c r="AB490" s="495"/>
      <c r="AC490" s="495"/>
      <c r="AD490" s="495" t="str">
        <f>IFERROR(__xludf.DUMMYFUNCTION("""COMPUTED_VALUE"""),"RC-145")</f>
        <v>RC-145</v>
      </c>
    </row>
    <row r="491">
      <c r="A491" s="495" t="str">
        <f t="shared" si="1"/>
        <v>RC-144</v>
      </c>
      <c r="B491" s="497">
        <f>IFERROR(__xludf.DUMMYFUNCTION("""COMPUTED_VALUE"""),46008.45924439815)</f>
        <v>46008.45924</v>
      </c>
      <c r="C491" s="495" t="str">
        <f>IFERROR(__xludf.DUMMYFUNCTION("""COMPUTED_VALUE"""),"")</f>
        <v/>
      </c>
      <c r="D491" s="495" t="str">
        <f>IFERROR(__xludf.DUMMYFUNCTION("""COMPUTED_VALUE"""),"Mauricio Zurita Aldea")</f>
        <v>Mauricio Zurita Aldea</v>
      </c>
      <c r="E491" s="495"/>
      <c r="F491" s="496">
        <f>IFERROR(__xludf.DUMMYFUNCTION("""COMPUTED_VALUE"""),12509.0)</f>
        <v>12509</v>
      </c>
      <c r="G491" s="495"/>
      <c r="H491" s="495"/>
      <c r="I491" s="495"/>
      <c r="J491" s="495" t="str">
        <f>IFERROR(__xludf.DUMMYFUNCTION("""COMPUTED_VALUE"""),"Campus Prieto Norte - CHS")</f>
        <v>Campus Prieto Norte - CHS</v>
      </c>
      <c r="K491" s="495" t="str">
        <f>IFERROR(__xludf.DUMMYFUNCTION("""COMPUTED_VALUE"""),"01")</f>
        <v>01</v>
      </c>
      <c r="L491" s="495" t="str">
        <f>IFERROR(__xludf.DUMMYFUNCTION("""COMPUTED_VALUE"""),"Ingertemuco Ingeniería Spa ")</f>
        <v>Ingertemuco Ingeniería Spa </v>
      </c>
      <c r="M491" s="495" t="str">
        <f>IFERROR(__xludf.DUMMYFUNCTION("""COMPUTED_VALUE"""),"77.369.471-0")</f>
        <v>77.369.471-0</v>
      </c>
      <c r="N491" s="495" t="str">
        <f>IFERROR(__xludf.DUMMYFUNCTION("""COMPUTED_VALUE"""),"Christian Ortega ")</f>
        <v>Christian Ortega </v>
      </c>
      <c r="O491" s="495" t="str">
        <f>IFERROR(__xludf.DUMMYFUNCTION("""COMPUTED_VALUE"""),"Mantenciones")</f>
        <v>Mantenciones</v>
      </c>
      <c r="P491" s="495" t="str">
        <f>IFERROR(__xludf.DUMMYFUNCTION("""COMPUTED_VALUE"""),"Instalaciones Eléctricas")</f>
        <v>Instalaciones Eléctricas</v>
      </c>
      <c r="Q491" s="495"/>
      <c r="R491" s="495"/>
      <c r="S491" s="495"/>
      <c r="T491" s="495"/>
      <c r="U491" s="495"/>
      <c r="V491" s="495" t="str">
        <f>IFERROR(__xludf.DUMMYFUNCTION("""COMPUTED_VALUE"""),"Instalación de bandejas para instalación de enchufes en mesones ")</f>
        <v>Instalación de bandejas para instalación de enchufes en mesones </v>
      </c>
      <c r="W491" s="495"/>
      <c r="X491" s="495" t="str">
        <f>IFERROR(__xludf.DUMMYFUNCTION("""COMPUTED_VALUE"""),"https://drive.google.com/open?id=17yxDLD8L4kGi0jr8E6o8Pme4z8er4SLw, https://drive.google.com/open?id=10ZqGSQ3WY4zbOeKFyC9U_XIlToKbey_W, https://drive.google.com/open?id=1uexnyBZrVyZZjLUE-KkGp0NoXYJN99Eq, https://drive.google.com/open?id=10BhCl7abXfsUITDBB"&amp;"I5Es0HGwbHtkdcT")</f>
        <v>https://drive.google.com/open?id=17yxDLD8L4kGi0jr8E6o8Pme4z8er4SLw, https://drive.google.com/open?id=10ZqGSQ3WY4zbOeKFyC9U_XIlToKbey_W, https://drive.google.com/open?id=1uexnyBZrVyZZjLUE-KkGp0NoXYJN99Eq, https://drive.google.com/open?id=10BhCl7abXfsUITDBBI5Es0HGwbHtkdcT</v>
      </c>
      <c r="Y491" s="495" t="str">
        <f>IFERROR(__xludf.DUMMYFUNCTION("""COMPUTED_VALUE"""),"comercialingertemuco@gmail.com")</f>
        <v>comercialingertemuco@gmail.com</v>
      </c>
      <c r="Z491" s="495"/>
      <c r="AA491" s="495"/>
      <c r="AB491" s="495"/>
      <c r="AC491" s="495"/>
      <c r="AD491" s="495" t="str">
        <f>IFERROR(__xludf.DUMMYFUNCTION("""COMPUTED_VALUE"""),"RC-144")</f>
        <v>RC-144</v>
      </c>
    </row>
    <row r="492">
      <c r="A492" s="495" t="str">
        <f t="shared" si="1"/>
        <v>RC-143</v>
      </c>
      <c r="B492" s="497">
        <f>IFERROR(__xludf.DUMMYFUNCTION("""COMPUTED_VALUE"""),46007.65754310186)</f>
        <v>46007.65754</v>
      </c>
      <c r="C492" s="495" t="str">
        <f>IFERROR(__xludf.DUMMYFUNCTION("""COMPUTED_VALUE"""),"")</f>
        <v/>
      </c>
      <c r="D492" s="495" t="str">
        <f>IFERROR(__xludf.DUMMYFUNCTION("""COMPUTED_VALUE"""),"Felipe Anselme Grandón")</f>
        <v>Felipe Anselme Grandón</v>
      </c>
      <c r="E492" s="495"/>
      <c r="F492" s="496">
        <f>IFERROR(__xludf.DUMMYFUNCTION("""COMPUTED_VALUE"""),13030.0)</f>
        <v>13030</v>
      </c>
      <c r="G492" s="495"/>
      <c r="H492" s="495"/>
      <c r="I492" s="495"/>
      <c r="J492" s="495" t="str">
        <f>IFERROR(__xludf.DUMMYFUNCTION("""COMPUTED_VALUE"""),"Campus El Bosque - CBQ")</f>
        <v>Campus El Bosque - CBQ</v>
      </c>
      <c r="K492" s="495" t="str">
        <f>IFERROR(__xludf.DUMMYFUNCTION("""COMPUTED_VALUE"""),"01")</f>
        <v>01</v>
      </c>
      <c r="L492" s="495" t="str">
        <f>IFERROR(__xludf.DUMMYFUNCTION("""COMPUTED_VALUE"""),"Gyg servicios spa")</f>
        <v>Gyg servicios spa</v>
      </c>
      <c r="M492" s="495" t="str">
        <f>IFERROR(__xludf.DUMMYFUNCTION("""COMPUTED_VALUE"""),"77.215.624-3")</f>
        <v>77.215.624-3</v>
      </c>
      <c r="N492" s="495" t="str">
        <f>IFERROR(__xludf.DUMMYFUNCTION("""COMPUTED_VALUE"""),"Gustavo Fuentes")</f>
        <v>Gustavo Fuentes</v>
      </c>
      <c r="O492" s="495" t="str">
        <f>IFERROR(__xludf.DUMMYFUNCTION("""COMPUTED_VALUE"""),"Mantenciones")</f>
        <v>Mantenciones</v>
      </c>
      <c r="P492" s="495" t="str">
        <f>IFERROR(__xludf.DUMMYFUNCTION("""COMPUTED_VALUE"""),"Instalaciones Eléctricas")</f>
        <v>Instalaciones Eléctricas</v>
      </c>
      <c r="Q492" s="495"/>
      <c r="R492" s="495"/>
      <c r="S492" s="495"/>
      <c r="T492" s="495"/>
      <c r="U492" s="495"/>
      <c r="V492" s="495" t="str">
        <f>IFERROR(__xludf.DUMMYFUNCTION("""COMPUTED_VALUE"""),"Reparación y instalación de tablero electrico")</f>
        <v>Reparación y instalación de tablero electrico</v>
      </c>
      <c r="W492" s="495"/>
      <c r="X492" s="495" t="str">
        <f>IFERROR(__xludf.DUMMYFUNCTION("""COMPUTED_VALUE"""),"https://drive.google.com/open?id=1KWD3OQvOWB1l3m8JMVuJ54rWvkqxWKvA, https://drive.google.com/open?id=1C1khHPYpCK6DLkavBeAbW__Cnm2NRZhc")</f>
        <v>https://drive.google.com/open?id=1KWD3OQvOWB1l3m8JMVuJ54rWvkqxWKvA, https://drive.google.com/open?id=1C1khHPYpCK6DLkavBeAbW__Cnm2NRZhc</v>
      </c>
      <c r="Y492" s="495" t="str">
        <f>IFERROR(__xludf.DUMMYFUNCTION("""COMPUTED_VALUE"""),"contacto@gygtecnologias.com")</f>
        <v>contacto@gygtecnologias.com</v>
      </c>
      <c r="Z492" s="495"/>
      <c r="AA492" s="495"/>
      <c r="AB492" s="495"/>
      <c r="AC492" s="495"/>
      <c r="AD492" s="495" t="str">
        <f>IFERROR(__xludf.DUMMYFUNCTION("""COMPUTED_VALUE"""),"RC-143")</f>
        <v>RC-143</v>
      </c>
    </row>
    <row r="493">
      <c r="A493" s="495" t="str">
        <f t="shared" si="1"/>
        <v>RC-142</v>
      </c>
      <c r="B493" s="497">
        <f>IFERROR(__xludf.DUMMYFUNCTION("""COMPUTED_VALUE"""),46006.72323459491)</f>
        <v>46006.72323</v>
      </c>
      <c r="C493" s="495" t="str">
        <f>IFERROR(__xludf.DUMMYFUNCTION("""COMPUTED_VALUE"""),"")</f>
        <v/>
      </c>
      <c r="D493" s="495" t="str">
        <f>IFERROR(__xludf.DUMMYFUNCTION("""COMPUTED_VALUE"""),"Carol Huenchual Chañilao")</f>
        <v>Carol Huenchual Chañilao</v>
      </c>
      <c r="E493" s="495"/>
      <c r="F493" s="496">
        <f>IFERROR(__xludf.DUMMYFUNCTION("""COMPUTED_VALUE"""),12902.0)</f>
        <v>12902</v>
      </c>
      <c r="G493" s="495"/>
      <c r="H493" s="495"/>
      <c r="I493" s="495"/>
      <c r="J493" s="495" t="str">
        <f>IFERROR(__xludf.DUMMYFUNCTION("""COMPUTED_VALUE"""),"Campus Monseñor Alejandro Menchaca Lira - CML")</f>
        <v>Campus Monseñor Alejandro Menchaca Lira - CML</v>
      </c>
      <c r="K493" s="495" t="str">
        <f>IFERROR(__xludf.DUMMYFUNCTION("""COMPUTED_VALUE"""),"05")</f>
        <v>05</v>
      </c>
      <c r="L493" s="495" t="str">
        <f>IFERROR(__xludf.DUMMYFUNCTION("""COMPUTED_VALUE"""),"Flavia Oyarzun Soto ")</f>
        <v>Flavia Oyarzun Soto </v>
      </c>
      <c r="M493" s="495" t="str">
        <f>IFERROR(__xludf.DUMMYFUNCTION("""COMPUTED_VALUE"""),"5.503.590-3 ")</f>
        <v>5.503.590-3 </v>
      </c>
      <c r="N493" s="495" t="str">
        <f>IFERROR(__xludf.DUMMYFUNCTION("""COMPUTED_VALUE"""),"Roberto Lassalle ")</f>
        <v>Roberto Lassalle </v>
      </c>
      <c r="O493" s="495" t="str">
        <f>IFERROR(__xludf.DUMMYFUNCTION("""COMPUTED_VALUE"""),"Mantenciones")</f>
        <v>Mantenciones</v>
      </c>
      <c r="P493" s="495" t="str">
        <f>IFERROR(__xludf.DUMMYFUNCTION("""COMPUTED_VALUE"""),"Cubiertas")</f>
        <v>Cubiertas</v>
      </c>
      <c r="Q493" s="495"/>
      <c r="R493" s="495"/>
      <c r="S493" s="495"/>
      <c r="T493" s="495"/>
      <c r="U493" s="495"/>
      <c r="V493" s="495" t="str">
        <f>IFERROR(__xludf.DUMMYFUNCTION("""COMPUTED_VALUE"""),"Reposición hojalateria en cubierta CML05.")</f>
        <v>Reposición hojalateria en cubierta CML05.</v>
      </c>
      <c r="W493" s="495"/>
      <c r="X493" s="499" t="str">
        <f>IFERROR(__xludf.DUMMYFUNCTION("""COMPUTED_VALUE"""),"https://drive.google.com/open?id=1b6iEw3laqcPEVgljvpvTED-LtDGOCkYK")</f>
        <v>https://drive.google.com/open?id=1b6iEw3laqcPEVgljvpvTED-LtDGOCkYK</v>
      </c>
      <c r="Y493" s="495" t="str">
        <f>IFERROR(__xludf.DUMMYFUNCTION("""COMPUTED_VALUE"""),"roberto.lassalle@gmail.com")</f>
        <v>roberto.lassalle@gmail.com</v>
      </c>
      <c r="Z493" s="495"/>
      <c r="AA493" s="495"/>
      <c r="AB493" s="495"/>
      <c r="AC493" s="495"/>
      <c r="AD493" s="495" t="str">
        <f>IFERROR(__xludf.DUMMYFUNCTION("""COMPUTED_VALUE"""),"RC-142")</f>
        <v>RC-142</v>
      </c>
    </row>
    <row r="494">
      <c r="A494" s="495" t="str">
        <f t="shared" si="1"/>
        <v>RC-139</v>
      </c>
      <c r="B494" s="497">
        <f>IFERROR(__xludf.DUMMYFUNCTION("""COMPUTED_VALUE"""),46006.52895431713)</f>
        <v>46006.52895</v>
      </c>
      <c r="C494" s="495" t="str">
        <f>IFERROR(__xludf.DUMMYFUNCTION("""COMPUTED_VALUE"""),"")</f>
        <v/>
      </c>
      <c r="D494" s="495" t="str">
        <f>IFERROR(__xludf.DUMMYFUNCTION("""COMPUTED_VALUE"""),"Felipe Anselme Grandón")</f>
        <v>Felipe Anselme Grandón</v>
      </c>
      <c r="E494" s="495"/>
      <c r="F494" s="496" t="str">
        <f>IFERROR(__xludf.DUMMYFUNCTION("""COMPUTED_VALUE"""),"13160-2025")</f>
        <v>13160-2025</v>
      </c>
      <c r="G494" s="495"/>
      <c r="H494" s="495"/>
      <c r="I494" s="495"/>
      <c r="J494" s="495" t="str">
        <f>IFERROR(__xludf.DUMMYFUNCTION("""COMPUTED_VALUE"""),"Campus San Juan Pablo II - CJP")</f>
        <v>Campus San Juan Pablo II - CJP</v>
      </c>
      <c r="K494" s="495" t="str">
        <f>IFERROR(__xludf.DUMMYFUNCTION("""COMPUTED_VALUE"""),"Exterior")</f>
        <v>Exterior</v>
      </c>
      <c r="L494" s="495" t="str">
        <f>IFERROR(__xludf.DUMMYFUNCTION("""COMPUTED_VALUE"""),"GATICAR SPA")</f>
        <v>GATICAR SPA</v>
      </c>
      <c r="M494" s="495" t="str">
        <f>IFERROR(__xludf.DUMMYFUNCTION("""COMPUTED_VALUE"""),"77.578.487-3")</f>
        <v>77.578.487-3</v>
      </c>
      <c r="N494" s="495" t="str">
        <f>IFERROR(__xludf.DUMMYFUNCTION("""COMPUTED_VALUE"""),"HECTOR GATICA")</f>
        <v>HECTOR GATICA</v>
      </c>
      <c r="O494" s="495" t="str">
        <f>IFERROR(__xludf.DUMMYFUNCTION("""COMPUTED_VALUE"""),"Mantenciones")</f>
        <v>Mantenciones</v>
      </c>
      <c r="P494" s="495" t="str">
        <f>IFERROR(__xludf.DUMMYFUNCTION("""COMPUTED_VALUE"""),"Requerimientos Emergentes e Imprevistos")</f>
        <v>Requerimientos Emergentes e Imprevistos</v>
      </c>
      <c r="Q494" s="495"/>
      <c r="R494" s="495"/>
      <c r="S494" s="495"/>
      <c r="T494" s="495"/>
      <c r="U494" s="495"/>
      <c r="V494" s="495" t="str">
        <f>IFERROR(__xludf.DUMMYFUNCTION("""COMPUTED_VALUE"""),"REOARACION E INSTALACION DE BOMBA SUMERGIBLE POZO PARA SISTEMA DE RIEGO ACCESO CAMPUS")</f>
        <v>REOARACION E INSTALACION DE BOMBA SUMERGIBLE POZO PARA SISTEMA DE RIEGO ACCESO CAMPUS</v>
      </c>
      <c r="W494" s="495"/>
      <c r="X494" s="495" t="str">
        <f>IFERROR(__xludf.DUMMYFUNCTION("""COMPUTED_VALUE"""),"https://drive.google.com/open?id=1BmT94SmusnGcf26HyHqJsnKBWOr5WU6G, https://drive.google.com/open?id=1Y8KWFG2hd3X9nJ6BYwzofuAxYgq884OA, https://drive.google.com/open?id=1PvSDs2JBW7pr8JKxtc0jpzV3RgNcWf3t")</f>
        <v>https://drive.google.com/open?id=1BmT94SmusnGcf26HyHqJsnKBWOr5WU6G, https://drive.google.com/open?id=1Y8KWFG2hd3X9nJ6BYwzofuAxYgq884OA, https://drive.google.com/open?id=1PvSDs2JBW7pr8JKxtc0jpzV3RgNcWf3t</v>
      </c>
      <c r="Y494" s="495" t="str">
        <f>IFERROR(__xludf.DUMMYFUNCTION("""COMPUTED_VALUE"""),"serviciogaticar@gmail.com")</f>
        <v>serviciogaticar@gmail.com</v>
      </c>
      <c r="Z494" s="495"/>
      <c r="AA494" s="495"/>
      <c r="AB494" s="495"/>
      <c r="AC494" s="495"/>
      <c r="AD494" s="495" t="str">
        <f>IFERROR(__xludf.DUMMYFUNCTION("""COMPUTED_VALUE"""),"RC-139")</f>
        <v>RC-139</v>
      </c>
    </row>
    <row r="495">
      <c r="A495" s="495" t="str">
        <f t="shared" si="1"/>
        <v>RC-138</v>
      </c>
      <c r="B495" s="497">
        <f>IFERROR(__xludf.DUMMYFUNCTION("""COMPUTED_VALUE"""),46006.52481819445)</f>
        <v>46006.52482</v>
      </c>
      <c r="C495" s="495" t="str">
        <f>IFERROR(__xludf.DUMMYFUNCTION("""COMPUTED_VALUE"""),"")</f>
        <v/>
      </c>
      <c r="D495" s="495" t="str">
        <f>IFERROR(__xludf.DUMMYFUNCTION("""COMPUTED_VALUE"""),"Felipe Anselme Grandón")</f>
        <v>Felipe Anselme Grandón</v>
      </c>
      <c r="E495" s="495"/>
      <c r="F495" s="496" t="str">
        <f>IFERROR(__xludf.DUMMYFUNCTION("""COMPUTED_VALUE"""),"13158-2025")</f>
        <v>13158-2025</v>
      </c>
      <c r="G495" s="495"/>
      <c r="H495" s="495"/>
      <c r="I495" s="495"/>
      <c r="J495" s="495" t="str">
        <f>IFERROR(__xludf.DUMMYFUNCTION("""COMPUTED_VALUE"""),"Campus San Juan Pablo II - CJP")</f>
        <v>Campus San Juan Pablo II - CJP</v>
      </c>
      <c r="K495" s="495" t="str">
        <f>IFERROR(__xludf.DUMMYFUNCTION("""COMPUTED_VALUE"""),"Exterior")</f>
        <v>Exterior</v>
      </c>
      <c r="L495" s="495" t="str">
        <f>IFERROR(__xludf.DUMMYFUNCTION("""COMPUTED_VALUE"""),"GATICAR SPA")</f>
        <v>GATICAR SPA</v>
      </c>
      <c r="M495" s="495" t="str">
        <f>IFERROR(__xludf.DUMMYFUNCTION("""COMPUTED_VALUE"""),"77.578.487-3")</f>
        <v>77.578.487-3</v>
      </c>
      <c r="N495" s="495" t="str">
        <f>IFERROR(__xludf.DUMMYFUNCTION("""COMPUTED_VALUE"""),"HECTOR GATICA")</f>
        <v>HECTOR GATICA</v>
      </c>
      <c r="O495" s="495" t="str">
        <f>IFERROR(__xludf.DUMMYFUNCTION("""COMPUTED_VALUE"""),"Mantenciones")</f>
        <v>Mantenciones</v>
      </c>
      <c r="P495" s="495" t="str">
        <f>IFERROR(__xludf.DUMMYFUNCTION("""COMPUTED_VALUE"""),"Requerimientos Emergentes e Imprevistos")</f>
        <v>Requerimientos Emergentes e Imprevistos</v>
      </c>
      <c r="Q495" s="495"/>
      <c r="R495" s="495"/>
      <c r="S495" s="495"/>
      <c r="T495" s="495"/>
      <c r="U495" s="495"/>
      <c r="V495" s="495" t="str">
        <f>IFERROR(__xludf.DUMMYFUNCTION("""COMPUTED_VALUE"""),"INSTALACION DE ELECTROVALVULA PARA DEJAR AUTOMATIZADO EL SUMINISTRO DE AGUA EN LA LAGUNA Y AMINORAR LA PERDIDA DE ESTA POR ESCASES EN CANAL")</f>
        <v>INSTALACION DE ELECTROVALVULA PARA DEJAR AUTOMATIZADO EL SUMINISTRO DE AGUA EN LA LAGUNA Y AMINORAR LA PERDIDA DE ESTA POR ESCASES EN CANAL</v>
      </c>
      <c r="W495" s="495"/>
      <c r="X495" s="495" t="str">
        <f>IFERROR(__xludf.DUMMYFUNCTION("""COMPUTED_VALUE"""),"https://drive.google.com/open?id=1xeuKBkktnVVuiet13FuNQVOTj90FWjhV, https://drive.google.com/open?id=1WvOeexVBf-TpEEpcnda7f6VLa9G45uPI, https://drive.google.com/open?id=1bo3GRx-dnygYg_K_TUbGyCwn35TM07PV")</f>
        <v>https://drive.google.com/open?id=1xeuKBkktnVVuiet13FuNQVOTj90FWjhV, https://drive.google.com/open?id=1WvOeexVBf-TpEEpcnda7f6VLa9G45uPI, https://drive.google.com/open?id=1bo3GRx-dnygYg_K_TUbGyCwn35TM07PV</v>
      </c>
      <c r="Y495" s="495" t="str">
        <f>IFERROR(__xludf.DUMMYFUNCTION("""COMPUTED_VALUE"""),"serviciogaticar@gmail.com")</f>
        <v>serviciogaticar@gmail.com</v>
      </c>
      <c r="Z495" s="495"/>
      <c r="AA495" s="495"/>
      <c r="AB495" s="495"/>
      <c r="AC495" s="495"/>
      <c r="AD495" s="495" t="str">
        <f>IFERROR(__xludf.DUMMYFUNCTION("""COMPUTED_VALUE"""),"RC-138")</f>
        <v>RC-138</v>
      </c>
    </row>
    <row r="496">
      <c r="A496" s="495" t="str">
        <f t="shared" si="1"/>
        <v>RC-137</v>
      </c>
      <c r="B496" s="497">
        <f>IFERROR(__xludf.DUMMYFUNCTION("""COMPUTED_VALUE"""),46006.514601030096)</f>
        <v>46006.5146</v>
      </c>
      <c r="C496" s="495" t="str">
        <f>IFERROR(__xludf.DUMMYFUNCTION("""COMPUTED_VALUE"""),"")</f>
        <v/>
      </c>
      <c r="D496" s="495" t="str">
        <f>IFERROR(__xludf.DUMMYFUNCTION("""COMPUTED_VALUE"""),"Felipe Anselme Grandón")</f>
        <v>Felipe Anselme Grandón</v>
      </c>
      <c r="E496" s="495"/>
      <c r="F496" s="496" t="str">
        <f>IFERROR(__xludf.DUMMYFUNCTION("""COMPUTED_VALUE"""),"13153-2025")</f>
        <v>13153-2025</v>
      </c>
      <c r="G496" s="495"/>
      <c r="H496" s="495"/>
      <c r="I496" s="495"/>
      <c r="J496" s="495" t="str">
        <f>IFERROR(__xludf.DUMMYFUNCTION("""COMPUTED_VALUE"""),"Campus San Francisco - CSF")</f>
        <v>Campus San Francisco - CSF</v>
      </c>
      <c r="K496" s="495" t="str">
        <f>IFERROR(__xludf.DUMMYFUNCTION("""COMPUTED_VALUE"""),"Exterior")</f>
        <v>Exterior</v>
      </c>
      <c r="L496" s="495" t="str">
        <f>IFERROR(__xludf.DUMMYFUNCTION("""COMPUTED_VALUE"""),"GATICAR SPA")</f>
        <v>GATICAR SPA</v>
      </c>
      <c r="M496" s="495" t="str">
        <f>IFERROR(__xludf.DUMMYFUNCTION("""COMPUTED_VALUE"""),"77.578.487-3")</f>
        <v>77.578.487-3</v>
      </c>
      <c r="N496" s="495" t="str">
        <f>IFERROR(__xludf.DUMMYFUNCTION("""COMPUTED_VALUE"""),"HECTOR GATICA")</f>
        <v>HECTOR GATICA</v>
      </c>
      <c r="O496" s="495" t="str">
        <f>IFERROR(__xludf.DUMMYFUNCTION("""COMPUTED_VALUE"""),"Mantenciones")</f>
        <v>Mantenciones</v>
      </c>
      <c r="P496" s="495" t="str">
        <f>IFERROR(__xludf.DUMMYFUNCTION("""COMPUTED_VALUE"""),"Requerimientos Emergentes e Imprevistos")</f>
        <v>Requerimientos Emergentes e Imprevistos</v>
      </c>
      <c r="Q496" s="495"/>
      <c r="R496" s="495"/>
      <c r="S496" s="495"/>
      <c r="T496" s="495"/>
      <c r="U496" s="495"/>
      <c r="V496" s="495" t="str">
        <f>IFERROR(__xludf.DUMMYFUNCTION("""COMPUTED_VALUE"""),"REUBICACION E INSTALACION DE ASPERSORES PARA CUBRIR AREAS QUE SE ENCUENTRAN SIN RIEGO")</f>
        <v>REUBICACION E INSTALACION DE ASPERSORES PARA CUBRIR AREAS QUE SE ENCUENTRAN SIN RIEGO</v>
      </c>
      <c r="W496" s="495"/>
      <c r="X496" s="495" t="str">
        <f>IFERROR(__xludf.DUMMYFUNCTION("""COMPUTED_VALUE"""),"https://drive.google.com/open?id=14D8cpkRPnD7WZ0AAAPQ2HszfV9vBTiN2, https://drive.google.com/open?id=1ZJN_5dG2QXNiMoOv8Jb-5Y38qciHC4d8, https://drive.google.com/open?id=1dU4eoRjE9weMmDpMjfyGDvC2yM20sUVt, https://drive.google.com/open?id=1D-s2O-J93_eq9sckI"&amp;"ZNyIIyyhmCBLMyD")</f>
        <v>https://drive.google.com/open?id=14D8cpkRPnD7WZ0AAAPQ2HszfV9vBTiN2, https://drive.google.com/open?id=1ZJN_5dG2QXNiMoOv8Jb-5Y38qciHC4d8, https://drive.google.com/open?id=1dU4eoRjE9weMmDpMjfyGDvC2yM20sUVt, https://drive.google.com/open?id=1D-s2O-J93_eq9sckIZNyIIyyhmCBLMyD</v>
      </c>
      <c r="Y496" s="495" t="str">
        <f>IFERROR(__xludf.DUMMYFUNCTION("""COMPUTED_VALUE"""),"serviciogaticar@gmail.com")</f>
        <v>serviciogaticar@gmail.com</v>
      </c>
      <c r="Z496" s="495"/>
      <c r="AA496" s="495"/>
      <c r="AB496" s="495"/>
      <c r="AC496" s="495"/>
      <c r="AD496" s="495" t="str">
        <f>IFERROR(__xludf.DUMMYFUNCTION("""COMPUTED_VALUE"""),"RC-137")</f>
        <v>RC-137</v>
      </c>
    </row>
    <row r="497">
      <c r="A497" s="495" t="str">
        <f t="shared" si="1"/>
        <v>RC-136</v>
      </c>
      <c r="B497" s="497">
        <f>IFERROR(__xludf.DUMMYFUNCTION("""COMPUTED_VALUE"""),46006.507842384264)</f>
        <v>46006.50784</v>
      </c>
      <c r="C497" s="495" t="str">
        <f>IFERROR(__xludf.DUMMYFUNCTION("""COMPUTED_VALUE"""),"")</f>
        <v/>
      </c>
      <c r="D497" s="495" t="str">
        <f>IFERROR(__xludf.DUMMYFUNCTION("""COMPUTED_VALUE"""),"Felipe Anselme Grandón")</f>
        <v>Felipe Anselme Grandón</v>
      </c>
      <c r="E497" s="495"/>
      <c r="F497" s="496" t="str">
        <f>IFERROR(__xludf.DUMMYFUNCTION("""COMPUTED_VALUE"""),"13151-2025")</f>
        <v>13151-2025</v>
      </c>
      <c r="G497" s="495"/>
      <c r="H497" s="495"/>
      <c r="I497" s="495"/>
      <c r="J497" s="495" t="str">
        <f>IFERROR(__xludf.DUMMYFUNCTION("""COMPUTED_VALUE"""),"Campus San Juan Pablo II - CJP")</f>
        <v>Campus San Juan Pablo II - CJP</v>
      </c>
      <c r="K497" s="495" t="str">
        <f>IFERROR(__xludf.DUMMYFUNCTION("""COMPUTED_VALUE"""),"Exterior")</f>
        <v>Exterior</v>
      </c>
      <c r="L497" s="495" t="str">
        <f>IFERROR(__xludf.DUMMYFUNCTION("""COMPUTED_VALUE"""),"GATICAR SPA")</f>
        <v>GATICAR SPA</v>
      </c>
      <c r="M497" s="495" t="str">
        <f>IFERROR(__xludf.DUMMYFUNCTION("""COMPUTED_VALUE"""),"77.578.487-3")</f>
        <v>77.578.487-3</v>
      </c>
      <c r="N497" s="495" t="str">
        <f>IFERROR(__xludf.DUMMYFUNCTION("""COMPUTED_VALUE"""),"HECTOR GATICA")</f>
        <v>HECTOR GATICA</v>
      </c>
      <c r="O497" s="495" t="str">
        <f>IFERROR(__xludf.DUMMYFUNCTION("""COMPUTED_VALUE"""),"Mantenciones")</f>
        <v>Mantenciones</v>
      </c>
      <c r="P497" s="495" t="str">
        <f>IFERROR(__xludf.DUMMYFUNCTION("""COMPUTED_VALUE"""),"Requerimientos Emergentes e Imprevistos")</f>
        <v>Requerimientos Emergentes e Imprevistos</v>
      </c>
      <c r="Q497" s="495"/>
      <c r="R497" s="495"/>
      <c r="S497" s="495"/>
      <c r="T497" s="495"/>
      <c r="U497" s="495"/>
      <c r="V497" s="495" t="str">
        <f>IFERROR(__xludf.DUMMYFUNCTION("""COMPUTED_VALUE"""),"CAMBIO DE 7 LLAVES DE CORTE RAPIDO Y TUBERIAS DAÑADAS, LIMPIEZA EN SUCCION DE AGUA LAGUNA, SISTEMA DE RIEGO MANUAL AGUA LAGUNA.")</f>
        <v>CAMBIO DE 7 LLAVES DE CORTE RAPIDO Y TUBERIAS DAÑADAS, LIMPIEZA EN SUCCION DE AGUA LAGUNA, SISTEMA DE RIEGO MANUAL AGUA LAGUNA.</v>
      </c>
      <c r="W497" s="495"/>
      <c r="X497" s="495" t="str">
        <f>IFERROR(__xludf.DUMMYFUNCTION("""COMPUTED_VALUE"""),"https://drive.google.com/open?id=1MAglkx0IiFLUMY8s0Ilo0W_jykriNluy, https://drive.google.com/open?id=1oTNSjBTVj89BUMOULde5DUbYVWMI3TQK, https://drive.google.com/open?id=1VvNvjjpbZBDJ9VKIUxsdEZGBDaW9p9H3")</f>
        <v>https://drive.google.com/open?id=1MAglkx0IiFLUMY8s0Ilo0W_jykriNluy, https://drive.google.com/open?id=1oTNSjBTVj89BUMOULde5DUbYVWMI3TQK, https://drive.google.com/open?id=1VvNvjjpbZBDJ9VKIUxsdEZGBDaW9p9H3</v>
      </c>
      <c r="Y497" s="495" t="str">
        <f>IFERROR(__xludf.DUMMYFUNCTION("""COMPUTED_VALUE"""),"serviciogaticar@gmail.com")</f>
        <v>serviciogaticar@gmail.com</v>
      </c>
      <c r="Z497" s="495"/>
      <c r="AA497" s="495"/>
      <c r="AB497" s="495"/>
      <c r="AC497" s="495"/>
      <c r="AD497" s="495" t="str">
        <f>IFERROR(__xludf.DUMMYFUNCTION("""COMPUTED_VALUE"""),"RC-136")</f>
        <v>RC-136</v>
      </c>
    </row>
    <row r="498">
      <c r="A498" s="495" t="str">
        <f t="shared" si="1"/>
        <v>RC-135</v>
      </c>
      <c r="B498" s="497">
        <f>IFERROR(__xludf.DUMMYFUNCTION("""COMPUTED_VALUE"""),46006.389855914356)</f>
        <v>46006.38986</v>
      </c>
      <c r="C498" s="495" t="str">
        <f>IFERROR(__xludf.DUMMYFUNCTION("""COMPUTED_VALUE"""),"")</f>
        <v/>
      </c>
      <c r="D498" s="495" t="str">
        <f>IFERROR(__xludf.DUMMYFUNCTION("""COMPUTED_VALUE"""),"Felipe Anselme Grandón")</f>
        <v>Felipe Anselme Grandón</v>
      </c>
      <c r="E498" s="495"/>
      <c r="F498" s="496" t="str">
        <f>IFERROR(__xludf.DUMMYFUNCTION("""COMPUTED_VALUE"""),"11930 - 2025")</f>
        <v>11930 - 2025</v>
      </c>
      <c r="G498" s="495"/>
      <c r="H498" s="495"/>
      <c r="I498" s="495"/>
      <c r="J498" s="495" t="str">
        <f>IFERROR(__xludf.DUMMYFUNCTION("""COMPUTED_VALUE"""),"Campus Prieto Norte - CHS")</f>
        <v>Campus Prieto Norte - CHS</v>
      </c>
      <c r="K498" s="495" t="str">
        <f>IFERROR(__xludf.DUMMYFUNCTION("""COMPUTED_VALUE"""),"Sin número")</f>
        <v>Sin número</v>
      </c>
      <c r="L498" s="495" t="str">
        <f>IFERROR(__xludf.DUMMYFUNCTION("""COMPUTED_VALUE"""),"LP INSTALACIONES Y CIA LTDA")</f>
        <v>LP INSTALACIONES Y CIA LTDA</v>
      </c>
      <c r="M498" s="495" t="str">
        <f>IFERROR(__xludf.DUMMYFUNCTION("""COMPUTED_VALUE"""),"77.245.890-8")</f>
        <v>77.245.890-8</v>
      </c>
      <c r="N498" s="495" t="str">
        <f>IFERROR(__xludf.DUMMYFUNCTION("""COMPUTED_VALUE"""),"DANIEL LARRONDO FLORES - GERENTE")</f>
        <v>DANIEL LARRONDO FLORES - GERENTE</v>
      </c>
      <c r="O498" s="495" t="str">
        <f>IFERROR(__xludf.DUMMYFUNCTION("""COMPUTED_VALUE"""),"Mantenciones")</f>
        <v>Mantenciones</v>
      </c>
      <c r="P498" s="495" t="str">
        <f>IFERROR(__xludf.DUMMYFUNCTION("""COMPUTED_VALUE"""),"Instalaciones de Agua Potable")</f>
        <v>Instalaciones de Agua Potable</v>
      </c>
      <c r="Q498" s="495"/>
      <c r="R498" s="495"/>
      <c r="S498" s="495"/>
      <c r="T498" s="495"/>
      <c r="U498" s="495"/>
      <c r="V498" s="495" t="str">
        <f>IFERROR(__xludf.DUMMYFUNCTION("""COMPUTED_VALUE"""),"MANTENCION EQUIPOS HIDRONEUMATICOS ")</f>
        <v>MANTENCION EQUIPOS HIDRONEUMATICOS </v>
      </c>
      <c r="W498" s="495" t="str">
        <f>IFERROR(__xludf.DUMMYFUNCTION("""COMPUTED_VALUE"""),"NO HAY")</f>
        <v>NO HAY</v>
      </c>
      <c r="X498" s="499" t="str">
        <f>IFERROR(__xludf.DUMMYFUNCTION("""COMPUTED_VALUE"""),"https://drive.google.com/open?id=1_IOCLO4vX8ZUFmX2KdeK6uODM0K3xZO0")</f>
        <v>https://drive.google.com/open?id=1_IOCLO4vX8ZUFmX2KdeK6uODM0K3xZO0</v>
      </c>
      <c r="Y498" s="495" t="str">
        <f>IFERROR(__xludf.DUMMYFUNCTION("""COMPUTED_VALUE"""),"ivega@larrondoinstalaciones.cl")</f>
        <v>ivega@larrondoinstalaciones.cl</v>
      </c>
      <c r="Z498" s="495"/>
      <c r="AA498" s="495"/>
      <c r="AB498" s="495"/>
      <c r="AC498" s="495"/>
      <c r="AD498" s="495" t="str">
        <f>IFERROR(__xludf.DUMMYFUNCTION("""COMPUTED_VALUE"""),"RC-135")</f>
        <v>RC-135</v>
      </c>
    </row>
    <row r="499">
      <c r="A499" s="495" t="str">
        <f t="shared" si="1"/>
        <v>RC-134</v>
      </c>
      <c r="B499" s="497">
        <f>IFERROR(__xludf.DUMMYFUNCTION("""COMPUTED_VALUE"""),46004.95535230324)</f>
        <v>46004.95535</v>
      </c>
      <c r="C499" s="495" t="str">
        <f>IFERROR(__xludf.DUMMYFUNCTION("""COMPUTED_VALUE"""),"")</f>
        <v/>
      </c>
      <c r="D499" s="495" t="str">
        <f>IFERROR(__xludf.DUMMYFUNCTION("""COMPUTED_VALUE"""),"Carol Huenchual Chañilao")</f>
        <v>Carol Huenchual Chañilao</v>
      </c>
      <c r="E499" s="495"/>
      <c r="F499" s="496" t="str">
        <f>IFERROR(__xludf.DUMMYFUNCTION("""COMPUTED_VALUE"""),"12768-2025")</f>
        <v>12768-2025</v>
      </c>
      <c r="G499" s="495"/>
      <c r="H499" s="495"/>
      <c r="I499" s="495"/>
      <c r="J499" s="495" t="str">
        <f>IFERROR(__xludf.DUMMYFUNCTION("""COMPUTED_VALUE"""),"Campus San Juan Pablo II - CJP")</f>
        <v>Campus San Juan Pablo II - CJP</v>
      </c>
      <c r="K499" s="495">
        <f>IFERROR(__xludf.DUMMYFUNCTION("""COMPUTED_VALUE"""),10.0)</f>
        <v>10</v>
      </c>
      <c r="L499" s="495" t="str">
        <f>IFERROR(__xludf.DUMMYFUNCTION("""COMPUTED_VALUE"""),"SERVICIOS INTEGRALES CRITICOS SPA")</f>
        <v>SERVICIOS INTEGRALES CRITICOS SPA</v>
      </c>
      <c r="M499" s="495" t="str">
        <f>IFERROR(__xludf.DUMMYFUNCTION("""COMPUTED_VALUE"""),"77.248.719-3")</f>
        <v>77.248.719-3</v>
      </c>
      <c r="N499" s="495" t="str">
        <f>IFERROR(__xludf.DUMMYFUNCTION("""COMPUTED_VALUE"""),"ROBERTO FUENTES - INGENIERO MECANICO")</f>
        <v>ROBERTO FUENTES - INGENIERO MECANICO</v>
      </c>
      <c r="O499" s="495" t="str">
        <f>IFERROR(__xludf.DUMMYFUNCTION("""COMPUTED_VALUE"""),"Mantenciones")</f>
        <v>Mantenciones</v>
      </c>
      <c r="P499" s="495" t="str">
        <f>IFERROR(__xludf.DUMMYFUNCTION("""COMPUTED_VALUE"""),"Requerimientos Emergentes e Imprevistos")</f>
        <v>Requerimientos Emergentes e Imprevistos</v>
      </c>
      <c r="Q499" s="495"/>
      <c r="R499" s="495"/>
      <c r="S499" s="495"/>
      <c r="T499" s="495"/>
      <c r="U499" s="495"/>
      <c r="V499" s="495" t="str">
        <f>IFERROR(__xludf.DUMMYFUNCTION("""COMPUTED_VALUE"""),"MANTENCION DE 2 CALDERAS A PELLET PARA MEDICIONES ISOCINETICAS")</f>
        <v>MANTENCION DE 2 CALDERAS A PELLET PARA MEDICIONES ISOCINETICAS</v>
      </c>
      <c r="W499" s="495" t="str">
        <f>IFERROR(__xludf.DUMMYFUNCTION("""COMPUTED_VALUE"""),"REPARAR PARRILLAS EN MAL ESTADO")</f>
        <v>REPARAR PARRILLAS EN MAL ESTADO</v>
      </c>
      <c r="X499" s="495" t="str">
        <f>IFERROR(__xludf.DUMMYFUNCTION("""COMPUTED_VALUE"""),"https://drive.google.com/open?id=1pvhlkuHy3oqCZ_k7xcbLmODQ4nqddMwh, https://drive.google.com/open?id=10NCKverKxy8fOzNnPc2kual2EUFtj_t6, https://drive.google.com/open?id=1yijq33apTNyhIYFGWGwgtNw5EVswXzj_, https://drive.google.com/open?id=11_U-4jc12-5Nyoznh"&amp;"hL_BCafHs3bnTT7, https://drive.google.com/open?id=1iZmdIQUYWraJGZ2mMpmCW30iBv_Q2url, https://drive.google.com/open?id=1KVNAU-vlXQ1_7NlxzOtJUHPxjVUVCTn9")</f>
        <v>https://drive.google.com/open?id=1pvhlkuHy3oqCZ_k7xcbLmODQ4nqddMwh, https://drive.google.com/open?id=10NCKverKxy8fOzNnPc2kual2EUFtj_t6, https://drive.google.com/open?id=1yijq33apTNyhIYFGWGwgtNw5EVswXzj_, https://drive.google.com/open?id=11_U-4jc12-5NyoznhhL_BCafHs3bnTT7, https://drive.google.com/open?id=1iZmdIQUYWraJGZ2mMpmCW30iBv_Q2url, https://drive.google.com/open?id=1KVNAU-vlXQ1_7NlxzOtJUHPxjVUVCTn9</v>
      </c>
      <c r="Y499" s="495" t="str">
        <f>IFERROR(__xludf.DUMMYFUNCTION("""COMPUTED_VALUE"""),"fuentes.roberto1@gmail.com")</f>
        <v>fuentes.roberto1@gmail.com</v>
      </c>
      <c r="Z499" s="495"/>
      <c r="AA499" s="495"/>
      <c r="AB499" s="495"/>
      <c r="AC499" s="495"/>
      <c r="AD499" s="495" t="str">
        <f>IFERROR(__xludf.DUMMYFUNCTION("""COMPUTED_VALUE"""),"RC-134")</f>
        <v>RC-134</v>
      </c>
    </row>
    <row r="500">
      <c r="A500" s="495" t="str">
        <f t="shared" si="1"/>
        <v>RC-178_26</v>
      </c>
      <c r="B500" s="497">
        <f>IFERROR(__xludf.DUMMYFUNCTION("""COMPUTED_VALUE"""),46157.62366498842)</f>
        <v>46157.62366</v>
      </c>
      <c r="C500" s="495" t="str">
        <f>IFERROR(__xludf.DUMMYFUNCTION("""COMPUTED_VALUE"""),"")</f>
        <v/>
      </c>
      <c r="D500" s="495" t="str">
        <f>IFERROR(__xludf.DUMMYFUNCTION("""COMPUTED_VALUE"""),"Juan Ignacio Solís de Ovando")</f>
        <v>Juan Ignacio Solís de Ovando</v>
      </c>
      <c r="E500" s="495"/>
      <c r="F500" s="496" t="str">
        <f>IFERROR(__xludf.DUMMYFUNCTION("""COMPUTED_VALUE"""),"11202-2025")</f>
        <v>11202-2025</v>
      </c>
      <c r="G500" s="495"/>
      <c r="H500" s="495"/>
      <c r="I500" s="495"/>
      <c r="J500" s="495" t="str">
        <f>IFERROR(__xludf.DUMMYFUNCTION("""COMPUTED_VALUE"""),"Campus Dr. Luis Rivas del Canto - CRC")</f>
        <v>Campus Dr. Luis Rivas del Canto - CRC</v>
      </c>
      <c r="K500" s="495" t="str">
        <f>IFERROR(__xludf.DUMMYFUNCTION("""COMPUTED_VALUE"""),"Sin número")</f>
        <v>Sin número</v>
      </c>
      <c r="L500" s="495" t="str">
        <f>IFERROR(__xludf.DUMMYFUNCTION("""COMPUTED_VALUE"""),"constructora alplas spa")</f>
        <v>constructora alplas spa</v>
      </c>
      <c r="M500" s="495" t="str">
        <f>IFERROR(__xludf.DUMMYFUNCTION("""COMPUTED_VALUE"""),"77.190.049-6")</f>
        <v>77.190.049-6</v>
      </c>
      <c r="N500" s="495" t="str">
        <f>IFERROR(__xludf.DUMMYFUNCTION("""COMPUTED_VALUE"""),"maxs jara")</f>
        <v>maxs jara</v>
      </c>
      <c r="O500" s="495" t="str">
        <f>IFERROR(__xludf.DUMMYFUNCTION("""COMPUTED_VALUE"""),"Obras y Especialidades")</f>
        <v>Obras y Especialidades</v>
      </c>
      <c r="P500" s="495"/>
      <c r="Q500" s="495"/>
      <c r="R500" s="495" t="str">
        <f>IFERROR(__xludf.DUMMYFUNCTION("""COMPUTED_VALUE"""),"Remodelación")</f>
        <v>Remodelación</v>
      </c>
      <c r="S500" s="495" t="str">
        <f>IFERROR(__xludf.DUMMYFUNCTION("""COMPUTED_VALUE"""),"Recepción de Obra - RC")</f>
        <v>Recepción de Obra - RC</v>
      </c>
      <c r="T500" s="495"/>
      <c r="U500" s="495"/>
      <c r="V500" s="495" t="str">
        <f>IFERROR(__xludf.DUMMYFUNCTION("""COMPUTED_VALUE"""),"Recambio de artefactos baños campus Luis Rivas")</f>
        <v>Recambio de artefactos baños campus Luis Rivas</v>
      </c>
      <c r="W500" s="495"/>
      <c r="X500" s="495" t="str">
        <f>IFERROR(__xludf.DUMMYFUNCTION("""COMPUTED_VALUE"""),"https://drive.google.com/open?id=1Y8FqxQ_8j8R3P6JAZS9AzjjUtae3lfgy, https://drive.google.com/open?id=136h8tYAcjsMCd5vG1PW6ssDjoP6OhGSL")</f>
        <v>https://drive.google.com/open?id=1Y8FqxQ_8j8R3P6JAZS9AzjjUtae3lfgy, https://drive.google.com/open?id=136h8tYAcjsMCd5vG1PW6ssDjoP6OhGSL</v>
      </c>
      <c r="Y500" s="495" t="str">
        <f>IFERROR(__xludf.DUMMYFUNCTION("""COMPUTED_VALUE"""),"maxsj@alplas.cl")</f>
        <v>maxsj@alplas.cl</v>
      </c>
      <c r="Z500" s="498">
        <f>IFERROR(__xludf.DUMMYFUNCTION("""COMPUTED_VALUE"""),3586261.0)</f>
        <v>3586261</v>
      </c>
      <c r="AA500" s="495"/>
      <c r="AB500" s="495"/>
      <c r="AC500" s="495"/>
      <c r="AD500" s="495" t="str">
        <f>IFERROR(__xludf.DUMMYFUNCTION("""COMPUTED_VALUE"""),"RC-178_26")</f>
        <v>RC-178_26</v>
      </c>
    </row>
    <row r="501">
      <c r="A501" s="495" t="str">
        <f t="shared" si="1"/>
        <v>RC-179_26</v>
      </c>
      <c r="B501" s="497">
        <f>IFERROR(__xludf.DUMMYFUNCTION("""COMPUTED_VALUE"""),46157.645757280094)</f>
        <v>46157.64576</v>
      </c>
      <c r="C501" s="495" t="str">
        <f>IFERROR(__xludf.DUMMYFUNCTION("""COMPUTED_VALUE"""),"")</f>
        <v/>
      </c>
      <c r="D501" s="495" t="str">
        <f>IFERROR(__xludf.DUMMYFUNCTION("""COMPUTED_VALUE"""),"Juan Ignacio Solís de Ovando")</f>
        <v>Juan Ignacio Solís de Ovando</v>
      </c>
      <c r="E501" s="495"/>
      <c r="F501" s="496" t="str">
        <f>IFERROR(__xludf.DUMMYFUNCTION("""COMPUTED_VALUE"""),"11202 - 2025")</f>
        <v>11202 - 2025</v>
      </c>
      <c r="G501" s="495"/>
      <c r="H501" s="495"/>
      <c r="I501" s="495"/>
      <c r="J501" s="495" t="str">
        <f>IFERROR(__xludf.DUMMYFUNCTION("""COMPUTED_VALUE"""),"Campus Dr. Luis Rivas del Canto - CRC")</f>
        <v>Campus Dr. Luis Rivas del Canto - CRC</v>
      </c>
      <c r="K501" s="495" t="str">
        <f>IFERROR(__xludf.DUMMYFUNCTION("""COMPUTED_VALUE"""),"Sin número")</f>
        <v>Sin número</v>
      </c>
      <c r="L501" s="495" t="str">
        <f>IFERROR(__xludf.DUMMYFUNCTION("""COMPUTED_VALUE"""),"constructora alplas spa")</f>
        <v>constructora alplas spa</v>
      </c>
      <c r="M501" s="495" t="str">
        <f>IFERROR(__xludf.DUMMYFUNCTION("""COMPUTED_VALUE"""),"77.190.049-6")</f>
        <v>77.190.049-6</v>
      </c>
      <c r="N501" s="495" t="str">
        <f>IFERROR(__xludf.DUMMYFUNCTION("""COMPUTED_VALUE"""),"maxs jara")</f>
        <v>maxs jara</v>
      </c>
      <c r="O501" s="495" t="str">
        <f>IFERROR(__xludf.DUMMYFUNCTION("""COMPUTED_VALUE"""),"Obras y Especialidades")</f>
        <v>Obras y Especialidades</v>
      </c>
      <c r="P501" s="495"/>
      <c r="Q501" s="495"/>
      <c r="R501" s="495" t="str">
        <f>IFERROR(__xludf.DUMMYFUNCTION("""COMPUTED_VALUE"""),"Remodelación")</f>
        <v>Remodelación</v>
      </c>
      <c r="S501" s="495" t="str">
        <f>IFERROR(__xludf.DUMMYFUNCTION("""COMPUTED_VALUE"""),"Estado de Pago - EP")</f>
        <v>Estado de Pago - EP</v>
      </c>
      <c r="T501" s="495">
        <f>IFERROR(__xludf.DUMMYFUNCTION("""COMPUTED_VALUE"""),2.0)</f>
        <v>2</v>
      </c>
      <c r="U501" s="498">
        <f>IFERROR(__xludf.DUMMYFUNCTION("""COMPUTED_VALUE"""),3586261.0)</f>
        <v>3586261</v>
      </c>
      <c r="V501" s="495" t="str">
        <f>IFERROR(__xludf.DUMMYFUNCTION("""COMPUTED_VALUE"""),"Recambio de artefactos baños campus Luis Rivas ")</f>
        <v>Recambio de artefactos baños campus Luis Rivas </v>
      </c>
      <c r="W501" s="495"/>
      <c r="X501" s="495" t="str">
        <f>IFERROR(__xludf.DUMMYFUNCTION("""COMPUTED_VALUE"""),"https://drive.google.com/open?id=1MovsLLoh2Ei2yLhFDQLaUFDz0tspB6OQ, https://drive.google.com/open?id=1jSoFaJXKORFX7uBExFyxUfU-QHX0Lf6v")</f>
        <v>https://drive.google.com/open?id=1MovsLLoh2Ei2yLhFDQLaUFDz0tspB6OQ, https://drive.google.com/open?id=1jSoFaJXKORFX7uBExFyxUfU-QHX0Lf6v</v>
      </c>
      <c r="Y501" s="495" t="str">
        <f>IFERROR(__xludf.DUMMYFUNCTION("""COMPUTED_VALUE"""),"maxsj@alplas.cl")</f>
        <v>maxsj@alplas.cl</v>
      </c>
      <c r="Z501" s="498">
        <f>IFERROR(__xludf.DUMMYFUNCTION("""COMPUTED_VALUE"""),1.7077431E7)</f>
        <v>17077431</v>
      </c>
      <c r="AA501" s="495"/>
      <c r="AB501" s="495"/>
      <c r="AC501" s="495"/>
      <c r="AD501" s="495" t="str">
        <f>IFERROR(__xludf.DUMMYFUNCTION("""COMPUTED_VALUE"""),"RC-179_26")</f>
        <v>RC-179_26</v>
      </c>
    </row>
    <row r="502">
      <c r="A502" s="495" t="str">
        <f t="shared" si="1"/>
        <v>RC-133</v>
      </c>
      <c r="B502" s="497">
        <f>IFERROR(__xludf.DUMMYFUNCTION("""COMPUTED_VALUE"""),46004.94313321759)</f>
        <v>46004.94313</v>
      </c>
      <c r="C502" s="495" t="str">
        <f>IFERROR(__xludf.DUMMYFUNCTION("""COMPUTED_VALUE"""),"")</f>
        <v/>
      </c>
      <c r="D502" s="495" t="str">
        <f>IFERROR(__xludf.DUMMYFUNCTION("""COMPUTED_VALUE"""),"Carol Huenchual Chañilao")</f>
        <v>Carol Huenchual Chañilao</v>
      </c>
      <c r="E502" s="495"/>
      <c r="F502" s="496" t="str">
        <f>IFERROR(__xludf.DUMMYFUNCTION("""COMPUTED_VALUE"""),"12713-2025")</f>
        <v>12713-2025</v>
      </c>
      <c r="G502" s="495"/>
      <c r="H502" s="495"/>
      <c r="I502" s="495"/>
      <c r="J502" s="495" t="str">
        <f>IFERROR(__xludf.DUMMYFUNCTION("""COMPUTED_VALUE"""),"Campus Dr. Luis Rivas del Canto - CRC")</f>
        <v>Campus Dr. Luis Rivas del Canto - CRC</v>
      </c>
      <c r="K502" s="495" t="str">
        <f>IFERROR(__xludf.DUMMYFUNCTION("""COMPUTED_VALUE"""),"01")</f>
        <v>01</v>
      </c>
      <c r="L502" s="495" t="str">
        <f>IFERROR(__xludf.DUMMYFUNCTION("""COMPUTED_VALUE"""),"SERVICIOS INTEGRALES CRITICOS SPA")</f>
        <v>SERVICIOS INTEGRALES CRITICOS SPA</v>
      </c>
      <c r="M502" s="495" t="str">
        <f>IFERROR(__xludf.DUMMYFUNCTION("""COMPUTED_VALUE"""),"77.248.719-3")</f>
        <v>77.248.719-3</v>
      </c>
      <c r="N502" s="495" t="str">
        <f>IFERROR(__xludf.DUMMYFUNCTION("""COMPUTED_VALUE"""),"ROBERTO FUENTES-INGENIERO MECANICO")</f>
        <v>ROBERTO FUENTES-INGENIERO MECANICO</v>
      </c>
      <c r="O502" s="495" t="str">
        <f>IFERROR(__xludf.DUMMYFUNCTION("""COMPUTED_VALUE"""),"Mantenciones")</f>
        <v>Mantenciones</v>
      </c>
      <c r="P502" s="495" t="str">
        <f>IFERROR(__xludf.DUMMYFUNCTION("""COMPUTED_VALUE"""),"Requerimientos Emergentes e Imprevistos")</f>
        <v>Requerimientos Emergentes e Imprevistos</v>
      </c>
      <c r="Q502" s="495"/>
      <c r="R502" s="495"/>
      <c r="S502" s="495"/>
      <c r="T502" s="495"/>
      <c r="U502" s="495"/>
      <c r="V502" s="495" t="str">
        <f>IFERROR(__xludf.DUMMYFUNCTION("""COMPUTED_VALUE"""),"MANTENCION DE 2 CALDERAS A PETROLEO PARA REALIZAR MEDICIONES ISOCINETICAS")</f>
        <v>MANTENCION DE 2 CALDERAS A PETROLEO PARA REALIZAR MEDICIONES ISOCINETICAS</v>
      </c>
      <c r="W502" s="495" t="str">
        <f>IFERROR(__xludf.DUMMYFUNCTION("""COMPUTED_VALUE"""),"ESTAR AL PENDIENTE CUANDO SE VENCE Y RENOVAR")</f>
        <v>ESTAR AL PENDIENTE CUANDO SE VENCE Y RENOVAR</v>
      </c>
      <c r="X502" s="495" t="str">
        <f>IFERROR(__xludf.DUMMYFUNCTION("""COMPUTED_VALUE"""),"https://drive.google.com/open?id=1UiHB5iAXzwR2hKVpuVsfkNqKIXFlbjmy, https://drive.google.com/open?id=1qDKDWLQ1GlQEpXqq84ZhNEH0RT5-1_O6, https://drive.google.com/open?id=1zON4uKddgdX1bXlvFV4X-X6GLVLi1aBj, https://drive.google.com/open?id=1H79VZyQ-J1AEpNxYI"&amp;"hA_XadKI6YT0lqR, https://drive.google.com/open?id=1VHpjqof7GoepqkptTepGgCQr_ceAt_10, https://drive.google.com/open?id=1mS9P5mtupMTyer8NN5PCPK7vid3A7fZb")</f>
        <v>https://drive.google.com/open?id=1UiHB5iAXzwR2hKVpuVsfkNqKIXFlbjmy, https://drive.google.com/open?id=1qDKDWLQ1GlQEpXqq84ZhNEH0RT5-1_O6, https://drive.google.com/open?id=1zON4uKddgdX1bXlvFV4X-X6GLVLi1aBj, https://drive.google.com/open?id=1H79VZyQ-J1AEpNxYIhA_XadKI6YT0lqR, https://drive.google.com/open?id=1VHpjqof7GoepqkptTepGgCQr_ceAt_10, https://drive.google.com/open?id=1mS9P5mtupMTyer8NN5PCPK7vid3A7fZb</v>
      </c>
      <c r="Y502" s="495" t="str">
        <f>IFERROR(__xludf.DUMMYFUNCTION("""COMPUTED_VALUE"""),"fuentes.roberto1@gmail.com")</f>
        <v>fuentes.roberto1@gmail.com</v>
      </c>
      <c r="Z502" s="495"/>
      <c r="AA502" s="495"/>
      <c r="AB502" s="495"/>
      <c r="AC502" s="495"/>
      <c r="AD502" s="495" t="str">
        <f>IFERROR(__xludf.DUMMYFUNCTION("""COMPUTED_VALUE"""),"RC-133")</f>
        <v>RC-133</v>
      </c>
    </row>
    <row r="503">
      <c r="A503" s="495" t="str">
        <f t="shared" si="1"/>
        <v>RC-181_26</v>
      </c>
      <c r="B503" s="497">
        <f>IFERROR(__xludf.DUMMYFUNCTION("""COMPUTED_VALUE"""),46159.750483958334)</f>
        <v>46159.75048</v>
      </c>
      <c r="C503" s="495" t="str">
        <f>IFERROR(__xludf.DUMMYFUNCTION("""COMPUTED_VALUE"""),"")</f>
        <v/>
      </c>
      <c r="D503" s="495" t="str">
        <f>IFERROR(__xludf.DUMMYFUNCTION("""COMPUTED_VALUE"""),"David Silva Roco")</f>
        <v>David Silva Roco</v>
      </c>
      <c r="E503" s="495"/>
      <c r="F503" s="496">
        <f>IFERROR(__xludf.DUMMYFUNCTION("""COMPUTED_VALUE"""),3646.0)</f>
        <v>3646</v>
      </c>
      <c r="G503" s="495"/>
      <c r="H503" s="495"/>
      <c r="I503" s="495"/>
      <c r="J503" s="495" t="str">
        <f>IFERROR(__xludf.DUMMYFUNCTION("""COMPUTED_VALUE"""),"Campus Dr. Luis Rivas del Canto - CRC")</f>
        <v>Campus Dr. Luis Rivas del Canto - CRC</v>
      </c>
      <c r="K503" s="495">
        <f>IFERROR(__xludf.DUMMYFUNCTION("""COMPUTED_VALUE"""),10.0)</f>
        <v>10</v>
      </c>
      <c r="L503" s="495" t="str">
        <f>IFERROR(__xludf.DUMMYFUNCTION("""COMPUTED_VALUE"""),"Dsiete spa ")</f>
        <v>Dsiete spa </v>
      </c>
      <c r="M503" s="495" t="str">
        <f>IFERROR(__xludf.DUMMYFUNCTION("""COMPUTED_VALUE"""),"77.964.311-5")</f>
        <v>77.964.311-5</v>
      </c>
      <c r="N503" s="495" t="str">
        <f>IFERROR(__xludf.DUMMYFUNCTION("""COMPUTED_VALUE"""),"Daniella Vidal encargada de proyectos ")</f>
        <v>Daniella Vidal encargada de proyectos </v>
      </c>
      <c r="O503" s="495" t="str">
        <f>IFERROR(__xludf.DUMMYFUNCTION("""COMPUTED_VALUE"""),"Obras y Especialidades")</f>
        <v>Obras y Especialidades</v>
      </c>
      <c r="P503" s="495"/>
      <c r="Q503" s="495"/>
      <c r="R503" s="495" t="str">
        <f>IFERROR(__xludf.DUMMYFUNCTION("""COMPUTED_VALUE"""),"Especialidades")</f>
        <v>Especialidades</v>
      </c>
      <c r="S503" s="495" t="str">
        <f>IFERROR(__xludf.DUMMYFUNCTION("""COMPUTED_VALUE"""),"Recepción de Obra - RC")</f>
        <v>Recepción de Obra - RC</v>
      </c>
      <c r="T503" s="495"/>
      <c r="U503" s="495"/>
      <c r="V503" s="495" t="str">
        <f>IFERROR(__xludf.DUMMYFUNCTION("""COMPUTED_VALUE"""),"Señalización oficinas y piso ")</f>
        <v>Señalización oficinas y piso </v>
      </c>
      <c r="W503" s="495"/>
      <c r="X503" s="495" t="str">
        <f>IFERROR(__xludf.DUMMYFUNCTION("""COMPUTED_VALUE"""),"https://drive.google.com/open?id=1Ja_4CI6iiKsHt6G5BeLh81GlbP3Oxjxa, https://drive.google.com/open?id=1RB4mv9HuGNgAriIRt5vuO3aSSYX1XKP1, https://drive.google.com/open?id=1hq95Cq0Ut959HLZR0ZvSDnPpV723f003")</f>
        <v>https://drive.google.com/open?id=1Ja_4CI6iiKsHt6G5BeLh81GlbP3Oxjxa, https://drive.google.com/open?id=1RB4mv9HuGNgAriIRt5vuO3aSSYX1XKP1, https://drive.google.com/open?id=1hq95Cq0Ut959HLZR0ZvSDnPpV723f003</v>
      </c>
      <c r="Y503" s="495" t="str">
        <f>IFERROR(__xludf.DUMMYFUNCTION("""COMPUTED_VALUE"""),"dsiete.design@gmail.com")</f>
        <v>dsiete.design@gmail.com</v>
      </c>
      <c r="Z503" s="498">
        <f>IFERROR(__xludf.DUMMYFUNCTION("""COMPUTED_VALUE"""),3685318.0)</f>
        <v>3685318</v>
      </c>
      <c r="AA503" s="495"/>
      <c r="AB503" s="495"/>
      <c r="AC503" s="495"/>
      <c r="AD503" s="495" t="str">
        <f>IFERROR(__xludf.DUMMYFUNCTION("""COMPUTED_VALUE"""),"RC-181_26")</f>
        <v>RC-181_26</v>
      </c>
    </row>
    <row r="504">
      <c r="A504" s="495" t="str">
        <f t="shared" si="1"/>
        <v>RC-132</v>
      </c>
      <c r="B504" s="497">
        <f>IFERROR(__xludf.DUMMYFUNCTION("""COMPUTED_VALUE"""),46004.92396335649)</f>
        <v>46004.92396</v>
      </c>
      <c r="C504" s="495" t="str">
        <f>IFERROR(__xludf.DUMMYFUNCTION("""COMPUTED_VALUE"""),"")</f>
        <v/>
      </c>
      <c r="D504" s="495" t="str">
        <f>IFERROR(__xludf.DUMMYFUNCTION("""COMPUTED_VALUE"""),"Carol Huenchual Chañilao")</f>
        <v>Carol Huenchual Chañilao</v>
      </c>
      <c r="E504" s="495"/>
      <c r="F504" s="496" t="str">
        <f>IFERROR(__xludf.DUMMYFUNCTION("""COMPUTED_VALUE"""),"7969-2025")</f>
        <v>7969-2025</v>
      </c>
      <c r="G504" s="495"/>
      <c r="H504" s="495"/>
      <c r="I504" s="495"/>
      <c r="J504" s="495" t="str">
        <f>IFERROR(__xludf.DUMMYFUNCTION("""COMPUTED_VALUE"""),"Campus San Francisco - CSF")</f>
        <v>Campus San Francisco - CSF</v>
      </c>
      <c r="K504" s="495" t="str">
        <f>IFERROR(__xludf.DUMMYFUNCTION("""COMPUTED_VALUE"""),"04")</f>
        <v>04</v>
      </c>
      <c r="L504" s="495" t="str">
        <f>IFERROR(__xludf.DUMMYFUNCTION("""COMPUTED_VALUE"""),"SERVICIOS INTEGRALES CRITICOS SPA")</f>
        <v>SERVICIOS INTEGRALES CRITICOS SPA</v>
      </c>
      <c r="M504" s="495" t="str">
        <f>IFERROR(__xludf.DUMMYFUNCTION("""COMPUTED_VALUE"""),"77.248.719-3")</f>
        <v>77.248.719-3</v>
      </c>
      <c r="N504" s="495" t="str">
        <f>IFERROR(__xludf.DUMMYFUNCTION("""COMPUTED_VALUE"""),"ROBERTO FUENTES-INGENIERO")</f>
        <v>ROBERTO FUENTES-INGENIERO</v>
      </c>
      <c r="O504" s="495" t="str">
        <f>IFERROR(__xludf.DUMMYFUNCTION("""COMPUTED_VALUE"""),"Mantenciones")</f>
        <v>Mantenciones</v>
      </c>
      <c r="P504" s="495" t="str">
        <f>IFERROR(__xludf.DUMMYFUNCTION("""COMPUTED_VALUE"""),"Requerimientos Emergentes e Imprevistos")</f>
        <v>Requerimientos Emergentes e Imprevistos</v>
      </c>
      <c r="Q504" s="495"/>
      <c r="R504" s="495"/>
      <c r="S504" s="495"/>
      <c r="T504" s="495"/>
      <c r="U504" s="495"/>
      <c r="V504" s="495" t="str">
        <f>IFERROR(__xludf.DUMMYFUNCTION("""COMPUTED_VALUE"""),"SE REPARA AUTOCLAVE")</f>
        <v>SE REPARA AUTOCLAVE</v>
      </c>
      <c r="W504" s="495" t="str">
        <f>IFERROR(__xludf.DUMMYFUNCTION("""COMPUTED_VALUE"""),"REVISAR ANUALMENTE")</f>
        <v>REVISAR ANUALMENTE</v>
      </c>
      <c r="X504" s="495" t="str">
        <f>IFERROR(__xludf.DUMMYFUNCTION("""COMPUTED_VALUE"""),"https://drive.google.com/open?id=1kYkraJcIXbhQIKB0eiUZNKyP0l2pHb9u, https://drive.google.com/open?id=103jb074nsxKr_7yFhx3Umy62AlVtZibf")</f>
        <v>https://drive.google.com/open?id=1kYkraJcIXbhQIKB0eiUZNKyP0l2pHb9u, https://drive.google.com/open?id=103jb074nsxKr_7yFhx3Umy62AlVtZibf</v>
      </c>
      <c r="Y504" s="495" t="str">
        <f>IFERROR(__xludf.DUMMYFUNCTION("""COMPUTED_VALUE"""),"fuentes.roberto1@gmail.com")</f>
        <v>fuentes.roberto1@gmail.com</v>
      </c>
      <c r="Z504" s="495"/>
      <c r="AA504" s="495"/>
      <c r="AB504" s="495"/>
      <c r="AC504" s="495"/>
      <c r="AD504" s="495" t="str">
        <f>IFERROR(__xludf.DUMMYFUNCTION("""COMPUTED_VALUE"""),"RC-132")</f>
        <v>RC-132</v>
      </c>
    </row>
    <row r="505">
      <c r="A505" s="495" t="str">
        <f t="shared" si="1"/>
        <v>RC-131</v>
      </c>
      <c r="B505" s="497">
        <f>IFERROR(__xludf.DUMMYFUNCTION("""COMPUTED_VALUE"""),46004.91823393518)</f>
        <v>46004.91823</v>
      </c>
      <c r="C505" s="495" t="str">
        <f>IFERROR(__xludf.DUMMYFUNCTION("""COMPUTED_VALUE"""),"")</f>
        <v/>
      </c>
      <c r="D505" s="495" t="str">
        <f>IFERROR(__xludf.DUMMYFUNCTION("""COMPUTED_VALUE"""),"Carol Huenchual Chañilao")</f>
        <v>Carol Huenchual Chañilao</v>
      </c>
      <c r="E505" s="495"/>
      <c r="F505" s="496" t="str">
        <f>IFERROR(__xludf.DUMMYFUNCTION("""COMPUTED_VALUE"""),"7966-2025")</f>
        <v>7966-2025</v>
      </c>
      <c r="G505" s="495"/>
      <c r="H505" s="495"/>
      <c r="I505" s="495"/>
      <c r="J505" s="495" t="str">
        <f>IFERROR(__xludf.DUMMYFUNCTION("""COMPUTED_VALUE"""),"Campus San Francisco - CSF")</f>
        <v>Campus San Francisco - CSF</v>
      </c>
      <c r="K505" s="495" t="str">
        <f>IFERROR(__xludf.DUMMYFUNCTION("""COMPUTED_VALUE"""),"04")</f>
        <v>04</v>
      </c>
      <c r="L505" s="495" t="str">
        <f>IFERROR(__xludf.DUMMYFUNCTION("""COMPUTED_VALUE"""),"SERVICIOS INTEGRALES CRITICOS SPA")</f>
        <v>SERVICIOS INTEGRALES CRITICOS SPA</v>
      </c>
      <c r="M505" s="495" t="str">
        <f>IFERROR(__xludf.DUMMYFUNCTION("""COMPUTED_VALUE"""),"77.248.719-3")</f>
        <v>77.248.719-3</v>
      </c>
      <c r="N505" s="495" t="str">
        <f>IFERROR(__xludf.DUMMYFUNCTION("""COMPUTED_VALUE"""),"ROBERTO FUENTES-INGENIERO MECANICO")</f>
        <v>ROBERTO FUENTES-INGENIERO MECANICO</v>
      </c>
      <c r="O505" s="495" t="str">
        <f>IFERROR(__xludf.DUMMYFUNCTION("""COMPUTED_VALUE"""),"Mantenciones")</f>
        <v>Mantenciones</v>
      </c>
      <c r="P505" s="495" t="str">
        <f>IFERROR(__xludf.DUMMYFUNCTION("""COMPUTED_VALUE"""),"Requerimientos Emergentes e Imprevistos")</f>
        <v>Requerimientos Emergentes e Imprevistos</v>
      </c>
      <c r="Q505" s="495"/>
      <c r="R505" s="495"/>
      <c r="S505" s="495"/>
      <c r="T505" s="495"/>
      <c r="U505" s="495"/>
      <c r="V505" s="495" t="str">
        <f>IFERROR(__xludf.DUMMYFUNCTION("""COMPUTED_VALUE"""),"CERIFICACION AUTOCLAVE EN LA SEREMI SALUD")</f>
        <v>CERIFICACION AUTOCLAVE EN LA SEREMI SALUD</v>
      </c>
      <c r="W505" s="495" t="str">
        <f>IFERROR(__xludf.DUMMYFUNCTION("""COMPUTED_VALUE"""),"ESTAR PENDIENTE CUANDO SE VENCE PARA RENOVAR")</f>
        <v>ESTAR PENDIENTE CUANDO SE VENCE PARA RENOVAR</v>
      </c>
      <c r="X505" s="495" t="str">
        <f>IFERROR(__xludf.DUMMYFUNCTION("""COMPUTED_VALUE"""),"https://drive.google.com/open?id=1csmmsjMGp_9vB4qmH0ph5gGsVvHYlyLN, https://drive.google.com/open?id=1XRYXvb20RKXlHnpQMguNpiNJsj13-PXt, https://drive.google.com/open?id=1V9jaRcRZj5aOFasRfgo8pU491z1AgbJN")</f>
        <v>https://drive.google.com/open?id=1csmmsjMGp_9vB4qmH0ph5gGsVvHYlyLN, https://drive.google.com/open?id=1XRYXvb20RKXlHnpQMguNpiNJsj13-PXt, https://drive.google.com/open?id=1V9jaRcRZj5aOFasRfgo8pU491z1AgbJN</v>
      </c>
      <c r="Y505" s="495" t="str">
        <f>IFERROR(__xludf.DUMMYFUNCTION("""COMPUTED_VALUE"""),"fuentes.roberto1@gmail.com")</f>
        <v>fuentes.roberto1@gmail.com</v>
      </c>
      <c r="Z505" s="495"/>
      <c r="AA505" s="495"/>
      <c r="AB505" s="495"/>
      <c r="AC505" s="495"/>
      <c r="AD505" s="495" t="str">
        <f>IFERROR(__xludf.DUMMYFUNCTION("""COMPUTED_VALUE"""),"RC-131")</f>
        <v>RC-131</v>
      </c>
    </row>
    <row r="506">
      <c r="A506" s="495" t="str">
        <f t="shared" si="1"/>
        <v>RC-184_26</v>
      </c>
      <c r="B506" s="497">
        <f>IFERROR(__xludf.DUMMYFUNCTION("""COMPUTED_VALUE"""),46160.450110370366)</f>
        <v>46160.45011</v>
      </c>
      <c r="C506" s="495" t="str">
        <f>IFERROR(__xludf.DUMMYFUNCTION("""COMPUTED_VALUE"""),"")</f>
        <v/>
      </c>
      <c r="D506" s="495" t="str">
        <f>IFERROR(__xludf.DUMMYFUNCTION("""COMPUTED_VALUE"""),"Arturo Meza Vega")</f>
        <v>Arturo Meza Vega</v>
      </c>
      <c r="E506" s="495"/>
      <c r="F506" s="496" t="str">
        <f>IFERROR(__xludf.DUMMYFUNCTION("""COMPUTED_VALUE"""),"3520-2026")</f>
        <v>3520-2026</v>
      </c>
      <c r="G506" s="495"/>
      <c r="H506" s="495"/>
      <c r="I506" s="495"/>
      <c r="J506" s="495" t="str">
        <f>IFERROR(__xludf.DUMMYFUNCTION("""COMPUTED_VALUE"""),"Campus Monseñor Alejandro Menchaca Lira - CML")</f>
        <v>Campus Monseñor Alejandro Menchaca Lira - CML</v>
      </c>
      <c r="K506" s="495" t="str">
        <f>IFERROR(__xludf.DUMMYFUNCTION("""COMPUTED_VALUE"""),"05")</f>
        <v>05</v>
      </c>
      <c r="L506" s="495" t="str">
        <f>IFERROR(__xludf.DUMMYFUNCTION("""COMPUTED_VALUE"""),"Servicios de climatización Gustavo Espinoza eirl ")</f>
        <v>Servicios de climatización Gustavo Espinoza eirl </v>
      </c>
      <c r="M506" s="495" t="str">
        <f>IFERROR(__xludf.DUMMYFUNCTION("""COMPUTED_VALUE"""),"77.506.311-4")</f>
        <v>77.506.311-4</v>
      </c>
      <c r="N506" s="495" t="str">
        <f>IFERROR(__xludf.DUMMYFUNCTION("""COMPUTED_VALUE"""),"Gustavo Espinoza supervisor ")</f>
        <v>Gustavo Espinoza supervisor </v>
      </c>
      <c r="O506" s="495" t="str">
        <f>IFERROR(__xludf.DUMMYFUNCTION("""COMPUTED_VALUE"""),"Obras y Especialidades")</f>
        <v>Obras y Especialidades</v>
      </c>
      <c r="P506" s="495"/>
      <c r="Q506" s="495"/>
      <c r="R506" s="495" t="str">
        <f>IFERROR(__xludf.DUMMYFUNCTION("""COMPUTED_VALUE"""),"Especialidades")</f>
        <v>Especialidades</v>
      </c>
      <c r="S506" s="495" t="str">
        <f>IFERROR(__xludf.DUMMYFUNCTION("""COMPUTED_VALUE"""),"Recepción de Obra - RC")</f>
        <v>Recepción de Obra - RC</v>
      </c>
      <c r="T506" s="495"/>
      <c r="U506" s="495"/>
      <c r="V506" s="495" t="str">
        <f>IFERROR(__xludf.DUMMYFUNCTION("""COMPUTED_VALUE""")," Nueva Instalación aire acondicionado ")</f>
        <v> Nueva Instalación aire acondicionado </v>
      </c>
      <c r="W506" s="495" t="str">
        <f>IFERROR(__xludf.DUMMYFUNCTION("""COMPUTED_VALUE"""),"Mantenimiento cada 6 meses ")</f>
        <v>Mantenimiento cada 6 meses </v>
      </c>
      <c r="X506" s="495" t="str">
        <f>IFERROR(__xludf.DUMMYFUNCTION("""COMPUTED_VALUE"""),"https://drive.google.com/open?id=1XaOZFCR74tyr4JaUfGDYRQgHcDSDOqyL, https://drive.google.com/open?id=1ZNA-Xt03G1X3SARDCwIvzadGp-TGzJrb, https://drive.google.com/open?id=18iRuadZdNBcQX1Z-tT9KlKcWb4Q9ZyTH")</f>
        <v>https://drive.google.com/open?id=1XaOZFCR74tyr4JaUfGDYRQgHcDSDOqyL, https://drive.google.com/open?id=1ZNA-Xt03G1X3SARDCwIvzadGp-TGzJrb, https://drive.google.com/open?id=18iRuadZdNBcQX1Z-tT9KlKcWb4Q9ZyTH</v>
      </c>
      <c r="Y506" s="495" t="str">
        <f>IFERROR(__xludf.DUMMYFUNCTION("""COMPUTED_VALUE"""),"gustavorodrigo.1992.07@gmail.com")</f>
        <v>gustavorodrigo.1992.07@gmail.com</v>
      </c>
      <c r="Z506" s="498">
        <f>IFERROR(__xludf.DUMMYFUNCTION("""COMPUTED_VALUE"""),1011500.0)</f>
        <v>1011500</v>
      </c>
      <c r="AA506" s="495"/>
      <c r="AB506" s="495"/>
      <c r="AC506" s="495"/>
      <c r="AD506" s="495" t="str">
        <f>IFERROR(__xludf.DUMMYFUNCTION("""COMPUTED_VALUE"""),"RC-184_26")</f>
        <v>RC-184_26</v>
      </c>
    </row>
    <row r="507">
      <c r="A507" s="495" t="str">
        <f t="shared" si="1"/>
        <v>RC-185_26</v>
      </c>
      <c r="B507" s="497">
        <f>IFERROR(__xludf.DUMMYFUNCTION("""COMPUTED_VALUE"""),46160.4764416088)</f>
        <v>46160.47644</v>
      </c>
      <c r="C507" s="495" t="str">
        <f>IFERROR(__xludf.DUMMYFUNCTION("""COMPUTED_VALUE"""),"")</f>
        <v/>
      </c>
      <c r="D507" s="495" t="str">
        <f>IFERROR(__xludf.DUMMYFUNCTION("""COMPUTED_VALUE"""),"Leonor Ríos Morales")</f>
        <v>Leonor Ríos Morales</v>
      </c>
      <c r="E507" s="495"/>
      <c r="F507" s="496" t="str">
        <f>IFERROR(__xludf.DUMMYFUNCTION("""COMPUTED_VALUE"""),"3645-2026")</f>
        <v>3645-2026</v>
      </c>
      <c r="G507" s="495"/>
      <c r="H507" s="495"/>
      <c r="I507" s="495"/>
      <c r="J507" s="495" t="str">
        <f>IFERROR(__xludf.DUMMYFUNCTION("""COMPUTED_VALUE"""),"Campus San Francisco - CSF")</f>
        <v>Campus San Francisco - CSF</v>
      </c>
      <c r="K507" s="495" t="str">
        <f>IFERROR(__xludf.DUMMYFUNCTION("""COMPUTED_VALUE"""),"Sin número")</f>
        <v>Sin número</v>
      </c>
      <c r="L507" s="495" t="str">
        <f>IFERROR(__xludf.DUMMYFUNCTION("""COMPUTED_VALUE"""),"Constructora y Servicios S-Tec SPA ")</f>
        <v>Constructora y Servicios S-Tec SPA </v>
      </c>
      <c r="M507" s="495" t="str">
        <f>IFERROR(__xludf.DUMMYFUNCTION("""COMPUTED_VALUE"""),"78.270.109-6")</f>
        <v>78.270.109-6</v>
      </c>
      <c r="N507" s="495" t="str">
        <f>IFERROR(__xludf.DUMMYFUNCTION("""COMPUTED_VALUE"""),"Miguel Pino")</f>
        <v>Miguel Pino</v>
      </c>
      <c r="O507" s="495" t="str">
        <f>IFERROR(__xludf.DUMMYFUNCTION("""COMPUTED_VALUE"""),"Obras y Especialidades")</f>
        <v>Obras y Especialidades</v>
      </c>
      <c r="P507" s="495"/>
      <c r="Q507" s="495"/>
      <c r="R507" s="495" t="str">
        <f>IFERROR(__xludf.DUMMYFUNCTION("""COMPUTED_VALUE"""),"Remodelación")</f>
        <v>Remodelación</v>
      </c>
      <c r="S507" s="495" t="str">
        <f>IFERROR(__xludf.DUMMYFUNCTION("""COMPUTED_VALUE"""),"Recepción de Obra - RC")</f>
        <v>Recepción de Obra - RC</v>
      </c>
      <c r="T507" s="495"/>
      <c r="U507" s="495"/>
      <c r="V507" s="495" t="str">
        <f>IFERROR(__xludf.DUMMYFUNCTION("""COMPUTED_VALUE"""),"AUMENTO DE OBRA EN LA REMODELACIÓN DEL EDIFICIO BIBLIOTECA ETAPA 2 Y 3 DEL CAMPUS SAN FRANCISCO.")</f>
        <v>AUMENTO DE OBRA EN LA REMODELACIÓN DEL EDIFICIO BIBLIOTECA ETAPA 2 Y 3 DEL CAMPUS SAN FRANCISCO.</v>
      </c>
      <c r="W507" s="495"/>
      <c r="X507" s="495" t="str">
        <f>IFERROR(__xludf.DUMMYFUNCTION("""COMPUTED_VALUE"""),"https://drive.google.com/open?id=1au26FHO4LEtOv80EhUF75z8u9I8HoIbp, https://drive.google.com/open?id=1l4I9E44Ziq6aLDLf1dENT4A1OUcxoyUT, https://drive.google.com/open?id=13z1j8dZr43UoDZMy7vTE2NBV9_li0Pkn, https://drive.google.com/open?id=17_QDL07lsF_VcXzgP"&amp;"vliqcy2ky9li6ET, https://drive.google.com/open?id=1Gv_TPPVDgRZRtzOrulh3QHDrbOg6lhrr, https://drive.google.com/open?id=15eM2jdsj-kuAYhTLuIeldshJFyRZKe4k, https://drive.google.com/open?id=1mzj_n00bBUHlTz-s2gbHmiN4GVcUeDoO")</f>
        <v>https://drive.google.com/open?id=1au26FHO4LEtOv80EhUF75z8u9I8HoIbp, https://drive.google.com/open?id=1l4I9E44Ziq6aLDLf1dENT4A1OUcxoyUT, https://drive.google.com/open?id=13z1j8dZr43UoDZMy7vTE2NBV9_li0Pkn, https://drive.google.com/open?id=17_QDL07lsF_VcXzgPvliqcy2ky9li6ET, https://drive.google.com/open?id=1Gv_TPPVDgRZRtzOrulh3QHDrbOg6lhrr, https://drive.google.com/open?id=15eM2jdsj-kuAYhTLuIeldshJFyRZKe4k, https://drive.google.com/open?id=1mzj_n00bBUHlTz-s2gbHmiN4GVcUeDoO</v>
      </c>
      <c r="Y507" s="495" t="str">
        <f>IFERROR(__xludf.DUMMYFUNCTION("""COMPUTED_VALUE"""),"miguelptorres@gmail.com")</f>
        <v>miguelptorres@gmail.com</v>
      </c>
      <c r="Z507" s="498">
        <f>IFERROR(__xludf.DUMMYFUNCTION("""COMPUTED_VALUE"""),4960920.0)</f>
        <v>4960920</v>
      </c>
      <c r="AA507" s="495"/>
      <c r="AB507" s="495"/>
      <c r="AC507" s="495"/>
      <c r="AD507" s="495" t="str">
        <f>IFERROR(__xludf.DUMMYFUNCTION("""COMPUTED_VALUE"""),"RC-185_26")</f>
        <v>RC-185_26</v>
      </c>
    </row>
    <row r="508">
      <c r="A508" s="495" t="str">
        <f t="shared" si="1"/>
        <v>RC-130</v>
      </c>
      <c r="B508" s="497">
        <f>IFERROR(__xludf.DUMMYFUNCTION("""COMPUTED_VALUE"""),46004.913541041664)</f>
        <v>46004.91354</v>
      </c>
      <c r="C508" s="495" t="str">
        <f>IFERROR(__xludf.DUMMYFUNCTION("""COMPUTED_VALUE"""),"")</f>
        <v/>
      </c>
      <c r="D508" s="495" t="str">
        <f>IFERROR(__xludf.DUMMYFUNCTION("""COMPUTED_VALUE"""),"Carol Huenchual Chañilao")</f>
        <v>Carol Huenchual Chañilao</v>
      </c>
      <c r="E508" s="495"/>
      <c r="F508" s="496" t="str">
        <f>IFERROR(__xludf.DUMMYFUNCTION("""COMPUTED_VALUE"""),"7965-2025")</f>
        <v>7965-2025</v>
      </c>
      <c r="G508" s="495"/>
      <c r="H508" s="495"/>
      <c r="I508" s="495"/>
      <c r="J508" s="495" t="str">
        <f>IFERROR(__xludf.DUMMYFUNCTION("""COMPUTED_VALUE"""),"Campus San Francisco - CSF")</f>
        <v>Campus San Francisco - CSF</v>
      </c>
      <c r="K508" s="495" t="str">
        <f>IFERROR(__xludf.DUMMYFUNCTION("""COMPUTED_VALUE"""),"04")</f>
        <v>04</v>
      </c>
      <c r="L508" s="495" t="str">
        <f>IFERROR(__xludf.DUMMYFUNCTION("""COMPUTED_VALUE"""),"SERVICIOS INTEGRALES CRITICOS SPA")</f>
        <v>SERVICIOS INTEGRALES CRITICOS SPA</v>
      </c>
      <c r="M508" s="495" t="str">
        <f>IFERROR(__xludf.DUMMYFUNCTION("""COMPUTED_VALUE"""),"77.248.719-3")</f>
        <v>77.248.719-3</v>
      </c>
      <c r="N508" s="495" t="str">
        <f>IFERROR(__xludf.DUMMYFUNCTION("""COMPUTED_VALUE"""),"ROBERTO FUENTES - INGENIERO")</f>
        <v>ROBERTO FUENTES - INGENIERO</v>
      </c>
      <c r="O508" s="495" t="str">
        <f>IFERROR(__xludf.DUMMYFUNCTION("""COMPUTED_VALUE"""),"Mantenciones")</f>
        <v>Mantenciones</v>
      </c>
      <c r="P508" s="495" t="str">
        <f>IFERROR(__xludf.DUMMYFUNCTION("""COMPUTED_VALUE"""),"Requerimientos Emergentes e Imprevistos")</f>
        <v>Requerimientos Emergentes e Imprevistos</v>
      </c>
      <c r="Q508" s="495"/>
      <c r="R508" s="495"/>
      <c r="S508" s="495"/>
      <c r="T508" s="495"/>
      <c r="U508" s="495"/>
      <c r="V508" s="495" t="str">
        <f>IFERROR(__xludf.DUMMYFUNCTION("""COMPUTED_VALUE"""),"DAR DE BAJA AUTOCLAVE")</f>
        <v>DAR DE BAJA AUTOCLAVE</v>
      </c>
      <c r="W508" s="495" t="str">
        <f>IFERROR(__xludf.DUMMYFUNCTION("""COMPUTED_VALUE"""),"LLEVAR AUTOCLAVE DE BAJA A BODEGA")</f>
        <v>LLEVAR AUTOCLAVE DE BAJA A BODEGA</v>
      </c>
      <c r="X508" s="495" t="str">
        <f>IFERROR(__xludf.DUMMYFUNCTION("""COMPUTED_VALUE"""),"https://drive.google.com/open?id=1hFcO7UXrKnGU38b3yDVcSqafsw0WO4K2, https://drive.google.com/open?id=1V_NK078_VbTiZckZxJm9FHLwZrJwrgsJ, https://drive.google.com/open?id=1QHWlIl9dWrAC3AePGvGpXpn6E756albP")</f>
        <v>https://drive.google.com/open?id=1hFcO7UXrKnGU38b3yDVcSqafsw0WO4K2, https://drive.google.com/open?id=1V_NK078_VbTiZckZxJm9FHLwZrJwrgsJ, https://drive.google.com/open?id=1QHWlIl9dWrAC3AePGvGpXpn6E756albP</v>
      </c>
      <c r="Y508" s="495" t="str">
        <f>IFERROR(__xludf.DUMMYFUNCTION("""COMPUTED_VALUE"""),"fuentes.roberto1@gmail.com")</f>
        <v>fuentes.roberto1@gmail.com</v>
      </c>
      <c r="Z508" s="495"/>
      <c r="AA508" s="495"/>
      <c r="AB508" s="495"/>
      <c r="AC508" s="495"/>
      <c r="AD508" s="495" t="str">
        <f>IFERROR(__xludf.DUMMYFUNCTION("""COMPUTED_VALUE"""),"RC-130")</f>
        <v>RC-130</v>
      </c>
    </row>
    <row r="509">
      <c r="A509" s="495" t="str">
        <f t="shared" si="1"/>
        <v>RC-129</v>
      </c>
      <c r="B509" s="497">
        <f>IFERROR(__xludf.DUMMYFUNCTION("""COMPUTED_VALUE"""),46004.90338821759)</f>
        <v>46004.90339</v>
      </c>
      <c r="C509" s="495" t="str">
        <f>IFERROR(__xludf.DUMMYFUNCTION("""COMPUTED_VALUE"""),"")</f>
        <v/>
      </c>
      <c r="D509" s="495" t="str">
        <f>IFERROR(__xludf.DUMMYFUNCTION("""COMPUTED_VALUE"""),"Carol Huenchual Chañilao")</f>
        <v>Carol Huenchual Chañilao</v>
      </c>
      <c r="E509" s="495"/>
      <c r="F509" s="496" t="str">
        <f>IFERROR(__xludf.DUMMYFUNCTION("""COMPUTED_VALUE"""),"8965-2025")</f>
        <v>8965-2025</v>
      </c>
      <c r="G509" s="495"/>
      <c r="H509" s="495"/>
      <c r="I509" s="495"/>
      <c r="J509" s="495" t="str">
        <f>IFERROR(__xludf.DUMMYFUNCTION("""COMPUTED_VALUE"""),"Campus San Juan Pablo II - CJP")</f>
        <v>Campus San Juan Pablo II - CJP</v>
      </c>
      <c r="K509" s="495" t="str">
        <f>IFERROR(__xludf.DUMMYFUNCTION("""COMPUTED_VALUE"""),"01")</f>
        <v>01</v>
      </c>
      <c r="L509" s="495" t="str">
        <f>IFERROR(__xludf.DUMMYFUNCTION("""COMPUTED_VALUE"""),"SERVICIOS INTEGRALES CRITICOS SPA")</f>
        <v>SERVICIOS INTEGRALES CRITICOS SPA</v>
      </c>
      <c r="M509" s="495" t="str">
        <f>IFERROR(__xludf.DUMMYFUNCTION("""COMPUTED_VALUE"""),"77.248.719-3")</f>
        <v>77.248.719-3</v>
      </c>
      <c r="N509" s="495" t="str">
        <f>IFERROR(__xludf.DUMMYFUNCTION("""COMPUTED_VALUE"""),"ROBERTO FUENTES - INGENIERO")</f>
        <v>ROBERTO FUENTES - INGENIERO</v>
      </c>
      <c r="O509" s="495" t="str">
        <f>IFERROR(__xludf.DUMMYFUNCTION("""COMPUTED_VALUE"""),"Mantenciones")</f>
        <v>Mantenciones</v>
      </c>
      <c r="P509" s="495" t="str">
        <f>IFERROR(__xludf.DUMMYFUNCTION("""COMPUTED_VALUE"""),"Requerimientos Emergentes e Imprevistos")</f>
        <v>Requerimientos Emergentes e Imprevistos</v>
      </c>
      <c r="Q509" s="495"/>
      <c r="R509" s="495"/>
      <c r="S509" s="495"/>
      <c r="T509" s="495"/>
      <c r="U509" s="495"/>
      <c r="V509" s="495" t="str">
        <f>IFERROR(__xludf.DUMMYFUNCTION("""COMPUTED_VALUE"""),"REPARACION ESTANQUE EXPANSION")</f>
        <v>REPARACION ESTANQUE EXPANSION</v>
      </c>
      <c r="W509" s="495" t="str">
        <f>IFERROR(__xludf.DUMMYFUNCTION("""COMPUTED_VALUE"""),"REVISAR UNA VEZ AL AÑO")</f>
        <v>REVISAR UNA VEZ AL AÑO</v>
      </c>
      <c r="X509" s="495" t="str">
        <f>IFERROR(__xludf.DUMMYFUNCTION("""COMPUTED_VALUE"""),"https://drive.google.com/open?id=1yQEpy9-rwu_lDSKQ-GuZIcPZREOWBrMy, https://drive.google.com/open?id=1Se5oaMSmmnS3EC-n6m0h5ULoCqjm72FM, https://drive.google.com/open?id=1cEokmVHOqwwV8yCaROaaSFmrpIdXEpFr")</f>
        <v>https://drive.google.com/open?id=1yQEpy9-rwu_lDSKQ-GuZIcPZREOWBrMy, https://drive.google.com/open?id=1Se5oaMSmmnS3EC-n6m0h5ULoCqjm72FM, https://drive.google.com/open?id=1cEokmVHOqwwV8yCaROaaSFmrpIdXEpFr</v>
      </c>
      <c r="Y509" s="495" t="str">
        <f>IFERROR(__xludf.DUMMYFUNCTION("""COMPUTED_VALUE"""),"fuentes.roberto1@gmail.com")</f>
        <v>fuentes.roberto1@gmail.com</v>
      </c>
      <c r="Z509" s="495"/>
      <c r="AA509" s="495"/>
      <c r="AB509" s="495"/>
      <c r="AC509" s="495"/>
      <c r="AD509" s="495" t="str">
        <f>IFERROR(__xludf.DUMMYFUNCTION("""COMPUTED_VALUE"""),"RC-129")</f>
        <v>RC-129</v>
      </c>
    </row>
    <row r="510">
      <c r="A510" s="495" t="str">
        <f t="shared" si="1"/>
        <v>RC-128</v>
      </c>
      <c r="B510" s="497">
        <f>IFERROR(__xludf.DUMMYFUNCTION("""COMPUTED_VALUE"""),46004.72512791667)</f>
        <v>46004.72513</v>
      </c>
      <c r="C510" s="495" t="str">
        <f>IFERROR(__xludf.DUMMYFUNCTION("""COMPUTED_VALUE"""),"")</f>
        <v/>
      </c>
      <c r="D510" s="495" t="str">
        <f>IFERROR(__xludf.DUMMYFUNCTION("""COMPUTED_VALUE"""),"Carol Huenchual Chañilao")</f>
        <v>Carol Huenchual Chañilao</v>
      </c>
      <c r="E510" s="495"/>
      <c r="F510" s="496" t="str">
        <f>IFERROR(__xludf.DUMMYFUNCTION("""COMPUTED_VALUE"""),"6059-2025")</f>
        <v>6059-2025</v>
      </c>
      <c r="G510" s="495"/>
      <c r="H510" s="495"/>
      <c r="I510" s="495"/>
      <c r="J510" s="495" t="str">
        <f>IFERROR(__xludf.DUMMYFUNCTION("""COMPUTED_VALUE"""),"Campus Dr. Luis Rivas del Canto - CRC")</f>
        <v>Campus Dr. Luis Rivas del Canto - CRC</v>
      </c>
      <c r="K510" s="495" t="str">
        <f>IFERROR(__xludf.DUMMYFUNCTION("""COMPUTED_VALUE"""),"06")</f>
        <v>06</v>
      </c>
      <c r="L510" s="495" t="str">
        <f>IFERROR(__xludf.DUMMYFUNCTION("""COMPUTED_VALUE"""),"SERVICIOS INTEGRALES CRITICOS SPA")</f>
        <v>SERVICIOS INTEGRALES CRITICOS SPA</v>
      </c>
      <c r="M510" s="495" t="str">
        <f>IFERROR(__xludf.DUMMYFUNCTION("""COMPUTED_VALUE"""),"77.248.719-3")</f>
        <v>77.248.719-3</v>
      </c>
      <c r="N510" s="495" t="str">
        <f>IFERROR(__xludf.DUMMYFUNCTION("""COMPUTED_VALUE"""),"ROBERTO FUENTES - INGENIERO")</f>
        <v>ROBERTO FUENTES - INGENIERO</v>
      </c>
      <c r="O510" s="495" t="str">
        <f>IFERROR(__xludf.DUMMYFUNCTION("""COMPUTED_VALUE"""),"Mantenciones")</f>
        <v>Mantenciones</v>
      </c>
      <c r="P510" s="495" t="str">
        <f>IFERROR(__xludf.DUMMYFUNCTION("""COMPUTED_VALUE"""),"Requerimientos Emergentes e Imprevistos")</f>
        <v>Requerimientos Emergentes e Imprevistos</v>
      </c>
      <c r="Q510" s="495"/>
      <c r="R510" s="495"/>
      <c r="S510" s="495"/>
      <c r="T510" s="495"/>
      <c r="U510" s="495"/>
      <c r="V510" s="495" t="str">
        <f>IFERROR(__xludf.DUMMYFUNCTION("""COMPUTED_VALUE"""),"DAR DE BAJA AUTOCLAVE")</f>
        <v>DAR DE BAJA AUTOCLAVE</v>
      </c>
      <c r="W510" s="495" t="str">
        <f>IFERROR(__xludf.DUMMYFUNCTION("""COMPUTED_VALUE"""),"ENTREGAR AUTOCLAVE EN  BODEGA")</f>
        <v>ENTREGAR AUTOCLAVE EN  BODEGA</v>
      </c>
      <c r="X510" s="495" t="str">
        <f>IFERROR(__xludf.DUMMYFUNCTION("""COMPUTED_VALUE"""),"https://drive.google.com/open?id=1rST1MUCOW4ZJOfnloT5U5jCr_EBwYhpl, https://drive.google.com/open?id=1Tysy0T1gWKsmN78JKYP4Tbkht3HZClRS, https://drive.google.com/open?id=1MTb7fNe0P9SXVnQknDvH6PTcqOooa_eH")</f>
        <v>https://drive.google.com/open?id=1rST1MUCOW4ZJOfnloT5U5jCr_EBwYhpl, https://drive.google.com/open?id=1Tysy0T1gWKsmN78JKYP4Tbkht3HZClRS, https://drive.google.com/open?id=1MTb7fNe0P9SXVnQknDvH6PTcqOooa_eH</v>
      </c>
      <c r="Y510" s="495" t="str">
        <f>IFERROR(__xludf.DUMMYFUNCTION("""COMPUTED_VALUE"""),"fuentes.roberto1@mail.com")</f>
        <v>fuentes.roberto1@mail.com</v>
      </c>
      <c r="Z510" s="495"/>
      <c r="AA510" s="495"/>
      <c r="AB510" s="495"/>
      <c r="AC510" s="495"/>
      <c r="AD510" s="495" t="str">
        <f>IFERROR(__xludf.DUMMYFUNCTION("""COMPUTED_VALUE"""),"RC-128")</f>
        <v>RC-128</v>
      </c>
    </row>
    <row r="511">
      <c r="A511" s="495" t="str">
        <f t="shared" si="1"/>
        <v>RC-189_26</v>
      </c>
      <c r="B511" s="497">
        <f>IFERROR(__xludf.DUMMYFUNCTION("""COMPUTED_VALUE"""),46160.611355810186)</f>
        <v>46160.61136</v>
      </c>
      <c r="C511" s="495" t="str">
        <f>IFERROR(__xludf.DUMMYFUNCTION("""COMPUTED_VALUE"""),"")</f>
        <v/>
      </c>
      <c r="D511" s="495" t="str">
        <f>IFERROR(__xludf.DUMMYFUNCTION("""COMPUTED_VALUE"""),"Arturo Meza Vega")</f>
        <v>Arturo Meza Vega</v>
      </c>
      <c r="E511" s="495"/>
      <c r="F511" s="496" t="str">
        <f>IFERROR(__xludf.DUMMYFUNCTION("""COMPUTED_VALUE"""),"2483 - 2026")</f>
        <v>2483 - 2026</v>
      </c>
      <c r="G511" s="495"/>
      <c r="H511" s="495"/>
      <c r="I511" s="495"/>
      <c r="J511" s="495" t="str">
        <f>IFERROR(__xludf.DUMMYFUNCTION("""COMPUTED_VALUE"""),"Campus Dr. Luis Rivas del Canto - CRC")</f>
        <v>Campus Dr. Luis Rivas del Canto - CRC</v>
      </c>
      <c r="K511" s="495">
        <f>IFERROR(__xludf.DUMMYFUNCTION("""COMPUTED_VALUE"""),10.0)</f>
        <v>10</v>
      </c>
      <c r="L511" s="495" t="str">
        <f>IFERROR(__xludf.DUMMYFUNCTION("""COMPUTED_VALUE"""),"SOCIEDAD COMERCIAL ELECTROPOWER S.A.")</f>
        <v>SOCIEDAD COMERCIAL ELECTROPOWER S.A.</v>
      </c>
      <c r="M511" s="495" t="str">
        <f>IFERROR(__xludf.DUMMYFUNCTION("""COMPUTED_VALUE"""),"76.257.832-8")</f>
        <v>76.257.832-8</v>
      </c>
      <c r="N511" s="495" t="str">
        <f>IFERROR(__xludf.DUMMYFUNCTION("""COMPUTED_VALUE"""),"Félix Salvo Grupos Electrógenos Zona Sur")</f>
        <v>Félix Salvo Grupos Electrógenos Zona Sur</v>
      </c>
      <c r="O511" s="495" t="str">
        <f>IFERROR(__xludf.DUMMYFUNCTION("""COMPUTED_VALUE"""),"Obras y Especialidades")</f>
        <v>Obras y Especialidades</v>
      </c>
      <c r="P511" s="495"/>
      <c r="Q511" s="495"/>
      <c r="R511" s="495" t="str">
        <f>IFERROR(__xludf.DUMMYFUNCTION("""COMPUTED_VALUE"""),"Nuevo Edificio")</f>
        <v>Nuevo Edificio</v>
      </c>
      <c r="S511" s="495" t="str">
        <f>IFERROR(__xludf.DUMMYFUNCTION("""COMPUTED_VALUE"""),"Recepción de Obra - RC")</f>
        <v>Recepción de Obra - RC</v>
      </c>
      <c r="T511" s="495"/>
      <c r="U511" s="495"/>
      <c r="V511" s="495" t="str">
        <f>IFERROR(__xludf.DUMMYFUNCTION("""COMPUTED_VALUE"""),"Venta de Grupo electrógeno 66KVA, con Tablero de Transferencia, cargos por flete y puesta en marcha una vez conectado a la red eléctrica por parte de la universidad.")</f>
        <v>Venta de Grupo electrógeno 66KVA, con Tablero de Transferencia, cargos por flete y puesta en marcha una vez conectado a la red eléctrica por parte de la universidad.</v>
      </c>
      <c r="W511" s="495" t="str">
        <f>IFERROR(__xludf.DUMMYFUNCTION("""COMPUTED_VALUE"""),"Puesta en marcha una vez realizada la conexión del G.E y su T.T.A")</f>
        <v>Puesta en marcha una vez realizada la conexión del G.E y su T.T.A</v>
      </c>
      <c r="X511" s="499" t="str">
        <f>IFERROR(__xludf.DUMMYFUNCTION("""COMPUTED_VALUE"""),"https://drive.google.com/open?id=1W7e1lf6kkVGC-a20tbSLFoELZmUNrlZK")</f>
        <v>https://drive.google.com/open?id=1W7e1lf6kkVGC-a20tbSLFoELZmUNrlZK</v>
      </c>
      <c r="Y511" s="495" t="str">
        <f>IFERROR(__xludf.DUMMYFUNCTION("""COMPUTED_VALUE"""),"ameza@uct.cl")</f>
        <v>ameza@uct.cl</v>
      </c>
      <c r="Z511" s="498">
        <f>IFERROR(__xludf.DUMMYFUNCTION("""COMPUTED_VALUE"""),1.5170428E7)</f>
        <v>15170428</v>
      </c>
      <c r="AA511" s="495"/>
      <c r="AB511" s="495"/>
      <c r="AC511" s="495"/>
      <c r="AD511" s="495" t="str">
        <f>IFERROR(__xludf.DUMMYFUNCTION("""COMPUTED_VALUE"""),"RC-189_26")</f>
        <v>RC-189_26</v>
      </c>
    </row>
    <row r="512">
      <c r="A512" s="495" t="str">
        <f t="shared" si="1"/>
        <v>RC-127</v>
      </c>
      <c r="B512" s="497">
        <f>IFERROR(__xludf.DUMMYFUNCTION("""COMPUTED_VALUE"""),46004.71707641204)</f>
        <v>46004.71708</v>
      </c>
      <c r="C512" s="495" t="str">
        <f>IFERROR(__xludf.DUMMYFUNCTION("""COMPUTED_VALUE"""),"")</f>
        <v/>
      </c>
      <c r="D512" s="495" t="str">
        <f>IFERROR(__xludf.DUMMYFUNCTION("""COMPUTED_VALUE"""),"Carol Huenchual Chañilao")</f>
        <v>Carol Huenchual Chañilao</v>
      </c>
      <c r="E512" s="495"/>
      <c r="F512" s="496" t="str">
        <f>IFERROR(__xludf.DUMMYFUNCTION("""COMPUTED_VALUE"""),"5086-2025")</f>
        <v>5086-2025</v>
      </c>
      <c r="G512" s="495"/>
      <c r="H512" s="495"/>
      <c r="I512" s="495"/>
      <c r="J512" s="495" t="str">
        <f>IFERROR(__xludf.DUMMYFUNCTION("""COMPUTED_VALUE"""),"Campus Phillippi - CPH")</f>
        <v>Campus Phillippi - CPH</v>
      </c>
      <c r="K512" s="495" t="str">
        <f>IFERROR(__xludf.DUMMYFUNCTION("""COMPUTED_VALUE"""),"01")</f>
        <v>01</v>
      </c>
      <c r="L512" s="495" t="str">
        <f>IFERROR(__xludf.DUMMYFUNCTION("""COMPUTED_VALUE"""),"SERVICIOS INTEGRALES CRITICOS SPA")</f>
        <v>SERVICIOS INTEGRALES CRITICOS SPA</v>
      </c>
      <c r="M512" s="495" t="str">
        <f>IFERROR(__xludf.DUMMYFUNCTION("""COMPUTED_VALUE"""),"77.248.719-3")</f>
        <v>77.248.719-3</v>
      </c>
      <c r="N512" s="495" t="str">
        <f>IFERROR(__xludf.DUMMYFUNCTION("""COMPUTED_VALUE"""),"ROBERTO FUENTES-INGENIERO")</f>
        <v>ROBERTO FUENTES-INGENIERO</v>
      </c>
      <c r="O512" s="495" t="str">
        <f>IFERROR(__xludf.DUMMYFUNCTION("""COMPUTED_VALUE"""),"Mantenciones")</f>
        <v>Mantenciones</v>
      </c>
      <c r="P512" s="495" t="str">
        <f>IFERROR(__xludf.DUMMYFUNCTION("""COMPUTED_VALUE"""),"Requerimientos Emergentes e Imprevistos")</f>
        <v>Requerimientos Emergentes e Imprevistos</v>
      </c>
      <c r="Q512" s="495"/>
      <c r="R512" s="495"/>
      <c r="S512" s="495"/>
      <c r="T512" s="495"/>
      <c r="U512" s="495"/>
      <c r="V512" s="495" t="str">
        <f>IFERROR(__xludf.DUMMYFUNCTION("""COMPUTED_VALUE"""),"MANTENCION GENERAL CALDERA A PELLET")</f>
        <v>MANTENCION GENERAL CALDERA A PELLET</v>
      </c>
      <c r="W512" s="495" t="str">
        <f>IFERROR(__xludf.DUMMYFUNCTION("""COMPUTED_VALUE"""),"LIMPIEZA GENERAL ANUAL Y CADA 2 DIAS LIMPIAR CENICERO")</f>
        <v>LIMPIEZA GENERAL ANUAL Y CADA 2 DIAS LIMPIAR CENICERO</v>
      </c>
      <c r="X512" s="495" t="str">
        <f>IFERROR(__xludf.DUMMYFUNCTION("""COMPUTED_VALUE"""),"https://drive.google.com/open?id=1IGgsKbtgXZQjx_wv8BrcWaarYeOqsx08, https://drive.google.com/open?id=1uSxJJ-4vQptMaX4b7UAX-6GlX-uVNzfK, https://drive.google.com/open?id=1Iwkj86fKRybcDDImOAKvWerpcldK8GRk")</f>
        <v>https://drive.google.com/open?id=1IGgsKbtgXZQjx_wv8BrcWaarYeOqsx08, https://drive.google.com/open?id=1uSxJJ-4vQptMaX4b7UAX-6GlX-uVNzfK, https://drive.google.com/open?id=1Iwkj86fKRybcDDImOAKvWerpcldK8GRk</v>
      </c>
      <c r="Y512" s="495" t="str">
        <f>IFERROR(__xludf.DUMMYFUNCTION("""COMPUTED_VALUE"""),"fuentes.roberto1@gmail.com")</f>
        <v>fuentes.roberto1@gmail.com</v>
      </c>
      <c r="Z512" s="495"/>
      <c r="AA512" s="495"/>
      <c r="AB512" s="495"/>
      <c r="AC512" s="495"/>
      <c r="AD512" s="495" t="str">
        <f>IFERROR(__xludf.DUMMYFUNCTION("""COMPUTED_VALUE"""),"RC-127")</f>
        <v>RC-127</v>
      </c>
    </row>
    <row r="513">
      <c r="A513" s="495" t="str">
        <f t="shared" si="1"/>
        <v>RC-126</v>
      </c>
      <c r="B513" s="497">
        <f>IFERROR(__xludf.DUMMYFUNCTION("""COMPUTED_VALUE"""),46004.71032189815)</f>
        <v>46004.71032</v>
      </c>
      <c r="C513" s="495" t="str">
        <f>IFERROR(__xludf.DUMMYFUNCTION("""COMPUTED_VALUE"""),"")</f>
        <v/>
      </c>
      <c r="D513" s="495" t="str">
        <f>IFERROR(__xludf.DUMMYFUNCTION("""COMPUTED_VALUE"""),"Carol Huenchual Chañilao")</f>
        <v>Carol Huenchual Chañilao</v>
      </c>
      <c r="E513" s="495"/>
      <c r="F513" s="496" t="str">
        <f>IFERROR(__xludf.DUMMYFUNCTION("""COMPUTED_VALUE"""),"5744-2025")</f>
        <v>5744-2025</v>
      </c>
      <c r="G513" s="495"/>
      <c r="H513" s="495"/>
      <c r="I513" s="495"/>
      <c r="J513" s="495" t="str">
        <f>IFERROR(__xludf.DUMMYFUNCTION("""COMPUTED_VALUE"""),"Campus Dr. Luis Rivas del Canto - CRC")</f>
        <v>Campus Dr. Luis Rivas del Canto - CRC</v>
      </c>
      <c r="K513" s="495" t="str">
        <f>IFERROR(__xludf.DUMMYFUNCTION("""COMPUTED_VALUE"""),"09")</f>
        <v>09</v>
      </c>
      <c r="L513" s="495" t="str">
        <f>IFERROR(__xludf.DUMMYFUNCTION("""COMPUTED_VALUE"""),"SERVICIOS INTEGRALES CRITICOS SPA")</f>
        <v>SERVICIOS INTEGRALES CRITICOS SPA</v>
      </c>
      <c r="M513" s="495" t="str">
        <f>IFERROR(__xludf.DUMMYFUNCTION("""COMPUTED_VALUE"""),"77.248.719-3")</f>
        <v>77.248.719-3</v>
      </c>
      <c r="N513" s="495" t="str">
        <f>IFERROR(__xludf.DUMMYFUNCTION("""COMPUTED_VALUE"""),"ROBERTO FUENTES RIFFO - INGENIERO")</f>
        <v>ROBERTO FUENTES RIFFO - INGENIERO</v>
      </c>
      <c r="O513" s="495" t="str">
        <f>IFERROR(__xludf.DUMMYFUNCTION("""COMPUTED_VALUE"""),"Mantenciones")</f>
        <v>Mantenciones</v>
      </c>
      <c r="P513" s="495" t="str">
        <f>IFERROR(__xludf.DUMMYFUNCTION("""COMPUTED_VALUE"""),"Requerimientos Emergentes e Imprevistos")</f>
        <v>Requerimientos Emergentes e Imprevistos</v>
      </c>
      <c r="Q513" s="495"/>
      <c r="R513" s="495"/>
      <c r="S513" s="495"/>
      <c r="T513" s="495"/>
      <c r="U513" s="495"/>
      <c r="V513" s="495" t="str">
        <f>IFERROR(__xludf.DUMMYFUNCTION("""COMPUTED_VALUE"""),"CAMBIO BOMBA DE RECIRCULACION DE AGUA CALIENTE  EDIFICIO 9")</f>
        <v>CAMBIO BOMBA DE RECIRCULACION DE AGUA CALIENTE  EDIFICIO 9</v>
      </c>
      <c r="W513" s="495" t="str">
        <f>IFERROR(__xludf.DUMMYFUNCTION("""COMPUTED_VALUE"""),"REVISION ANUAL")</f>
        <v>REVISION ANUAL</v>
      </c>
      <c r="X513" s="495" t="str">
        <f>IFERROR(__xludf.DUMMYFUNCTION("""COMPUTED_VALUE"""),"https://drive.google.com/open?id=1jVCiVh-OwOPCvmfZcle1KGPkuVwrKKZk, https://drive.google.com/open?id=12YGN13PdrKqeNCSeykkvXNLUGdSWqJXD, https://drive.google.com/open?id=1Xq9mg5kHP3BIHxUoAW99emuOYWD-9OeZ")</f>
        <v>https://drive.google.com/open?id=1jVCiVh-OwOPCvmfZcle1KGPkuVwrKKZk, https://drive.google.com/open?id=12YGN13PdrKqeNCSeykkvXNLUGdSWqJXD, https://drive.google.com/open?id=1Xq9mg5kHP3BIHxUoAW99emuOYWD-9OeZ</v>
      </c>
      <c r="Y513" s="495" t="str">
        <f>IFERROR(__xludf.DUMMYFUNCTION("""COMPUTED_VALUE"""),"fuentes.roberto1@gmail.com")</f>
        <v>fuentes.roberto1@gmail.com</v>
      </c>
      <c r="Z513" s="495"/>
      <c r="AA513" s="495"/>
      <c r="AB513" s="495"/>
      <c r="AC513" s="495"/>
      <c r="AD513" s="495" t="str">
        <f>IFERROR(__xludf.DUMMYFUNCTION("""COMPUTED_VALUE"""),"RC-126")</f>
        <v>RC-126</v>
      </c>
    </row>
    <row r="514">
      <c r="A514" s="495" t="str">
        <f t="shared" si="1"/>
        <v>RC-125</v>
      </c>
      <c r="B514" s="497">
        <f>IFERROR(__xludf.DUMMYFUNCTION("""COMPUTED_VALUE"""),46004.38461)</f>
        <v>46004.38461</v>
      </c>
      <c r="C514" s="495" t="str">
        <f>IFERROR(__xludf.DUMMYFUNCTION("""COMPUTED_VALUE"""),"")</f>
        <v/>
      </c>
      <c r="D514" s="495" t="str">
        <f>IFERROR(__xludf.DUMMYFUNCTION("""COMPUTED_VALUE"""),"Carol Huenchual Chañilao")</f>
        <v>Carol Huenchual Chañilao</v>
      </c>
      <c r="E514" s="495"/>
      <c r="F514" s="496" t="str">
        <f>IFERROR(__xludf.DUMMYFUNCTION("""COMPUTED_VALUE"""),"12936-2025")</f>
        <v>12936-2025</v>
      </c>
      <c r="G514" s="495"/>
      <c r="H514" s="495"/>
      <c r="I514" s="495"/>
      <c r="J514" s="495" t="str">
        <f>IFERROR(__xludf.DUMMYFUNCTION("""COMPUTED_VALUE"""),"Campus San Francisco - CSF")</f>
        <v>Campus San Francisco - CSF</v>
      </c>
      <c r="K514" s="495" t="str">
        <f>IFERROR(__xludf.DUMMYFUNCTION("""COMPUTED_VALUE"""),"Exterior")</f>
        <v>Exterior</v>
      </c>
      <c r="L514" s="495" t="str">
        <f>IFERROR(__xludf.DUMMYFUNCTION("""COMPUTED_VALUE"""),"Kume Ruka SpA")</f>
        <v>Kume Ruka SpA</v>
      </c>
      <c r="M514" s="495" t="str">
        <f>IFERROR(__xludf.DUMMYFUNCTION("""COMPUTED_VALUE"""),"77.929.977-5")</f>
        <v>77.929.977-5</v>
      </c>
      <c r="N514" s="495" t="str">
        <f>IFERROR(__xludf.DUMMYFUNCTION("""COMPUTED_VALUE"""),"Hector Zambrano")</f>
        <v>Hector Zambrano</v>
      </c>
      <c r="O514" s="495" t="str">
        <f>IFERROR(__xludf.DUMMYFUNCTION("""COMPUTED_VALUE"""),"Mantenciones")</f>
        <v>Mantenciones</v>
      </c>
      <c r="P514" s="495" t="str">
        <f>IFERROR(__xludf.DUMMYFUNCTION("""COMPUTED_VALUE"""),"Requerimientos Emergentes e Imprevistos")</f>
        <v>Requerimientos Emergentes e Imprevistos</v>
      </c>
      <c r="Q514" s="495"/>
      <c r="R514" s="495"/>
      <c r="S514" s="495"/>
      <c r="T514" s="495"/>
      <c r="U514" s="495"/>
      <c r="V514" s="495" t="str">
        <f>IFERROR(__xludf.DUMMYFUNCTION("""COMPUTED_VALUE"""),"Reconstrucción arcos de pesebre UCT")</f>
        <v>Reconstrucción arcos de pesebre UCT</v>
      </c>
      <c r="W514" s="495"/>
      <c r="X514" s="495" t="str">
        <f>IFERROR(__xludf.DUMMYFUNCTION("""COMPUTED_VALUE"""),"https://drive.google.com/open?id=1mELbTpItVzftnF7NZW0AuxDEf1CM_Net, https://drive.google.com/open?id=1D4lvqnzWBuxE3XAB2EjShh1v-dR6ZW4Z")</f>
        <v>https://drive.google.com/open?id=1mELbTpItVzftnF7NZW0AuxDEf1CM_Net, https://drive.google.com/open?id=1D4lvqnzWBuxE3XAB2EjShh1v-dR6ZW4Z</v>
      </c>
      <c r="Y514" s="495" t="str">
        <f>IFERROR(__xludf.DUMMYFUNCTION("""COMPUTED_VALUE"""),"hzambranoleal@gmail.com")</f>
        <v>hzambranoleal@gmail.com</v>
      </c>
      <c r="Z514" s="495"/>
      <c r="AA514" s="495"/>
      <c r="AB514" s="495"/>
      <c r="AC514" s="495"/>
      <c r="AD514" s="495" t="str">
        <f>IFERROR(__xludf.DUMMYFUNCTION("""COMPUTED_VALUE"""),"RC-125")</f>
        <v>RC-125</v>
      </c>
    </row>
    <row r="515">
      <c r="A515" s="495" t="str">
        <f t="shared" si="1"/>
        <v>RC-124</v>
      </c>
      <c r="B515" s="497">
        <f>IFERROR(__xludf.DUMMYFUNCTION("""COMPUTED_VALUE"""),46003.78561224537)</f>
        <v>46003.78561</v>
      </c>
      <c r="C515" s="495" t="str">
        <f>IFERROR(__xludf.DUMMYFUNCTION("""COMPUTED_VALUE"""),"")</f>
        <v/>
      </c>
      <c r="D515" s="495" t="str">
        <f>IFERROR(__xludf.DUMMYFUNCTION("""COMPUTED_VALUE"""),"Carol Huenchual Chañilao")</f>
        <v>Carol Huenchual Chañilao</v>
      </c>
      <c r="E515" s="495"/>
      <c r="F515" s="496" t="str">
        <f>IFERROR(__xludf.DUMMYFUNCTION("""COMPUTED_VALUE"""),"13008 2025")</f>
        <v>13008 2025</v>
      </c>
      <c r="G515" s="495"/>
      <c r="H515" s="495"/>
      <c r="I515" s="495"/>
      <c r="J515" s="495" t="str">
        <f>IFERROR(__xludf.DUMMYFUNCTION("""COMPUTED_VALUE"""),"Campus Monseñor Alejandro Menchaca Lira - CML")</f>
        <v>Campus Monseñor Alejandro Menchaca Lira - CML</v>
      </c>
      <c r="K515" s="495" t="str">
        <f>IFERROR(__xludf.DUMMYFUNCTION("""COMPUTED_VALUE"""),"02")</f>
        <v>02</v>
      </c>
      <c r="L515" s="495" t="str">
        <f>IFERROR(__xludf.DUMMYFUNCTION("""COMPUTED_VALUE"""),"SOCIEDAD GONZALEZ GAJARDO Y CIA.LTDA")</f>
        <v>SOCIEDAD GONZALEZ GAJARDO Y CIA.LTDA</v>
      </c>
      <c r="M515" s="495" t="str">
        <f>IFERROR(__xludf.DUMMYFUNCTION("""COMPUTED_VALUE"""),"76.265.749-K")</f>
        <v>76.265.749-K</v>
      </c>
      <c r="N515" s="495" t="str">
        <f>IFERROR(__xludf.DUMMYFUNCTION("""COMPUTED_VALUE"""),"MARCELO GONZALEZ CARGO ADMINISTRADOR")</f>
        <v>MARCELO GONZALEZ CARGO ADMINISTRADOR</v>
      </c>
      <c r="O515" s="495" t="str">
        <f>IFERROR(__xludf.DUMMYFUNCTION("""COMPUTED_VALUE"""),"Mantenciones")</f>
        <v>Mantenciones</v>
      </c>
      <c r="P515" s="495" t="str">
        <f>IFERROR(__xludf.DUMMYFUNCTION("""COMPUTED_VALUE"""),"Instalaciones de Agua Potable")</f>
        <v>Instalaciones de Agua Potable</v>
      </c>
      <c r="Q515" s="495"/>
      <c r="R515" s="495"/>
      <c r="S515" s="495"/>
      <c r="T515" s="495"/>
      <c r="U515" s="495"/>
      <c r="V515" s="495" t="str">
        <f>IFERROR(__xludf.DUMMYFUNCTION("""COMPUTED_VALUE"""),"MANTENIMIENTO PREVENTIVO SISTEMA DE BOMBAS EDIFICIO CML01, CASONA MALMUS")</f>
        <v>MANTENIMIENTO PREVENTIVO SISTEMA DE BOMBAS EDIFICIO CML01, CASONA MALMUS</v>
      </c>
      <c r="W515" s="495" t="str">
        <f>IFERROR(__xludf.DUMMYFUNCTION("""COMPUTED_VALUE"""),"NO")</f>
        <v>NO</v>
      </c>
      <c r="X515" s="499" t="str">
        <f>IFERROR(__xludf.DUMMYFUNCTION("""COMPUTED_VALUE"""),"https://drive.google.com/open?id=1qgwOubqmhXopkxWeeBNCX12YqHcQOt2_")</f>
        <v>https://drive.google.com/open?id=1qgwOubqmhXopkxWeeBNCX12YqHcQOt2_</v>
      </c>
      <c r="Y515" s="495" t="str">
        <f>IFERROR(__xludf.DUMMYFUNCTION("""COMPUTED_VALUE"""),"operaciones@tecfull.cl")</f>
        <v>operaciones@tecfull.cl</v>
      </c>
      <c r="Z515" s="495"/>
      <c r="AA515" s="495"/>
      <c r="AB515" s="495"/>
      <c r="AC515" s="495"/>
      <c r="AD515" s="495" t="str">
        <f>IFERROR(__xludf.DUMMYFUNCTION("""COMPUTED_VALUE"""),"RC-124")</f>
        <v>RC-124</v>
      </c>
    </row>
    <row r="516">
      <c r="A516" s="495" t="str">
        <f t="shared" si="1"/>
        <v>RC-123</v>
      </c>
      <c r="B516" s="497">
        <f>IFERROR(__xludf.DUMMYFUNCTION("""COMPUTED_VALUE"""),46003.78085876157)</f>
        <v>46003.78086</v>
      </c>
      <c r="C516" s="495" t="str">
        <f>IFERROR(__xludf.DUMMYFUNCTION("""COMPUTED_VALUE"""),"")</f>
        <v/>
      </c>
      <c r="D516" s="495" t="str">
        <f>IFERROR(__xludf.DUMMYFUNCTION("""COMPUTED_VALUE"""),"Carol Huenchual Chañilao")</f>
        <v>Carol Huenchual Chañilao</v>
      </c>
      <c r="E516" s="495"/>
      <c r="F516" s="496" t="str">
        <f>IFERROR(__xludf.DUMMYFUNCTION("""COMPUTED_VALUE"""),"12889 2025")</f>
        <v>12889 2025</v>
      </c>
      <c r="G516" s="495"/>
      <c r="H516" s="495"/>
      <c r="I516" s="495"/>
      <c r="J516" s="495" t="str">
        <f>IFERROR(__xludf.DUMMYFUNCTION("""COMPUTED_VALUE"""),"Campus San Juan Pablo II - CJP")</f>
        <v>Campus San Juan Pablo II - CJP</v>
      </c>
      <c r="K516" s="495">
        <f>IFERROR(__xludf.DUMMYFUNCTION("""COMPUTED_VALUE"""),10.0)</f>
        <v>10</v>
      </c>
      <c r="L516" s="495" t="str">
        <f>IFERROR(__xludf.DUMMYFUNCTION("""COMPUTED_VALUE"""),"SOCIEDAD GONZALEZ GAJARDO Y CIA.LTDA")</f>
        <v>SOCIEDAD GONZALEZ GAJARDO Y CIA.LTDA</v>
      </c>
      <c r="M516" s="495" t="str">
        <f>IFERROR(__xludf.DUMMYFUNCTION("""COMPUTED_VALUE"""),"76.265.749-K")</f>
        <v>76.265.749-K</v>
      </c>
      <c r="N516" s="495" t="str">
        <f>IFERROR(__xludf.DUMMYFUNCTION("""COMPUTED_VALUE"""),"MARCELO GONZALEZ CARGO SUPERVISOR")</f>
        <v>MARCELO GONZALEZ CARGO SUPERVISOR</v>
      </c>
      <c r="O516" s="495" t="str">
        <f>IFERROR(__xludf.DUMMYFUNCTION("""COMPUTED_VALUE"""),"Mantenciones")</f>
        <v>Mantenciones</v>
      </c>
      <c r="P516" s="495" t="str">
        <f>IFERROR(__xludf.DUMMYFUNCTION("""COMPUTED_VALUE"""),"Instalaciones de Agua Potable")</f>
        <v>Instalaciones de Agua Potable</v>
      </c>
      <c r="Q516" s="495"/>
      <c r="R516" s="495"/>
      <c r="S516" s="495"/>
      <c r="T516" s="495"/>
      <c r="U516" s="495"/>
      <c r="V516" s="495" t="str">
        <f>IFERROR(__xludf.DUMMYFUNCTION("""COMPUTED_VALUE"""),"CAMBIO DE VÁLVULA MECÁNICA DE CORTE DE LLENADO ESTANQUE N°2 SALA DE BOMBAS CJP10")</f>
        <v>CAMBIO DE VÁLVULA MECÁNICA DE CORTE DE LLENADO ESTANQUE N°2 SALA DE BOMBAS CJP10</v>
      </c>
      <c r="W516" s="495" t="str">
        <f>IFERROR(__xludf.DUMMYFUNCTION("""COMPUTED_VALUE"""),"NO")</f>
        <v>NO</v>
      </c>
      <c r="X516" s="495" t="str">
        <f>IFERROR(__xludf.DUMMYFUNCTION("""COMPUTED_VALUE"""),"https://drive.google.com/open?id=15sSAsvM4KLyThCcri286_XhZzVqBPrTa, https://drive.google.com/open?id=1K9I619RYNp5dIf-tDMD3BA3uXWRW4g2R")</f>
        <v>https://drive.google.com/open?id=15sSAsvM4KLyThCcri286_XhZzVqBPrTa, https://drive.google.com/open?id=1K9I619RYNp5dIf-tDMD3BA3uXWRW4g2R</v>
      </c>
      <c r="Y516" s="495" t="str">
        <f>IFERROR(__xludf.DUMMYFUNCTION("""COMPUTED_VALUE"""),"operaciones@tecfull.cl")</f>
        <v>operaciones@tecfull.cl</v>
      </c>
      <c r="Z516" s="495"/>
      <c r="AA516" s="495"/>
      <c r="AB516" s="495"/>
      <c r="AC516" s="495"/>
      <c r="AD516" s="495" t="str">
        <f>IFERROR(__xludf.DUMMYFUNCTION("""COMPUTED_VALUE"""),"RC-123")</f>
        <v>RC-123</v>
      </c>
    </row>
    <row r="517">
      <c r="A517" s="495" t="str">
        <f t="shared" si="1"/>
        <v>RC-122</v>
      </c>
      <c r="B517" s="497">
        <f>IFERROR(__xludf.DUMMYFUNCTION("""COMPUTED_VALUE"""),46003.77599224537)</f>
        <v>46003.77599</v>
      </c>
      <c r="C517" s="495" t="str">
        <f>IFERROR(__xludf.DUMMYFUNCTION("""COMPUTED_VALUE"""),"")</f>
        <v/>
      </c>
      <c r="D517" s="495" t="str">
        <f>IFERROR(__xludf.DUMMYFUNCTION("""COMPUTED_VALUE"""),"Carol Huenchual Chañilao")</f>
        <v>Carol Huenchual Chañilao</v>
      </c>
      <c r="E517" s="495"/>
      <c r="F517" s="496" t="str">
        <f>IFERROR(__xludf.DUMMYFUNCTION("""COMPUTED_VALUE"""),"12957 2025")</f>
        <v>12957 2025</v>
      </c>
      <c r="G517" s="495"/>
      <c r="H517" s="495"/>
      <c r="I517" s="495"/>
      <c r="J517" s="495" t="str">
        <f>IFERROR(__xludf.DUMMYFUNCTION("""COMPUTED_VALUE"""),"Campus San Juan Pablo II - CJP")</f>
        <v>Campus San Juan Pablo II - CJP</v>
      </c>
      <c r="K517" s="495" t="str">
        <f>IFERROR(__xludf.DUMMYFUNCTION("""COMPUTED_VALUE"""),"01")</f>
        <v>01</v>
      </c>
      <c r="L517" s="495" t="str">
        <f>IFERROR(__xludf.DUMMYFUNCTION("""COMPUTED_VALUE"""),"SOCIEDAD GONZALEZ GAJARDO Y CIA.LTDA")</f>
        <v>SOCIEDAD GONZALEZ GAJARDO Y CIA.LTDA</v>
      </c>
      <c r="M517" s="495" t="str">
        <f>IFERROR(__xludf.DUMMYFUNCTION("""COMPUTED_VALUE"""),"76.265.749-K")</f>
        <v>76.265.749-K</v>
      </c>
      <c r="N517" s="495" t="str">
        <f>IFERROR(__xludf.DUMMYFUNCTION("""COMPUTED_VALUE"""),"MARCELO GONZALEZ CARGO SUPERVISOR")</f>
        <v>MARCELO GONZALEZ CARGO SUPERVISOR</v>
      </c>
      <c r="O517" s="495" t="str">
        <f>IFERROR(__xludf.DUMMYFUNCTION("""COMPUTED_VALUE"""),"Mantenciones")</f>
        <v>Mantenciones</v>
      </c>
      <c r="P517" s="495" t="str">
        <f>IFERROR(__xludf.DUMMYFUNCTION("""COMPUTED_VALUE"""),"Instalaciones de Agua Potable")</f>
        <v>Instalaciones de Agua Potable</v>
      </c>
      <c r="Q517" s="495"/>
      <c r="R517" s="495"/>
      <c r="S517" s="495"/>
      <c r="T517" s="495"/>
      <c r="U517" s="495"/>
      <c r="V517" s="495" t="str">
        <f>IFERROR(__xludf.DUMMYFUNCTION("""COMPUTED_VALUE"""),"CAMBIO ELECTROVALVULA CORTE SISTEMA LLENADO - ESTANQUE, SALA BOMBAS FAAD,")</f>
        <v>CAMBIO ELECTROVALVULA CORTE SISTEMA LLENADO - ESTANQUE, SALA BOMBAS FAAD,</v>
      </c>
      <c r="W517" s="495" t="str">
        <f>IFERROR(__xludf.DUMMYFUNCTION("""COMPUTED_VALUE"""),"NO")</f>
        <v>NO</v>
      </c>
      <c r="X517" s="499" t="str">
        <f>IFERROR(__xludf.DUMMYFUNCTION("""COMPUTED_VALUE"""),"https://drive.google.com/open?id=1jSpmzucOxlDN6luvg9pfh5kws8KxUlYH")</f>
        <v>https://drive.google.com/open?id=1jSpmzucOxlDN6luvg9pfh5kws8KxUlYH</v>
      </c>
      <c r="Y517" s="495" t="str">
        <f>IFERROR(__xludf.DUMMYFUNCTION("""COMPUTED_VALUE"""),"operaciones@tecfull.cl")</f>
        <v>operaciones@tecfull.cl</v>
      </c>
      <c r="Z517" s="495"/>
      <c r="AA517" s="495"/>
      <c r="AB517" s="495"/>
      <c r="AC517" s="495"/>
      <c r="AD517" s="495" t="str">
        <f>IFERROR(__xludf.DUMMYFUNCTION("""COMPUTED_VALUE"""),"RC-122")</f>
        <v>RC-122</v>
      </c>
    </row>
    <row r="518">
      <c r="A518" s="495" t="str">
        <f t="shared" si="1"/>
        <v>RC-196_26</v>
      </c>
      <c r="B518" s="497">
        <f>IFERROR(__xludf.DUMMYFUNCTION("""COMPUTED_VALUE"""),46162.443858900464)</f>
        <v>46162.44386</v>
      </c>
      <c r="C518" s="495" t="str">
        <f>IFERROR(__xludf.DUMMYFUNCTION("""COMPUTED_VALUE"""),"")</f>
        <v/>
      </c>
      <c r="D518" s="495" t="str">
        <f>IFERROR(__xludf.DUMMYFUNCTION("""COMPUTED_VALUE"""),"Leonor Ríos Morales")</f>
        <v>Leonor Ríos Morales</v>
      </c>
      <c r="E518" s="495"/>
      <c r="F518" s="496">
        <f>IFERROR(__xludf.DUMMYFUNCTION("""COMPUTED_VALUE"""),3647.0)</f>
        <v>3647</v>
      </c>
      <c r="G518" s="495"/>
      <c r="H518" s="495"/>
      <c r="I518" s="495"/>
      <c r="J518" s="495" t="str">
        <f>IFERROR(__xludf.DUMMYFUNCTION("""COMPUTED_VALUE"""),"Campus Dr. Luis Rivas del Canto - CRC")</f>
        <v>Campus Dr. Luis Rivas del Canto - CRC</v>
      </c>
      <c r="K518" s="495">
        <f>IFERROR(__xludf.DUMMYFUNCTION("""COMPUTED_VALUE"""),10.0)</f>
        <v>10</v>
      </c>
      <c r="L518" s="495" t="str">
        <f>IFERROR(__xludf.DUMMYFUNCTION("""COMPUTED_VALUE"""),"nicolas riquelme lizama")</f>
        <v>nicolas riquelme lizama</v>
      </c>
      <c r="M518" s="495" t="str">
        <f>IFERROR(__xludf.DUMMYFUNCTION("""COMPUTED_VALUE"""),"9.937.535-3")</f>
        <v>9.937.535-3</v>
      </c>
      <c r="N518" s="495" t="str">
        <f>IFERROR(__xludf.DUMMYFUNCTION("""COMPUTED_VALUE"""),"Leonor Rios, infraestructura")</f>
        <v>Leonor Rios, infraestructura</v>
      </c>
      <c r="O518" s="495" t="str">
        <f>IFERROR(__xludf.DUMMYFUNCTION("""COMPUTED_VALUE"""),"Obras y Especialidades")</f>
        <v>Obras y Especialidades</v>
      </c>
      <c r="P518" s="495"/>
      <c r="Q518" s="495"/>
      <c r="R518" s="495" t="str">
        <f>IFERROR(__xludf.DUMMYFUNCTION("""COMPUTED_VALUE"""),"Especialidades")</f>
        <v>Especialidades</v>
      </c>
      <c r="S518" s="495" t="str">
        <f>IFERROR(__xludf.DUMMYFUNCTION("""COMPUTED_VALUE"""),"Recepción de Obra - RC")</f>
        <v>Recepción de Obra - RC</v>
      </c>
      <c r="T518" s="495"/>
      <c r="U518" s="495"/>
      <c r="V518" s="495" t="str">
        <f>IFERROR(__xludf.DUMMYFUNCTION("""COMPUTED_VALUE"""),"señaletica")</f>
        <v>señaletica</v>
      </c>
      <c r="W518" s="495"/>
      <c r="X518" s="495" t="str">
        <f>IFERROR(__xludf.DUMMYFUNCTION("""COMPUTED_VALUE"""),"https://drive.google.com/open?id=1tVtMpR3lU2GDXEfkLN3SWUVG1mhmDs7N, https://drive.google.com/open?id=1gOF3JJc6ZsZOZU1MB4ZG2VfbDcL6OFS7")</f>
        <v>https://drive.google.com/open?id=1tVtMpR3lU2GDXEfkLN3SWUVG1mhmDs7N, https://drive.google.com/open?id=1gOF3JJc6ZsZOZU1MB4ZG2VfbDcL6OFS7</v>
      </c>
      <c r="Y518" s="495" t="str">
        <f>IFERROR(__xludf.DUMMYFUNCTION("""COMPUTED_VALUE"""),"nicolas.rotulados@gmail.com")</f>
        <v>nicolas.rotulados@gmail.com</v>
      </c>
      <c r="Z518" s="498">
        <f>IFERROR(__xludf.DUMMYFUNCTION("""COMPUTED_VALUE"""),821100.0)</f>
        <v>821100</v>
      </c>
      <c r="AA518" s="495"/>
      <c r="AB518" s="495"/>
      <c r="AC518" s="495"/>
      <c r="AD518" s="495" t="str">
        <f>IFERROR(__xludf.DUMMYFUNCTION("""COMPUTED_VALUE"""),"RC-196_26")</f>
        <v>RC-196_26</v>
      </c>
    </row>
    <row r="519">
      <c r="A519" s="495" t="str">
        <f t="shared" si="1"/>
        <v>RC-197_26</v>
      </c>
      <c r="B519" s="497">
        <f>IFERROR(__xludf.DUMMYFUNCTION("""COMPUTED_VALUE"""),46162.44943545139)</f>
        <v>46162.44944</v>
      </c>
      <c r="C519" s="495" t="str">
        <f>IFERROR(__xludf.DUMMYFUNCTION("""COMPUTED_VALUE"""),"")</f>
        <v/>
      </c>
      <c r="D519" s="495" t="str">
        <f>IFERROR(__xludf.DUMMYFUNCTION("""COMPUTED_VALUE"""),"David Silva Roco")</f>
        <v>David Silva Roco</v>
      </c>
      <c r="E519" s="495"/>
      <c r="F519" s="496">
        <f>IFERROR(__xludf.DUMMYFUNCTION("""COMPUTED_VALUE"""),3647.0)</f>
        <v>3647</v>
      </c>
      <c r="G519" s="495"/>
      <c r="H519" s="495"/>
      <c r="I519" s="495"/>
      <c r="J519" s="495" t="str">
        <f>IFERROR(__xludf.DUMMYFUNCTION("""COMPUTED_VALUE"""),"Campus Dr. Luis Rivas del Canto - CRC")</f>
        <v>Campus Dr. Luis Rivas del Canto - CRC</v>
      </c>
      <c r="K519" s="495">
        <f>IFERROR(__xludf.DUMMYFUNCTION("""COMPUTED_VALUE"""),10.0)</f>
        <v>10</v>
      </c>
      <c r="L519" s="495" t="str">
        <f>IFERROR(__xludf.DUMMYFUNCTION("""COMPUTED_VALUE"""),"nicolas riquelme lizama")</f>
        <v>nicolas riquelme lizama</v>
      </c>
      <c r="M519" s="495" t="str">
        <f>IFERROR(__xludf.DUMMYFUNCTION("""COMPUTED_VALUE"""),"9.937.535-3")</f>
        <v>9.937.535-3</v>
      </c>
      <c r="N519" s="495" t="str">
        <f>IFERROR(__xludf.DUMMYFUNCTION("""COMPUTED_VALUE"""),"David Silva. Infraestructura")</f>
        <v>David Silva. Infraestructura</v>
      </c>
      <c r="O519" s="495" t="str">
        <f>IFERROR(__xludf.DUMMYFUNCTION("""COMPUTED_VALUE"""),"Obras y Especialidades")</f>
        <v>Obras y Especialidades</v>
      </c>
      <c r="P519" s="495"/>
      <c r="Q519" s="495"/>
      <c r="R519" s="495" t="str">
        <f>IFERROR(__xludf.DUMMYFUNCTION("""COMPUTED_VALUE"""),"Especialidades")</f>
        <v>Especialidades</v>
      </c>
      <c r="S519" s="495" t="str">
        <f>IFERROR(__xludf.DUMMYFUNCTION("""COMPUTED_VALUE"""),"Recepción de Obra - RC")</f>
        <v>Recepción de Obra - RC</v>
      </c>
      <c r="T519" s="495"/>
      <c r="U519" s="495"/>
      <c r="V519" s="495" t="str">
        <f>IFERROR(__xludf.DUMMYFUNCTION("""COMPUTED_VALUE"""),"señalética")</f>
        <v>señalética</v>
      </c>
      <c r="W519" s="495"/>
      <c r="X519" s="495" t="str">
        <f>IFERROR(__xludf.DUMMYFUNCTION("""COMPUTED_VALUE"""),"https://drive.google.com/open?id=19kbPT6IgxNf2sqgFpN-VAdLDMaJaAv6R, https://drive.google.com/open?id=1fFdBmdUTS3LeBvQC5DIMBsR5lpV66fiM")</f>
        <v>https://drive.google.com/open?id=19kbPT6IgxNf2sqgFpN-VAdLDMaJaAv6R, https://drive.google.com/open?id=1fFdBmdUTS3LeBvQC5DIMBsR5lpV66fiM</v>
      </c>
      <c r="Y519" s="495" t="str">
        <f>IFERROR(__xludf.DUMMYFUNCTION("""COMPUTED_VALUE"""),"nicolas.rotulados@gmail.com")</f>
        <v>nicolas.rotulados@gmail.com</v>
      </c>
      <c r="Z519" s="498">
        <f>IFERROR(__xludf.DUMMYFUNCTION("""COMPUTED_VALUE"""),821100.0)</f>
        <v>821100</v>
      </c>
      <c r="AA519" s="495"/>
      <c r="AB519" s="495"/>
      <c r="AC519" s="495"/>
      <c r="AD519" s="495" t="str">
        <f>IFERROR(__xludf.DUMMYFUNCTION("""COMPUTED_VALUE"""),"RC-197_26")</f>
        <v>RC-197_26</v>
      </c>
    </row>
    <row r="520">
      <c r="A520" s="495" t="str">
        <f t="shared" si="1"/>
        <v>RC-119</v>
      </c>
      <c r="B520" s="497">
        <f>IFERROR(__xludf.DUMMYFUNCTION("""COMPUTED_VALUE"""),46003.746097372685)</f>
        <v>46003.7461</v>
      </c>
      <c r="C520" s="495" t="str">
        <f>IFERROR(__xludf.DUMMYFUNCTION("""COMPUTED_VALUE"""),"")</f>
        <v/>
      </c>
      <c r="D520" s="495" t="str">
        <f>IFERROR(__xludf.DUMMYFUNCTION("""COMPUTED_VALUE"""),"Carol Huenchual Chañilao")</f>
        <v>Carol Huenchual Chañilao</v>
      </c>
      <c r="E520" s="495"/>
      <c r="F520" s="496" t="str">
        <f>IFERROR(__xludf.DUMMYFUNCTION("""COMPUTED_VALUE"""),"12895 2025")</f>
        <v>12895 2025</v>
      </c>
      <c r="G520" s="495"/>
      <c r="H520" s="495"/>
      <c r="I520" s="495"/>
      <c r="J520" s="495" t="str">
        <f>IFERROR(__xludf.DUMMYFUNCTION("""COMPUTED_VALUE"""),"Campus San Juan Pablo II - CJP")</f>
        <v>Campus San Juan Pablo II - CJP</v>
      </c>
      <c r="K520" s="495" t="str">
        <f>IFERROR(__xludf.DUMMYFUNCTION("""COMPUTED_VALUE"""),"07")</f>
        <v>07</v>
      </c>
      <c r="L520" s="495" t="str">
        <f>IFERROR(__xludf.DUMMYFUNCTION("""COMPUTED_VALUE"""),"SOCIEDAD GONZALEZ GAJARDO Y CIA. LTDA")</f>
        <v>SOCIEDAD GONZALEZ GAJARDO Y CIA. LTDA</v>
      </c>
      <c r="M520" s="495" t="str">
        <f>IFERROR(__xludf.DUMMYFUNCTION("""COMPUTED_VALUE"""),"76.265.749-K")</f>
        <v>76.265.749-K</v>
      </c>
      <c r="N520" s="495" t="str">
        <f>IFERROR(__xludf.DUMMYFUNCTION("""COMPUTED_VALUE"""),"MARCELO GONZALEZ CARGO SUPERVISOR")</f>
        <v>MARCELO GONZALEZ CARGO SUPERVISOR</v>
      </c>
      <c r="O520" s="495" t="str">
        <f>IFERROR(__xludf.DUMMYFUNCTION("""COMPUTED_VALUE"""),"Mantenciones")</f>
        <v>Mantenciones</v>
      </c>
      <c r="P520" s="495" t="str">
        <f>IFERROR(__xludf.DUMMYFUNCTION("""COMPUTED_VALUE"""),"Instalaciones de Agua Potable")</f>
        <v>Instalaciones de Agua Potable</v>
      </c>
      <c r="Q520" s="495"/>
      <c r="R520" s="495"/>
      <c r="S520" s="495"/>
      <c r="T520" s="495"/>
      <c r="U520" s="495"/>
      <c r="V520" s="495" t="str">
        <f>IFERROR(__xludf.DUMMYFUNCTION("""COMPUTED_VALUE"""),"CAMBIO DE VÁLVULA MECÁNICA DE CORTE DE LLENADO ESTANQUE N°1 SALA DE BOMBAS CJP07.")</f>
        <v>CAMBIO DE VÁLVULA MECÁNICA DE CORTE DE LLENADO ESTANQUE N°1 SALA DE BOMBAS CJP07.</v>
      </c>
      <c r="W520" s="495" t="str">
        <f>IFERROR(__xludf.DUMMYFUNCTION("""COMPUTED_VALUE"""),"NO")</f>
        <v>NO</v>
      </c>
      <c r="X520" s="499" t="str">
        <f>IFERROR(__xludf.DUMMYFUNCTION("""COMPUTED_VALUE"""),"https://drive.google.com/open?id=1k61g7MCE76-ANxoOmmMr83TNSbxXIBGS")</f>
        <v>https://drive.google.com/open?id=1k61g7MCE76-ANxoOmmMr83TNSbxXIBGS</v>
      </c>
      <c r="Y520" s="495" t="str">
        <f>IFERROR(__xludf.DUMMYFUNCTION("""COMPUTED_VALUE"""),"operaciones@tecfull.cl")</f>
        <v>operaciones@tecfull.cl</v>
      </c>
      <c r="Z520" s="495"/>
      <c r="AA520" s="495"/>
      <c r="AB520" s="495"/>
      <c r="AC520" s="495"/>
      <c r="AD520" s="495" t="str">
        <f>IFERROR(__xludf.DUMMYFUNCTION("""COMPUTED_VALUE"""),"RC-119")</f>
        <v>RC-119</v>
      </c>
    </row>
    <row r="521">
      <c r="A521" s="495" t="str">
        <f t="shared" si="1"/>
        <v>RC-118</v>
      </c>
      <c r="B521" s="497">
        <f>IFERROR(__xludf.DUMMYFUNCTION("""COMPUTED_VALUE"""),46003.739464976854)</f>
        <v>46003.73946</v>
      </c>
      <c r="C521" s="495" t="str">
        <f>IFERROR(__xludf.DUMMYFUNCTION("""COMPUTED_VALUE"""),"")</f>
        <v/>
      </c>
      <c r="D521" s="495" t="str">
        <f>IFERROR(__xludf.DUMMYFUNCTION("""COMPUTED_VALUE"""),"Carol Huenchual Chañilao")</f>
        <v>Carol Huenchual Chañilao</v>
      </c>
      <c r="E521" s="495"/>
      <c r="F521" s="496" t="str">
        <f>IFERROR(__xludf.DUMMYFUNCTION("""COMPUTED_VALUE"""),"12989 2025")</f>
        <v>12989 2025</v>
      </c>
      <c r="G521" s="495"/>
      <c r="H521" s="495"/>
      <c r="I521" s="495"/>
      <c r="J521" s="495" t="str">
        <f>IFERROR(__xludf.DUMMYFUNCTION("""COMPUTED_VALUE"""),"Campus San Juan Pablo II - CJP")</f>
        <v>Campus San Juan Pablo II - CJP</v>
      </c>
      <c r="K521" s="495" t="str">
        <f>IFERROR(__xludf.DUMMYFUNCTION("""COMPUTED_VALUE"""),"01")</f>
        <v>01</v>
      </c>
      <c r="L521" s="495" t="str">
        <f>IFERROR(__xludf.DUMMYFUNCTION("""COMPUTED_VALUE"""),"SOCIEDAD GONZALEZ GAJARDO Y CIA. LTDA")</f>
        <v>SOCIEDAD GONZALEZ GAJARDO Y CIA. LTDA</v>
      </c>
      <c r="M521" s="495" t="str">
        <f>IFERROR(__xludf.DUMMYFUNCTION("""COMPUTED_VALUE"""),"76.265.749-K")</f>
        <v>76.265.749-K</v>
      </c>
      <c r="N521" s="495" t="str">
        <f>IFERROR(__xludf.DUMMYFUNCTION("""COMPUTED_VALUE"""),"MARCELO GONZALEZ CARGO SUPERVISOR")</f>
        <v>MARCELO GONZALEZ CARGO SUPERVISOR</v>
      </c>
      <c r="O521" s="495" t="str">
        <f>IFERROR(__xludf.DUMMYFUNCTION("""COMPUTED_VALUE"""),"Mantenciones")</f>
        <v>Mantenciones</v>
      </c>
      <c r="P521" s="495" t="str">
        <f>IFERROR(__xludf.DUMMYFUNCTION("""COMPUTED_VALUE"""),"Instalaciones de Agua Potable")</f>
        <v>Instalaciones de Agua Potable</v>
      </c>
      <c r="Q521" s="495"/>
      <c r="R521" s="495"/>
      <c r="S521" s="495"/>
      <c r="T521" s="495"/>
      <c r="U521" s="495"/>
      <c r="V521" s="495" t="str">
        <f>IFERROR(__xludf.DUMMYFUNCTION("""COMPUTED_VALUE"""),"MANTENIMIENTO PREVENTIVO SISTEMA DE BOMBAS ELEVADORA EDIFICIO CJP03, EDIFICIO CJP01, FAAD EDIFICIO CJP07.")</f>
        <v>MANTENIMIENTO PREVENTIVO SISTEMA DE BOMBAS ELEVADORA EDIFICIO CJP03, EDIFICIO CJP01, FAAD EDIFICIO CJP07.</v>
      </c>
      <c r="W521" s="495" t="str">
        <f>IFERROR(__xludf.DUMMYFUNCTION("""COMPUTED_VALUE"""),"NO")</f>
        <v>NO</v>
      </c>
      <c r="X521" s="499" t="str">
        <f>IFERROR(__xludf.DUMMYFUNCTION("""COMPUTED_VALUE"""),"https://drive.google.com/open?id=1lWc3LJ0vy-3n_sJm0HMzd5nPIZYqZnYi")</f>
        <v>https://drive.google.com/open?id=1lWc3LJ0vy-3n_sJm0HMzd5nPIZYqZnYi</v>
      </c>
      <c r="Y521" s="495" t="str">
        <f>IFERROR(__xludf.DUMMYFUNCTION("""COMPUTED_VALUE"""),"operaciones@tecfull.cl")</f>
        <v>operaciones@tecfull.cl</v>
      </c>
      <c r="Z521" s="495"/>
      <c r="AA521" s="495"/>
      <c r="AB521" s="495"/>
      <c r="AC521" s="495"/>
      <c r="AD521" s="495" t="str">
        <f>IFERROR(__xludf.DUMMYFUNCTION("""COMPUTED_VALUE"""),"RC-118")</f>
        <v>RC-118</v>
      </c>
    </row>
    <row r="522">
      <c r="A522" s="495" t="str">
        <f t="shared" si="1"/>
        <v>RC-200_26</v>
      </c>
      <c r="B522" s="497">
        <f>IFERROR(__xludf.DUMMYFUNCTION("""COMPUTED_VALUE"""),46162.58601702546)</f>
        <v>46162.58602</v>
      </c>
      <c r="C522" s="495" t="str">
        <f>IFERROR(__xludf.DUMMYFUNCTION("""COMPUTED_VALUE"""),"")</f>
        <v/>
      </c>
      <c r="D522" s="495" t="str">
        <f>IFERROR(__xludf.DUMMYFUNCTION("""COMPUTED_VALUE"""),"Cristóbal Correa del Río")</f>
        <v>Cristóbal Correa del Río</v>
      </c>
      <c r="E522" s="495"/>
      <c r="F522" s="496" t="str">
        <f>IFERROR(__xludf.DUMMYFUNCTION("""COMPUTED_VALUE"""),"3416 - 2026")</f>
        <v>3416 - 2026</v>
      </c>
      <c r="G522" s="495"/>
      <c r="H522" s="495"/>
      <c r="I522" s="495"/>
      <c r="J522" s="495" t="str">
        <f>IFERROR(__xludf.DUMMYFUNCTION("""COMPUTED_VALUE"""),"Campus Prieto Norte - CHS")</f>
        <v>Campus Prieto Norte - CHS</v>
      </c>
      <c r="K522" s="495" t="str">
        <f>IFERROR(__xludf.DUMMYFUNCTION("""COMPUTED_VALUE"""),"01")</f>
        <v>01</v>
      </c>
      <c r="L522" s="495" t="str">
        <f>IFERROR(__xludf.DUMMYFUNCTION("""COMPUTED_VALUE"""),"Flavia Oyarzun Soto")</f>
        <v>Flavia Oyarzun Soto</v>
      </c>
      <c r="M522" s="495" t="str">
        <f>IFERROR(__xludf.DUMMYFUNCTION("""COMPUTED_VALUE"""),"5.503.590-3")</f>
        <v>5.503.590-3</v>
      </c>
      <c r="N522" s="495" t="str">
        <f>IFERROR(__xludf.DUMMYFUNCTION("""COMPUTED_VALUE"""),"Roberto Lassalle Prado  Supervisor")</f>
        <v>Roberto Lassalle Prado  Supervisor</v>
      </c>
      <c r="O522" s="495" t="str">
        <f>IFERROR(__xludf.DUMMYFUNCTION("""COMPUTED_VALUE"""),"Obras y Especialidades")</f>
        <v>Obras y Especialidades</v>
      </c>
      <c r="P522" s="495"/>
      <c r="Q522" s="495"/>
      <c r="R522" s="495" t="str">
        <f>IFERROR(__xludf.DUMMYFUNCTION("""COMPUTED_VALUE"""),"Alhajamiento")</f>
        <v>Alhajamiento</v>
      </c>
      <c r="S522" s="495" t="str">
        <f>IFERROR(__xludf.DUMMYFUNCTION("""COMPUTED_VALUE"""),"Recepción de Obra - RC")</f>
        <v>Recepción de Obra - RC</v>
      </c>
      <c r="T522" s="495"/>
      <c r="U522" s="495"/>
      <c r="V522" s="495" t="str">
        <f>IFERROR(__xludf.DUMMYFUNCTION("""COMPUTED_VALUE"""),"Construcción de consejería Laboratorio Clínico Hospital de Simulación y mesones con pos formado")</f>
        <v>Construcción de consejería Laboratorio Clínico Hospital de Simulación y mesones con pos formado</v>
      </c>
      <c r="W522" s="495" t="str">
        <f>IFERROR(__xludf.DUMMYFUNCTION("""COMPUTED_VALUE"""),"no hay")</f>
        <v>no hay</v>
      </c>
      <c r="X522" s="495" t="str">
        <f>IFERROR(__xludf.DUMMYFUNCTION("""COMPUTED_VALUE"""),"https://drive.google.com/open?id=1wUbzNUyWz2xL4_39MUQGF_7Pkb8bcvaA, https://drive.google.com/open?id=10CjoubslkABS1FF5t4JIePv9cwHXZBUb, https://drive.google.com/open?id=1vVm4CL_Wd3JmRZA5MIP0ZCpsCdeddNv8")</f>
        <v>https://drive.google.com/open?id=1wUbzNUyWz2xL4_39MUQGF_7Pkb8bcvaA, https://drive.google.com/open?id=10CjoubslkABS1FF5t4JIePv9cwHXZBUb, https://drive.google.com/open?id=1vVm4CL_Wd3JmRZA5MIP0ZCpsCdeddNv8</v>
      </c>
      <c r="Y522" s="495" t="str">
        <f>IFERROR(__xludf.DUMMYFUNCTION("""COMPUTED_VALUE"""),"roberto.lassalle@gmail.com")</f>
        <v>roberto.lassalle@gmail.com</v>
      </c>
      <c r="Z522" s="498">
        <f>IFERROR(__xludf.DUMMYFUNCTION("""COMPUTED_VALUE"""),2648916.0)</f>
        <v>2648916</v>
      </c>
      <c r="AA522" s="495"/>
      <c r="AB522" s="495"/>
      <c r="AC522" s="495"/>
      <c r="AD522" s="495" t="str">
        <f>IFERROR(__xludf.DUMMYFUNCTION("""COMPUTED_VALUE"""),"RC-200_26")</f>
        <v>RC-200_26</v>
      </c>
    </row>
    <row r="523">
      <c r="A523" s="495" t="str">
        <f t="shared" si="1"/>
        <v>RC-117</v>
      </c>
      <c r="B523" s="497">
        <f>IFERROR(__xludf.DUMMYFUNCTION("""COMPUTED_VALUE"""),46003.73557668981)</f>
        <v>46003.73558</v>
      </c>
      <c r="C523" s="495" t="str">
        <f>IFERROR(__xludf.DUMMYFUNCTION("""COMPUTED_VALUE"""),"")</f>
        <v/>
      </c>
      <c r="D523" s="495" t="str">
        <f>IFERROR(__xludf.DUMMYFUNCTION("""COMPUTED_VALUE"""),"Carol Huenchual Chañilao")</f>
        <v>Carol Huenchual Chañilao</v>
      </c>
      <c r="E523" s="495"/>
      <c r="F523" s="496" t="str">
        <f>IFERROR(__xludf.DUMMYFUNCTION("""COMPUTED_VALUE"""),"13000  2025")</f>
        <v>13000  2025</v>
      </c>
      <c r="G523" s="495"/>
      <c r="H523" s="495"/>
      <c r="I523" s="495"/>
      <c r="J523" s="495" t="str">
        <f>IFERROR(__xludf.DUMMYFUNCTION("""COMPUTED_VALUE"""),"Campus San Francisco - CSF")</f>
        <v>Campus San Francisco - CSF</v>
      </c>
      <c r="K523" s="495">
        <f>IFERROR(__xludf.DUMMYFUNCTION("""COMPUTED_VALUE"""),16.0)</f>
        <v>16</v>
      </c>
      <c r="L523" s="495" t="str">
        <f>IFERROR(__xludf.DUMMYFUNCTION("""COMPUTED_VALUE"""),"SOCIEDAD GONZALEZ GAJARDO Y CIA. LTDA")</f>
        <v>SOCIEDAD GONZALEZ GAJARDO Y CIA. LTDA</v>
      </c>
      <c r="M523" s="495" t="str">
        <f>IFERROR(__xludf.DUMMYFUNCTION("""COMPUTED_VALUE"""),"76.265.749-K")</f>
        <v>76.265.749-K</v>
      </c>
      <c r="N523" s="495" t="str">
        <f>IFERROR(__xludf.DUMMYFUNCTION("""COMPUTED_VALUE"""),"MARCELO GONZALEZ - SUPERVISOR")</f>
        <v>MARCELO GONZALEZ - SUPERVISOR</v>
      </c>
      <c r="O523" s="495" t="str">
        <f>IFERROR(__xludf.DUMMYFUNCTION("""COMPUTED_VALUE"""),"Mantenciones")</f>
        <v>Mantenciones</v>
      </c>
      <c r="P523" s="495" t="str">
        <f>IFERROR(__xludf.DUMMYFUNCTION("""COMPUTED_VALUE"""),"Instalaciones de Agua Potable")</f>
        <v>Instalaciones de Agua Potable</v>
      </c>
      <c r="Q523" s="495"/>
      <c r="R523" s="495"/>
      <c r="S523" s="495"/>
      <c r="T523" s="495"/>
      <c r="U523" s="495"/>
      <c r="V523" s="495" t="str">
        <f>IFERROR(__xludf.DUMMYFUNCTION("""COMPUTED_VALUE"""),"MANTENIMIENTO PREVENTIVO SISTEMA DE BOMBAS CSF GENERAL SALA DE BOMBAS EDIFICIO CSF11, CAR. RAUL SILVA, BOMBA SHAFT, EDIFICIO CSF12, TERESA DURAN, BOMBA SENTINA CSF GENERAL SALA ELECTRICA, EDIFICIO CSF16, CLOTARIO BLEST BOMBA SENTINA,")</f>
        <v>MANTENIMIENTO PREVENTIVO SISTEMA DE BOMBAS CSF GENERAL SALA DE BOMBAS EDIFICIO CSF11, CAR. RAUL SILVA, BOMBA SHAFT, EDIFICIO CSF12, TERESA DURAN, BOMBA SENTINA CSF GENERAL SALA ELECTRICA, EDIFICIO CSF16, CLOTARIO BLEST BOMBA SENTINA,</v>
      </c>
      <c r="W523" s="495" t="str">
        <f>IFERROR(__xludf.DUMMYFUNCTION("""COMPUTED_VALUE"""),"NO REQUIERE")</f>
        <v>NO REQUIERE</v>
      </c>
      <c r="X523" s="499" t="str">
        <f>IFERROR(__xludf.DUMMYFUNCTION("""COMPUTED_VALUE"""),"https://drive.google.com/open?id=1e3xYw5cDtwhuZxMeKnIv63Mwd54KpORV")</f>
        <v>https://drive.google.com/open?id=1e3xYw5cDtwhuZxMeKnIv63Mwd54KpORV</v>
      </c>
      <c r="Y523" s="495" t="str">
        <f>IFERROR(__xludf.DUMMYFUNCTION("""COMPUTED_VALUE"""),"operaciones@tecfull.cl")</f>
        <v>operaciones@tecfull.cl</v>
      </c>
      <c r="Z523" s="495"/>
      <c r="AA523" s="495"/>
      <c r="AB523" s="495"/>
      <c r="AC523" s="495"/>
      <c r="AD523" s="495" t="str">
        <f>IFERROR(__xludf.DUMMYFUNCTION("""COMPUTED_VALUE"""),"RC-117")</f>
        <v>RC-117</v>
      </c>
    </row>
    <row r="524">
      <c r="A524" s="495" t="str">
        <f t="shared" si="1"/>
        <v>RC-116</v>
      </c>
      <c r="B524" s="497">
        <f>IFERROR(__xludf.DUMMYFUNCTION("""COMPUTED_VALUE"""),46003.70490512731)</f>
        <v>46003.70491</v>
      </c>
      <c r="C524" s="495" t="str">
        <f>IFERROR(__xludf.DUMMYFUNCTION("""COMPUTED_VALUE"""),"")</f>
        <v/>
      </c>
      <c r="D524" s="495" t="str">
        <f>IFERROR(__xludf.DUMMYFUNCTION("""COMPUTED_VALUE"""),"Carol Huenchual Chañilao")</f>
        <v>Carol Huenchual Chañilao</v>
      </c>
      <c r="E524" s="495"/>
      <c r="F524" s="496" t="str">
        <f>IFERROR(__xludf.DUMMYFUNCTION("""COMPUTED_VALUE"""),"12996 - 2025")</f>
        <v>12996 - 2025</v>
      </c>
      <c r="G524" s="495"/>
      <c r="H524" s="495"/>
      <c r="I524" s="495"/>
      <c r="J524" s="495" t="str">
        <f>IFERROR(__xludf.DUMMYFUNCTION("""COMPUTED_VALUE"""),"Campus San Juan Pablo II - CJP")</f>
        <v>Campus San Juan Pablo II - CJP</v>
      </c>
      <c r="K524" s="495">
        <f>IFERROR(__xludf.DUMMYFUNCTION("""COMPUTED_VALUE"""),10.0)</f>
        <v>10</v>
      </c>
      <c r="L524" s="495" t="str">
        <f>IFERROR(__xludf.DUMMYFUNCTION("""COMPUTED_VALUE"""),"SOCIEDAD GONZALEZ GAJARDO Y CIA. LTDA")</f>
        <v>SOCIEDAD GONZALEZ GAJARDO Y CIA. LTDA</v>
      </c>
      <c r="M524" s="495" t="str">
        <f>IFERROR(__xludf.DUMMYFUNCTION("""COMPUTED_VALUE"""),"76.265.749-K")</f>
        <v>76.265.749-K</v>
      </c>
      <c r="N524" s="495" t="str">
        <f>IFERROR(__xludf.DUMMYFUNCTION("""COMPUTED_VALUE"""),"MARCELO GONZALEZ - SUPERVISOR")</f>
        <v>MARCELO GONZALEZ - SUPERVISOR</v>
      </c>
      <c r="O524" s="495" t="str">
        <f>IFERROR(__xludf.DUMMYFUNCTION("""COMPUTED_VALUE"""),"Mantenciones")</f>
        <v>Mantenciones</v>
      </c>
      <c r="P524" s="495" t="str">
        <f>IFERROR(__xludf.DUMMYFUNCTION("""COMPUTED_VALUE"""),"Instalaciones de Agua Potable")</f>
        <v>Instalaciones de Agua Potable</v>
      </c>
      <c r="Q524" s="495"/>
      <c r="R524" s="495"/>
      <c r="S524" s="495"/>
      <c r="T524" s="495"/>
      <c r="U524" s="495"/>
      <c r="V524" s="495" t="str">
        <f>IFERROR(__xludf.DUMMYFUNCTION("""COMPUTED_VALUE"""),"MANTENCION PREVENTIVA ASISTEMA DE IMPULSION DE AGUA POTABLE Y REGADIO EDIFICIO CJP10, EDIFICIO CJP11, DIDÁCTICA, CJPII GENERAL REGADÍO.")</f>
        <v>MANTENCION PREVENTIVA ASISTEMA DE IMPULSION DE AGUA POTABLE Y REGADIO EDIFICIO CJP10, EDIFICIO CJP11, DIDÁCTICA, CJPII GENERAL REGADÍO.</v>
      </c>
      <c r="W524" s="495" t="str">
        <f>IFERROR(__xludf.DUMMYFUNCTION("""COMPUTED_VALUE"""),"NO")</f>
        <v>NO</v>
      </c>
      <c r="X524" s="499" t="str">
        <f>IFERROR(__xludf.DUMMYFUNCTION("""COMPUTED_VALUE"""),"https://drive.google.com/open?id=13qR8NLvmp1D2IdUtGpiEsfgM3M8_pNtt")</f>
        <v>https://drive.google.com/open?id=13qR8NLvmp1D2IdUtGpiEsfgM3M8_pNtt</v>
      </c>
      <c r="Y524" s="495" t="str">
        <f>IFERROR(__xludf.DUMMYFUNCTION("""COMPUTED_VALUE"""),"operaciones@tecfull.cl")</f>
        <v>operaciones@tecfull.cl</v>
      </c>
      <c r="Z524" s="495"/>
      <c r="AA524" s="495"/>
      <c r="AB524" s="495"/>
      <c r="AC524" s="495"/>
      <c r="AD524" s="495" t="str">
        <f>IFERROR(__xludf.DUMMYFUNCTION("""COMPUTED_VALUE"""),"RC-116")</f>
        <v>RC-116</v>
      </c>
    </row>
    <row r="525">
      <c r="A525" s="495" t="str">
        <f t="shared" si="1"/>
        <v>RC-113</v>
      </c>
      <c r="B525" s="497">
        <f>IFERROR(__xludf.DUMMYFUNCTION("""COMPUTED_VALUE"""),46002.96326458333)</f>
        <v>46002.96326</v>
      </c>
      <c r="C525" s="495" t="str">
        <f>IFERROR(__xludf.DUMMYFUNCTION("""COMPUTED_VALUE"""),"")</f>
        <v/>
      </c>
      <c r="D525" s="495" t="str">
        <f>IFERROR(__xludf.DUMMYFUNCTION("""COMPUTED_VALUE"""),"Felipe Anselme Grandón")</f>
        <v>Felipe Anselme Grandón</v>
      </c>
      <c r="E525" s="495"/>
      <c r="F525" s="496" t="str">
        <f>IFERROR(__xludf.DUMMYFUNCTION("""COMPUTED_VALUE"""),"12554-2025")</f>
        <v>12554-2025</v>
      </c>
      <c r="G525" s="495"/>
      <c r="H525" s="495"/>
      <c r="I525" s="495"/>
      <c r="J525" s="495" t="str">
        <f>IFERROR(__xludf.DUMMYFUNCTION("""COMPUTED_VALUE"""),"Campus San Juan Pablo II - CJP")</f>
        <v>Campus San Juan Pablo II - CJP</v>
      </c>
      <c r="K525" s="495" t="str">
        <f>IFERROR(__xludf.DUMMYFUNCTION("""COMPUTED_VALUE"""),"01")</f>
        <v>01</v>
      </c>
      <c r="L525" s="495" t="str">
        <f>IFERROR(__xludf.DUMMYFUNCTION("""COMPUTED_VALUE"""),"Gaticar spa")</f>
        <v>Gaticar spa</v>
      </c>
      <c r="M525" s="495" t="str">
        <f>IFERROR(__xludf.DUMMYFUNCTION("""COMPUTED_VALUE"""),"77.578.487-3")</f>
        <v>77.578.487-3</v>
      </c>
      <c r="N525" s="495" t="str">
        <f>IFERROR(__xludf.DUMMYFUNCTION("""COMPUTED_VALUE"""),"HECTOR GATICA")</f>
        <v>HECTOR GATICA</v>
      </c>
      <c r="O525" s="495" t="str">
        <f>IFERROR(__xludf.DUMMYFUNCTION("""COMPUTED_VALUE"""),"Mantenciones")</f>
        <v>Mantenciones</v>
      </c>
      <c r="P525" s="495" t="str">
        <f>IFERROR(__xludf.DUMMYFUNCTION("""COMPUTED_VALUE"""),"Requerimientos Emergentes e Imprevistos")</f>
        <v>Requerimientos Emergentes e Imprevistos</v>
      </c>
      <c r="Q525" s="495"/>
      <c r="R525" s="495"/>
      <c r="S525" s="495"/>
      <c r="T525" s="495"/>
      <c r="U525" s="495"/>
      <c r="V525" s="495" t="str">
        <f>IFERROR(__xludf.DUMMYFUNCTION("""COMPUTED_VALUE"""),"TRABAJOS CORRECTIVOS EN MANTENENCIA EN  SISTEMA DE RIEGO")</f>
        <v>TRABAJOS CORRECTIVOS EN MANTENENCIA EN  SISTEMA DE RIEGO</v>
      </c>
      <c r="W525" s="495"/>
      <c r="X525" s="495" t="str">
        <f>IFERROR(__xludf.DUMMYFUNCTION("""COMPUTED_VALUE"""),"https://drive.google.com/open?id=1hOGcl_1PSggufjonwvdCDJsNtTSTWGaV, https://drive.google.com/open?id=1m0snQGZzio0-LeYl7M5_fglAg3-3k2K5, https://drive.google.com/open?id=1zW128nRmXEiNkCBgvSfxhDz3v-RTXPYZ")</f>
        <v>https://drive.google.com/open?id=1hOGcl_1PSggufjonwvdCDJsNtTSTWGaV, https://drive.google.com/open?id=1m0snQGZzio0-LeYl7M5_fglAg3-3k2K5, https://drive.google.com/open?id=1zW128nRmXEiNkCBgvSfxhDz3v-RTXPYZ</v>
      </c>
      <c r="Y525" s="495" t="str">
        <f>IFERROR(__xludf.DUMMYFUNCTION("""COMPUTED_VALUE"""),"serviciogaticar@gmail.com")</f>
        <v>serviciogaticar@gmail.com</v>
      </c>
      <c r="Z525" s="495"/>
      <c r="AA525" s="495"/>
      <c r="AB525" s="495"/>
      <c r="AC525" s="495"/>
      <c r="AD525" s="495" t="str">
        <f>IFERROR(__xludf.DUMMYFUNCTION("""COMPUTED_VALUE"""),"RC-113")</f>
        <v>RC-113</v>
      </c>
    </row>
    <row r="526">
      <c r="A526" s="495" t="str">
        <f t="shared" si="1"/>
        <v>RC-112</v>
      </c>
      <c r="B526" s="497">
        <f>IFERROR(__xludf.DUMMYFUNCTION("""COMPUTED_VALUE"""),46002.95434123842)</f>
        <v>46002.95434</v>
      </c>
      <c r="C526" s="495" t="str">
        <f>IFERROR(__xludf.DUMMYFUNCTION("""COMPUTED_VALUE"""),"")</f>
        <v/>
      </c>
      <c r="D526" s="495" t="str">
        <f>IFERROR(__xludf.DUMMYFUNCTION("""COMPUTED_VALUE"""),"Felipe Anselme Grandón")</f>
        <v>Felipe Anselme Grandón</v>
      </c>
      <c r="E526" s="495"/>
      <c r="F526" s="496" t="str">
        <f>IFERROR(__xludf.DUMMYFUNCTION("""COMPUTED_VALUE"""),"11561-2025")</f>
        <v>11561-2025</v>
      </c>
      <c r="G526" s="495"/>
      <c r="H526" s="495"/>
      <c r="I526" s="495"/>
      <c r="J526" s="495" t="str">
        <f>IFERROR(__xludf.DUMMYFUNCTION("""COMPUTED_VALUE"""),"Campus San Juan Pablo II - CJP")</f>
        <v>Campus San Juan Pablo II - CJP</v>
      </c>
      <c r="K526" s="495" t="str">
        <f>IFERROR(__xludf.DUMMYFUNCTION("""COMPUTED_VALUE"""),"Exterior")</f>
        <v>Exterior</v>
      </c>
      <c r="L526" s="495" t="str">
        <f>IFERROR(__xludf.DUMMYFUNCTION("""COMPUTED_VALUE"""),"Gaticar spa")</f>
        <v>Gaticar spa</v>
      </c>
      <c r="M526" s="495" t="str">
        <f>IFERROR(__xludf.DUMMYFUNCTION("""COMPUTED_VALUE"""),"77.578.487-3")</f>
        <v>77.578.487-3</v>
      </c>
      <c r="N526" s="495" t="str">
        <f>IFERROR(__xludf.DUMMYFUNCTION("""COMPUTED_VALUE"""),"HECTOR GATICA")</f>
        <v>HECTOR GATICA</v>
      </c>
      <c r="O526" s="495" t="str">
        <f>IFERROR(__xludf.DUMMYFUNCTION("""COMPUTED_VALUE"""),"Mantenciones")</f>
        <v>Mantenciones</v>
      </c>
      <c r="P526" s="495" t="str">
        <f>IFERROR(__xludf.DUMMYFUNCTION("""COMPUTED_VALUE"""),"Requerimientos Emergentes e Imprevistos")</f>
        <v>Requerimientos Emergentes e Imprevistos</v>
      </c>
      <c r="Q526" s="495"/>
      <c r="R526" s="495"/>
      <c r="S526" s="495"/>
      <c r="T526" s="495"/>
      <c r="U526" s="495"/>
      <c r="V526" s="495" t="str">
        <f>IFERROR(__xludf.DUMMYFUNCTION("""COMPUTED_VALUE"""),"MANTENCION DE SISTEMA DE RIEGO")</f>
        <v>MANTENCION DE SISTEMA DE RIEGO</v>
      </c>
      <c r="W526" s="495"/>
      <c r="X526" s="495" t="str">
        <f>IFERROR(__xludf.DUMMYFUNCTION("""COMPUTED_VALUE"""),"https://drive.google.com/open?id=1I3XxE-etP8EFSNcGIvNczDGuCmvcJoFD, https://drive.google.com/open?id=173u8ldFDlC7sW2zj3LGiR-huR_-8FtgO, https://drive.google.com/open?id=11vnE9rWzZeCi6xAF6CnQkzxWRWxWZoJT, https://drive.google.com/open?id=1PAuUx6tyzL2eLUXDB"&amp;"4CGDR4z6_1TJE2P")</f>
        <v>https://drive.google.com/open?id=1I3XxE-etP8EFSNcGIvNczDGuCmvcJoFD, https://drive.google.com/open?id=173u8ldFDlC7sW2zj3LGiR-huR_-8FtgO, https://drive.google.com/open?id=11vnE9rWzZeCi6xAF6CnQkzxWRWxWZoJT, https://drive.google.com/open?id=1PAuUx6tyzL2eLUXDB4CGDR4z6_1TJE2P</v>
      </c>
      <c r="Y526" s="495" t="str">
        <f>IFERROR(__xludf.DUMMYFUNCTION("""COMPUTED_VALUE"""),"serviciogaticar@gmail.com")</f>
        <v>serviciogaticar@gmail.com</v>
      </c>
      <c r="Z526" s="495"/>
      <c r="AA526" s="495"/>
      <c r="AB526" s="495"/>
      <c r="AC526" s="495"/>
      <c r="AD526" s="495" t="str">
        <f>IFERROR(__xludf.DUMMYFUNCTION("""COMPUTED_VALUE"""),"RC-112")</f>
        <v>RC-112</v>
      </c>
    </row>
    <row r="527">
      <c r="A527" s="495" t="str">
        <f t="shared" si="1"/>
        <v>RC-111</v>
      </c>
      <c r="B527" s="497">
        <f>IFERROR(__xludf.DUMMYFUNCTION("""COMPUTED_VALUE"""),46002.6596681713)</f>
        <v>46002.65967</v>
      </c>
      <c r="C527" s="495" t="str">
        <f>IFERROR(__xludf.DUMMYFUNCTION("""COMPUTED_VALUE"""),"")</f>
        <v/>
      </c>
      <c r="D527" s="495" t="str">
        <f>IFERROR(__xludf.DUMMYFUNCTION("""COMPUTED_VALUE"""),"Mauricio Zurita Aldea")</f>
        <v>Mauricio Zurita Aldea</v>
      </c>
      <c r="E527" s="495"/>
      <c r="F527" s="496">
        <f>IFERROR(__xludf.DUMMYFUNCTION("""COMPUTED_VALUE"""),12877.0)</f>
        <v>12877</v>
      </c>
      <c r="G527" s="495"/>
      <c r="H527" s="495"/>
      <c r="I527" s="495"/>
      <c r="J527" s="495" t="str">
        <f>IFERROR(__xludf.DUMMYFUNCTION("""COMPUTED_VALUE"""),"Campus San Juan Pablo II - CJP")</f>
        <v>Campus San Juan Pablo II - CJP</v>
      </c>
      <c r="K527" s="495">
        <f>IFERROR(__xludf.DUMMYFUNCTION("""COMPUTED_VALUE"""),11.0)</f>
        <v>11</v>
      </c>
      <c r="L527" s="495" t="str">
        <f>IFERROR(__xludf.DUMMYFUNCTION("""COMPUTED_VALUE"""),"IRENE yudith martel hernandez contratista obras menores y telecomunicaciones E.I.R.L")</f>
        <v>IRENE yudith martel hernandez contratista obras menores y telecomunicaciones E.I.R.L</v>
      </c>
      <c r="M527" s="495" t="str">
        <f>IFERROR(__xludf.DUMMYFUNCTION("""COMPUTED_VALUE"""),"77.520.606-3")</f>
        <v>77.520.606-3</v>
      </c>
      <c r="N527" s="495" t="str">
        <f>IFERROR(__xludf.DUMMYFUNCTION("""COMPUTED_VALUE"""),"Claudio trina garrido ( técnico en telecomunicaciones).")</f>
        <v>Claudio trina garrido ( técnico en telecomunicaciones).</v>
      </c>
      <c r="O527" s="495" t="str">
        <f>IFERROR(__xludf.DUMMYFUNCTION("""COMPUTED_VALUE"""),"Mantenciones")</f>
        <v>Mantenciones</v>
      </c>
      <c r="P527" s="495" t="str">
        <f>IFERROR(__xludf.DUMMYFUNCTION("""COMPUTED_VALUE"""),"Instalaciones Eléctricas")</f>
        <v>Instalaciones Eléctricas</v>
      </c>
      <c r="Q527" s="495"/>
      <c r="R527" s="495"/>
      <c r="S527" s="495"/>
      <c r="T527" s="495"/>
      <c r="U527" s="495"/>
      <c r="V527" s="495" t="str">
        <f>IFERROR(__xludf.DUMMYFUNCTION("""COMPUTED_VALUE"""),"Se hace instalación de fibra óptica ")</f>
        <v>Se hace instalación de fibra óptica </v>
      </c>
      <c r="W527" s="495" t="str">
        <f>IFERROR(__xludf.DUMMYFUNCTION("""COMPUTED_VALUE"""),"Enlace de fibra óptica desde la caseta comunico es portal del estudiante hasta edificio FID sala de comunicaciones ")</f>
        <v>Enlace de fibra óptica desde la caseta comunico es portal del estudiante hasta edificio FID sala de comunicaciones </v>
      </c>
      <c r="X527" s="495" t="str">
        <f>IFERROR(__xludf.DUMMYFUNCTION("""COMPUTED_VALUE"""),"https://drive.google.com/open?id=1D-oA_R_0yjUsVGecTZS-T8IndCH-pF9i, https://drive.google.com/open?id=1yCpFEpIvZc4OpetGQl99IUgsltbE19On, https://drive.google.com/open?id=1MBVTFp15hL6uxccRPYrHHCHF9ccM8mbF, https://drive.google.com/open?id=1tBgzzRHPMZUZUiDMs"&amp;"cvhR_G58ecj7pun, https://drive.google.com/open?id=1KRJPl3rFR2R-mGGAptGgCMOqejlyxm9e")</f>
        <v>https://drive.google.com/open?id=1D-oA_R_0yjUsVGecTZS-T8IndCH-pF9i, https://drive.google.com/open?id=1yCpFEpIvZc4OpetGQl99IUgsltbE19On, https://drive.google.com/open?id=1MBVTFp15hL6uxccRPYrHHCHF9ccM8mbF, https://drive.google.com/open?id=1tBgzzRHPMZUZUiDMscvhR_G58ecj7pun, https://drive.google.com/open?id=1KRJPl3rFR2R-mGGAptGgCMOqejlyxm9e</v>
      </c>
      <c r="Y527" s="495" t="str">
        <f>IFERROR(__xludf.DUMMYFUNCTION("""COMPUTED_VALUE"""),"claudiotrina08@gmail.com")</f>
        <v>claudiotrina08@gmail.com</v>
      </c>
      <c r="Z527" s="495"/>
      <c r="AA527" s="495"/>
      <c r="AB527" s="495"/>
      <c r="AC527" s="495"/>
      <c r="AD527" s="495" t="str">
        <f>IFERROR(__xludf.DUMMYFUNCTION("""COMPUTED_VALUE"""),"RC-111")</f>
        <v>RC-111</v>
      </c>
    </row>
    <row r="528">
      <c r="A528" s="495" t="str">
        <f t="shared" si="1"/>
        <v>RC-110</v>
      </c>
      <c r="B528" s="497">
        <f>IFERROR(__xludf.DUMMYFUNCTION("""COMPUTED_VALUE"""),46001.68304471065)</f>
        <v>46001.68304</v>
      </c>
      <c r="C528" s="495" t="str">
        <f>IFERROR(__xludf.DUMMYFUNCTION("""COMPUTED_VALUE"""),"")</f>
        <v/>
      </c>
      <c r="D528" s="495" t="str">
        <f>IFERROR(__xludf.DUMMYFUNCTION("""COMPUTED_VALUE"""),"Mauricio Zurita Aldea")</f>
        <v>Mauricio Zurita Aldea</v>
      </c>
      <c r="E528" s="495"/>
      <c r="F528" s="496" t="str">
        <f>IFERROR(__xludf.DUMMYFUNCTION("""COMPUTED_VALUE"""),"12362-2025")</f>
        <v>12362-2025</v>
      </c>
      <c r="G528" s="495"/>
      <c r="H528" s="495"/>
      <c r="I528" s="495"/>
      <c r="J528" s="495" t="str">
        <f>IFERROR(__xludf.DUMMYFUNCTION("""COMPUTED_VALUE"""),"Campus San Juan Pablo II - CJP")</f>
        <v>Campus San Juan Pablo II - CJP</v>
      </c>
      <c r="K528" s="495" t="str">
        <f>IFERROR(__xludf.DUMMYFUNCTION("""COMPUTED_VALUE"""),"Exterior")</f>
        <v>Exterior</v>
      </c>
      <c r="L528" s="495" t="str">
        <f>IFERROR(__xludf.DUMMYFUNCTION("""COMPUTED_VALUE"""),"INGENIERIA Y CONSTRUCCIONES ELEKTRICA SPA")</f>
        <v>INGENIERIA Y CONSTRUCCIONES ELEKTRICA SPA</v>
      </c>
      <c r="M528" s="495" t="str">
        <f>IFERROR(__xludf.DUMMYFUNCTION("""COMPUTED_VALUE"""),"76.884.395-3")</f>
        <v>76.884.395-3</v>
      </c>
      <c r="N528" s="495" t="str">
        <f>IFERROR(__xludf.DUMMYFUNCTION("""COMPUTED_VALUE"""),"Marco Paine Salgado - Gerente")</f>
        <v>Marco Paine Salgado - Gerente</v>
      </c>
      <c r="O528" s="495" t="str">
        <f>IFERROR(__xludf.DUMMYFUNCTION("""COMPUTED_VALUE"""),"Mantenciones")</f>
        <v>Mantenciones</v>
      </c>
      <c r="P528" s="495" t="str">
        <f>IFERROR(__xludf.DUMMYFUNCTION("""COMPUTED_VALUE"""),"Instalaciones Eléctricas")</f>
        <v>Instalaciones Eléctricas</v>
      </c>
      <c r="Q528" s="495"/>
      <c r="R528" s="495"/>
      <c r="S528" s="495"/>
      <c r="T528" s="495"/>
      <c r="U528" s="495"/>
      <c r="V528" s="495" t="str">
        <f>IFERROR(__xludf.DUMMYFUNCTION("""COMPUTED_VALUE"""),"Mantención de poda y despeje de maleza en recinto de transformador exterior en CJP.  Limpieza externa de transformador y tableros generales.")</f>
        <v>Mantención de poda y despeje de maleza en recinto de transformador exterior en CJP.  Limpieza externa de transformador y tableros generales.</v>
      </c>
      <c r="W528" s="495" t="str">
        <f>IFERROR(__xludf.DUMMYFUNCTION("""COMPUTED_VALUE"""),"Tableros eléctricos de Barra y general sin aterrizar, además el óxido está en un estado avanzado en ambos gabinetes.")</f>
        <v>Tableros eléctricos de Barra y general sin aterrizar, además el óxido está en un estado avanzado en ambos gabinetes.</v>
      </c>
      <c r="X528" s="495" t="str">
        <f>IFERROR(__xludf.DUMMYFUNCTION("""COMPUTED_VALUE"""),"https://drive.google.com/open?id=1lGOXDHnIw45tY9OYN4FxLhVghX-cJCFQ, https://drive.google.com/open?id=13SYiUnCpCp0i-8BsklK4-aFbPAI-gtrD, https://drive.google.com/open?id=1Kt9k_7zoy8xTMqrjlSUkB1DgX7jcb_VV, https://drive.google.com/open?id=1cbtYyH2nOeN06u20U"&amp;"b72ID6IMrGppR6m, https://drive.google.com/open?id=19ddyQWcKW33UZLa6FNRIXVhJqmMRV3tc")</f>
        <v>https://drive.google.com/open?id=1lGOXDHnIw45tY9OYN4FxLhVghX-cJCFQ, https://drive.google.com/open?id=13SYiUnCpCp0i-8BsklK4-aFbPAI-gtrD, https://drive.google.com/open?id=1Kt9k_7zoy8xTMqrjlSUkB1DgX7jcb_VV, https://drive.google.com/open?id=1cbtYyH2nOeN06u20Ub72ID6IMrGppR6m, https://drive.google.com/open?id=19ddyQWcKW33UZLa6FNRIXVhJqmMRV3tc</v>
      </c>
      <c r="Y528" s="495" t="str">
        <f>IFERROR(__xludf.DUMMYFUNCTION("""COMPUTED_VALUE"""),"marcopaine@gmail.com")</f>
        <v>marcopaine@gmail.com</v>
      </c>
      <c r="Z528" s="495"/>
      <c r="AA528" s="495"/>
      <c r="AB528" s="495"/>
      <c r="AC528" s="495"/>
      <c r="AD528" s="495" t="str">
        <f>IFERROR(__xludf.DUMMYFUNCTION("""COMPUTED_VALUE"""),"RC-110")</f>
        <v>RC-110</v>
      </c>
    </row>
    <row r="529">
      <c r="A529" s="495" t="str">
        <f t="shared" si="1"/>
        <v>RC-109</v>
      </c>
      <c r="B529" s="497">
        <f>IFERROR(__xludf.DUMMYFUNCTION("""COMPUTED_VALUE"""),46001.670640462966)</f>
        <v>46001.67064</v>
      </c>
      <c r="C529" s="495" t="str">
        <f>IFERROR(__xludf.DUMMYFUNCTION("""COMPUTED_VALUE"""),"")</f>
        <v/>
      </c>
      <c r="D529" s="495" t="str">
        <f>IFERROR(__xludf.DUMMYFUNCTION("""COMPUTED_VALUE"""),"Mauricio Zurita Aldea")</f>
        <v>Mauricio Zurita Aldea</v>
      </c>
      <c r="E529" s="495"/>
      <c r="F529" s="496" t="str">
        <f>IFERROR(__xludf.DUMMYFUNCTION("""COMPUTED_VALUE"""),"12233-2025")</f>
        <v>12233-2025</v>
      </c>
      <c r="G529" s="495"/>
      <c r="H529" s="495"/>
      <c r="I529" s="495"/>
      <c r="J529" s="495" t="str">
        <f>IFERROR(__xludf.DUMMYFUNCTION("""COMPUTED_VALUE"""),"Campus San Juan Pablo II - CJP")</f>
        <v>Campus San Juan Pablo II - CJP</v>
      </c>
      <c r="K529" s="495" t="str">
        <f>IFERROR(__xludf.DUMMYFUNCTION("""COMPUTED_VALUE"""),"08")</f>
        <v>08</v>
      </c>
      <c r="L529" s="495" t="str">
        <f>IFERROR(__xludf.DUMMYFUNCTION("""COMPUTED_VALUE"""),"INGENIERIA Y CONSTRUCCIONES ELEKTRICA SPA")</f>
        <v>INGENIERIA Y CONSTRUCCIONES ELEKTRICA SPA</v>
      </c>
      <c r="M529" s="495" t="str">
        <f>IFERROR(__xludf.DUMMYFUNCTION("""COMPUTED_VALUE"""),"76.884.395-3")</f>
        <v>76.884.395-3</v>
      </c>
      <c r="N529" s="495" t="str">
        <f>IFERROR(__xludf.DUMMYFUNCTION("""COMPUTED_VALUE"""),"Marco Paine Salgado- Gerente")</f>
        <v>Marco Paine Salgado- Gerente</v>
      </c>
      <c r="O529" s="495" t="str">
        <f>IFERROR(__xludf.DUMMYFUNCTION("""COMPUTED_VALUE"""),"Mantenciones")</f>
        <v>Mantenciones</v>
      </c>
      <c r="P529" s="495" t="str">
        <f>IFERROR(__xludf.DUMMYFUNCTION("""COMPUTED_VALUE"""),"Instalaciones Eléctricas")</f>
        <v>Instalaciones Eléctricas</v>
      </c>
      <c r="Q529" s="495"/>
      <c r="R529" s="495"/>
      <c r="S529" s="495"/>
      <c r="T529" s="495"/>
      <c r="U529" s="495"/>
      <c r="V529" s="495" t="str">
        <f>IFERROR(__xludf.DUMMYFUNCTION("""COMPUTED_VALUE"""),"Se instalaron enchufes eléctricos en sector de banquetas exteriores entre edificios N°08 y N°10.")</f>
        <v>Se instalaron enchufes eléctricos en sector de banquetas exteriores entre edificios N°08 y N°10.</v>
      </c>
      <c r="W529" s="495" t="str">
        <f>IFERROR(__xludf.DUMMYFUNCTION("""COMPUTED_VALUE"""),"ninguna")</f>
        <v>ninguna</v>
      </c>
      <c r="X529" s="495" t="str">
        <f>IFERROR(__xludf.DUMMYFUNCTION("""COMPUTED_VALUE"""),"https://drive.google.com/open?id=1t7-C1A9wgp9CKVfx3qL6P8dJJVu4TP8B, https://drive.google.com/open?id=1w2JNAgtQ7QfiTQ1oQ26PON8Z39up5bc5, https://drive.google.com/open?id=1UAxkdU0vaNro5XeEtaYAJahjH4gYNXBq")</f>
        <v>https://drive.google.com/open?id=1t7-C1A9wgp9CKVfx3qL6P8dJJVu4TP8B, https://drive.google.com/open?id=1w2JNAgtQ7QfiTQ1oQ26PON8Z39up5bc5, https://drive.google.com/open?id=1UAxkdU0vaNro5XeEtaYAJahjH4gYNXBq</v>
      </c>
      <c r="Y529" s="495" t="str">
        <f>IFERROR(__xludf.DUMMYFUNCTION("""COMPUTED_VALUE"""),"marcopaine@gmail.com")</f>
        <v>marcopaine@gmail.com</v>
      </c>
      <c r="Z529" s="495"/>
      <c r="AA529" s="495"/>
      <c r="AB529" s="495"/>
      <c r="AC529" s="495"/>
      <c r="AD529" s="495" t="str">
        <f>IFERROR(__xludf.DUMMYFUNCTION("""COMPUTED_VALUE"""),"RC-109")</f>
        <v>RC-109</v>
      </c>
    </row>
    <row r="530">
      <c r="A530" s="495" t="str">
        <f t="shared" si="1"/>
        <v>RC-108</v>
      </c>
      <c r="B530" s="497">
        <f>IFERROR(__xludf.DUMMYFUNCTION("""COMPUTED_VALUE"""),46001.53476430556)</f>
        <v>46001.53476</v>
      </c>
      <c r="C530" s="495" t="str">
        <f>IFERROR(__xludf.DUMMYFUNCTION("""COMPUTED_VALUE"""),"")</f>
        <v/>
      </c>
      <c r="D530" s="495" t="str">
        <f>IFERROR(__xludf.DUMMYFUNCTION("""COMPUTED_VALUE"""),"Mauricio Zurita Aldea")</f>
        <v>Mauricio Zurita Aldea</v>
      </c>
      <c r="E530" s="495"/>
      <c r="F530" s="496" t="str">
        <f>IFERROR(__xludf.DUMMYFUNCTION("""COMPUTED_VALUE"""),"12180-2025")</f>
        <v>12180-2025</v>
      </c>
      <c r="G530" s="495"/>
      <c r="H530" s="495"/>
      <c r="I530" s="495"/>
      <c r="J530" s="495" t="str">
        <f>IFERROR(__xludf.DUMMYFUNCTION("""COMPUTED_VALUE"""),"Campus Prieto Norte - CHS")</f>
        <v>Campus Prieto Norte - CHS</v>
      </c>
      <c r="K530" s="495" t="str">
        <f>IFERROR(__xludf.DUMMYFUNCTION("""COMPUTED_VALUE"""),"01")</f>
        <v>01</v>
      </c>
      <c r="L530" s="495" t="str">
        <f>IFERROR(__xludf.DUMMYFUNCTION("""COMPUTED_VALUE"""),"Ingertemuco Ingeniería Spa ")</f>
        <v>Ingertemuco Ingeniería Spa </v>
      </c>
      <c r="M530" s="495" t="str">
        <f>IFERROR(__xludf.DUMMYFUNCTION("""COMPUTED_VALUE"""),"77.369.471-0")</f>
        <v>77.369.471-0</v>
      </c>
      <c r="N530" s="495" t="str">
        <f>IFERROR(__xludf.DUMMYFUNCTION("""COMPUTED_VALUE"""),"Christian Ortega ")</f>
        <v>Christian Ortega </v>
      </c>
      <c r="O530" s="495" t="str">
        <f>IFERROR(__xludf.DUMMYFUNCTION("""COMPUTED_VALUE"""),"Mantenciones")</f>
        <v>Mantenciones</v>
      </c>
      <c r="P530" s="495" t="str">
        <f>IFERROR(__xludf.DUMMYFUNCTION("""COMPUTED_VALUE"""),"Alarmas de Incendio")</f>
        <v>Alarmas de Incendio</v>
      </c>
      <c r="Q530" s="495"/>
      <c r="R530" s="495"/>
      <c r="S530" s="495"/>
      <c r="T530" s="495"/>
      <c r="U530" s="495"/>
      <c r="V530" s="495" t="str">
        <f>IFERROR(__xludf.DUMMYFUNCTION("""COMPUTED_VALUE"""),"Se realiza reprogramación de panel de incendio y se cambia chapa y palanca dañada")</f>
        <v>Se realiza reprogramación de panel de incendio y se cambia chapa y palanca dañada</v>
      </c>
      <c r="W530" s="495"/>
      <c r="X530" s="495" t="str">
        <f>IFERROR(__xludf.DUMMYFUNCTION("""COMPUTED_VALUE"""),"https://drive.google.com/open?id=1Crp_5gO-yEROju4HLrB2gw-vNP_-sH_v, https://drive.google.com/open?id=1puJpeOQ9iGDTM-uAOL7JRyj0uh1ctro6, https://drive.google.com/open?id=1jss3lmQ70lTIX0c6JE07MZIQJfp8yh-f, https://drive.google.com/open?id=1jyVn30Bv99rOheIxK"&amp;"wSfl0nphO6du_Mh")</f>
        <v>https://drive.google.com/open?id=1Crp_5gO-yEROju4HLrB2gw-vNP_-sH_v, https://drive.google.com/open?id=1puJpeOQ9iGDTM-uAOL7JRyj0uh1ctro6, https://drive.google.com/open?id=1jss3lmQ70lTIX0c6JE07MZIQJfp8yh-f, https://drive.google.com/open?id=1jyVn30Bv99rOheIxKwSfl0nphO6du_Mh</v>
      </c>
      <c r="Y530" s="495" t="str">
        <f>IFERROR(__xludf.DUMMYFUNCTION("""COMPUTED_VALUE"""),"comercialingertemuco@gmail.com")</f>
        <v>comercialingertemuco@gmail.com</v>
      </c>
      <c r="Z530" s="495"/>
      <c r="AA530" s="495"/>
      <c r="AB530" s="495"/>
      <c r="AC530" s="495"/>
      <c r="AD530" s="495" t="str">
        <f>IFERROR(__xludf.DUMMYFUNCTION("""COMPUTED_VALUE"""),"RC-108")</f>
        <v>RC-108</v>
      </c>
    </row>
    <row r="531">
      <c r="A531" s="495" t="str">
        <f t="shared" si="1"/>
        <v>RC-209_26</v>
      </c>
      <c r="B531" s="497">
        <f>IFERROR(__xludf.DUMMYFUNCTION("""COMPUTED_VALUE"""),46168.495844386576)</f>
        <v>46168.49584</v>
      </c>
      <c r="C531" s="495" t="str">
        <f>IFERROR(__xludf.DUMMYFUNCTION("""COMPUTED_VALUE"""),"")</f>
        <v/>
      </c>
      <c r="D531" s="495" t="str">
        <f>IFERROR(__xludf.DUMMYFUNCTION("""COMPUTED_VALUE"""),"Juan Ignacio Solís de Ovando")</f>
        <v>Juan Ignacio Solís de Ovando</v>
      </c>
      <c r="E531" s="495"/>
      <c r="F531" s="496" t="str">
        <f>IFERROR(__xludf.DUMMYFUNCTION("""COMPUTED_VALUE"""),"1426 - 2026")</f>
        <v>1426 - 2026</v>
      </c>
      <c r="G531" s="495"/>
      <c r="H531" s="495"/>
      <c r="I531" s="495"/>
      <c r="J531" s="495" t="str">
        <f>IFERROR(__xludf.DUMMYFUNCTION("""COMPUTED_VALUE"""),"Campus Dr. Luis Rivas del Canto - CRC")</f>
        <v>Campus Dr. Luis Rivas del Canto - CRC</v>
      </c>
      <c r="K531" s="495" t="str">
        <f>IFERROR(__xludf.DUMMYFUNCTION("""COMPUTED_VALUE"""),"Sin número")</f>
        <v>Sin número</v>
      </c>
      <c r="L531" s="495" t="str">
        <f>IFERROR(__xludf.DUMMYFUNCTION("""COMPUTED_VALUE"""),"LSA INGENIERIA Y CONSTRUCCION EIRL")</f>
        <v>LSA INGENIERIA Y CONSTRUCCION EIRL</v>
      </c>
      <c r="M531" s="495" t="str">
        <f>IFERROR(__xludf.DUMMYFUNCTION("""COMPUTED_VALUE"""),"76.219.281-0")</f>
        <v>76.219.281-0</v>
      </c>
      <c r="N531" s="495" t="str">
        <f>IFERROR(__xludf.DUMMYFUNCTION("""COMPUTED_VALUE"""),"CLAUDIA SANZANA SAEZ")</f>
        <v>CLAUDIA SANZANA SAEZ</v>
      </c>
      <c r="O531" s="495" t="str">
        <f>IFERROR(__xludf.DUMMYFUNCTION("""COMPUTED_VALUE"""),"Obras y Especialidades")</f>
        <v>Obras y Especialidades</v>
      </c>
      <c r="P531" s="495"/>
      <c r="Q531" s="495"/>
      <c r="R531" s="495" t="str">
        <f>IFERROR(__xludf.DUMMYFUNCTION("""COMPUTED_VALUE"""),"Nuevo Edificio")</f>
        <v>Nuevo Edificio</v>
      </c>
      <c r="S531" s="495" t="str">
        <f>IFERROR(__xludf.DUMMYFUNCTION("""COMPUTED_VALUE"""),"Estado de Pago - EP")</f>
        <v>Estado de Pago - EP</v>
      </c>
      <c r="T531" s="495">
        <f>IFERROR(__xludf.DUMMYFUNCTION("""COMPUTED_VALUE"""),3.0)</f>
        <v>3</v>
      </c>
      <c r="U531" s="498">
        <f>IFERROR(__xludf.DUMMYFUNCTION("""COMPUTED_VALUE"""),1.63704571E8)</f>
        <v>163704571</v>
      </c>
      <c r="V531" s="495" t="str">
        <f>IFERROR(__xludf.DUMMYFUNCTION("""COMPUTED_VALUE"""),"CONSTRUCCION DE EDIFICIO CASINO")</f>
        <v>CONSTRUCCION DE EDIFICIO CASINO</v>
      </c>
      <c r="W531" s="495"/>
      <c r="X531" s="495" t="str">
        <f>IFERROR(__xludf.DUMMYFUNCTION("""COMPUTED_VALUE"""),"https://drive.google.com/open?id=1HcSii3l8CI5lFJC6xPYs9hQlu2KwAZQj, https://drive.google.com/open?id=1L_BBQXnm61-3iH9LP0FPQ210nRpuTaob, https://drive.google.com/open?id=1lewKIEADamTRyKya4C9eggNCk5Ht7Ehh, https://drive.google.com/open?id=1_kKtZnxH-gz4Qo2Wp"&amp;"B4k-oEhYeqcxq29, https://drive.google.com/open?id=1bWi5F5UYG6PJcXHcOzxeHyYHCdzl9_Aa")</f>
        <v>https://drive.google.com/open?id=1HcSii3l8CI5lFJC6xPYs9hQlu2KwAZQj, https://drive.google.com/open?id=1L_BBQXnm61-3iH9LP0FPQ210nRpuTaob, https://drive.google.com/open?id=1lewKIEADamTRyKya4C9eggNCk5Ht7Ehh, https://drive.google.com/open?id=1_kKtZnxH-gz4Qo2WpB4k-oEhYeqcxq29, https://drive.google.com/open?id=1bWi5F5UYG6PJcXHcOzxeHyYHCdzl9_Aa</v>
      </c>
      <c r="Y531" s="495" t="str">
        <f>IFERROR(__xludf.DUMMYFUNCTION("""COMPUTED_VALUE"""),"claudiasanzana@lsaingenieria.cl")</f>
        <v>claudiasanzana@lsaingenieria.cl</v>
      </c>
      <c r="Z531" s="498">
        <f>IFERROR(__xludf.DUMMYFUNCTION("""COMPUTED_VALUE"""),8.55200912E8)</f>
        <v>855200912</v>
      </c>
      <c r="AA531" s="495"/>
      <c r="AB531" s="495"/>
      <c r="AC531" s="495"/>
      <c r="AD531" s="495" t="str">
        <f>IFERROR(__xludf.DUMMYFUNCTION("""COMPUTED_VALUE"""),"RC-209_26")</f>
        <v>RC-209_26</v>
      </c>
    </row>
    <row r="532">
      <c r="A532" s="495" t="str">
        <f t="shared" si="1"/>
        <v>RC-210_26</v>
      </c>
      <c r="B532" s="497">
        <f>IFERROR(__xludf.DUMMYFUNCTION("""COMPUTED_VALUE"""),46168.69872137731)</f>
        <v>46168.69872</v>
      </c>
      <c r="C532" s="495" t="str">
        <f>IFERROR(__xludf.DUMMYFUNCTION("""COMPUTED_VALUE"""),"")</f>
        <v/>
      </c>
      <c r="D532" s="495" t="str">
        <f>IFERROR(__xludf.DUMMYFUNCTION("""COMPUTED_VALUE"""),"David Silva Roco")</f>
        <v>David Silva Roco</v>
      </c>
      <c r="E532" s="495"/>
      <c r="F532" s="496" t="str">
        <f>IFERROR(__xludf.DUMMYFUNCTION("""COMPUTED_VALUE"""),"3008-2026")</f>
        <v>3008-2026</v>
      </c>
      <c r="G532" s="495"/>
      <c r="H532" s="495"/>
      <c r="I532" s="495"/>
      <c r="J532" s="495" t="str">
        <f>IFERROR(__xludf.DUMMYFUNCTION("""COMPUTED_VALUE"""),"Campus San Nicolás (Curacautín) - CSN")</f>
        <v>Campus San Nicolás (Curacautín) - CSN</v>
      </c>
      <c r="K532" s="495" t="str">
        <f>IFERROR(__xludf.DUMMYFUNCTION("""COMPUTED_VALUE"""),"Exterior")</f>
        <v>Exterior</v>
      </c>
      <c r="L532" s="495" t="str">
        <f>IFERROR(__xludf.DUMMYFUNCTION("""COMPUTED_VALUE"""),"luis saez allendes ingenieria y construccion eirl")</f>
        <v>luis saez allendes ingenieria y construccion eirl</v>
      </c>
      <c r="M532" s="495" t="str">
        <f>IFERROR(__xludf.DUMMYFUNCTION("""COMPUTED_VALUE"""),"76.219.281-0")</f>
        <v>76.219.281-0</v>
      </c>
      <c r="N532" s="495" t="str">
        <f>IFERROR(__xludf.DUMMYFUNCTION("""COMPUTED_VALUE"""),"luis saez allendes")</f>
        <v>luis saez allendes</v>
      </c>
      <c r="O532" s="495" t="str">
        <f>IFERROR(__xludf.DUMMYFUNCTION("""COMPUTED_VALUE"""),"Obras y Especialidades")</f>
        <v>Obras y Especialidades</v>
      </c>
      <c r="P532" s="495"/>
      <c r="Q532" s="495"/>
      <c r="R532" s="495" t="str">
        <f>IFERROR(__xludf.DUMMYFUNCTION("""COMPUTED_VALUE"""),"Modificación de Espacio")</f>
        <v>Modificación de Espacio</v>
      </c>
      <c r="S532" s="495" t="str">
        <f>IFERROR(__xludf.DUMMYFUNCTION("""COMPUTED_VALUE"""),"Estado de Pago - EP")</f>
        <v>Estado de Pago - EP</v>
      </c>
      <c r="T532" s="495">
        <f>IFERROR(__xludf.DUMMYFUNCTION("""COMPUTED_VALUE"""),1.0)</f>
        <v>1</v>
      </c>
      <c r="U532" s="498">
        <f>IFERROR(__xludf.DUMMYFUNCTION("""COMPUTED_VALUE"""),3388430.0)</f>
        <v>3388430</v>
      </c>
      <c r="V532" s="495" t="str">
        <f>IFERROR(__xludf.DUMMYFUNCTION("""COMPUTED_VALUE"""),"AMPLIACIÓN CASETA DE BOMBAS CON RADIER PARA RECONEXION PREDIO CURACAUTIN")</f>
        <v>AMPLIACIÓN CASETA DE BOMBAS CON RADIER PARA RECONEXION PREDIO CURACAUTIN</v>
      </c>
      <c r="W532" s="495"/>
      <c r="X532" s="495" t="str">
        <f>IFERROR(__xludf.DUMMYFUNCTION("""COMPUTED_VALUE"""),"https://drive.google.com/open?id=1SunMden2ENzbgKNqnaQdtvxNZ6kuPipH, https://drive.google.com/open?id=1BODoSvgp1RDBhwLWQQtzJSjUQLmLKFYs, https://drive.google.com/open?id=1j32zCYc6fnEQ_KiUZYX_iq4dcJ8qcua6")</f>
        <v>https://drive.google.com/open?id=1SunMden2ENzbgKNqnaQdtvxNZ6kuPipH, https://drive.google.com/open?id=1BODoSvgp1RDBhwLWQQtzJSjUQLmLKFYs, https://drive.google.com/open?id=1j32zCYc6fnEQ_KiUZYX_iq4dcJ8qcua6</v>
      </c>
      <c r="Y532" s="495" t="str">
        <f>IFERROR(__xludf.DUMMYFUNCTION("""COMPUTED_VALUE"""),"luissaez@lsaingenieria.cl")</f>
        <v>luissaez@lsaingenieria.cl</v>
      </c>
      <c r="Z532" s="498">
        <f>IFERROR(__xludf.DUMMYFUNCTION("""COMPUTED_VALUE"""),3388430.0)</f>
        <v>3388430</v>
      </c>
      <c r="AA532" s="495"/>
      <c r="AB532" s="495"/>
      <c r="AC532" s="495"/>
      <c r="AD532" s="495" t="str">
        <f>IFERROR(__xludf.DUMMYFUNCTION("""COMPUTED_VALUE"""),"RC-210_26")</f>
        <v>RC-210_26</v>
      </c>
    </row>
    <row r="533">
      <c r="A533" s="495" t="str">
        <f t="shared" si="1"/>
        <v>RC-106</v>
      </c>
      <c r="B533" s="497">
        <f>IFERROR(__xludf.DUMMYFUNCTION("""COMPUTED_VALUE"""),46001.49000240741)</f>
        <v>46001.49</v>
      </c>
      <c r="C533" s="495" t="str">
        <f>IFERROR(__xludf.DUMMYFUNCTION("""COMPUTED_VALUE"""),"")</f>
        <v/>
      </c>
      <c r="D533" s="495" t="str">
        <f>IFERROR(__xludf.DUMMYFUNCTION("""COMPUTED_VALUE"""),"Mauricio Zurita Aldea")</f>
        <v>Mauricio Zurita Aldea</v>
      </c>
      <c r="E533" s="495"/>
      <c r="F533" s="496" t="str">
        <f>IFERROR(__xludf.DUMMYFUNCTION("""COMPUTED_VALUE"""),"12231-2025")</f>
        <v>12231-2025</v>
      </c>
      <c r="G533" s="495"/>
      <c r="H533" s="495"/>
      <c r="I533" s="495"/>
      <c r="J533" s="495" t="str">
        <f>IFERROR(__xludf.DUMMYFUNCTION("""COMPUTED_VALUE"""),"Campus San Juan Pablo II - CJP")</f>
        <v>Campus San Juan Pablo II - CJP</v>
      </c>
      <c r="K533" s="495" t="str">
        <f>IFERROR(__xludf.DUMMYFUNCTION("""COMPUTED_VALUE"""),"04")</f>
        <v>04</v>
      </c>
      <c r="L533" s="495" t="str">
        <f>IFERROR(__xludf.DUMMYFUNCTION("""COMPUTED_VALUE"""),"GATICAR SPA")</f>
        <v>GATICAR SPA</v>
      </c>
      <c r="M533" s="495" t="str">
        <f>IFERROR(__xludf.DUMMYFUNCTION("""COMPUTED_VALUE"""),"77.578.487-3")</f>
        <v>77.578.487-3</v>
      </c>
      <c r="N533" s="495" t="str">
        <f>IFERROR(__xludf.DUMMYFUNCTION("""COMPUTED_VALUE"""),"HECTOR GATICA")</f>
        <v>HECTOR GATICA</v>
      </c>
      <c r="O533" s="495" t="str">
        <f>IFERROR(__xludf.DUMMYFUNCTION("""COMPUTED_VALUE"""),"Mantenciones")</f>
        <v>Mantenciones</v>
      </c>
      <c r="P533" s="495" t="str">
        <f>IFERROR(__xludf.DUMMYFUNCTION("""COMPUTED_VALUE"""),"Requerimientos Emergentes e Imprevistos")</f>
        <v>Requerimientos Emergentes e Imprevistos</v>
      </c>
      <c r="Q533" s="495"/>
      <c r="R533" s="495"/>
      <c r="S533" s="495"/>
      <c r="T533" s="495"/>
      <c r="U533" s="495"/>
      <c r="V533" s="495" t="str">
        <f>IFERROR(__xludf.DUMMYFUNCTION("""COMPUTED_VALUE"""),"REPARACION TUBERIA AGUA POZO PROFUNDO ")</f>
        <v>REPARACION TUBERIA AGUA POZO PROFUNDO </v>
      </c>
      <c r="W533" s="495"/>
      <c r="X533" s="495" t="str">
        <f>IFERROR(__xludf.DUMMYFUNCTION("""COMPUTED_VALUE"""),"https://drive.google.com/open?id=1XpBbGJnEgKWqchl9W7P2QFb3Z5K3NygQ, https://drive.google.com/open?id=1habFiyiZ_FlouzERpb8wZTGCT5aWtGDD, https://drive.google.com/open?id=17zTPUFhTRPoen6GE1VFKkVqNTvgsCuQM, https://drive.google.com/open?id=1yB0F2KThtXO-LOdvl"&amp;"JLMO0A_GbvhD0Wc")</f>
        <v>https://drive.google.com/open?id=1XpBbGJnEgKWqchl9W7P2QFb3Z5K3NygQ, https://drive.google.com/open?id=1habFiyiZ_FlouzERpb8wZTGCT5aWtGDD, https://drive.google.com/open?id=17zTPUFhTRPoen6GE1VFKkVqNTvgsCuQM, https://drive.google.com/open?id=1yB0F2KThtXO-LOdvlJLMO0A_GbvhD0Wc</v>
      </c>
      <c r="Y533" s="495" t="str">
        <f>IFERROR(__xludf.DUMMYFUNCTION("""COMPUTED_VALUE"""),"serviciogaticar@gmail.com")</f>
        <v>serviciogaticar@gmail.com</v>
      </c>
      <c r="Z533" s="495"/>
      <c r="AA533" s="495"/>
      <c r="AB533" s="495"/>
      <c r="AC533" s="495"/>
      <c r="AD533" s="495" t="str">
        <f>IFERROR(__xludf.DUMMYFUNCTION("""COMPUTED_VALUE"""),"RC-106")</f>
        <v>RC-106</v>
      </c>
    </row>
    <row r="534">
      <c r="A534" s="495" t="str">
        <f t="shared" si="1"/>
        <v>RC-105</v>
      </c>
      <c r="B534" s="497">
        <f>IFERROR(__xludf.DUMMYFUNCTION("""COMPUTED_VALUE"""),46001.45964912037)</f>
        <v>46001.45965</v>
      </c>
      <c r="C534" s="495" t="str">
        <f>IFERROR(__xludf.DUMMYFUNCTION("""COMPUTED_VALUE"""),"")</f>
        <v/>
      </c>
      <c r="D534" s="495" t="str">
        <f>IFERROR(__xludf.DUMMYFUNCTION("""COMPUTED_VALUE"""),"Leonor Ríos Morales")</f>
        <v>Leonor Ríos Morales</v>
      </c>
      <c r="E534" s="495"/>
      <c r="F534" s="496" t="str">
        <f>IFERROR(__xludf.DUMMYFUNCTION("""COMPUTED_VALUE"""),"10987-2025")</f>
        <v>10987-2025</v>
      </c>
      <c r="G534" s="495"/>
      <c r="H534" s="495"/>
      <c r="I534" s="495"/>
      <c r="J534" s="495" t="str">
        <f>IFERROR(__xludf.DUMMYFUNCTION("""COMPUTED_VALUE"""),"Campus San Juan Pablo II - CJP")</f>
        <v>Campus San Juan Pablo II - CJP</v>
      </c>
      <c r="K534" s="495">
        <f>IFERROR(__xludf.DUMMYFUNCTION("""COMPUTED_VALUE"""),10.0)</f>
        <v>10</v>
      </c>
      <c r="L534" s="495" t="str">
        <f>IFERROR(__xludf.DUMMYFUNCTION("""COMPUTED_VALUE"""),"Flavia Oyarzun Soto ")</f>
        <v>Flavia Oyarzun Soto </v>
      </c>
      <c r="M534" s="495" t="str">
        <f>IFERROR(__xludf.DUMMYFUNCTION("""COMPUTED_VALUE"""),"5.503.590-3 ")</f>
        <v>5.503.590-3 </v>
      </c>
      <c r="N534" s="495" t="str">
        <f>IFERROR(__xludf.DUMMYFUNCTION("""COMPUTED_VALUE"""),"Roberto Lassalle ")</f>
        <v>Roberto Lassalle </v>
      </c>
      <c r="O534" s="495" t="str">
        <f>IFERROR(__xludf.DUMMYFUNCTION("""COMPUTED_VALUE"""),"Mantenciones")</f>
        <v>Mantenciones</v>
      </c>
      <c r="P534" s="495" t="str">
        <f>IFERROR(__xludf.DUMMYFUNCTION("""COMPUTED_VALUE"""),"Cerramientos Verticales")</f>
        <v>Cerramientos Verticales</v>
      </c>
      <c r="Q534" s="495"/>
      <c r="R534" s="495"/>
      <c r="S534" s="495"/>
      <c r="T534" s="495"/>
      <c r="U534" s="495"/>
      <c r="V534" s="495" t="str">
        <f>IFERROR(__xludf.DUMMYFUNCTION("""COMPUTED_VALUE"""),"Cambio de puertas vidriada y confección mobiliarios según EETT")</f>
        <v>Cambio de puertas vidriada y confección mobiliarios según EETT</v>
      </c>
      <c r="W534" s="495"/>
      <c r="X534" s="495" t="str">
        <f>IFERROR(__xludf.DUMMYFUNCTION("""COMPUTED_VALUE"""),"https://drive.google.com/open?id=1G66nAHXGILFlNFLWrkhtGCguWR0gIBGf, https://drive.google.com/open?id=1yvc2W0VAUxQRYGPnnijQzD6pQ_Q2E3Nm, https://drive.google.com/open?id=11T5Dvdnm5fFzNZO9iN1VhfvvpUGQuDmv, https://drive.google.com/open?id=1_O7hWTKNL82Jjh7qG"&amp;"xBeQzkYGLcKDvqe, https://drive.google.com/open?id=1f2nlAA5gTmXMU2A9eKL0RzaN0oy-3WXm")</f>
        <v>https://drive.google.com/open?id=1G66nAHXGILFlNFLWrkhtGCguWR0gIBGf, https://drive.google.com/open?id=1yvc2W0VAUxQRYGPnnijQzD6pQ_Q2E3Nm, https://drive.google.com/open?id=11T5Dvdnm5fFzNZO9iN1VhfvvpUGQuDmv, https://drive.google.com/open?id=1_O7hWTKNL82Jjh7qGxBeQzkYGLcKDvqe, https://drive.google.com/open?id=1f2nlAA5gTmXMU2A9eKL0RzaN0oy-3WXm</v>
      </c>
      <c r="Y534" s="495" t="str">
        <f>IFERROR(__xludf.DUMMYFUNCTION("""COMPUTED_VALUE"""),"roberto.lassalle@gmail.com")</f>
        <v>roberto.lassalle@gmail.com</v>
      </c>
      <c r="Z534" s="495"/>
      <c r="AA534" s="495"/>
      <c r="AB534" s="495"/>
      <c r="AC534" s="495"/>
      <c r="AD534" s="495" t="str">
        <f>IFERROR(__xludf.DUMMYFUNCTION("""COMPUTED_VALUE"""),"RC-105")</f>
        <v>RC-105</v>
      </c>
    </row>
    <row r="535">
      <c r="A535" s="495" t="str">
        <f t="shared" si="1"/>
        <v>RC-103</v>
      </c>
      <c r="B535" s="497">
        <f>IFERROR(__xludf.DUMMYFUNCTION("""COMPUTED_VALUE"""),46000.42609765046)</f>
        <v>46000.4261</v>
      </c>
      <c r="C535" s="495" t="str">
        <f>IFERROR(__xludf.DUMMYFUNCTION("""COMPUTED_VALUE"""),"")</f>
        <v/>
      </c>
      <c r="D535" s="495" t="str">
        <f>IFERROR(__xludf.DUMMYFUNCTION("""COMPUTED_VALUE"""),"Mauricio Zurita Aldea")</f>
        <v>Mauricio Zurita Aldea</v>
      </c>
      <c r="E535" s="495"/>
      <c r="F535" s="496" t="str">
        <f>IFERROR(__xludf.DUMMYFUNCTION("""COMPUTED_VALUE"""),"12227-2025")</f>
        <v>12227-2025</v>
      </c>
      <c r="G535" s="495"/>
      <c r="H535" s="495"/>
      <c r="I535" s="495"/>
      <c r="J535" s="495" t="str">
        <f>IFERROR(__xludf.DUMMYFUNCTION("""COMPUTED_VALUE"""),"Campus Dr. Luis Rivas del Canto - CRC")</f>
        <v>Campus Dr. Luis Rivas del Canto - CRC</v>
      </c>
      <c r="K535" s="495" t="str">
        <f>IFERROR(__xludf.DUMMYFUNCTION("""COMPUTED_VALUE"""),"Exterior")</f>
        <v>Exterior</v>
      </c>
      <c r="L535" s="495" t="str">
        <f>IFERROR(__xludf.DUMMYFUNCTION("""COMPUTED_VALUE"""),"INGENIERIA Y CONSTRUCCIONES ELEKTRICA SPA")</f>
        <v>INGENIERIA Y CONSTRUCCIONES ELEKTRICA SPA</v>
      </c>
      <c r="M535" s="495" t="str">
        <f>IFERROR(__xludf.DUMMYFUNCTION("""COMPUTED_VALUE"""),"76.884.395-3")</f>
        <v>76.884.395-3</v>
      </c>
      <c r="N535" s="495" t="str">
        <f>IFERROR(__xludf.DUMMYFUNCTION("""COMPUTED_VALUE"""),"Marco Paine Salgado- Gerente")</f>
        <v>Marco Paine Salgado- Gerente</v>
      </c>
      <c r="O535" s="495" t="str">
        <f>IFERROR(__xludf.DUMMYFUNCTION("""COMPUTED_VALUE"""),"Mantenciones")</f>
        <v>Mantenciones</v>
      </c>
      <c r="P535" s="495" t="str">
        <f>IFERROR(__xludf.DUMMYFUNCTION("""COMPUTED_VALUE"""),"Instalaciones Eléctricas")</f>
        <v>Instalaciones Eléctricas</v>
      </c>
      <c r="Q535" s="495"/>
      <c r="R535" s="495"/>
      <c r="S535" s="495"/>
      <c r="T535" s="495"/>
      <c r="U535" s="495"/>
      <c r="V535" s="495" t="str">
        <f>IFERROR(__xludf.DUMMYFUNCTION("""COMPUTED_VALUE"""),"Se realizó retiro de Focos de iluminación exterior a nivel de piso con protección tipo rejilla. Equipos y escombros retirados se entregaron en bodegas Vrae.")</f>
        <v>Se realizó retiro de Focos de iluminación exterior a nivel de piso con protección tipo rejilla. Equipos y escombros retirados se entregaron en bodegas Vrae.</v>
      </c>
      <c r="W535" s="495" t="str">
        <f>IFERROR(__xludf.DUMMYFUNCTION("""COMPUTED_VALUE"""),"Se sugiere realizar mantención o normalizar tablero general auxiliar de veterinaria. ")</f>
        <v>Se sugiere realizar mantención o normalizar tablero general auxiliar de veterinaria. </v>
      </c>
      <c r="X535" s="495" t="str">
        <f>IFERROR(__xludf.DUMMYFUNCTION("""COMPUTED_VALUE"""),"https://drive.google.com/open?id=1TUP2Kd2ZKkxjoSbMmYnw-U6MstwRR3TY, https://drive.google.com/open?id=1baaE7cxMTz8Abf1J0-wqIsm0UZCEGls5, https://drive.google.com/open?id=1em9Z-mkj0i3NsdfK23Xzonp9gCXcXpyJ")</f>
        <v>https://drive.google.com/open?id=1TUP2Kd2ZKkxjoSbMmYnw-U6MstwRR3TY, https://drive.google.com/open?id=1baaE7cxMTz8Abf1J0-wqIsm0UZCEGls5, https://drive.google.com/open?id=1em9Z-mkj0i3NsdfK23Xzonp9gCXcXpyJ</v>
      </c>
      <c r="Y535" s="495" t="str">
        <f>IFERROR(__xludf.DUMMYFUNCTION("""COMPUTED_VALUE"""),"marcopaine@gmail.com")</f>
        <v>marcopaine@gmail.com</v>
      </c>
      <c r="Z535" s="495"/>
      <c r="AA535" s="495"/>
      <c r="AB535" s="495"/>
      <c r="AC535" s="495"/>
      <c r="AD535" s="495" t="str">
        <f>IFERROR(__xludf.DUMMYFUNCTION("""COMPUTED_VALUE"""),"RC-103")</f>
        <v>RC-103</v>
      </c>
    </row>
    <row r="536">
      <c r="A536" s="495" t="str">
        <f t="shared" si="1"/>
        <v>RC-102</v>
      </c>
      <c r="B536" s="497">
        <f>IFERROR(__xludf.DUMMYFUNCTION("""COMPUTED_VALUE"""),46000.41435771991)</f>
        <v>46000.41436</v>
      </c>
      <c r="C536" s="495" t="str">
        <f>IFERROR(__xludf.DUMMYFUNCTION("""COMPUTED_VALUE"""),"")</f>
        <v/>
      </c>
      <c r="D536" s="495" t="str">
        <f>IFERROR(__xludf.DUMMYFUNCTION("""COMPUTED_VALUE"""),"Mauricio Zurita Aldea")</f>
        <v>Mauricio Zurita Aldea</v>
      </c>
      <c r="E536" s="495"/>
      <c r="F536" s="496" t="str">
        <f>IFERROR(__xludf.DUMMYFUNCTION("""COMPUTED_VALUE"""),"11948-2025")</f>
        <v>11948-2025</v>
      </c>
      <c r="G536" s="495"/>
      <c r="H536" s="495"/>
      <c r="I536" s="495"/>
      <c r="J536" s="495" t="str">
        <f>IFERROR(__xludf.DUMMYFUNCTION("""COMPUTED_VALUE"""),"Campus San Francisco - CSF")</f>
        <v>Campus San Francisco - CSF</v>
      </c>
      <c r="K536" s="495" t="str">
        <f>IFERROR(__xludf.DUMMYFUNCTION("""COMPUTED_VALUE"""),"03")</f>
        <v>03</v>
      </c>
      <c r="L536" s="495" t="str">
        <f>IFERROR(__xludf.DUMMYFUNCTION("""COMPUTED_VALUE"""),"INGENIERIA Y CONSTRUCCIONES ELEKTRICA SPA")</f>
        <v>INGENIERIA Y CONSTRUCCIONES ELEKTRICA SPA</v>
      </c>
      <c r="M536" s="495" t="str">
        <f>IFERROR(__xludf.DUMMYFUNCTION("""COMPUTED_VALUE"""),"76.884.395-3")</f>
        <v>76.884.395-3</v>
      </c>
      <c r="N536" s="495" t="str">
        <f>IFERROR(__xludf.DUMMYFUNCTION("""COMPUTED_VALUE"""),"Marco Paine Salgado- Gerente.")</f>
        <v>Marco Paine Salgado- Gerente.</v>
      </c>
      <c r="O536" s="495" t="str">
        <f>IFERROR(__xludf.DUMMYFUNCTION("""COMPUTED_VALUE"""),"Mantenciones")</f>
        <v>Mantenciones</v>
      </c>
      <c r="P536" s="495" t="str">
        <f>IFERROR(__xludf.DUMMYFUNCTION("""COMPUTED_VALUE"""),"Instalaciones Eléctricas")</f>
        <v>Instalaciones Eléctricas</v>
      </c>
      <c r="Q536" s="495"/>
      <c r="R536" s="495"/>
      <c r="S536" s="495"/>
      <c r="T536" s="495"/>
      <c r="U536" s="495"/>
      <c r="V536" s="495" t="str">
        <f>IFERROR(__xludf.DUMMYFUNCTION("""COMPUTED_VALUE"""),"Modificación ducto de Fibra Óptica. Se realizó corte y reposición de cemento para unir caja de conexión con cámara de fibra óptica")</f>
        <v>Modificación ducto de Fibra Óptica. Se realizó corte y reposición de cemento para unir caja de conexión con cámara de fibra óptica</v>
      </c>
      <c r="W536" s="495" t="str">
        <f>IFERROR(__xludf.DUMMYFUNCTION("""COMPUTED_VALUE"""),"Ninguna")</f>
        <v>Ninguna</v>
      </c>
      <c r="X536" s="495" t="str">
        <f>IFERROR(__xludf.DUMMYFUNCTION("""COMPUTED_VALUE"""),"https://drive.google.com/open?id=1Beq8yzFlytfLn3dR4Z2TVzJp7jjMDG96, https://drive.google.com/open?id=1d1CEyPp1aD1X0ba4AOX3heItwdM-3xY8")</f>
        <v>https://drive.google.com/open?id=1Beq8yzFlytfLn3dR4Z2TVzJp7jjMDG96, https://drive.google.com/open?id=1d1CEyPp1aD1X0ba4AOX3heItwdM-3xY8</v>
      </c>
      <c r="Y536" s="495" t="str">
        <f>IFERROR(__xludf.DUMMYFUNCTION("""COMPUTED_VALUE"""),"marcopaine@gmail.com")</f>
        <v>marcopaine@gmail.com</v>
      </c>
      <c r="Z536" s="495"/>
      <c r="AA536" s="495"/>
      <c r="AB536" s="495"/>
      <c r="AC536" s="495"/>
      <c r="AD536" s="495" t="str">
        <f>IFERROR(__xludf.DUMMYFUNCTION("""COMPUTED_VALUE"""),"RC-102")</f>
        <v>RC-102</v>
      </c>
    </row>
    <row r="537">
      <c r="A537" s="495" t="str">
        <f t="shared" si="1"/>
        <v>RC-215_26</v>
      </c>
      <c r="B537" s="497">
        <f>IFERROR(__xludf.DUMMYFUNCTION("""COMPUTED_VALUE"""),46170.474624490744)</f>
        <v>46170.47462</v>
      </c>
      <c r="C537" s="495" t="str">
        <f>IFERROR(__xludf.DUMMYFUNCTION("""COMPUTED_VALUE"""),"")</f>
        <v/>
      </c>
      <c r="D537" s="495" t="str">
        <f>IFERROR(__xludf.DUMMYFUNCTION("""COMPUTED_VALUE"""),"Mauricio Zurita Aldea")</f>
        <v>Mauricio Zurita Aldea</v>
      </c>
      <c r="E537" s="495"/>
      <c r="F537" s="496">
        <f>IFERROR(__xludf.DUMMYFUNCTION("""COMPUTED_VALUE"""),13338.0)</f>
        <v>13338</v>
      </c>
      <c r="G537" s="495"/>
      <c r="H537" s="495"/>
      <c r="I537" s="495"/>
      <c r="J537" s="495" t="str">
        <f>IFERROR(__xludf.DUMMYFUNCTION("""COMPUTED_VALUE"""),"Campus San Francisco - CSF")</f>
        <v>Campus San Francisco - CSF</v>
      </c>
      <c r="K537" s="495">
        <f>IFERROR(__xludf.DUMMYFUNCTION("""COMPUTED_VALUE"""),11.0)</f>
        <v>11</v>
      </c>
      <c r="L537" s="495" t="str">
        <f>IFERROR(__xludf.DUMMYFUNCTION("""COMPUTED_VALUE"""),"Technology Investments G&amp;O Spa")</f>
        <v>Technology Investments G&amp;O Spa</v>
      </c>
      <c r="M537" s="495" t="str">
        <f>IFERROR(__xludf.DUMMYFUNCTION("""COMPUTED_VALUE"""),"78.097.456-7")</f>
        <v>78.097.456-7</v>
      </c>
      <c r="N537" s="495" t="str">
        <f>IFERROR(__xludf.DUMMYFUNCTION("""COMPUTED_VALUE"""),"Felipe Oporto, Director de Operaciones")</f>
        <v>Felipe Oporto, Director de Operaciones</v>
      </c>
      <c r="O537" s="495" t="str">
        <f>IFERROR(__xludf.DUMMYFUNCTION("""COMPUTED_VALUE"""),"Obras y Especialidades")</f>
        <v>Obras y Especialidades</v>
      </c>
      <c r="P537" s="495"/>
      <c r="Q537" s="495"/>
      <c r="R537" s="495" t="str">
        <f>IFERROR(__xludf.DUMMYFUNCTION("""COMPUTED_VALUE"""),"Especialidades")</f>
        <v>Especialidades</v>
      </c>
      <c r="S537" s="495" t="str">
        <f>IFERROR(__xludf.DUMMYFUNCTION("""COMPUTED_VALUE"""),"Estado de Pago - EP")</f>
        <v>Estado de Pago - EP</v>
      </c>
      <c r="T537" s="495" t="str">
        <f>IFERROR(__xludf.DUMMYFUNCTION("""COMPUTED_VALUE"""),"0 (Anticipo)")</f>
        <v>0 (Anticipo)</v>
      </c>
      <c r="U537" s="498">
        <f>IFERROR(__xludf.DUMMYFUNCTION("""COMPUTED_VALUE"""),1729108.0)</f>
        <v>1729108</v>
      </c>
      <c r="V537" s="495" t="str">
        <f>IFERROR(__xludf.DUMMYFUNCTION("""COMPUTED_VALUE"""),"Habilitación sistema control de gas, sensores de flujo y presion")</f>
        <v>Habilitación sistema control de gas, sensores de flujo y presion</v>
      </c>
      <c r="W537" s="495" t="str">
        <f>IFERROR(__xludf.DUMMYFUNCTION("""COMPUTED_VALUE"""),"SIn observaciones, integracion de sistemas de control, edificio-calderas-gas")</f>
        <v>SIn observaciones, integracion de sistemas de control, edificio-calderas-gas</v>
      </c>
      <c r="X537" s="495" t="str">
        <f>IFERROR(__xludf.DUMMYFUNCTION("""COMPUTED_VALUE"""),"https://drive.google.com/open?id=14L6BTnfjinCIhu5eC5w0Fnh-dmX_J8UJ, https://drive.google.com/open?id=1amah0-IjvGOxYZzUK7CU2n-J8Ov2ww9H, https://drive.google.com/open?id=1HFGU9ThO7K9s51x4CpxpOczOGCf9PyFf, https://drive.google.com/open?id=1Afx1V_MUsHdX0KD9J"&amp;"FqqFwYBkfIdp3Ty, https://drive.google.com/open?id=16qxn87afctiBSTpsEJx0K_NbftiQiIZ_")</f>
        <v>https://drive.google.com/open?id=14L6BTnfjinCIhu5eC5w0Fnh-dmX_J8UJ, https://drive.google.com/open?id=1amah0-IjvGOxYZzUK7CU2n-J8Ov2ww9H, https://drive.google.com/open?id=1HFGU9ThO7K9s51x4CpxpOczOGCf9PyFf, https://drive.google.com/open?id=1Afx1V_MUsHdX0KD9JFqqFwYBkfIdp3Ty, https://drive.google.com/open?id=16qxn87afctiBSTpsEJx0K_NbftiQiIZ_</v>
      </c>
      <c r="Y537" s="495" t="str">
        <f>IFERROR(__xludf.DUMMYFUNCTION("""COMPUTED_VALUE"""),"atencioncliente@gyochile.com")</f>
        <v>atencioncliente@gyochile.com</v>
      </c>
      <c r="Z537" s="498">
        <f>IFERROR(__xludf.DUMMYFUNCTION("""COMPUTED_VALUE"""),2.0367191E7)</f>
        <v>20367191</v>
      </c>
      <c r="AA537" s="495"/>
      <c r="AB537" s="495"/>
      <c r="AC537" s="495"/>
      <c r="AD537" s="495" t="str">
        <f>IFERROR(__xludf.DUMMYFUNCTION("""COMPUTED_VALUE"""),"RC-215_26")</f>
        <v>RC-215_26</v>
      </c>
    </row>
    <row r="538">
      <c r="A538" s="495" t="str">
        <f t="shared" si="1"/>
        <v>RC-216_26</v>
      </c>
      <c r="B538" s="497">
        <f>IFERROR(__xludf.DUMMYFUNCTION("""COMPUTED_VALUE"""),46170.65606956018)</f>
        <v>46170.65607</v>
      </c>
      <c r="C538" s="495" t="str">
        <f>IFERROR(__xludf.DUMMYFUNCTION("""COMPUTED_VALUE"""),"")</f>
        <v/>
      </c>
      <c r="D538" s="495" t="str">
        <f>IFERROR(__xludf.DUMMYFUNCTION("""COMPUTED_VALUE"""),"Arturo Meza Vega")</f>
        <v>Arturo Meza Vega</v>
      </c>
      <c r="E538" s="495"/>
      <c r="F538" s="496" t="str">
        <f>IFERROR(__xludf.DUMMYFUNCTION("""COMPUTED_VALUE"""),"3481 - 2026")</f>
        <v>3481 - 2026</v>
      </c>
      <c r="G538" s="495"/>
      <c r="H538" s="495"/>
      <c r="I538" s="495"/>
      <c r="J538" s="495" t="str">
        <f>IFERROR(__xludf.DUMMYFUNCTION("""COMPUTED_VALUE"""),"Campus San Francisco - CSF")</f>
        <v>Campus San Francisco - CSF</v>
      </c>
      <c r="K538" s="495" t="str">
        <f>IFERROR(__xludf.DUMMYFUNCTION("""COMPUTED_VALUE"""),"05")</f>
        <v>05</v>
      </c>
      <c r="L538" s="495" t="str">
        <f>IFERROR(__xludf.DUMMYFUNCTION("""COMPUTED_VALUE"""),"J&amp;D Ingeniería y Ejecución SPA")</f>
        <v>J&amp;D Ingeniería y Ejecución SPA</v>
      </c>
      <c r="M538" s="495" t="str">
        <f>IFERROR(__xludf.DUMMYFUNCTION("""COMPUTED_VALUE"""),"78.368.635-K")</f>
        <v>78.368.635-K</v>
      </c>
      <c r="N538" s="495" t="str">
        <f>IFERROR(__xludf.DUMMYFUNCTION("""COMPUTED_VALUE"""),"José Espinoza - Jefe de Ingeniería")</f>
        <v>José Espinoza - Jefe de Ingeniería</v>
      </c>
      <c r="O538" s="495" t="str">
        <f>IFERROR(__xludf.DUMMYFUNCTION("""COMPUTED_VALUE"""),"Obras y Especialidades")</f>
        <v>Obras y Especialidades</v>
      </c>
      <c r="P538" s="495"/>
      <c r="Q538" s="495"/>
      <c r="R538" s="495" t="str">
        <f>IFERROR(__xludf.DUMMYFUNCTION("""COMPUTED_VALUE"""),"Especialidades")</f>
        <v>Especialidades</v>
      </c>
      <c r="S538" s="495" t="str">
        <f>IFERROR(__xludf.DUMMYFUNCTION("""COMPUTED_VALUE"""),"Recepción de Obra - RC")</f>
        <v>Recepción de Obra - RC</v>
      </c>
      <c r="T538" s="495"/>
      <c r="U538" s="495"/>
      <c r="V538" s="495" t="str">
        <f>IFERROR(__xludf.DUMMYFUNCTION("""COMPUTED_VALUE"""),"CERTIFICACIÓN TE 1 PARA INSCRIPCIÓN CALDERA CSF05 Y CEC PPTO 7")</f>
        <v>CERTIFICACIÓN TE 1 PARA INSCRIPCIÓN CALDERA CSF05 Y CEC PPTO 7</v>
      </c>
      <c r="W538" s="495"/>
      <c r="X538" s="499" t="str">
        <f>IFERROR(__xludf.DUMMYFUNCTION("""COMPUTED_VALUE"""),"https://drive.google.com/open?id=1EmOSVlln1l5MK6kHAeZUPsEXs70wfMqH")</f>
        <v>https://drive.google.com/open?id=1EmOSVlln1l5MK6kHAeZUPsEXs70wfMqH</v>
      </c>
      <c r="Y538" s="495" t="str">
        <f>IFERROR(__xludf.DUMMYFUNCTION("""COMPUTED_VALUE"""),"jotayde.ingenieria@gmail.com")</f>
        <v>jotayde.ingenieria@gmail.com</v>
      </c>
      <c r="Z538" s="498">
        <f>IFERROR(__xludf.DUMMYFUNCTION("""COMPUTED_VALUE"""),612850.0)</f>
        <v>612850</v>
      </c>
      <c r="AA538" s="495"/>
      <c r="AB538" s="495"/>
      <c r="AC538" s="495"/>
      <c r="AD538" s="495" t="str">
        <f>IFERROR(__xludf.DUMMYFUNCTION("""COMPUTED_VALUE"""),"RC-216_26")</f>
        <v>RC-216_26</v>
      </c>
    </row>
    <row r="539">
      <c r="A539" s="495" t="str">
        <f t="shared" si="1"/>
        <v>RC-101</v>
      </c>
      <c r="B539" s="497">
        <f>IFERROR(__xludf.DUMMYFUNCTION("""COMPUTED_VALUE"""),45996.83310555556)</f>
        <v>45996.83311</v>
      </c>
      <c r="C539" s="495" t="str">
        <f>IFERROR(__xludf.DUMMYFUNCTION("""COMPUTED_VALUE"""),"")</f>
        <v/>
      </c>
      <c r="D539" s="495" t="str">
        <f>IFERROR(__xludf.DUMMYFUNCTION("""COMPUTED_VALUE"""),"Felipe Anselme Grandón")</f>
        <v>Felipe Anselme Grandón</v>
      </c>
      <c r="E539" s="495"/>
      <c r="F539" s="496" t="str">
        <f>IFERROR(__xludf.DUMMYFUNCTION("""COMPUTED_VALUE"""),"12565-2024")</f>
        <v>12565-2024</v>
      </c>
      <c r="G539" s="495"/>
      <c r="H539" s="495"/>
      <c r="I539" s="495"/>
      <c r="J539" s="495" t="str">
        <f>IFERROR(__xludf.DUMMYFUNCTION("""COMPUTED_VALUE"""),"Campus Dr. Luis Rivas del Canto - CRC")</f>
        <v>Campus Dr. Luis Rivas del Canto - CRC</v>
      </c>
      <c r="K539" s="495" t="str">
        <f>IFERROR(__xludf.DUMMYFUNCTION("""COMPUTED_VALUE"""),"09")</f>
        <v>09</v>
      </c>
      <c r="L539" s="495" t="str">
        <f>IFERROR(__xludf.DUMMYFUNCTION("""COMPUTED_VALUE"""),"GATICAR SPA")</f>
        <v>GATICAR SPA</v>
      </c>
      <c r="M539" s="495" t="str">
        <f>IFERROR(__xludf.DUMMYFUNCTION("""COMPUTED_VALUE"""),"77.578.487-3")</f>
        <v>77.578.487-3</v>
      </c>
      <c r="N539" s="495" t="str">
        <f>IFERROR(__xludf.DUMMYFUNCTION("""COMPUTED_VALUE"""),"HECTOR  GATICA")</f>
        <v>HECTOR  GATICA</v>
      </c>
      <c r="O539" s="495" t="str">
        <f>IFERROR(__xludf.DUMMYFUNCTION("""COMPUTED_VALUE"""),"Mantenciones")</f>
        <v>Mantenciones</v>
      </c>
      <c r="P539" s="495" t="str">
        <f>IFERROR(__xludf.DUMMYFUNCTION("""COMPUTED_VALUE"""),"Requerimientos Emergentes e Imprevistos")</f>
        <v>Requerimientos Emergentes e Imprevistos</v>
      </c>
      <c r="Q539" s="495"/>
      <c r="R539" s="495"/>
      <c r="S539" s="495"/>
      <c r="T539" s="495"/>
      <c r="U539" s="495"/>
      <c r="V539" s="495" t="str">
        <f>IFERROR(__xludf.DUMMYFUNCTION("""COMPUTED_VALUE"""),"TRABAJOS CORRECTIVOS SISTEMA DE RIEGO FRENTE EDI (CRC09)")</f>
        <v>TRABAJOS CORRECTIVOS SISTEMA DE RIEGO FRENTE EDI (CRC09)</v>
      </c>
      <c r="W539" s="495"/>
      <c r="X539" s="495" t="str">
        <f>IFERROR(__xludf.DUMMYFUNCTION("""COMPUTED_VALUE"""),"https://drive.google.com/open?id=1JfVFurFrIjB80nlqpxYhF3UtbKPwr8nX, https://drive.google.com/open?id=1W4NDWVgUjSpp_W27wxMz1LXb2XGTx1LJ, https://drive.google.com/open?id=1_VNFxyMUxrd5HG1i111R03q4R5q_UITK, https://drive.google.com/open?id=1ocs4Dy8He6GDRehCy"&amp;"0eBNCey6ekSRvFR")</f>
        <v>https://drive.google.com/open?id=1JfVFurFrIjB80nlqpxYhF3UtbKPwr8nX, https://drive.google.com/open?id=1W4NDWVgUjSpp_W27wxMz1LXb2XGTx1LJ, https://drive.google.com/open?id=1_VNFxyMUxrd5HG1i111R03q4R5q_UITK, https://drive.google.com/open?id=1ocs4Dy8He6GDRehCy0eBNCey6ekSRvFR</v>
      </c>
      <c r="Y539" s="495" t="str">
        <f>IFERROR(__xludf.DUMMYFUNCTION("""COMPUTED_VALUE"""),"serviciogaticar@gmail.com")</f>
        <v>serviciogaticar@gmail.com</v>
      </c>
      <c r="Z539" s="495"/>
      <c r="AA539" s="495"/>
      <c r="AB539" s="495"/>
      <c r="AC539" s="495"/>
      <c r="AD539" s="495" t="str">
        <f>IFERROR(__xludf.DUMMYFUNCTION("""COMPUTED_VALUE"""),"RC-101")</f>
        <v>RC-101</v>
      </c>
    </row>
    <row r="540">
      <c r="A540" s="495" t="str">
        <f t="shared" si="1"/>
        <v>RC-218_26</v>
      </c>
      <c r="B540" s="497">
        <f>IFERROR(__xludf.DUMMYFUNCTION("""COMPUTED_VALUE"""),46170.7022709375)</f>
        <v>46170.70227</v>
      </c>
      <c r="C540" s="495" t="str">
        <f>IFERROR(__xludf.DUMMYFUNCTION("""COMPUTED_VALUE"""),"")</f>
        <v/>
      </c>
      <c r="D540" s="495" t="str">
        <f>IFERROR(__xludf.DUMMYFUNCTION("""COMPUTED_VALUE"""),"Arturo Meza Vega")</f>
        <v>Arturo Meza Vega</v>
      </c>
      <c r="E540" s="495"/>
      <c r="F540" s="496" t="str">
        <f>IFERROR(__xludf.DUMMYFUNCTION("""COMPUTED_VALUE"""),"3661 - 2026")</f>
        <v>3661 - 2026</v>
      </c>
      <c r="G540" s="495"/>
      <c r="H540" s="495"/>
      <c r="I540" s="495"/>
      <c r="J540" s="495" t="str">
        <f>IFERROR(__xludf.DUMMYFUNCTION("""COMPUTED_VALUE"""),"Campus Dr. Luis Rivas del Canto - CRC")</f>
        <v>Campus Dr. Luis Rivas del Canto - CRC</v>
      </c>
      <c r="K540" s="495">
        <f>IFERROR(__xludf.DUMMYFUNCTION("""COMPUTED_VALUE"""),10.0)</f>
        <v>10</v>
      </c>
      <c r="L540" s="495" t="str">
        <f>IFERROR(__xludf.DUMMYFUNCTION("""COMPUTED_VALUE"""),"J&amp;D Ingeniería y Ejecución SPA")</f>
        <v>J&amp;D Ingeniería y Ejecución SPA</v>
      </c>
      <c r="M540" s="495" t="str">
        <f>IFERROR(__xludf.DUMMYFUNCTION("""COMPUTED_VALUE"""),"78.368.635-K")</f>
        <v>78.368.635-K</v>
      </c>
      <c r="N540" s="495" t="str">
        <f>IFERROR(__xludf.DUMMYFUNCTION("""COMPUTED_VALUE"""),"José Espinoza - Jefe de Proyectos")</f>
        <v>José Espinoza - Jefe de Proyectos</v>
      </c>
      <c r="O540" s="495" t="str">
        <f>IFERROR(__xludf.DUMMYFUNCTION("""COMPUTED_VALUE"""),"Obras y Especialidades")</f>
        <v>Obras y Especialidades</v>
      </c>
      <c r="P540" s="495"/>
      <c r="Q540" s="495"/>
      <c r="R540" s="495" t="str">
        <f>IFERROR(__xludf.DUMMYFUNCTION("""COMPUTED_VALUE"""),"Especialidades")</f>
        <v>Especialidades</v>
      </c>
      <c r="S540" s="495" t="str">
        <f>IFERROR(__xludf.DUMMYFUNCTION("""COMPUTED_VALUE"""),"Recepción de Obra - RC")</f>
        <v>Recepción de Obra - RC</v>
      </c>
      <c r="T540" s="495"/>
      <c r="U540" s="495"/>
      <c r="V540" s="495" t="str">
        <f>IFERROR(__xludf.DUMMYFUNCTION("""COMPUTED_VALUE"""),"Cambio de enchufes industriales para maquinas de laboratorio CRC10 160 Y 180")</f>
        <v>Cambio de enchufes industriales para maquinas de laboratorio CRC10 160 Y 180</v>
      </c>
      <c r="W540" s="495"/>
      <c r="X540" s="499" t="str">
        <f>IFERROR(__xludf.DUMMYFUNCTION("""COMPUTED_VALUE"""),"https://drive.google.com/open?id=1m0-5T409_AnDXDmKyGqds5IwWwWjDxox")</f>
        <v>https://drive.google.com/open?id=1m0-5T409_AnDXDmKyGqds5IwWwWjDxox</v>
      </c>
      <c r="Y540" s="495" t="str">
        <f>IFERROR(__xludf.DUMMYFUNCTION("""COMPUTED_VALUE"""),"jotayde.ingenieria@gmail.com")</f>
        <v>jotayde.ingenieria@gmail.com</v>
      </c>
      <c r="Z540" s="498">
        <f>IFERROR(__xludf.DUMMYFUNCTION("""COMPUTED_VALUE"""),86882.0)</f>
        <v>86882</v>
      </c>
      <c r="AA540" s="495"/>
      <c r="AB540" s="495"/>
      <c r="AC540" s="495"/>
      <c r="AD540" s="495" t="str">
        <f>IFERROR(__xludf.DUMMYFUNCTION("""COMPUTED_VALUE"""),"RC-218_26")</f>
        <v>RC-218_26</v>
      </c>
    </row>
    <row r="541">
      <c r="A541" s="495" t="str">
        <f t="shared" si="1"/>
        <v>RC-097</v>
      </c>
      <c r="B541" s="497">
        <f>IFERROR(__xludf.DUMMYFUNCTION("""COMPUTED_VALUE"""),45996.493717210644)</f>
        <v>45996.49372</v>
      </c>
      <c r="C541" s="495" t="str">
        <f>IFERROR(__xludf.DUMMYFUNCTION("""COMPUTED_VALUE"""),"")</f>
        <v/>
      </c>
      <c r="D541" s="495" t="str">
        <f>IFERROR(__xludf.DUMMYFUNCTION("""COMPUTED_VALUE"""),"Felipe Anselme Grandón")</f>
        <v>Felipe Anselme Grandón</v>
      </c>
      <c r="E541" s="495"/>
      <c r="F541" s="496" t="str">
        <f>IFERROR(__xludf.DUMMYFUNCTION("""COMPUTED_VALUE"""),"12552-2025")</f>
        <v>12552-2025</v>
      </c>
      <c r="G541" s="495"/>
      <c r="H541" s="495"/>
      <c r="I541" s="495"/>
      <c r="J541" s="495" t="str">
        <f>IFERROR(__xludf.DUMMYFUNCTION("""COMPUTED_VALUE"""),"Campus San Juan Pablo II - CJP")</f>
        <v>Campus San Juan Pablo II - CJP</v>
      </c>
      <c r="K541" s="495" t="str">
        <f>IFERROR(__xludf.DUMMYFUNCTION("""COMPUTED_VALUE"""),"Exterior")</f>
        <v>Exterior</v>
      </c>
      <c r="L541" s="495" t="str">
        <f>IFERROR(__xludf.DUMMYFUNCTION("""COMPUTED_VALUE"""),"GATICAR SPA")</f>
        <v>GATICAR SPA</v>
      </c>
      <c r="M541" s="495" t="str">
        <f>IFERROR(__xludf.DUMMYFUNCTION("""COMPUTED_VALUE"""),"77.578.487-3")</f>
        <v>77.578.487-3</v>
      </c>
      <c r="N541" s="495" t="str">
        <f>IFERROR(__xludf.DUMMYFUNCTION("""COMPUTED_VALUE"""),"HECTOR GATICA")</f>
        <v>HECTOR GATICA</v>
      </c>
      <c r="O541" s="495" t="str">
        <f>IFERROR(__xludf.DUMMYFUNCTION("""COMPUTED_VALUE"""),"Mantenciones")</f>
        <v>Mantenciones</v>
      </c>
      <c r="P541" s="495" t="str">
        <f>IFERROR(__xludf.DUMMYFUNCTION("""COMPUTED_VALUE"""),"Requerimientos Emergentes e Imprevistos")</f>
        <v>Requerimientos Emergentes e Imprevistos</v>
      </c>
      <c r="Q541" s="495"/>
      <c r="R541" s="495"/>
      <c r="S541" s="495"/>
      <c r="T541" s="495"/>
      <c r="U541" s="495"/>
      <c r="V541" s="495" t="str">
        <f>IFERROR(__xludf.DUMMYFUNCTION("""COMPUTED_VALUE"""),"TRABAJOS CORRECTIVOS EN MANTENCION DE SISTEMA DE RIEGO")</f>
        <v>TRABAJOS CORRECTIVOS EN MANTENCION DE SISTEMA DE RIEGO</v>
      </c>
      <c r="W541" s="495"/>
      <c r="X541" s="495" t="str">
        <f>IFERROR(__xludf.DUMMYFUNCTION("""COMPUTED_VALUE"""),"https://drive.google.com/open?id=1ZPJLojnBmiTBjY3fLc7w0fyRNidJRypF, https://drive.google.com/open?id=1BsWtb7_k9jT2WZ318dtJUl179Ra75Rsv, https://drive.google.com/open?id=1tbU4UEaK_AL6uxSSRLWZvA5ylRb29vxa, https://drive.google.com/open?id=1Ai7tkDBQUS0OwZql6"&amp;"vw_ZQRVcXgcZp9C, https://drive.google.com/open?id=16Ce9w5BWjHn5hg-UiXqqf7XC460lQVzm")</f>
        <v>https://drive.google.com/open?id=1ZPJLojnBmiTBjY3fLc7w0fyRNidJRypF, https://drive.google.com/open?id=1BsWtb7_k9jT2WZ318dtJUl179Ra75Rsv, https://drive.google.com/open?id=1tbU4UEaK_AL6uxSSRLWZvA5ylRb29vxa, https://drive.google.com/open?id=1Ai7tkDBQUS0OwZql6vw_ZQRVcXgcZp9C, https://drive.google.com/open?id=16Ce9w5BWjHn5hg-UiXqqf7XC460lQVzm</v>
      </c>
      <c r="Y541" s="495" t="str">
        <f>IFERROR(__xludf.DUMMYFUNCTION("""COMPUTED_VALUE"""),"serviciogaticar@gmail.com")</f>
        <v>serviciogaticar@gmail.com</v>
      </c>
      <c r="Z541" s="495"/>
      <c r="AA541" s="495"/>
      <c r="AB541" s="495"/>
      <c r="AC541" s="495"/>
      <c r="AD541" s="495" t="str">
        <f>IFERROR(__xludf.DUMMYFUNCTION("""COMPUTED_VALUE"""),"RC-097")</f>
        <v>RC-097</v>
      </c>
    </row>
    <row r="542">
      <c r="A542" s="495" t="str">
        <f t="shared" si="1"/>
        <v>RC-096</v>
      </c>
      <c r="B542" s="497">
        <f>IFERROR(__xludf.DUMMYFUNCTION("""COMPUTED_VALUE"""),45996.46495091435)</f>
        <v>45996.46495</v>
      </c>
      <c r="C542" s="495" t="str">
        <f>IFERROR(__xludf.DUMMYFUNCTION("""COMPUTED_VALUE"""),"")</f>
        <v/>
      </c>
      <c r="D542" s="495" t="str">
        <f>IFERROR(__xludf.DUMMYFUNCTION("""COMPUTED_VALUE"""),"Arturo Meza Vega")</f>
        <v>Arturo Meza Vega</v>
      </c>
      <c r="E542" s="495"/>
      <c r="F542" s="496" t="str">
        <f>IFERROR(__xludf.DUMMYFUNCTION("""COMPUTED_VALUE"""),"12231-2025")</f>
        <v>12231-2025</v>
      </c>
      <c r="G542" s="495"/>
      <c r="H542" s="495"/>
      <c r="I542" s="495"/>
      <c r="J542" s="495" t="str">
        <f>IFERROR(__xludf.DUMMYFUNCTION("""COMPUTED_VALUE"""),"Campus San Juan Pablo II - CJP")</f>
        <v>Campus San Juan Pablo II - CJP</v>
      </c>
      <c r="K542" s="495" t="str">
        <f>IFERROR(__xludf.DUMMYFUNCTION("""COMPUTED_VALUE"""),"Exterior")</f>
        <v>Exterior</v>
      </c>
      <c r="L542" s="495" t="str">
        <f>IFERROR(__xludf.DUMMYFUNCTION("""COMPUTED_VALUE"""),"GATICAR SPA")</f>
        <v>GATICAR SPA</v>
      </c>
      <c r="M542" s="495" t="str">
        <f>IFERROR(__xludf.DUMMYFUNCTION("""COMPUTED_VALUE"""),"77.578.487-3")</f>
        <v>77.578.487-3</v>
      </c>
      <c r="N542" s="495" t="str">
        <f>IFERROR(__xludf.DUMMYFUNCTION("""COMPUTED_VALUE"""),"HECTOR GATICA ")</f>
        <v>HECTOR GATICA </v>
      </c>
      <c r="O542" s="495" t="str">
        <f>IFERROR(__xludf.DUMMYFUNCTION("""COMPUTED_VALUE"""),"Mantenciones")</f>
        <v>Mantenciones</v>
      </c>
      <c r="P542" s="495" t="str">
        <f>IFERROR(__xludf.DUMMYFUNCTION("""COMPUTED_VALUE"""),"Requerimientos Emergentes e Imprevistos")</f>
        <v>Requerimientos Emergentes e Imprevistos</v>
      </c>
      <c r="Q542" s="495"/>
      <c r="R542" s="495"/>
      <c r="S542" s="495"/>
      <c r="T542" s="495"/>
      <c r="U542" s="495"/>
      <c r="V542" s="495" t="str">
        <f>IFERROR(__xludf.DUMMYFUNCTION("""COMPUTED_VALUE"""),"REPARACION TUBERIA AGUA POZO")</f>
        <v>REPARACION TUBERIA AGUA POZO</v>
      </c>
      <c r="W542" s="495"/>
      <c r="X542" s="495" t="str">
        <f>IFERROR(__xludf.DUMMYFUNCTION("""COMPUTED_VALUE"""),"https://drive.google.com/open?id=1-5tVqiqx4bNyUwjrFfoDKYqdDmzeddyC, https://drive.google.com/open?id=1NYsG4E19_aDnjYWzlBWEtb-D9QE3u5ul, https://drive.google.com/open?id=1efPbekiExwwMLGMK8PEZ5P7A2z9DgOT-, https://drive.google.com/open?id=17q609a1mM56gtggs_"&amp;"1-qWg1IO21rZ7l6")</f>
        <v>https://drive.google.com/open?id=1-5tVqiqx4bNyUwjrFfoDKYqdDmzeddyC, https://drive.google.com/open?id=1NYsG4E19_aDnjYWzlBWEtb-D9QE3u5ul, https://drive.google.com/open?id=1efPbekiExwwMLGMK8PEZ5P7A2z9DgOT-, https://drive.google.com/open?id=17q609a1mM56gtggs_1-qWg1IO21rZ7l6</v>
      </c>
      <c r="Y542" s="495" t="str">
        <f>IFERROR(__xludf.DUMMYFUNCTION("""COMPUTED_VALUE"""),"serviciogaticar@gmail.com")</f>
        <v>serviciogaticar@gmail.com</v>
      </c>
      <c r="Z542" s="495"/>
      <c r="AA542" s="495"/>
      <c r="AB542" s="495"/>
      <c r="AC542" s="495"/>
      <c r="AD542" s="495" t="str">
        <f>IFERROR(__xludf.DUMMYFUNCTION("""COMPUTED_VALUE"""),"RC-096")</f>
        <v>RC-096</v>
      </c>
    </row>
    <row r="543">
      <c r="A543" s="495" t="str">
        <f t="shared" si="1"/>
        <v>RC-095</v>
      </c>
      <c r="B543" s="497">
        <f>IFERROR(__xludf.DUMMYFUNCTION("""COMPUTED_VALUE"""),45995.76131858796)</f>
        <v>45995.76132</v>
      </c>
      <c r="C543" s="495" t="str">
        <f>IFERROR(__xludf.DUMMYFUNCTION("""COMPUTED_VALUE"""),"")</f>
        <v/>
      </c>
      <c r="D543" s="495" t="str">
        <f>IFERROR(__xludf.DUMMYFUNCTION("""COMPUTED_VALUE"""),"Felipe Anselme Grandón")</f>
        <v>Felipe Anselme Grandón</v>
      </c>
      <c r="E543" s="495"/>
      <c r="F543" s="496" t="str">
        <f>IFERROR(__xludf.DUMMYFUNCTION("""COMPUTED_VALUE"""),"12534-2025")</f>
        <v>12534-2025</v>
      </c>
      <c r="G543" s="495"/>
      <c r="H543" s="495"/>
      <c r="I543" s="495"/>
      <c r="J543" s="495" t="str">
        <f>IFERROR(__xludf.DUMMYFUNCTION("""COMPUTED_VALUE"""),"Campus San Francisco - CSF")</f>
        <v>Campus San Francisco - CSF</v>
      </c>
      <c r="K543" s="495" t="str">
        <f>IFERROR(__xludf.DUMMYFUNCTION("""COMPUTED_VALUE"""),"Exterior")</f>
        <v>Exterior</v>
      </c>
      <c r="L543" s="495" t="str">
        <f>IFERROR(__xludf.DUMMYFUNCTION("""COMPUTED_VALUE"""),"GATICAR SPA")</f>
        <v>GATICAR SPA</v>
      </c>
      <c r="M543" s="495">
        <f>IFERROR(__xludf.DUMMYFUNCTION("""COMPUTED_VALUE"""),7.75784873E8)</f>
        <v>775784873</v>
      </c>
      <c r="N543" s="495" t="str">
        <f>IFERROR(__xludf.DUMMYFUNCTION("""COMPUTED_VALUE"""),"HECTOR GATICA")</f>
        <v>HECTOR GATICA</v>
      </c>
      <c r="O543" s="495" t="str">
        <f>IFERROR(__xludf.DUMMYFUNCTION("""COMPUTED_VALUE"""),"Mantenciones")</f>
        <v>Mantenciones</v>
      </c>
      <c r="P543" s="495" t="str">
        <f>IFERROR(__xludf.DUMMYFUNCTION("""COMPUTED_VALUE"""),"Requerimientos Emergentes e Imprevistos")</f>
        <v>Requerimientos Emergentes e Imprevistos</v>
      </c>
      <c r="Q543" s="495"/>
      <c r="R543" s="495"/>
      <c r="S543" s="495"/>
      <c r="T543" s="495"/>
      <c r="U543" s="495"/>
      <c r="V543" s="495" t="str">
        <f>IFERROR(__xludf.DUMMYFUNCTION("""COMPUTED_VALUE"""),"TRABAJOS CORRECTIVOS DE SISTEMA DE RIEGO")</f>
        <v>TRABAJOS CORRECTIVOS DE SISTEMA DE RIEGO</v>
      </c>
      <c r="W543" s="495"/>
      <c r="X543" s="495" t="str">
        <f>IFERROR(__xludf.DUMMYFUNCTION("""COMPUTED_VALUE"""),"https://drive.google.com/open?id=1JerfxZUS-Z02ToDi47mZmdXZjRaYZebF, https://drive.google.com/open?id=1E8FqLrgX9o6i3CTdVe0iPpww8BQQmVXa, https://drive.google.com/open?id=1IdRCJcfBne7z7Pm9ud3hvfLVgd_6kFYx, https://drive.google.com/open?id=1dxdvVovT2T9sVmN3Y"&amp;"rrJCsrjPufPEeBk, https://drive.google.com/open?id=1HTK-my7O7FSmhp8mci0SMg0AdtdPs1Ae")</f>
        <v>https://drive.google.com/open?id=1JerfxZUS-Z02ToDi47mZmdXZjRaYZebF, https://drive.google.com/open?id=1E8FqLrgX9o6i3CTdVe0iPpww8BQQmVXa, https://drive.google.com/open?id=1IdRCJcfBne7z7Pm9ud3hvfLVgd_6kFYx, https://drive.google.com/open?id=1dxdvVovT2T9sVmN3YrrJCsrjPufPEeBk, https://drive.google.com/open?id=1HTK-my7O7FSmhp8mci0SMg0AdtdPs1Ae</v>
      </c>
      <c r="Y543" s="495" t="str">
        <f>IFERROR(__xludf.DUMMYFUNCTION("""COMPUTED_VALUE"""),"serviciogaticar@gmail.com")</f>
        <v>serviciogaticar@gmail.com</v>
      </c>
      <c r="Z543" s="495"/>
      <c r="AA543" s="495"/>
      <c r="AB543" s="495"/>
      <c r="AC543" s="495"/>
      <c r="AD543" s="495" t="str">
        <f>IFERROR(__xludf.DUMMYFUNCTION("""COMPUTED_VALUE"""),"RC-095")</f>
        <v>RC-095</v>
      </c>
    </row>
    <row r="544">
      <c r="A544" s="495" t="str">
        <f t="shared" si="1"/>
        <v>RC-094</v>
      </c>
      <c r="B544" s="497">
        <f>IFERROR(__xludf.DUMMYFUNCTION("""COMPUTED_VALUE"""),45995.27162425926)</f>
        <v>45995.27162</v>
      </c>
      <c r="C544" s="495" t="str">
        <f>IFERROR(__xludf.DUMMYFUNCTION("""COMPUTED_VALUE"""),"")</f>
        <v/>
      </c>
      <c r="D544" s="495" t="str">
        <f>IFERROR(__xludf.DUMMYFUNCTION("""COMPUTED_VALUE"""),"Mauricio Zurita Aldea")</f>
        <v>Mauricio Zurita Aldea</v>
      </c>
      <c r="E544" s="495"/>
      <c r="F544" s="496" t="str">
        <f>IFERROR(__xludf.DUMMYFUNCTION("""COMPUTED_VALUE"""),"10012-2025")</f>
        <v>10012-2025</v>
      </c>
      <c r="G544" s="495"/>
      <c r="H544" s="495"/>
      <c r="I544" s="495"/>
      <c r="J544" s="495" t="str">
        <f>IFERROR(__xludf.DUMMYFUNCTION("""COMPUTED_VALUE"""),"Campus San Juan Pablo II - CJP")</f>
        <v>Campus San Juan Pablo II - CJP</v>
      </c>
      <c r="K544" s="495" t="str">
        <f>IFERROR(__xludf.DUMMYFUNCTION("""COMPUTED_VALUE"""),"04")</f>
        <v>04</v>
      </c>
      <c r="L544" s="495" t="str">
        <f>IFERROR(__xludf.DUMMYFUNCTION("""COMPUTED_VALUE"""),"gyg servicios spa")</f>
        <v>gyg servicios spa</v>
      </c>
      <c r="M544" s="495" t="str">
        <f>IFERROR(__xludf.DUMMYFUNCTION("""COMPUTED_VALUE"""),"77.215.624-3")</f>
        <v>77.215.624-3</v>
      </c>
      <c r="N544" s="495" t="str">
        <f>IFERROR(__xludf.DUMMYFUNCTION("""COMPUTED_VALUE"""),"Gustavo Fuentes")</f>
        <v>Gustavo Fuentes</v>
      </c>
      <c r="O544" s="495" t="str">
        <f>IFERROR(__xludf.DUMMYFUNCTION("""COMPUTED_VALUE"""),"Mantenciones")</f>
        <v>Mantenciones</v>
      </c>
      <c r="P544" s="495" t="str">
        <f>IFERROR(__xludf.DUMMYFUNCTION("""COMPUTED_VALUE"""),"Instalaciones Eléctricas")</f>
        <v>Instalaciones Eléctricas</v>
      </c>
      <c r="Q544" s="495"/>
      <c r="R544" s="495"/>
      <c r="S544" s="495"/>
      <c r="T544" s="495"/>
      <c r="U544" s="495"/>
      <c r="V544" s="495" t="str">
        <f>IFERROR(__xludf.DUMMYFUNCTION("""COMPUTED_VALUE"""),"instalacion de soporte tv, punto de red y centro eléctrico.")</f>
        <v>instalacion de soporte tv, punto de red y centro eléctrico.</v>
      </c>
      <c r="W544" s="495"/>
      <c r="X544" s="495" t="str">
        <f>IFERROR(__xludf.DUMMYFUNCTION("""COMPUTED_VALUE"""),"https://drive.google.com/open?id=1GqhLPngaWoim9AnrAy18z3_mMYPl_7As, https://drive.google.com/open?id=1OkzJoRcgGCCVlH9ujY3TgINFs-gQOT1r, https://drive.google.com/open?id=1D94_E7pcvl2cy6jb9TQDBXlLVKfzj5g8")</f>
        <v>https://drive.google.com/open?id=1GqhLPngaWoim9AnrAy18z3_mMYPl_7As, https://drive.google.com/open?id=1OkzJoRcgGCCVlH9ujY3TgINFs-gQOT1r, https://drive.google.com/open?id=1D94_E7pcvl2cy6jb9TQDBXlLVKfzj5g8</v>
      </c>
      <c r="Y544" s="495" t="str">
        <f>IFERROR(__xludf.DUMMYFUNCTION("""COMPUTED_VALUE"""),"contacto@gygtecnologias.com")</f>
        <v>contacto@gygtecnologias.com</v>
      </c>
      <c r="Z544" s="495"/>
      <c r="AA544" s="495"/>
      <c r="AB544" s="495"/>
      <c r="AC544" s="495"/>
      <c r="AD544" s="495" t="str">
        <f>IFERROR(__xludf.DUMMYFUNCTION("""COMPUTED_VALUE"""),"RC-094")</f>
        <v>RC-094</v>
      </c>
    </row>
    <row r="545">
      <c r="A545" s="495" t="str">
        <f t="shared" si="1"/>
        <v>RC-093</v>
      </c>
      <c r="B545" s="497">
        <f>IFERROR(__xludf.DUMMYFUNCTION("""COMPUTED_VALUE"""),45995.26613887731)</f>
        <v>45995.26614</v>
      </c>
      <c r="C545" s="495" t="str">
        <f>IFERROR(__xludf.DUMMYFUNCTION("""COMPUTED_VALUE"""),"")</f>
        <v/>
      </c>
      <c r="D545" s="495" t="str">
        <f>IFERROR(__xludf.DUMMYFUNCTION("""COMPUTED_VALUE"""),"Mauricio Zurita Aldea")</f>
        <v>Mauricio Zurita Aldea</v>
      </c>
      <c r="E545" s="495"/>
      <c r="F545" s="496" t="str">
        <f>IFERROR(__xludf.DUMMYFUNCTION("""COMPUTED_VALUE"""),"9768-2025")</f>
        <v>9768-2025</v>
      </c>
      <c r="G545" s="495"/>
      <c r="H545" s="495"/>
      <c r="I545" s="495"/>
      <c r="J545" s="495" t="str">
        <f>IFERROR(__xludf.DUMMYFUNCTION("""COMPUTED_VALUE"""),"Campus San Juan Pablo II - CJP")</f>
        <v>Campus San Juan Pablo II - CJP</v>
      </c>
      <c r="K545" s="495">
        <f>IFERROR(__xludf.DUMMYFUNCTION("""COMPUTED_VALUE"""),10.0)</f>
        <v>10</v>
      </c>
      <c r="L545" s="495" t="str">
        <f>IFERROR(__xludf.DUMMYFUNCTION("""COMPUTED_VALUE"""),"gyg servicios spa")</f>
        <v>gyg servicios spa</v>
      </c>
      <c r="M545" s="495" t="str">
        <f>IFERROR(__xludf.DUMMYFUNCTION("""COMPUTED_VALUE"""),"77.215.624-3")</f>
        <v>77.215.624-3</v>
      </c>
      <c r="N545" s="495" t="str">
        <f>IFERROR(__xludf.DUMMYFUNCTION("""COMPUTED_VALUE"""),"Gustavo Fuentes")</f>
        <v>Gustavo Fuentes</v>
      </c>
      <c r="O545" s="495" t="str">
        <f>IFERROR(__xludf.DUMMYFUNCTION("""COMPUTED_VALUE"""),"Mantenciones")</f>
        <v>Mantenciones</v>
      </c>
      <c r="P545" s="495" t="str">
        <f>IFERROR(__xludf.DUMMYFUNCTION("""COMPUTED_VALUE"""),"Instalaciones Eléctricas")</f>
        <v>Instalaciones Eléctricas</v>
      </c>
      <c r="Q545" s="495"/>
      <c r="R545" s="495"/>
      <c r="S545" s="495"/>
      <c r="T545" s="495"/>
      <c r="U545" s="495"/>
      <c r="V545" s="495" t="str">
        <f>IFERROR(__xludf.DUMMYFUNCTION("""COMPUTED_VALUE"""),"instalacion tablero exterior")</f>
        <v>instalacion tablero exterior</v>
      </c>
      <c r="W545" s="495"/>
      <c r="X545" s="495" t="str">
        <f>IFERROR(__xludf.DUMMYFUNCTION("""COMPUTED_VALUE"""),"https://drive.google.com/open?id=1ZsB0T9Fd8qHf1ASNgrFkt6v-jANTbxfw, https://drive.google.com/open?id=1n0aZUdWiBEil-LTHr1H5OoOeNequDHdJ")</f>
        <v>https://drive.google.com/open?id=1ZsB0T9Fd8qHf1ASNgrFkt6v-jANTbxfw, https://drive.google.com/open?id=1n0aZUdWiBEil-LTHr1H5OoOeNequDHdJ</v>
      </c>
      <c r="Y545" s="495" t="str">
        <f>IFERROR(__xludf.DUMMYFUNCTION("""COMPUTED_VALUE"""),"contacto@gygtecnologias.com")</f>
        <v>contacto@gygtecnologias.com</v>
      </c>
      <c r="Z545" s="495"/>
      <c r="AA545" s="495"/>
      <c r="AB545" s="495"/>
      <c r="AC545" s="495"/>
      <c r="AD545" s="495" t="str">
        <f>IFERROR(__xludf.DUMMYFUNCTION("""COMPUTED_VALUE"""),"RC-093")</f>
        <v>RC-093</v>
      </c>
    </row>
    <row r="546">
      <c r="A546" s="495" t="str">
        <f t="shared" si="1"/>
        <v>RC-089</v>
      </c>
      <c r="B546" s="497">
        <f>IFERROR(__xludf.DUMMYFUNCTION("""COMPUTED_VALUE"""),45993.726673391204)</f>
        <v>45993.72667</v>
      </c>
      <c r="C546" s="495" t="str">
        <f>IFERROR(__xludf.DUMMYFUNCTION("""COMPUTED_VALUE"""),"")</f>
        <v/>
      </c>
      <c r="D546" s="495" t="str">
        <f>IFERROR(__xludf.DUMMYFUNCTION("""COMPUTED_VALUE"""),"Cristóbal Correa del Río")</f>
        <v>Cristóbal Correa del Río</v>
      </c>
      <c r="E546" s="495"/>
      <c r="F546" s="496">
        <f>IFERROR(__xludf.DUMMYFUNCTION("""COMPUTED_VALUE"""),9928.0)</f>
        <v>9928</v>
      </c>
      <c r="G546" s="495"/>
      <c r="H546" s="495"/>
      <c r="I546" s="495"/>
      <c r="J546" s="495" t="str">
        <f>IFERROR(__xludf.DUMMYFUNCTION("""COMPUTED_VALUE"""),"Campus Prieto Norte - CHS")</f>
        <v>Campus Prieto Norte - CHS</v>
      </c>
      <c r="K546" s="495" t="str">
        <f>IFERROR(__xludf.DUMMYFUNCTION("""COMPUTED_VALUE"""),"01")</f>
        <v>01</v>
      </c>
      <c r="L546" s="495" t="str">
        <f>IFERROR(__xludf.DUMMYFUNCTION("""COMPUTED_VALUE"""),"SOCIEDAD COMERCIAL ESPACIO MUEBLES LTDA")</f>
        <v>SOCIEDAD COMERCIAL ESPACIO MUEBLES LTDA</v>
      </c>
      <c r="M546" s="495" t="str">
        <f>IFERROR(__xludf.DUMMYFUNCTION("""COMPUTED_VALUE"""),"77544225-5")</f>
        <v>77544225-5</v>
      </c>
      <c r="N546" s="495" t="str">
        <f>IFERROR(__xludf.DUMMYFUNCTION("""COMPUTED_VALUE"""),"EMILIO ABURTO -DRECTOR DE OPERACIONES")</f>
        <v>EMILIO ABURTO -DRECTOR DE OPERACIONES</v>
      </c>
      <c r="O546" s="495" t="str">
        <f>IFERROR(__xludf.DUMMYFUNCTION("""COMPUTED_VALUE"""),"Mantenciones")</f>
        <v>Mantenciones</v>
      </c>
      <c r="P546" s="495" t="str">
        <f>IFERROR(__xludf.DUMMYFUNCTION("""COMPUTED_VALUE"""),"Terminaciones Interiores")</f>
        <v>Terminaciones Interiores</v>
      </c>
      <c r="Q546" s="495"/>
      <c r="R546" s="495"/>
      <c r="S546" s="495"/>
      <c r="T546" s="495"/>
      <c r="U546" s="495"/>
      <c r="V546" s="495" t="str">
        <f>IFERROR(__xludf.DUMMYFUNCTION("""COMPUTED_VALUE"""),"EXTENCIÓN DE CUBIERTA MESÓN ACCEO Y MODIFICACIÓN FALDÓN MESA  LATERAL")</f>
        <v>EXTENCIÓN DE CUBIERTA MESÓN ACCEO Y MODIFICACIÓN FALDÓN MESA  LATERAL</v>
      </c>
      <c r="W546" s="495"/>
      <c r="X546" s="495" t="str">
        <f>IFERROR(__xludf.DUMMYFUNCTION("""COMPUTED_VALUE"""),"https://drive.google.com/open?id=1I9S6aL5r2z-Zz8AGBUNf4zVL2T8DOcRn, https://drive.google.com/open?id=1M2HU22sXeKv1Mye1rcrwdtbsrWvCva3H, https://drive.google.com/open?id=1s752BYwNngkv0ir5s6nK_LT9oZQm6qUU")</f>
        <v>https://drive.google.com/open?id=1I9S6aL5r2z-Zz8AGBUNf4zVL2T8DOcRn, https://drive.google.com/open?id=1M2HU22sXeKv1Mye1rcrwdtbsrWvCva3H, https://drive.google.com/open?id=1s752BYwNngkv0ir5s6nK_LT9oZQm6qUU</v>
      </c>
      <c r="Y546" s="495" t="str">
        <f>IFERROR(__xludf.DUMMYFUNCTION("""COMPUTED_VALUE"""),"contacto.espaciomuebles@gmail.com")</f>
        <v>contacto.espaciomuebles@gmail.com</v>
      </c>
      <c r="Z546" s="495"/>
      <c r="AA546" s="495"/>
      <c r="AB546" s="495"/>
      <c r="AC546" s="495"/>
      <c r="AD546" s="495" t="str">
        <f>IFERROR(__xludf.DUMMYFUNCTION("""COMPUTED_VALUE"""),"RC-089")</f>
        <v>RC-089</v>
      </c>
    </row>
    <row r="547">
      <c r="A547" s="495" t="str">
        <f t="shared" si="1"/>
        <v>RC-225_26</v>
      </c>
      <c r="B547" s="497">
        <f>IFERROR(__xludf.DUMMYFUNCTION("""COMPUTED_VALUE"""),46174.48521238426)</f>
        <v>46174.48521</v>
      </c>
      <c r="C547" s="495" t="str">
        <f>IFERROR(__xludf.DUMMYFUNCTION("""COMPUTED_VALUE"""),"")</f>
        <v/>
      </c>
      <c r="D547" s="495" t="str">
        <f>IFERROR(__xludf.DUMMYFUNCTION("""COMPUTED_VALUE"""),"Mauricio Matus Belmar")</f>
        <v>Mauricio Matus Belmar</v>
      </c>
      <c r="E547" s="495"/>
      <c r="F547" s="496" t="str">
        <f>IFERROR(__xludf.DUMMYFUNCTION("""COMPUTED_VALUE"""),"4138-2026")</f>
        <v>4138-2026</v>
      </c>
      <c r="G547" s="495"/>
      <c r="H547" s="495"/>
      <c r="I547" s="495"/>
      <c r="J547" s="495" t="str">
        <f>IFERROR(__xludf.DUMMYFUNCTION("""COMPUTED_VALUE"""),"Campus San Juan Pablo II - CJP")</f>
        <v>Campus San Juan Pablo II - CJP</v>
      </c>
      <c r="K547" s="495" t="str">
        <f>IFERROR(__xludf.DUMMYFUNCTION("""COMPUTED_VALUE"""),"07")</f>
        <v>07</v>
      </c>
      <c r="L547" s="495" t="str">
        <f>IFERROR(__xludf.DUMMYFUNCTION("""COMPUTED_VALUE"""),"MR ELECTROCLIMA SPA")</f>
        <v>MR ELECTROCLIMA SPA</v>
      </c>
      <c r="M547" s="495" t="str">
        <f>IFERROR(__xludf.DUMMYFUNCTION("""COMPUTED_VALUE"""),"77.773.634-5")</f>
        <v>77.773.634-5</v>
      </c>
      <c r="N547" s="495" t="str">
        <f>IFERROR(__xludf.DUMMYFUNCTION("""COMPUTED_VALUE"""),"Patricio Manriquez Riffo")</f>
        <v>Patricio Manriquez Riffo</v>
      </c>
      <c r="O547" s="495" t="str">
        <f>IFERROR(__xludf.DUMMYFUNCTION("""COMPUTED_VALUE"""),"Operación")</f>
        <v>Operación</v>
      </c>
      <c r="P547" s="495"/>
      <c r="Q547" s="495" t="str">
        <f>IFERROR(__xludf.DUMMYFUNCTION("""COMPUTED_VALUE"""),"Climatización")</f>
        <v>Climatización</v>
      </c>
      <c r="R547" s="495"/>
      <c r="S547" s="495"/>
      <c r="T547" s="495"/>
      <c r="U547" s="495"/>
      <c r="V547" s="495" t="str">
        <f>IFERROR(__xludf.DUMMYFUNCTION("""COMPUTED_VALUE"""),"Limpieza difusor celosias Fan Coil Piso 1 y 2 Edificio 7. ")</f>
        <v>Limpieza difusor celosias Fan Coil Piso 1 y 2 Edificio 7. </v>
      </c>
      <c r="W547" s="495" t="str">
        <f>IFERROR(__xludf.DUMMYFUNCTION("""COMPUTED_VALUE"""),"Pendiente contabilización de totalidad de disfusores distintos pisos.")</f>
        <v>Pendiente contabilización de totalidad de disfusores distintos pisos.</v>
      </c>
      <c r="X547" s="495" t="str">
        <f>IFERROR(__xludf.DUMMYFUNCTION("""COMPUTED_VALUE"""),"https://drive.google.com/open?id=1-2SSVU2gF1KVmaCTfgjB93GYxAOFHLvA, https://drive.google.com/open?id=1QBt2g_VrEdudFF4jqO83nFEOC6QOGY7y, https://drive.google.com/open?id=1dT-m3F-KDiFNMZlrKJNsteedp9DblogS, https://drive.google.com/open?id=1caxRGJBp8VY7yOdCR"&amp;"DV8pCBmtHYmxi2q")</f>
        <v>https://drive.google.com/open?id=1-2SSVU2gF1KVmaCTfgjB93GYxAOFHLvA, https://drive.google.com/open?id=1QBt2g_VrEdudFF4jqO83nFEOC6QOGY7y, https://drive.google.com/open?id=1dT-m3F-KDiFNMZlrKJNsteedp9DblogS, https://drive.google.com/open?id=1caxRGJBp8VY7yOdCRDV8pCBmtHYmxi2q</v>
      </c>
      <c r="Y547" s="495" t="str">
        <f>IFERROR(__xludf.DUMMYFUNCTION("""COMPUTED_VALUE"""),"luismanriquez555@gmail.com")</f>
        <v>luismanriquez555@gmail.com</v>
      </c>
      <c r="Z547" s="498">
        <f>IFERROR(__xludf.DUMMYFUNCTION("""COMPUTED_VALUE"""),187425.0)</f>
        <v>187425</v>
      </c>
      <c r="AA547" s="495"/>
      <c r="AB547" s="495"/>
      <c r="AC547" s="495"/>
      <c r="AD547" s="495" t="str">
        <f>IFERROR(__xludf.DUMMYFUNCTION("""COMPUTED_VALUE"""),"RC-225_26")</f>
        <v>RC-225_26</v>
      </c>
    </row>
    <row r="548">
      <c r="A548" s="495" t="str">
        <f t="shared" si="1"/>
        <v>RC-088</v>
      </c>
      <c r="B548" s="497">
        <f>IFERROR(__xludf.DUMMYFUNCTION("""COMPUTED_VALUE"""),45993.68453820602)</f>
        <v>45993.68454</v>
      </c>
      <c r="C548" s="495" t="str">
        <f>IFERROR(__xludf.DUMMYFUNCTION("""COMPUTED_VALUE"""),"")</f>
        <v/>
      </c>
      <c r="D548" s="495" t="str">
        <f>IFERROR(__xludf.DUMMYFUNCTION("""COMPUTED_VALUE"""),"Felipe Anselme Grandón")</f>
        <v>Felipe Anselme Grandón</v>
      </c>
      <c r="E548" s="495"/>
      <c r="F548" s="496" t="str">
        <f>IFERROR(__xludf.DUMMYFUNCTION("""COMPUTED_VALUE"""),"12263-2025")</f>
        <v>12263-2025</v>
      </c>
      <c r="G548" s="495"/>
      <c r="H548" s="495"/>
      <c r="I548" s="495"/>
      <c r="J548" s="495" t="str">
        <f>IFERROR(__xludf.DUMMYFUNCTION("""COMPUTED_VALUE"""),"Campus San Juan Pablo II - CJP")</f>
        <v>Campus San Juan Pablo II - CJP</v>
      </c>
      <c r="K548" s="495" t="str">
        <f>IFERROR(__xludf.DUMMYFUNCTION("""COMPUTED_VALUE"""),"05")</f>
        <v>05</v>
      </c>
      <c r="L548" s="495" t="str">
        <f>IFERROR(__xludf.DUMMYFUNCTION("""COMPUTED_VALUE"""),"Alejandro Barría Mateluna ")</f>
        <v>Alejandro Barría Mateluna </v>
      </c>
      <c r="M548" s="495" t="str">
        <f>IFERROR(__xludf.DUMMYFUNCTION("""COMPUTED_VALUE"""),"11.662.472-9")</f>
        <v>11.662.472-9</v>
      </c>
      <c r="N548" s="495" t="str">
        <f>IFERROR(__xludf.DUMMYFUNCTION("""COMPUTED_VALUE"""),"Alejandro Barría Mateluna ")</f>
        <v>Alejandro Barría Mateluna </v>
      </c>
      <c r="O548" s="495" t="str">
        <f>IFERROR(__xludf.DUMMYFUNCTION("""COMPUTED_VALUE"""),"Mantenciones")</f>
        <v>Mantenciones</v>
      </c>
      <c r="P548" s="495" t="str">
        <f>IFERROR(__xludf.DUMMYFUNCTION("""COMPUTED_VALUE"""),"Cerramientos Verticales")</f>
        <v>Cerramientos Verticales</v>
      </c>
      <c r="Q548" s="495"/>
      <c r="R548" s="495"/>
      <c r="S548" s="495"/>
      <c r="T548" s="495"/>
      <c r="U548" s="495"/>
      <c r="V548" s="495" t="str">
        <f>IFERROR(__xludf.DUMMYFUNCTION("""COMPUTED_VALUE"""),"Mallas mosquiteras sala basura ")</f>
        <v>Mallas mosquiteras sala basura </v>
      </c>
      <c r="W548" s="495"/>
      <c r="X548" s="495" t="str">
        <f>IFERROR(__xludf.DUMMYFUNCTION("""COMPUTED_VALUE"""),"https://drive.google.com/open?id=1JhyKVnD1vGScU2jLQGWJ6sxsl8WtA0RH, https://drive.google.com/open?id=1cJQyP8brtBWFQeGQUoBndpgtPwytZYEN")</f>
        <v>https://drive.google.com/open?id=1JhyKVnD1vGScU2jLQGWJ6sxsl8WtA0RH, https://drive.google.com/open?id=1cJQyP8brtBWFQeGQUoBndpgtPwytZYEN</v>
      </c>
      <c r="Y548" s="495" t="str">
        <f>IFERROR(__xludf.DUMMYFUNCTION("""COMPUTED_VALUE"""),"aabarriam@gmail.com")</f>
        <v>aabarriam@gmail.com</v>
      </c>
      <c r="Z548" s="495"/>
      <c r="AA548" s="495"/>
      <c r="AB548" s="495"/>
      <c r="AC548" s="495"/>
      <c r="AD548" s="495" t="str">
        <f>IFERROR(__xludf.DUMMYFUNCTION("""COMPUTED_VALUE"""),"RC-088")</f>
        <v>RC-088</v>
      </c>
    </row>
    <row r="549">
      <c r="A549" s="495" t="str">
        <f t="shared" si="1"/>
        <v>RC-227_26</v>
      </c>
      <c r="B549" s="497">
        <f>IFERROR(__xludf.DUMMYFUNCTION("""COMPUTED_VALUE"""),46174.5074284375)</f>
        <v>46174.50743</v>
      </c>
      <c r="C549" s="495" t="str">
        <f>IFERROR(__xludf.DUMMYFUNCTION("""COMPUTED_VALUE"""),"")</f>
        <v/>
      </c>
      <c r="D549" s="495" t="str">
        <f>IFERROR(__xludf.DUMMYFUNCTION("""COMPUTED_VALUE"""),"Mauricio Matus Belmar")</f>
        <v>Mauricio Matus Belmar</v>
      </c>
      <c r="E549" s="495"/>
      <c r="F549" s="496">
        <f>IFERROR(__xludf.DUMMYFUNCTION("""COMPUTED_VALUE"""),2288.0)</f>
        <v>2288</v>
      </c>
      <c r="G549" s="495"/>
      <c r="H549" s="495"/>
      <c r="I549" s="495"/>
      <c r="J549" s="495" t="str">
        <f>IFERROR(__xludf.DUMMYFUNCTION("""COMPUTED_VALUE"""),"Campus San Juan Pablo II - CJP")</f>
        <v>Campus San Juan Pablo II - CJP</v>
      </c>
      <c r="K549" s="495" t="str">
        <f>IFERROR(__xludf.DUMMYFUNCTION("""COMPUTED_VALUE"""),"Exterior")</f>
        <v>Exterior</v>
      </c>
      <c r="L549" s="495" t="str">
        <f>IFERROR(__xludf.DUMMYFUNCTION("""COMPUTED_VALUE"""),"AMARIS CONSTRUCTORA SpA")</f>
        <v>AMARIS CONSTRUCTORA SpA</v>
      </c>
      <c r="M549" s="495" t="str">
        <f>IFERROR(__xludf.DUMMYFUNCTION("""COMPUTED_VALUE"""),"77.648.798-8")</f>
        <v>77.648.798-8</v>
      </c>
      <c r="N549" s="495" t="str">
        <f>IFERROR(__xludf.DUMMYFUNCTION("""COMPUTED_VALUE"""),"Jesus Mancilla Vidal ")</f>
        <v>Jesus Mancilla Vidal </v>
      </c>
      <c r="O549" s="495" t="str">
        <f>IFERROR(__xludf.DUMMYFUNCTION("""COMPUTED_VALUE"""),"Obras y Especialidades")</f>
        <v>Obras y Especialidades</v>
      </c>
      <c r="P549" s="495"/>
      <c r="Q549" s="495"/>
      <c r="R549" s="495" t="str">
        <f>IFERROR(__xludf.DUMMYFUNCTION("""COMPUTED_VALUE"""),"Exteriores")</f>
        <v>Exteriores</v>
      </c>
      <c r="S549" s="495" t="str">
        <f>IFERROR(__xludf.DUMMYFUNCTION("""COMPUTED_VALUE"""),"Recepción de Obra - RC")</f>
        <v>Recepción de Obra - RC</v>
      </c>
      <c r="T549" s="495"/>
      <c r="U549" s="495"/>
      <c r="V549" s="495" t="str">
        <f>IFERROR(__xludf.DUMMYFUNCTION("""COMPUTED_VALUE"""),"Mantencion de arcos de fútbol - Lijado y pintado ")</f>
        <v>Mantencion de arcos de fútbol - Lijado y pintado </v>
      </c>
      <c r="W549" s="495" t="str">
        <f>IFERROR(__xludf.DUMMYFUNCTION("""COMPUTED_VALUE"""),"Sin observaciones")</f>
        <v>Sin observaciones</v>
      </c>
      <c r="X549" s="495" t="str">
        <f>IFERROR(__xludf.DUMMYFUNCTION("""COMPUTED_VALUE"""),"https://drive.google.com/open?id=1GTaZbCkmcg6qcCoCqTEd0NWJBO1f8va-, https://drive.google.com/open?id=15qvo9yWTLjUyc83XAhhSOoZCUWU3_5Rh, https://drive.google.com/open?id=182kSFetAQCyu3CRTAGTAV7bN6N02ga6i, https://drive.google.com/open?id=1dV_kYHy666lufoo2S"&amp;"FZZSSCTNob_zAOV, https://drive.google.com/open?id=10a7GYc8GbUPZGw3NP7QRSeYz0BvJ0bVR, https://drive.google.com/open?id=1YwA9lNmn9SAnElrUR9OdE2kK3HwQD6QQ")</f>
        <v>https://drive.google.com/open?id=1GTaZbCkmcg6qcCoCqTEd0NWJBO1f8va-, https://drive.google.com/open?id=15qvo9yWTLjUyc83XAhhSOoZCUWU3_5Rh, https://drive.google.com/open?id=182kSFetAQCyu3CRTAGTAV7bN6N02ga6i, https://drive.google.com/open?id=1dV_kYHy666lufoo2SFZZSSCTNob_zAOV, https://drive.google.com/open?id=10a7GYc8GbUPZGw3NP7QRSeYz0BvJ0bVR, https://drive.google.com/open?id=1YwA9lNmn9SAnElrUR9OdE2kK3HwQD6QQ</v>
      </c>
      <c r="Y549" s="495" t="str">
        <f>IFERROR(__xludf.DUMMYFUNCTION("""COMPUTED_VALUE"""),"e.fuentealba@amaris.cl")</f>
        <v>e.fuentealba@amaris.cl</v>
      </c>
      <c r="Z549" s="498">
        <f>IFERROR(__xludf.DUMMYFUNCTION("""COMPUTED_VALUE"""),273700.0)</f>
        <v>273700</v>
      </c>
      <c r="AA549" s="495"/>
      <c r="AB549" s="495"/>
      <c r="AC549" s="495"/>
      <c r="AD549" s="495" t="str">
        <f>IFERROR(__xludf.DUMMYFUNCTION("""COMPUTED_VALUE"""),"RC-227_26")</f>
        <v>RC-227_26</v>
      </c>
    </row>
    <row r="550">
      <c r="A550" s="495" t="str">
        <f t="shared" si="1"/>
        <v>RC-087</v>
      </c>
      <c r="B550" s="497">
        <f>IFERROR(__xludf.DUMMYFUNCTION("""COMPUTED_VALUE"""),45993.56043881945)</f>
        <v>45993.56044</v>
      </c>
      <c r="C550" s="495" t="str">
        <f>IFERROR(__xludf.DUMMYFUNCTION("""COMPUTED_VALUE"""),"")</f>
        <v/>
      </c>
      <c r="D550" s="495" t="str">
        <f>IFERROR(__xludf.DUMMYFUNCTION("""COMPUTED_VALUE"""),"Felipe Anselme Grandón")</f>
        <v>Felipe Anselme Grandón</v>
      </c>
      <c r="E550" s="495"/>
      <c r="F550" s="496" t="str">
        <f>IFERROR(__xludf.DUMMYFUNCTION("""COMPUTED_VALUE"""),"11939-2025")</f>
        <v>11939-2025</v>
      </c>
      <c r="G550" s="495"/>
      <c r="H550" s="495"/>
      <c r="I550" s="495"/>
      <c r="J550" s="495" t="str">
        <f>IFERROR(__xludf.DUMMYFUNCTION("""COMPUTED_VALUE"""),"Campus San Juan Pablo II - CJP")</f>
        <v>Campus San Juan Pablo II - CJP</v>
      </c>
      <c r="K550" s="495">
        <f>IFERROR(__xludf.DUMMYFUNCTION("""COMPUTED_VALUE"""),13.0)</f>
        <v>13</v>
      </c>
      <c r="L550" s="495" t="str">
        <f>IFERROR(__xludf.DUMMYFUNCTION("""COMPUTED_VALUE"""),"Amaris Constructora SpA")</f>
        <v>Amaris Constructora SpA</v>
      </c>
      <c r="M550" s="495" t="str">
        <f>IFERROR(__xludf.DUMMYFUNCTION("""COMPUTED_VALUE"""),"77.648.798-8")</f>
        <v>77.648.798-8</v>
      </c>
      <c r="N550" s="495" t="str">
        <f>IFERROR(__xludf.DUMMYFUNCTION("""COMPUTED_VALUE"""),"Jesús Mancilla Vidal (Encargado)")</f>
        <v>Jesús Mancilla Vidal (Encargado)</v>
      </c>
      <c r="O550" s="495" t="str">
        <f>IFERROR(__xludf.DUMMYFUNCTION("""COMPUTED_VALUE"""),"Mantenciones")</f>
        <v>Mantenciones</v>
      </c>
      <c r="P550" s="495" t="str">
        <f>IFERROR(__xludf.DUMMYFUNCTION("""COMPUTED_VALUE"""),"Cubiertas")</f>
        <v>Cubiertas</v>
      </c>
      <c r="Q550" s="495"/>
      <c r="R550" s="495"/>
      <c r="S550" s="495"/>
      <c r="T550" s="495"/>
      <c r="U550" s="495"/>
      <c r="V550" s="495" t="str">
        <f>IFERROR(__xludf.DUMMYFUNCTION("""COMPUTED_VALUE"""),"Se retira plancha rota de policarbonato, se instala plancha nueva")</f>
        <v>Se retira plancha rota de policarbonato, se instala plancha nueva</v>
      </c>
      <c r="W550" s="495" t="str">
        <f>IFERROR(__xludf.DUMMYFUNCTION("""COMPUTED_VALUE"""),"Se recomienda reforzar con tornillos las otras planchas existentes")</f>
        <v>Se recomienda reforzar con tornillos las otras planchas existentes</v>
      </c>
      <c r="X550" s="495" t="str">
        <f>IFERROR(__xludf.DUMMYFUNCTION("""COMPUTED_VALUE"""),"https://drive.google.com/open?id=19SuK4wki2mprUxPz-I-sFYvqvXKp4kfk, https://drive.google.com/open?id=1EQxk32OfSSk_jTz3Bf_06IFpc9NBabbR")</f>
        <v>https://drive.google.com/open?id=19SuK4wki2mprUxPz-I-sFYvqvXKp4kfk, https://drive.google.com/open?id=1EQxk32OfSSk_jTz3Bf_06IFpc9NBabbR</v>
      </c>
      <c r="Y550" s="495" t="str">
        <f>IFERROR(__xludf.DUMMYFUNCTION("""COMPUTED_VALUE"""),"administracion@amaris.cl")</f>
        <v>administracion@amaris.cl</v>
      </c>
      <c r="Z550" s="495"/>
      <c r="AA550" s="495"/>
      <c r="AB550" s="495"/>
      <c r="AC550" s="495"/>
      <c r="AD550" s="495" t="str">
        <f>IFERROR(__xludf.DUMMYFUNCTION("""COMPUTED_VALUE"""),"RC-087")</f>
        <v>RC-087</v>
      </c>
    </row>
    <row r="551">
      <c r="A551" s="495" t="str">
        <f t="shared" si="1"/>
        <v>RC-086</v>
      </c>
      <c r="B551" s="497">
        <f>IFERROR(__xludf.DUMMYFUNCTION("""COMPUTED_VALUE"""),45993.51410184028)</f>
        <v>45993.5141</v>
      </c>
      <c r="C551" s="495" t="str">
        <f>IFERROR(__xludf.DUMMYFUNCTION("""COMPUTED_VALUE"""),"")</f>
        <v/>
      </c>
      <c r="D551" s="495" t="str">
        <f>IFERROR(__xludf.DUMMYFUNCTION("""COMPUTED_VALUE"""),"Felipe Anselme Grandón")</f>
        <v>Felipe Anselme Grandón</v>
      </c>
      <c r="E551" s="495"/>
      <c r="F551" s="496" t="str">
        <f>IFERROR(__xludf.DUMMYFUNCTION("""COMPUTED_VALUE"""),"11939-2025")</f>
        <v>11939-2025</v>
      </c>
      <c r="G551" s="495"/>
      <c r="H551" s="495"/>
      <c r="I551" s="495"/>
      <c r="J551" s="495" t="str">
        <f>IFERROR(__xludf.DUMMYFUNCTION("""COMPUTED_VALUE"""),"Campus San Juan Pablo II - CJP")</f>
        <v>Campus San Juan Pablo II - CJP</v>
      </c>
      <c r="K551" s="495">
        <f>IFERROR(__xludf.DUMMYFUNCTION("""COMPUTED_VALUE"""),13.0)</f>
        <v>13</v>
      </c>
      <c r="L551" s="495" t="str">
        <f>IFERROR(__xludf.DUMMYFUNCTION("""COMPUTED_VALUE"""),"Amaris Constructora SpA")</f>
        <v>Amaris Constructora SpA</v>
      </c>
      <c r="M551" s="495" t="str">
        <f>IFERROR(__xludf.DUMMYFUNCTION("""COMPUTED_VALUE"""),"77.648.798-8")</f>
        <v>77.648.798-8</v>
      </c>
      <c r="N551" s="495" t="str">
        <f>IFERROR(__xludf.DUMMYFUNCTION("""COMPUTED_VALUE"""),"Jesús Mancilla (Encargado)")</f>
        <v>Jesús Mancilla (Encargado)</v>
      </c>
      <c r="O551" s="495" t="str">
        <f>IFERROR(__xludf.DUMMYFUNCTION("""COMPUTED_VALUE"""),"Mantenciones")</f>
        <v>Mantenciones</v>
      </c>
      <c r="P551" s="495" t="str">
        <f>IFERROR(__xludf.DUMMYFUNCTION("""COMPUTED_VALUE"""),"Terminaciones Interiores")</f>
        <v>Terminaciones Interiores</v>
      </c>
      <c r="Q551" s="495"/>
      <c r="R551" s="495"/>
      <c r="S551" s="495"/>
      <c r="T551" s="495"/>
      <c r="U551" s="495"/>
      <c r="V551" s="495" t="str">
        <f>IFERROR(__xludf.DUMMYFUNCTION("""COMPUTED_VALUE"""),"Retiro de plancha policarbonato rota e instalación de plancha nueva ")</f>
        <v>Retiro de plancha policarbonato rota e instalación de plancha nueva </v>
      </c>
      <c r="W551" s="495" t="str">
        <f>IFERROR(__xludf.DUMMYFUNCTION("""COMPUTED_VALUE"""),"Se recomienda reforzar con tornillos las otras planchas")</f>
        <v>Se recomienda reforzar con tornillos las otras planchas</v>
      </c>
      <c r="X551" s="495" t="str">
        <f>IFERROR(__xludf.DUMMYFUNCTION("""COMPUTED_VALUE"""),"https://drive.google.com/open?id=1TEYFPmwXnNfdbD6XrFA4IOvIYrBBCr88, https://drive.google.com/open?id=1LA2XTEs49wcDMabLB1cQkCUZ46Z6kJe4")</f>
        <v>https://drive.google.com/open?id=1TEYFPmwXnNfdbD6XrFA4IOvIYrBBCr88, https://drive.google.com/open?id=1LA2XTEs49wcDMabLB1cQkCUZ46Z6kJe4</v>
      </c>
      <c r="Y551" s="495" t="str">
        <f>IFERROR(__xludf.DUMMYFUNCTION("""COMPUTED_VALUE"""),"jesus.mancilla.v30@gmail.com")</f>
        <v>jesus.mancilla.v30@gmail.com</v>
      </c>
      <c r="Z551" s="495"/>
      <c r="AA551" s="495"/>
      <c r="AB551" s="495"/>
      <c r="AC551" s="495"/>
      <c r="AD551" s="495" t="str">
        <f>IFERROR(__xludf.DUMMYFUNCTION("""COMPUTED_VALUE"""),"RC-086")</f>
        <v>RC-086</v>
      </c>
    </row>
    <row r="552">
      <c r="A552" s="495" t="str">
        <f t="shared" si="1"/>
        <v>RC-084</v>
      </c>
      <c r="B552" s="497">
        <f>IFERROR(__xludf.DUMMYFUNCTION("""COMPUTED_VALUE"""),45992.66260738426)</f>
        <v>45992.66261</v>
      </c>
      <c r="C552" s="495" t="str">
        <f>IFERROR(__xludf.DUMMYFUNCTION("""COMPUTED_VALUE"""),"")</f>
        <v/>
      </c>
      <c r="D552" s="495" t="str">
        <f>IFERROR(__xludf.DUMMYFUNCTION("""COMPUTED_VALUE"""),"Carol Huenchual Chañilao")</f>
        <v>Carol Huenchual Chañilao</v>
      </c>
      <c r="E552" s="495"/>
      <c r="F552" s="496" t="str">
        <f>IFERROR(__xludf.DUMMYFUNCTION("""COMPUTED_VALUE"""),"12232 - 2025")</f>
        <v>12232 - 2025</v>
      </c>
      <c r="G552" s="495"/>
      <c r="H552" s="495"/>
      <c r="I552" s="495"/>
      <c r="J552" s="495" t="str">
        <f>IFERROR(__xludf.DUMMYFUNCTION("""COMPUTED_VALUE"""),"Campus San Francisco - CSF")</f>
        <v>Campus San Francisco - CSF</v>
      </c>
      <c r="K552" s="495" t="str">
        <f>IFERROR(__xludf.DUMMYFUNCTION("""COMPUTED_VALUE"""),"02")</f>
        <v>02</v>
      </c>
      <c r="L552" s="495" t="str">
        <f>IFERROR(__xludf.DUMMYFUNCTION("""COMPUTED_VALUE"""),"Flavia Oyarzun Soto ")</f>
        <v>Flavia Oyarzun Soto </v>
      </c>
      <c r="M552" s="495" t="str">
        <f>IFERROR(__xludf.DUMMYFUNCTION("""COMPUTED_VALUE"""),"5.503.590-3")</f>
        <v>5.503.590-3</v>
      </c>
      <c r="N552" s="495" t="str">
        <f>IFERROR(__xludf.DUMMYFUNCTION("""COMPUTED_VALUE"""),"Roberto Lassalle ")</f>
        <v>Roberto Lassalle </v>
      </c>
      <c r="O552" s="495" t="str">
        <f>IFERROR(__xludf.DUMMYFUNCTION("""COMPUTED_VALUE"""),"Mantenciones")</f>
        <v>Mantenciones</v>
      </c>
      <c r="P552" s="495" t="str">
        <f>IFERROR(__xludf.DUMMYFUNCTION("""COMPUTED_VALUE"""),"Cerramientos Verticales")</f>
        <v>Cerramientos Verticales</v>
      </c>
      <c r="Q552" s="495"/>
      <c r="R552" s="495"/>
      <c r="S552" s="495"/>
      <c r="T552" s="495"/>
      <c r="U552" s="495"/>
      <c r="V552" s="495" t="str">
        <f>IFERROR(__xludf.DUMMYFUNCTION("""COMPUTED_VALUE"""),"Instalación tabique aluminio vidriado, acceso biblioteca.")</f>
        <v>Instalación tabique aluminio vidriado, acceso biblioteca.</v>
      </c>
      <c r="W552" s="495" t="str">
        <f>IFERROR(__xludf.DUMMYFUNCTION("""COMPUTED_VALUE"""),"No aplica")</f>
        <v>No aplica</v>
      </c>
      <c r="X552" s="495" t="str">
        <f>IFERROR(__xludf.DUMMYFUNCTION("""COMPUTED_VALUE"""),"https://drive.google.com/open?id=1-5iINrAdpXhUyMS2ogBRICXshxA3jmMQ, https://drive.google.com/open?id=1A-TaJrBvIXPTTcsl8IAMjPbpK6FbiWU1, https://drive.google.com/open?id=161EJMwA297VPS6reT3Le_1Q8_ELjVRXH")</f>
        <v>https://drive.google.com/open?id=1-5iINrAdpXhUyMS2ogBRICXshxA3jmMQ, https://drive.google.com/open?id=1A-TaJrBvIXPTTcsl8IAMjPbpK6FbiWU1, https://drive.google.com/open?id=161EJMwA297VPS6reT3Le_1Q8_ELjVRXH</v>
      </c>
      <c r="Y552" s="495" t="str">
        <f>IFERROR(__xludf.DUMMYFUNCTION("""COMPUTED_VALUE"""),"roberto.lassalle@gmail.com")</f>
        <v>roberto.lassalle@gmail.com</v>
      </c>
      <c r="Z552" s="495"/>
      <c r="AA552" s="495"/>
      <c r="AB552" s="495"/>
      <c r="AC552" s="495"/>
      <c r="AD552" s="495" t="str">
        <f>IFERROR(__xludf.DUMMYFUNCTION("""COMPUTED_VALUE"""),"RC-084")</f>
        <v>RC-084</v>
      </c>
    </row>
    <row r="553">
      <c r="A553" s="495" t="str">
        <f t="shared" si="1"/>
        <v>RC-231_26</v>
      </c>
      <c r="B553" s="497">
        <f>IFERROR(__xludf.DUMMYFUNCTION("""COMPUTED_VALUE"""),46175.718007372685)</f>
        <v>46175.71801</v>
      </c>
      <c r="C553" s="495" t="str">
        <f>IFERROR(__xludf.DUMMYFUNCTION("""COMPUTED_VALUE"""),"")</f>
        <v/>
      </c>
      <c r="D553" s="495" t="str">
        <f>IFERROR(__xludf.DUMMYFUNCTION("""COMPUTED_VALUE"""),"Juan Ignacio Solís de Ovando")</f>
        <v>Juan Ignacio Solís de Ovando</v>
      </c>
      <c r="E553" s="495"/>
      <c r="F553" s="496" t="str">
        <f>IFERROR(__xludf.DUMMYFUNCTION("""COMPUTED_VALUE"""),"3774-2026")</f>
        <v>3774-2026</v>
      </c>
      <c r="G553" s="495"/>
      <c r="H553" s="495"/>
      <c r="I553" s="495"/>
      <c r="J553" s="495" t="str">
        <f>IFERROR(__xludf.DUMMYFUNCTION("""COMPUTED_VALUE"""),"Campus Dr. Luis Rivas del Canto - CRC")</f>
        <v>Campus Dr. Luis Rivas del Canto - CRC</v>
      </c>
      <c r="K553" s="495">
        <f>IFERROR(__xludf.DUMMYFUNCTION("""COMPUTED_VALUE"""),10.0)</f>
        <v>10</v>
      </c>
      <c r="L553" s="495" t="str">
        <f>IFERROR(__xludf.DUMMYFUNCTION("""COMPUTED_VALUE"""),"SOCIEDAD COMERCIAL ESPACIO MUEBLES LTDA")</f>
        <v>SOCIEDAD COMERCIAL ESPACIO MUEBLES LTDA</v>
      </c>
      <c r="M553" s="495" t="str">
        <f>IFERROR(__xludf.DUMMYFUNCTION("""COMPUTED_VALUE"""),"77.544.225-5")</f>
        <v>77.544.225-5</v>
      </c>
      <c r="N553" s="495" t="str">
        <f>IFERROR(__xludf.DUMMYFUNCTION("""COMPUTED_VALUE"""),"EMILIO ABURTO - DIRECTOR OPERACIONES")</f>
        <v>EMILIO ABURTO - DIRECTOR OPERACIONES</v>
      </c>
      <c r="O553" s="495" t="str">
        <f>IFERROR(__xludf.DUMMYFUNCTION("""COMPUTED_VALUE"""),"Obras y Especialidades")</f>
        <v>Obras y Especialidades</v>
      </c>
      <c r="P553" s="495"/>
      <c r="Q553" s="495"/>
      <c r="R553" s="495" t="str">
        <f>IFERROR(__xludf.DUMMYFUNCTION("""COMPUTED_VALUE"""),"Especialidades")</f>
        <v>Especialidades</v>
      </c>
      <c r="S553" s="495" t="str">
        <f>IFERROR(__xludf.DUMMYFUNCTION("""COMPUTED_VALUE"""),"Estado de Pago - EP")</f>
        <v>Estado de Pago - EP</v>
      </c>
      <c r="T553" s="495">
        <f>IFERROR(__xludf.DUMMYFUNCTION("""COMPUTED_VALUE"""),1.0)</f>
        <v>1</v>
      </c>
      <c r="U553" s="498">
        <f>IFERROR(__xludf.DUMMYFUNCTION("""COMPUTED_VALUE"""),404600.0)</f>
        <v>404600</v>
      </c>
      <c r="V553" s="495" t="str">
        <f>IFERROR(__xludf.DUMMYFUNCTION("""COMPUTED_VALUE"""),"FABRICACIÓN DE PODIO AUDITORIO")</f>
        <v>FABRICACIÓN DE PODIO AUDITORIO</v>
      </c>
      <c r="W553" s="495"/>
      <c r="X553" s="499" t="str">
        <f>IFERROR(__xludf.DUMMYFUNCTION("""COMPUTED_VALUE"""),"https://drive.google.com/open?id=1fVPU4f81P8FcS6BsxvXc0a92deg1yYtI")</f>
        <v>https://drive.google.com/open?id=1fVPU4f81P8FcS6BsxvXc0a92deg1yYtI</v>
      </c>
      <c r="Y553" s="495" t="str">
        <f>IFERROR(__xludf.DUMMYFUNCTION("""COMPUTED_VALUE"""),"contacto.espaciomuebles@gmail.com")</f>
        <v>contacto.espaciomuebles@gmail.com</v>
      </c>
      <c r="Z553" s="498">
        <f>IFERROR(__xludf.DUMMYFUNCTION("""COMPUTED_VALUE"""),404600.0)</f>
        <v>404600</v>
      </c>
      <c r="AA553" s="495"/>
      <c r="AB553" s="495"/>
      <c r="AC553" s="495"/>
      <c r="AD553" s="495" t="str">
        <f>IFERROR(__xludf.DUMMYFUNCTION("""COMPUTED_VALUE"""),"RC-231_26")</f>
        <v>RC-231_26</v>
      </c>
    </row>
    <row r="554">
      <c r="A554" s="495" t="str">
        <f t="shared" si="1"/>
        <v>RC-232_26</v>
      </c>
      <c r="B554" s="497">
        <f>IFERROR(__xludf.DUMMYFUNCTION("""COMPUTED_VALUE"""),46175.72097392361)</f>
        <v>46175.72097</v>
      </c>
      <c r="C554" s="495" t="str">
        <f>IFERROR(__xludf.DUMMYFUNCTION("""COMPUTED_VALUE"""),"")</f>
        <v/>
      </c>
      <c r="D554" s="495" t="str">
        <f>IFERROR(__xludf.DUMMYFUNCTION("""COMPUTED_VALUE"""),"Juan Ignacio Solís de Ovando")</f>
        <v>Juan Ignacio Solís de Ovando</v>
      </c>
      <c r="E554" s="495"/>
      <c r="F554" s="496" t="str">
        <f>IFERROR(__xludf.DUMMYFUNCTION("""COMPUTED_VALUE"""),"3775-2026")</f>
        <v>3775-2026</v>
      </c>
      <c r="G554" s="495"/>
      <c r="H554" s="495"/>
      <c r="I554" s="495"/>
      <c r="J554" s="495" t="str">
        <f>IFERROR(__xludf.DUMMYFUNCTION("""COMPUTED_VALUE"""),"Campus Dr. Luis Rivas del Canto - CRC")</f>
        <v>Campus Dr. Luis Rivas del Canto - CRC</v>
      </c>
      <c r="K554" s="495">
        <f>IFERROR(__xludf.DUMMYFUNCTION("""COMPUTED_VALUE"""),10.0)</f>
        <v>10</v>
      </c>
      <c r="L554" s="495" t="str">
        <f>IFERROR(__xludf.DUMMYFUNCTION("""COMPUTED_VALUE"""),"SOCIEDAD COMERCIAL ESPACIO MUEBLES LTDA")</f>
        <v>SOCIEDAD COMERCIAL ESPACIO MUEBLES LTDA</v>
      </c>
      <c r="M554" s="495" t="str">
        <f>IFERROR(__xludf.DUMMYFUNCTION("""COMPUTED_VALUE"""),"77.544.225-5")</f>
        <v>77.544.225-5</v>
      </c>
      <c r="N554" s="495" t="str">
        <f>IFERROR(__xludf.DUMMYFUNCTION("""COMPUTED_VALUE"""),"EMILIO ABURTO - DIRECTOR OPERACIONES")</f>
        <v>EMILIO ABURTO - DIRECTOR OPERACIONES</v>
      </c>
      <c r="O554" s="495" t="str">
        <f>IFERROR(__xludf.DUMMYFUNCTION("""COMPUTED_VALUE"""),"Obras y Especialidades")</f>
        <v>Obras y Especialidades</v>
      </c>
      <c r="P554" s="495"/>
      <c r="Q554" s="495"/>
      <c r="R554" s="495" t="str">
        <f>IFERROR(__xludf.DUMMYFUNCTION("""COMPUTED_VALUE"""),"Especialidades")</f>
        <v>Especialidades</v>
      </c>
      <c r="S554" s="495" t="str">
        <f>IFERROR(__xludf.DUMMYFUNCTION("""COMPUTED_VALUE"""),"Estado de Pago - EP")</f>
        <v>Estado de Pago - EP</v>
      </c>
      <c r="T554" s="495">
        <f>IFERROR(__xludf.DUMMYFUNCTION("""COMPUTED_VALUE"""),1.0)</f>
        <v>1</v>
      </c>
      <c r="U554" s="498">
        <f>IFERROR(__xludf.DUMMYFUNCTION("""COMPUTED_VALUE"""),739704.0)</f>
        <v>739704</v>
      </c>
      <c r="V554" s="495" t="str">
        <f>IFERROR(__xludf.DUMMYFUNCTION("""COMPUTED_VALUE"""),"MUEBLE LAVAFONDO DOBLE CON SECADOR PARA CASINO ")</f>
        <v>MUEBLE LAVAFONDO DOBLE CON SECADOR PARA CASINO </v>
      </c>
      <c r="W554" s="495"/>
      <c r="X554" s="499" t="str">
        <f>IFERROR(__xludf.DUMMYFUNCTION("""COMPUTED_VALUE"""),"https://drive.google.com/open?id=1kVTR1IDSgamsFXm4Goc0oBFat4slwvq3")</f>
        <v>https://drive.google.com/open?id=1kVTR1IDSgamsFXm4Goc0oBFat4slwvq3</v>
      </c>
      <c r="Y554" s="495" t="str">
        <f>IFERROR(__xludf.DUMMYFUNCTION("""COMPUTED_VALUE"""),"contacto.espaciomuebles@gmail.com")</f>
        <v>contacto.espaciomuebles@gmail.com</v>
      </c>
      <c r="Z554" s="498">
        <f>IFERROR(__xludf.DUMMYFUNCTION("""COMPUTED_VALUE"""),739704.0)</f>
        <v>739704</v>
      </c>
      <c r="AA554" s="495"/>
      <c r="AB554" s="495"/>
      <c r="AC554" s="495"/>
      <c r="AD554" s="495" t="str">
        <f>IFERROR(__xludf.DUMMYFUNCTION("""COMPUTED_VALUE"""),"RC-232_26")</f>
        <v>RC-232_26</v>
      </c>
    </row>
    <row r="555">
      <c r="A555" s="495" t="str">
        <f t="shared" si="1"/>
        <v>RC-233_26</v>
      </c>
      <c r="B555" s="497">
        <f>IFERROR(__xludf.DUMMYFUNCTION("""COMPUTED_VALUE"""),46175.72307008102)</f>
        <v>46175.72307</v>
      </c>
      <c r="C555" s="495" t="str">
        <f>IFERROR(__xludf.DUMMYFUNCTION("""COMPUTED_VALUE"""),"")</f>
        <v/>
      </c>
      <c r="D555" s="495" t="str">
        <f>IFERROR(__xludf.DUMMYFUNCTION("""COMPUTED_VALUE"""),"Juan Ignacio Solís de Ovando")</f>
        <v>Juan Ignacio Solís de Ovando</v>
      </c>
      <c r="E555" s="495"/>
      <c r="F555" s="496" t="str">
        <f>IFERROR(__xludf.DUMMYFUNCTION("""COMPUTED_VALUE"""),"3405-2026")</f>
        <v>3405-2026</v>
      </c>
      <c r="G555" s="495"/>
      <c r="H555" s="495"/>
      <c r="I555" s="495"/>
      <c r="J555" s="495" t="str">
        <f>IFERROR(__xludf.DUMMYFUNCTION("""COMPUTED_VALUE"""),"Campus Dr. Luis Rivas del Canto - CRC")</f>
        <v>Campus Dr. Luis Rivas del Canto - CRC</v>
      </c>
      <c r="K555" s="495">
        <f>IFERROR(__xludf.DUMMYFUNCTION("""COMPUTED_VALUE"""),10.0)</f>
        <v>10</v>
      </c>
      <c r="L555" s="495" t="str">
        <f>IFERROR(__xludf.DUMMYFUNCTION("""COMPUTED_VALUE"""),"SOCIEDAD COMERCIAL ESPACIO MUEBLES LTDA")</f>
        <v>SOCIEDAD COMERCIAL ESPACIO MUEBLES LTDA</v>
      </c>
      <c r="M555" s="495" t="str">
        <f>IFERROR(__xludf.DUMMYFUNCTION("""COMPUTED_VALUE"""),"77.544.225-5")</f>
        <v>77.544.225-5</v>
      </c>
      <c r="N555" s="495" t="str">
        <f>IFERROR(__xludf.DUMMYFUNCTION("""COMPUTED_VALUE"""),"EMILIO ABURTO -  DIRECTOR OPERACIONES")</f>
        <v>EMILIO ABURTO -  DIRECTOR OPERACIONES</v>
      </c>
      <c r="O555" s="495" t="str">
        <f>IFERROR(__xludf.DUMMYFUNCTION("""COMPUTED_VALUE"""),"Obras y Especialidades")</f>
        <v>Obras y Especialidades</v>
      </c>
      <c r="P555" s="495"/>
      <c r="Q555" s="495"/>
      <c r="R555" s="495" t="str">
        <f>IFERROR(__xludf.DUMMYFUNCTION("""COMPUTED_VALUE"""),"Especialidades")</f>
        <v>Especialidades</v>
      </c>
      <c r="S555" s="495" t="str">
        <f>IFERROR(__xludf.DUMMYFUNCTION("""COMPUTED_VALUE"""),"Estado de Pago - EP")</f>
        <v>Estado de Pago - EP</v>
      </c>
      <c r="T555" s="495">
        <f>IFERROR(__xludf.DUMMYFUNCTION("""COMPUTED_VALUE"""),1.0)</f>
        <v>1</v>
      </c>
      <c r="U555" s="498">
        <f>IFERROR(__xludf.DUMMYFUNCTION("""COMPUTED_VALUE"""),493850.0)</f>
        <v>493850</v>
      </c>
      <c r="V555" s="495" t="str">
        <f>IFERROR(__xludf.DUMMYFUNCTION("""COMPUTED_VALUE"""),"iMPLEMENTACIÓN ESTACION TRABAJO Y SILLA TIPO CAJERO SALA AUDIO")</f>
        <v>iMPLEMENTACIÓN ESTACION TRABAJO Y SILLA TIPO CAJERO SALA AUDIO</v>
      </c>
      <c r="W555" s="495"/>
      <c r="X555" s="499" t="str">
        <f>IFERROR(__xludf.DUMMYFUNCTION("""COMPUTED_VALUE"""),"https://drive.google.com/open?id=17l1h3JFIneEYkuKOPSRettvLnpGGeR-L")</f>
        <v>https://drive.google.com/open?id=17l1h3JFIneEYkuKOPSRettvLnpGGeR-L</v>
      </c>
      <c r="Y555" s="495" t="str">
        <f>IFERROR(__xludf.DUMMYFUNCTION("""COMPUTED_VALUE"""),"contacto.espaciomuebles@gmail.com")</f>
        <v>contacto.espaciomuebles@gmail.com</v>
      </c>
      <c r="Z555" s="498">
        <f>IFERROR(__xludf.DUMMYFUNCTION("""COMPUTED_VALUE"""),493850.0)</f>
        <v>493850</v>
      </c>
      <c r="AA555" s="495"/>
      <c r="AB555" s="495"/>
      <c r="AC555" s="495"/>
      <c r="AD555" s="495" t="str">
        <f>IFERROR(__xludf.DUMMYFUNCTION("""COMPUTED_VALUE"""),"RC-233_26")</f>
        <v>RC-233_26</v>
      </c>
    </row>
    <row r="556">
      <c r="A556" s="495" t="str">
        <f t="shared" si="1"/>
        <v>RC-083</v>
      </c>
      <c r="B556" s="497">
        <f>IFERROR(__xludf.DUMMYFUNCTION("""COMPUTED_VALUE"""),45992.66017350694)</f>
        <v>45992.66017</v>
      </c>
      <c r="C556" s="495" t="str">
        <f>IFERROR(__xludf.DUMMYFUNCTION("""COMPUTED_VALUE"""),"")</f>
        <v/>
      </c>
      <c r="D556" s="495" t="str">
        <f>IFERROR(__xludf.DUMMYFUNCTION("""COMPUTED_VALUE"""),"Felipe Anselme Grandón")</f>
        <v>Felipe Anselme Grandón</v>
      </c>
      <c r="E556" s="495"/>
      <c r="F556" s="496" t="str">
        <f>IFERROR(__xludf.DUMMYFUNCTION("""COMPUTED_VALUE"""),"12243 - 2025")</f>
        <v>12243 - 2025</v>
      </c>
      <c r="G556" s="495"/>
      <c r="H556" s="495"/>
      <c r="I556" s="495"/>
      <c r="J556" s="495" t="str">
        <f>IFERROR(__xludf.DUMMYFUNCTION("""COMPUTED_VALUE"""),"Campus San Juan Pablo II - CJP")</f>
        <v>Campus San Juan Pablo II - CJP</v>
      </c>
      <c r="K556" s="495" t="str">
        <f>IFERROR(__xludf.DUMMYFUNCTION("""COMPUTED_VALUE"""),"05")</f>
        <v>05</v>
      </c>
      <c r="L556" s="495" t="str">
        <f>IFERROR(__xludf.DUMMYFUNCTION("""COMPUTED_VALUE"""),"Flavia Oyarzun Soto")</f>
        <v>Flavia Oyarzun Soto</v>
      </c>
      <c r="M556" s="495" t="str">
        <f>IFERROR(__xludf.DUMMYFUNCTION("""COMPUTED_VALUE"""),"5.503.590-3 ")</f>
        <v>5.503.590-3 </v>
      </c>
      <c r="N556" s="495" t="str">
        <f>IFERROR(__xludf.DUMMYFUNCTION("""COMPUTED_VALUE"""),"Roberto Lassalle ")</f>
        <v>Roberto Lassalle </v>
      </c>
      <c r="O556" s="495" t="str">
        <f>IFERROR(__xludf.DUMMYFUNCTION("""COMPUTED_VALUE"""),"Mantenciones")</f>
        <v>Mantenciones</v>
      </c>
      <c r="P556" s="495" t="str">
        <f>IFERROR(__xludf.DUMMYFUNCTION("""COMPUTED_VALUE"""),"Terminaciones Interiores")</f>
        <v>Terminaciones Interiores</v>
      </c>
      <c r="Q556" s="495"/>
      <c r="R556" s="495"/>
      <c r="S556" s="495"/>
      <c r="T556" s="495"/>
      <c r="U556" s="495"/>
      <c r="V556" s="495" t="str">
        <f>IFERROR(__xludf.DUMMYFUNCTION("""COMPUTED_VALUE"""),"Aplicación de pintura en muros interiores, sala de basura.")</f>
        <v>Aplicación de pintura en muros interiores, sala de basura.</v>
      </c>
      <c r="W556" s="495"/>
      <c r="X556" s="495" t="str">
        <f>IFERROR(__xludf.DUMMYFUNCTION("""COMPUTED_VALUE"""),"https://drive.google.com/open?id=1F2LM9QbD96fVcFCuJfqUAYz0S3p04Xmx, https://drive.google.com/open?id=148f4USpuXUiNveijFtbkl235lmLbbhwM, https://drive.google.com/open?id=1625vyrVeJTeezTEJqygaxTul3hA6JRys, https://drive.google.com/open?id=18oouiLuMunUmAZGyN"&amp;"VTVRFPRFiDTuwnJ")</f>
        <v>https://drive.google.com/open?id=1F2LM9QbD96fVcFCuJfqUAYz0S3p04Xmx, https://drive.google.com/open?id=148f4USpuXUiNveijFtbkl235lmLbbhwM, https://drive.google.com/open?id=1625vyrVeJTeezTEJqygaxTul3hA6JRys, https://drive.google.com/open?id=18oouiLuMunUmAZGyNVTVRFPRFiDTuwnJ</v>
      </c>
      <c r="Y556" s="495" t="str">
        <f>IFERROR(__xludf.DUMMYFUNCTION("""COMPUTED_VALUE"""),"roberto.lassalle@gmail.com")</f>
        <v>roberto.lassalle@gmail.com</v>
      </c>
      <c r="Z556" s="495"/>
      <c r="AA556" s="495"/>
      <c r="AB556" s="495"/>
      <c r="AC556" s="495"/>
      <c r="AD556" s="495" t="str">
        <f>IFERROR(__xludf.DUMMYFUNCTION("""COMPUTED_VALUE"""),"RC-083")</f>
        <v>RC-083</v>
      </c>
    </row>
    <row r="557">
      <c r="A557" s="495" t="str">
        <f t="shared" si="1"/>
        <v>RC-082</v>
      </c>
      <c r="B557" s="497">
        <f>IFERROR(__xludf.DUMMYFUNCTION("""COMPUTED_VALUE"""),45989.632886782405)</f>
        <v>45989.63289</v>
      </c>
      <c r="C557" s="495" t="str">
        <f>IFERROR(__xludf.DUMMYFUNCTION("""COMPUTED_VALUE"""),"")</f>
        <v/>
      </c>
      <c r="D557" s="495" t="str">
        <f>IFERROR(__xludf.DUMMYFUNCTION("""COMPUTED_VALUE"""),"Mauricio Zurita Aldea")</f>
        <v>Mauricio Zurita Aldea</v>
      </c>
      <c r="E557" s="495"/>
      <c r="F557" s="496" t="str">
        <f>IFERROR(__xludf.DUMMYFUNCTION("""COMPUTED_VALUE"""),"807-2025")</f>
        <v>807-2025</v>
      </c>
      <c r="G557" s="495"/>
      <c r="H557" s="495"/>
      <c r="I557" s="495"/>
      <c r="J557" s="495" t="str">
        <f>IFERROR(__xludf.DUMMYFUNCTION("""COMPUTED_VALUE"""),"Campus Prieto Norte - CHS")</f>
        <v>Campus Prieto Norte - CHS</v>
      </c>
      <c r="K557" s="495" t="str">
        <f>IFERROR(__xludf.DUMMYFUNCTION("""COMPUTED_VALUE"""),"01")</f>
        <v>01</v>
      </c>
      <c r="L557" s="495" t="str">
        <f>IFERROR(__xludf.DUMMYFUNCTION("""COMPUTED_VALUE"""),"gyg servicios spa")</f>
        <v>gyg servicios spa</v>
      </c>
      <c r="M557" s="495" t="str">
        <f>IFERROR(__xludf.DUMMYFUNCTION("""COMPUTED_VALUE"""),"77.215.624-3")</f>
        <v>77.215.624-3</v>
      </c>
      <c r="N557" s="495" t="str">
        <f>IFERROR(__xludf.DUMMYFUNCTION("""COMPUTED_VALUE"""),"Gustavo Fuentes - técnico instalador")</f>
        <v>Gustavo Fuentes - técnico instalador</v>
      </c>
      <c r="O557" s="495" t="str">
        <f>IFERROR(__xludf.DUMMYFUNCTION("""COMPUTED_VALUE"""),"Mantenciones")</f>
        <v>Mantenciones</v>
      </c>
      <c r="P557" s="495" t="str">
        <f>IFERROR(__xludf.DUMMYFUNCTION("""COMPUTED_VALUE"""),"Instalaciones Eléctricas")</f>
        <v>Instalaciones Eléctricas</v>
      </c>
      <c r="Q557" s="495"/>
      <c r="R557" s="495"/>
      <c r="S557" s="495"/>
      <c r="T557" s="495"/>
      <c r="U557" s="495"/>
      <c r="V557" s="495" t="str">
        <f>IFERROR(__xludf.DUMMYFUNCTION("""COMPUTED_VALUE"""),"instalación de controles de acceso")</f>
        <v>instalación de controles de acceso</v>
      </c>
      <c r="W557" s="495"/>
      <c r="X557" s="499" t="str">
        <f>IFERROR(__xludf.DUMMYFUNCTION("""COMPUTED_VALUE"""),"https://drive.google.com/open?id=1ozBd4Kxf17JWQtVXiWl9qjvaJLrATT8o")</f>
        <v>https://drive.google.com/open?id=1ozBd4Kxf17JWQtVXiWl9qjvaJLrATT8o</v>
      </c>
      <c r="Y557" s="495" t="str">
        <f>IFERROR(__xludf.DUMMYFUNCTION("""COMPUTED_VALUE"""),"contacto@gygtecnologias.com")</f>
        <v>contacto@gygtecnologias.com</v>
      </c>
      <c r="Z557" s="495"/>
      <c r="AA557" s="495"/>
      <c r="AB557" s="495"/>
      <c r="AC557" s="495"/>
      <c r="AD557" s="495" t="str">
        <f>IFERROR(__xludf.DUMMYFUNCTION("""COMPUTED_VALUE"""),"RC-082")</f>
        <v>RC-082</v>
      </c>
    </row>
    <row r="558">
      <c r="A558" s="495" t="str">
        <f t="shared" si="1"/>
        <v>RC-079</v>
      </c>
      <c r="B558" s="497">
        <f>IFERROR(__xludf.DUMMYFUNCTION("""COMPUTED_VALUE"""),45988.39792152778)</f>
        <v>45988.39792</v>
      </c>
      <c r="C558" s="495" t="str">
        <f>IFERROR(__xludf.DUMMYFUNCTION("""COMPUTED_VALUE"""),"")</f>
        <v/>
      </c>
      <c r="D558" s="495" t="str">
        <f>IFERROR(__xludf.DUMMYFUNCTION("""COMPUTED_VALUE"""),"Carol Huenchual Chañilao")</f>
        <v>Carol Huenchual Chañilao</v>
      </c>
      <c r="E558" s="495"/>
      <c r="F558" s="496" t="str">
        <f>IFERROR(__xludf.DUMMYFUNCTION("""COMPUTED_VALUE"""),"10776-2025")</f>
        <v>10776-2025</v>
      </c>
      <c r="G558" s="495"/>
      <c r="H558" s="495"/>
      <c r="I558" s="495"/>
      <c r="J558" s="495" t="str">
        <f>IFERROR(__xludf.DUMMYFUNCTION("""COMPUTED_VALUE"""),"Campus San Juan Pablo II - CJP")</f>
        <v>Campus San Juan Pablo II - CJP</v>
      </c>
      <c r="K558" s="495" t="str">
        <f>IFERROR(__xludf.DUMMYFUNCTION("""COMPUTED_VALUE"""),"01")</f>
        <v>01</v>
      </c>
      <c r="L558" s="495" t="str">
        <f>IFERROR(__xludf.DUMMYFUNCTION("""COMPUTED_VALUE"""),"SERVICIOS INTEGRALES CRITICOS SPA")</f>
        <v>SERVICIOS INTEGRALES CRITICOS SPA</v>
      </c>
      <c r="M558" s="495" t="str">
        <f>IFERROR(__xludf.DUMMYFUNCTION("""COMPUTED_VALUE"""),"10776-2025")</f>
        <v>10776-2025</v>
      </c>
      <c r="N558" s="495" t="str">
        <f>IFERROR(__xludf.DUMMYFUNCTION("""COMPUTED_VALUE"""),"ROBERTO FUENTES RIFFO  INGENIERO MECANICO")</f>
        <v>ROBERTO FUENTES RIFFO  INGENIERO MECANICO</v>
      </c>
      <c r="O558" s="495" t="str">
        <f>IFERROR(__xludf.DUMMYFUNCTION("""COMPUTED_VALUE"""),"Mantenciones")</f>
        <v>Mantenciones</v>
      </c>
      <c r="P558" s="495" t="str">
        <f>IFERROR(__xludf.DUMMYFUNCTION("""COMPUTED_VALUE"""),"Requerimientos Emergentes e Imprevistos")</f>
        <v>Requerimientos Emergentes e Imprevistos</v>
      </c>
      <c r="Q558" s="495"/>
      <c r="R558" s="495"/>
      <c r="S558" s="495"/>
      <c r="T558" s="495"/>
      <c r="U558" s="495"/>
      <c r="V558" s="495" t="str">
        <f>IFERROR(__xludf.DUMMYFUNCTION("""COMPUTED_VALUE"""),"CERTIFICAR  CALDERA SEREMI SALUD ANTE SEREMI SALUD")</f>
        <v>CERTIFICAR  CALDERA SEREMI SALUD ANTE SEREMI SALUD</v>
      </c>
      <c r="W558" s="495" t="str">
        <f>IFERROR(__xludf.DUMMYFUNCTION("""COMPUTED_VALUE"""),"REALIZAR CERTIFICACION SEGUN FECHA INDICA INFORME TECNICO")</f>
        <v>REALIZAR CERTIFICACION SEGUN FECHA INDICA INFORME TECNICO</v>
      </c>
      <c r="X558" s="499" t="str">
        <f>IFERROR(__xludf.DUMMYFUNCTION("""COMPUTED_VALUE"""),"https://drive.google.com/open?id=1raAuLih6-Khu4omWaArvvMkcvPiBBRzU, https://drive.google.com/open?id=1cPmG_u-qkx0XkdGKScMyr--rZYYX-8kQ")</f>
        <v>https://drive.google.com/open?id=1raAuLih6-Khu4omWaArvvMkcvPiBBRzU, https://drive.google.com/open?id=1cPmG_u-qkx0XkdGKScMyr--rZYYX-8kQ</v>
      </c>
      <c r="Y558" s="495" t="str">
        <f>IFERROR(__xludf.DUMMYFUNCTION("""COMPUTED_VALUE"""),"fuentes.roberto1@gmail.com")</f>
        <v>fuentes.roberto1@gmail.com</v>
      </c>
      <c r="Z558" s="495"/>
      <c r="AA558" s="495"/>
      <c r="AB558" s="495"/>
      <c r="AC558" s="495"/>
      <c r="AD558" s="495" t="str">
        <f>IFERROR(__xludf.DUMMYFUNCTION("""COMPUTED_VALUE"""),"RC-079")</f>
        <v>RC-079</v>
      </c>
    </row>
    <row r="559">
      <c r="A559" s="495" t="str">
        <f t="shared" si="1"/>
        <v>RC-237_26</v>
      </c>
      <c r="B559" s="497">
        <f>IFERROR(__xludf.DUMMYFUNCTION("""COMPUTED_VALUE"""),46182.60002016203)</f>
        <v>46182.60002</v>
      </c>
      <c r="C559" s="495" t="str">
        <f>IFERROR(__xludf.DUMMYFUNCTION("""COMPUTED_VALUE"""),"")</f>
        <v/>
      </c>
      <c r="D559" s="495" t="str">
        <f>IFERROR(__xludf.DUMMYFUNCTION("""COMPUTED_VALUE"""),"Leonor Ríos Morales")</f>
        <v>Leonor Ríos Morales</v>
      </c>
      <c r="E559" s="495"/>
      <c r="F559" s="496">
        <f>IFERROR(__xludf.DUMMYFUNCTION("""COMPUTED_VALUE"""),3815.0)</f>
        <v>3815</v>
      </c>
      <c r="G559" s="495"/>
      <c r="H559" s="495"/>
      <c r="I559" s="495"/>
      <c r="J559" s="495" t="str">
        <f>IFERROR(__xludf.DUMMYFUNCTION("""COMPUTED_VALUE"""),"Campus Prieto Norte - CHS")</f>
        <v>Campus Prieto Norte - CHS</v>
      </c>
      <c r="K559" s="495" t="str">
        <f>IFERROR(__xludf.DUMMYFUNCTION("""COMPUTED_VALUE"""),"01")</f>
        <v>01</v>
      </c>
      <c r="L559" s="495" t="str">
        <f>IFERROR(__xludf.DUMMYFUNCTION("""COMPUTED_VALUE"""),"DSIETE SPA")</f>
        <v>DSIETE SPA</v>
      </c>
      <c r="M559" s="495" t="str">
        <f>IFERROR(__xludf.DUMMYFUNCTION("""COMPUTED_VALUE"""),"77.964.311-5")</f>
        <v>77.964.311-5</v>
      </c>
      <c r="N559" s="495" t="str">
        <f>IFERROR(__xludf.DUMMYFUNCTION("""COMPUTED_VALUE"""),"DANIELLA VIDAL ")</f>
        <v>DANIELLA VIDAL </v>
      </c>
      <c r="O559" s="495" t="str">
        <f>IFERROR(__xludf.DUMMYFUNCTION("""COMPUTED_VALUE"""),"Obras y Especialidades")</f>
        <v>Obras y Especialidades</v>
      </c>
      <c r="P559" s="495"/>
      <c r="Q559" s="495"/>
      <c r="R559" s="495" t="str">
        <f>IFERROR(__xludf.DUMMYFUNCTION("""COMPUTED_VALUE"""),"Nuevo Edificio")</f>
        <v>Nuevo Edificio</v>
      </c>
      <c r="S559" s="495" t="str">
        <f>IFERROR(__xludf.DUMMYFUNCTION("""COMPUTED_VALUE"""),"Recepción de Obra - RC")</f>
        <v>Recepción de Obra - RC</v>
      </c>
      <c r="T559" s="495"/>
      <c r="U559" s="495"/>
      <c r="V559" s="495" t="str">
        <f>IFERROR(__xludf.DUMMYFUNCTION("""COMPUTED_VALUE"""),"INATALACION DE NUMEROS VOLUMETRICOS  ")</f>
        <v>INATALACION DE NUMEROS VOLUMETRICOS  </v>
      </c>
      <c r="W559" s="495"/>
      <c r="X559" s="499" t="str">
        <f>IFERROR(__xludf.DUMMYFUNCTION("""COMPUTED_VALUE"""),"https://drive.google.com/open?id=1Zn6jhOK47GrlceAWFOM25_a0KzMeS5Yj")</f>
        <v>https://drive.google.com/open?id=1Zn6jhOK47GrlceAWFOM25_a0KzMeS5Yj</v>
      </c>
      <c r="Y559" s="495" t="str">
        <f>IFERROR(__xludf.DUMMYFUNCTION("""COMPUTED_VALUE"""),"dsiete.design@gmail.com")</f>
        <v>dsiete.design@gmail.com</v>
      </c>
      <c r="Z559" s="498">
        <f>IFERROR(__xludf.DUMMYFUNCTION("""COMPUTED_VALUE"""),85323.0)</f>
        <v>85323</v>
      </c>
      <c r="AA559" s="495"/>
      <c r="AB559" s="495"/>
      <c r="AC559" s="495"/>
      <c r="AD559" s="495" t="str">
        <f>IFERROR(__xludf.DUMMYFUNCTION("""COMPUTED_VALUE"""),"RC-237_26")</f>
        <v>RC-237_26</v>
      </c>
    </row>
    <row r="560">
      <c r="A560" s="495" t="str">
        <f t="shared" si="1"/>
        <v>RC-078</v>
      </c>
      <c r="B560" s="497">
        <f>IFERROR(__xludf.DUMMYFUNCTION("""COMPUTED_VALUE"""),45988.38261359953)</f>
        <v>45988.38261</v>
      </c>
      <c r="C560" s="495" t="str">
        <f>IFERROR(__xludf.DUMMYFUNCTION("""COMPUTED_VALUE"""),"")</f>
        <v/>
      </c>
      <c r="D560" s="495" t="str">
        <f>IFERROR(__xludf.DUMMYFUNCTION("""COMPUTED_VALUE"""),"Carol Huenchual Chañilao")</f>
        <v>Carol Huenchual Chañilao</v>
      </c>
      <c r="E560" s="495"/>
      <c r="F560" s="496" t="str">
        <f>IFERROR(__xludf.DUMMYFUNCTION("""COMPUTED_VALUE"""),"8190-2025")</f>
        <v>8190-2025</v>
      </c>
      <c r="G560" s="495"/>
      <c r="H560" s="495"/>
      <c r="I560" s="495"/>
      <c r="J560" s="495" t="str">
        <f>IFERROR(__xludf.DUMMYFUNCTION("""COMPUTED_VALUE"""),"Campus San Juan Pablo II - CJP")</f>
        <v>Campus San Juan Pablo II - CJP</v>
      </c>
      <c r="K560" s="495" t="str">
        <f>IFERROR(__xludf.DUMMYFUNCTION("""COMPUTED_VALUE"""),"08")</f>
        <v>08</v>
      </c>
      <c r="L560" s="495" t="str">
        <f>IFERROR(__xludf.DUMMYFUNCTION("""COMPUTED_VALUE"""),"SERVICIOS INTEGRALES CRITICOS SPA")</f>
        <v>SERVICIOS INTEGRALES CRITICOS SPA</v>
      </c>
      <c r="M560" s="495" t="str">
        <f>IFERROR(__xludf.DUMMYFUNCTION("""COMPUTED_VALUE"""),"77.248.719-3")</f>
        <v>77.248.719-3</v>
      </c>
      <c r="N560" s="495" t="str">
        <f>IFERROR(__xludf.DUMMYFUNCTION("""COMPUTED_VALUE"""),"ROBERTO FUENTES RIFFO INGENIERO")</f>
        <v>ROBERTO FUENTES RIFFO INGENIERO</v>
      </c>
      <c r="O560" s="495" t="str">
        <f>IFERROR(__xludf.DUMMYFUNCTION("""COMPUTED_VALUE"""),"Mantenciones")</f>
        <v>Mantenciones</v>
      </c>
      <c r="P560" s="495" t="str">
        <f>IFERROR(__xludf.DUMMYFUNCTION("""COMPUTED_VALUE"""),"Requerimientos Emergentes e Imprevistos")</f>
        <v>Requerimientos Emergentes e Imprevistos</v>
      </c>
      <c r="Q560" s="495"/>
      <c r="R560" s="495"/>
      <c r="S560" s="495"/>
      <c r="T560" s="495"/>
      <c r="U560" s="495"/>
      <c r="V560" s="495" t="str">
        <f>IFERROR(__xludf.DUMMYFUNCTION("""COMPUTED_VALUE"""),"CMABIO VARIADOR DE FRECUENCIA CALDERA 50+1")</f>
        <v>CMABIO VARIADOR DE FRECUENCIA CALDERA 50+1</v>
      </c>
      <c r="W560" s="495" t="str">
        <f>IFERROR(__xludf.DUMMYFUNCTION("""COMPUTED_VALUE"""),"REALIZAR MANTENCION ANUAL")</f>
        <v>REALIZAR MANTENCION ANUAL</v>
      </c>
      <c r="X560" s="495" t="str">
        <f>IFERROR(__xludf.DUMMYFUNCTION("""COMPUTED_VALUE"""),"https://drive.google.com/open?id=1zl47qtmNL_Xy-7C7SW_w4kW7ENemWGAo, https://drive.google.com/open?id=1SuL9VeQRMjVpMjo4t7yKDpXbJ7Pud1ti, https://drive.google.com/open?id=1YhmdCRBfHRJbkSBcDrD8a0t2GJpGAi3N")</f>
        <v>https://drive.google.com/open?id=1zl47qtmNL_Xy-7C7SW_w4kW7ENemWGAo, https://drive.google.com/open?id=1SuL9VeQRMjVpMjo4t7yKDpXbJ7Pud1ti, https://drive.google.com/open?id=1YhmdCRBfHRJbkSBcDrD8a0t2GJpGAi3N</v>
      </c>
      <c r="Y560" s="495" t="str">
        <f>IFERROR(__xludf.DUMMYFUNCTION("""COMPUTED_VALUE"""),"fuentes.roberto1@gmail.com")</f>
        <v>fuentes.roberto1@gmail.com</v>
      </c>
      <c r="Z560" s="495"/>
      <c r="AA560" s="495"/>
      <c r="AB560" s="495"/>
      <c r="AC560" s="495"/>
      <c r="AD560" s="495" t="str">
        <f>IFERROR(__xludf.DUMMYFUNCTION("""COMPUTED_VALUE"""),"RC-078")</f>
        <v>RC-078</v>
      </c>
    </row>
    <row r="561">
      <c r="A561" s="495" t="str">
        <f t="shared" si="1"/>
        <v>RC-077</v>
      </c>
      <c r="B561" s="497">
        <f>IFERROR(__xludf.DUMMYFUNCTION("""COMPUTED_VALUE"""),45987.99628961805)</f>
        <v>45987.99629</v>
      </c>
      <c r="C561" s="495" t="str">
        <f>IFERROR(__xludf.DUMMYFUNCTION("""COMPUTED_VALUE"""),"")</f>
        <v/>
      </c>
      <c r="D561" s="495" t="str">
        <f>IFERROR(__xludf.DUMMYFUNCTION("""COMPUTED_VALUE"""),"Carol Huenchual Chañilao")</f>
        <v>Carol Huenchual Chañilao</v>
      </c>
      <c r="E561" s="495"/>
      <c r="F561" s="496" t="str">
        <f>IFERROR(__xludf.DUMMYFUNCTION("""COMPUTED_VALUE"""),"6695-2025")</f>
        <v>6695-2025</v>
      </c>
      <c r="G561" s="495"/>
      <c r="H561" s="495"/>
      <c r="I561" s="495"/>
      <c r="J561" s="495" t="str">
        <f>IFERROR(__xludf.DUMMYFUNCTION("""COMPUTED_VALUE"""),"Campus San Juan Pablo II - CJP")</f>
        <v>Campus San Juan Pablo II - CJP</v>
      </c>
      <c r="K561" s="495" t="str">
        <f>IFERROR(__xludf.DUMMYFUNCTION("""COMPUTED_VALUE"""),"08")</f>
        <v>08</v>
      </c>
      <c r="L561" s="495" t="str">
        <f>IFERROR(__xludf.DUMMYFUNCTION("""COMPUTED_VALUE"""),"SERVICIOS INTEGRALES CRITICOS SPA")</f>
        <v>SERVICIOS INTEGRALES CRITICOS SPA</v>
      </c>
      <c r="M561" s="495" t="str">
        <f>IFERROR(__xludf.DUMMYFUNCTION("""COMPUTED_VALUE"""),"77.248.719-3")</f>
        <v>77.248.719-3</v>
      </c>
      <c r="N561" s="495" t="str">
        <f>IFERROR(__xludf.DUMMYFUNCTION("""COMPUTED_VALUE"""),"ROBERTO FUENTES RIFFO  INGENIERO")</f>
        <v>ROBERTO FUENTES RIFFO  INGENIERO</v>
      </c>
      <c r="O561" s="495" t="str">
        <f>IFERROR(__xludf.DUMMYFUNCTION("""COMPUTED_VALUE"""),"Mantenciones")</f>
        <v>Mantenciones</v>
      </c>
      <c r="P561" s="495" t="str">
        <f>IFERROR(__xludf.DUMMYFUNCTION("""COMPUTED_VALUE"""),"Requerimientos Emergentes e Imprevistos")</f>
        <v>Requerimientos Emergentes e Imprevistos</v>
      </c>
      <c r="Q561" s="495"/>
      <c r="R561" s="495"/>
      <c r="S561" s="495"/>
      <c r="T561" s="495"/>
      <c r="U561" s="495"/>
      <c r="V561" s="495" t="str">
        <f>IFERROR(__xludf.DUMMYFUNCTION("""COMPUTED_VALUE"""),"MANTENCION ESTANQUES DE EXPANSION")</f>
        <v>MANTENCION ESTANQUES DE EXPANSION</v>
      </c>
      <c r="W561" s="495" t="str">
        <f>IFERROR(__xludf.DUMMYFUNCTION("""COMPUTED_VALUE"""),"REALIZAR MANTENCION UNA VEZ AL AÑO")</f>
        <v>REALIZAR MANTENCION UNA VEZ AL AÑO</v>
      </c>
      <c r="X561" s="495" t="str">
        <f>IFERROR(__xludf.DUMMYFUNCTION("""COMPUTED_VALUE"""),"https://drive.google.com/open?id=1PwHNsmhDrl8bots4PkP9VxwnyEMNyxOp, https://drive.google.com/open?id=1pJlp-6k_Hvs8TcYfIdfQu7BLv1ekCB5Q")</f>
        <v>https://drive.google.com/open?id=1PwHNsmhDrl8bots4PkP9VxwnyEMNyxOp, https://drive.google.com/open?id=1pJlp-6k_Hvs8TcYfIdfQu7BLv1ekCB5Q</v>
      </c>
      <c r="Y561" s="495" t="str">
        <f>IFERROR(__xludf.DUMMYFUNCTION("""COMPUTED_VALUE"""),"fuentes.roberto1@gmail.com")</f>
        <v>fuentes.roberto1@gmail.com</v>
      </c>
      <c r="Z561" s="495"/>
      <c r="AA561" s="495"/>
      <c r="AB561" s="495"/>
      <c r="AC561" s="495"/>
      <c r="AD561" s="495" t="str">
        <f>IFERROR(__xludf.DUMMYFUNCTION("""COMPUTED_VALUE"""),"RC-077")</f>
        <v>RC-077</v>
      </c>
    </row>
    <row r="562">
      <c r="A562" s="495" t="str">
        <f t="shared" si="1"/>
        <v>RC-240_26</v>
      </c>
      <c r="B562" s="497">
        <f>IFERROR(__xludf.DUMMYFUNCTION("""COMPUTED_VALUE"""),46185.43910101852)</f>
        <v>46185.4391</v>
      </c>
      <c r="C562" s="495" t="str">
        <f>IFERROR(__xludf.DUMMYFUNCTION("""COMPUTED_VALUE"""),"")</f>
        <v/>
      </c>
      <c r="D562" s="495" t="str">
        <f>IFERROR(__xludf.DUMMYFUNCTION("""COMPUTED_VALUE"""),"Leonor Ríos Morales")</f>
        <v>Leonor Ríos Morales</v>
      </c>
      <c r="E562" s="495"/>
      <c r="F562" s="496">
        <f>IFERROR(__xludf.DUMMYFUNCTION("""COMPUTED_VALUE"""),13721.0)</f>
        <v>13721</v>
      </c>
      <c r="G562" s="495"/>
      <c r="H562" s="495"/>
      <c r="I562" s="495"/>
      <c r="J562" s="495" t="str">
        <f>IFERROR(__xludf.DUMMYFUNCTION("""COMPUTED_VALUE"""),"Campus Dr. Luis Rivas del Canto - CRC")</f>
        <v>Campus Dr. Luis Rivas del Canto - CRC</v>
      </c>
      <c r="K562" s="495" t="str">
        <f>IFERROR(__xludf.DUMMYFUNCTION("""COMPUTED_VALUE"""),"01")</f>
        <v>01</v>
      </c>
      <c r="L562" s="495" t="str">
        <f>IFERROR(__xludf.DUMMYFUNCTION("""COMPUTED_VALUE"""),"PUA SPA")</f>
        <v>PUA SPA</v>
      </c>
      <c r="M562" s="495" t="str">
        <f>IFERROR(__xludf.DUMMYFUNCTION("""COMPUTED_VALUE"""),"76.962.330-2")</f>
        <v>76.962.330-2</v>
      </c>
      <c r="N562" s="495" t="str">
        <f>IFERROR(__xludf.DUMMYFUNCTION("""COMPUTED_VALUE"""),"Jorge Martínez - Supervisor de Instalaciones")</f>
        <v>Jorge Martínez - Supervisor de Instalaciones</v>
      </c>
      <c r="O562" s="495" t="str">
        <f>IFERROR(__xludf.DUMMYFUNCTION("""COMPUTED_VALUE"""),"Obras y Especialidades")</f>
        <v>Obras y Especialidades</v>
      </c>
      <c r="P562" s="495"/>
      <c r="Q562" s="495"/>
      <c r="R562" s="495" t="str">
        <f>IFERROR(__xludf.DUMMYFUNCTION("""COMPUTED_VALUE"""),"Remodelación")</f>
        <v>Remodelación</v>
      </c>
      <c r="S562" s="495" t="str">
        <f>IFERROR(__xludf.DUMMYFUNCTION("""COMPUTED_VALUE"""),"Recepción de Obra - RC")</f>
        <v>Recepción de Obra - RC</v>
      </c>
      <c r="T562" s="495"/>
      <c r="U562" s="495"/>
      <c r="V562" s="495" t="str">
        <f>IFERROR(__xludf.DUMMYFUNCTION("""COMPUTED_VALUE"""),"Se envían dos unidades de adhesivo Totem CRC Impresión full color en adhesivo para exterior 3M Scotchcal laminado mate. Dimensiones: 61,3 x 47 cm. Se confirma recepción por parte de la mandante.")</f>
        <v>Se envían dos unidades de adhesivo Totem CRC Impresión full color en adhesivo para exterior 3M Scotchcal laminado mate. Dimensiones: 61,3 x 47 cm. Se confirma recepción por parte de la mandante.</v>
      </c>
      <c r="W562" s="495"/>
      <c r="X562" s="495" t="str">
        <f>IFERROR(__xludf.DUMMYFUNCTION("""COMPUTED_VALUE"""),"https://drive.google.com/open?id=1S0pjmjplYbwqM2gQMAhD_2Tdupl3RN6_, https://drive.google.com/open?id=1hubYSF3OQPDzkue_pX-37EnMBAYpjfp_")</f>
        <v>https://drive.google.com/open?id=1S0pjmjplYbwqM2gQMAhD_2Tdupl3RN6_, https://drive.google.com/open?id=1hubYSF3OQPDzkue_pX-37EnMBAYpjfp_</v>
      </c>
      <c r="Y562" s="495" t="str">
        <f>IFERROR(__xludf.DUMMYFUNCTION("""COMPUTED_VALUE"""),"diseno@pua.cl")</f>
        <v>diseno@pua.cl</v>
      </c>
      <c r="Z562" s="498">
        <f>IFERROR(__xludf.DUMMYFUNCTION("""COMPUTED_VALUE"""),159936.0)</f>
        <v>159936</v>
      </c>
      <c r="AA562" s="495"/>
      <c r="AB562" s="495"/>
      <c r="AC562" s="495"/>
      <c r="AD562" s="495" t="str">
        <f>IFERROR(__xludf.DUMMYFUNCTION("""COMPUTED_VALUE"""),"RC-240_26")</f>
        <v>RC-240_26</v>
      </c>
    </row>
    <row r="563">
      <c r="A563" s="495" t="str">
        <f t="shared" si="1"/>
        <v>RC-076</v>
      </c>
      <c r="B563" s="497">
        <f>IFERROR(__xludf.DUMMYFUNCTION("""COMPUTED_VALUE"""),45987.98531981482)</f>
        <v>45987.98532</v>
      </c>
      <c r="C563" s="495" t="str">
        <f>IFERROR(__xludf.DUMMYFUNCTION("""COMPUTED_VALUE"""),"")</f>
        <v/>
      </c>
      <c r="D563" s="495" t="str">
        <f>IFERROR(__xludf.DUMMYFUNCTION("""COMPUTED_VALUE"""),"Carol Huenchual Chañilao")</f>
        <v>Carol Huenchual Chañilao</v>
      </c>
      <c r="E563" s="495"/>
      <c r="F563" s="496" t="str">
        <f>IFERROR(__xludf.DUMMYFUNCTION("""COMPUTED_VALUE"""),"6716-2025")</f>
        <v>6716-2025</v>
      </c>
      <c r="G563" s="495"/>
      <c r="H563" s="495"/>
      <c r="I563" s="495"/>
      <c r="J563" s="495" t="str">
        <f>IFERROR(__xludf.DUMMYFUNCTION("""COMPUTED_VALUE"""),"Campus San Juan Pablo II - CJP")</f>
        <v>Campus San Juan Pablo II - CJP</v>
      </c>
      <c r="K563" s="495" t="str">
        <f>IFERROR(__xludf.DUMMYFUNCTION("""COMPUTED_VALUE"""),"01")</f>
        <v>01</v>
      </c>
      <c r="L563" s="495" t="str">
        <f>IFERROR(__xludf.DUMMYFUNCTION("""COMPUTED_VALUE"""),"SERVICIOS INTEGRALES CRITICOS SPA")</f>
        <v>SERVICIOS INTEGRALES CRITICOS SPA</v>
      </c>
      <c r="M563" s="495" t="str">
        <f>IFERROR(__xludf.DUMMYFUNCTION("""COMPUTED_VALUE"""),"77.248.719-3")</f>
        <v>77.248.719-3</v>
      </c>
      <c r="N563" s="495" t="str">
        <f>IFERROR(__xludf.DUMMYFUNCTION("""COMPUTED_VALUE"""),"ROBERTO FUENTES RIFFO  INGENIERO")</f>
        <v>ROBERTO FUENTES RIFFO  INGENIERO</v>
      </c>
      <c r="O563" s="495" t="str">
        <f>IFERROR(__xludf.DUMMYFUNCTION("""COMPUTED_VALUE"""),"Mantenciones")</f>
        <v>Mantenciones</v>
      </c>
      <c r="P563" s="495" t="str">
        <f>IFERROR(__xludf.DUMMYFUNCTION("""COMPUTED_VALUE"""),"Requerimientos Emergentes e Imprevistos")</f>
        <v>Requerimientos Emergentes e Imprevistos</v>
      </c>
      <c r="Q563" s="495"/>
      <c r="R563" s="495"/>
      <c r="S563" s="495"/>
      <c r="T563" s="495"/>
      <c r="U563" s="495"/>
      <c r="V563" s="495" t="str">
        <f>IFERROR(__xludf.DUMMYFUNCTION("""COMPUTED_VALUE"""),"MANTENCION ESTANQUES DE EXPANSION")</f>
        <v>MANTENCION ESTANQUES DE EXPANSION</v>
      </c>
      <c r="W563" s="495" t="str">
        <f>IFERROR(__xludf.DUMMYFUNCTION("""COMPUTED_VALUE"""),"REALIZAR MANTENCION UNA VEZ EL AÑO")</f>
        <v>REALIZAR MANTENCION UNA VEZ EL AÑO</v>
      </c>
      <c r="X563" s="495" t="str">
        <f>IFERROR(__xludf.DUMMYFUNCTION("""COMPUTED_VALUE"""),"https://drive.google.com/open?id=1jKrimJkDlJqN6lnfFcMhHsIVbnyEhM2m, https://drive.google.com/open?id=1e-6WSaaZLyDrG_NFyHN1FewTb1g-TRKH")</f>
        <v>https://drive.google.com/open?id=1jKrimJkDlJqN6lnfFcMhHsIVbnyEhM2m, https://drive.google.com/open?id=1e-6WSaaZLyDrG_NFyHN1FewTb1g-TRKH</v>
      </c>
      <c r="Y563" s="495" t="str">
        <f>IFERROR(__xludf.DUMMYFUNCTION("""COMPUTED_VALUE"""),"fuentes.roberto1@gmail.com")</f>
        <v>fuentes.roberto1@gmail.com</v>
      </c>
      <c r="Z563" s="495"/>
      <c r="AA563" s="495"/>
      <c r="AB563" s="495"/>
      <c r="AC563" s="495"/>
      <c r="AD563" s="495" t="str">
        <f>IFERROR(__xludf.DUMMYFUNCTION("""COMPUTED_VALUE"""),"RC-076")</f>
        <v>RC-076</v>
      </c>
    </row>
    <row r="564">
      <c r="A564" s="495" t="str">
        <f t="shared" si="1"/>
        <v>RC-242_26</v>
      </c>
      <c r="B564" s="497">
        <f>IFERROR(__xludf.DUMMYFUNCTION("""COMPUTED_VALUE"""),46185.64168168981)</f>
        <v>46185.64168</v>
      </c>
      <c r="C564" s="495" t="str">
        <f>IFERROR(__xludf.DUMMYFUNCTION("""COMPUTED_VALUE"""),"")</f>
        <v/>
      </c>
      <c r="D564" s="495" t="str">
        <f>IFERROR(__xludf.DUMMYFUNCTION("""COMPUTED_VALUE"""),"Leonor Ríos Morales")</f>
        <v>Leonor Ríos Morales</v>
      </c>
      <c r="E564" s="495"/>
      <c r="F564" s="496">
        <f>IFERROR(__xludf.DUMMYFUNCTION("""COMPUTED_VALUE"""),3808.0)</f>
        <v>3808</v>
      </c>
      <c r="G564" s="495"/>
      <c r="H564" s="495"/>
      <c r="I564" s="495"/>
      <c r="J564" s="495" t="str">
        <f>IFERROR(__xludf.DUMMYFUNCTION("""COMPUTED_VALUE"""),"Campus Dr. Luis Rivas del Canto - CRC")</f>
        <v>Campus Dr. Luis Rivas del Canto - CRC</v>
      </c>
      <c r="K564" s="495" t="str">
        <f>IFERROR(__xludf.DUMMYFUNCTION("""COMPUTED_VALUE"""),"01")</f>
        <v>01</v>
      </c>
      <c r="L564" s="495" t="str">
        <f>IFERROR(__xludf.DUMMYFUNCTION("""COMPUTED_VALUE"""),"PUA SPA")</f>
        <v>PUA SPA</v>
      </c>
      <c r="M564" s="495" t="str">
        <f>IFERROR(__xludf.DUMMYFUNCTION("""COMPUTED_VALUE"""),"76.962.330-2")</f>
        <v>76.962.330-2</v>
      </c>
      <c r="N564" s="495" t="str">
        <f>IFERROR(__xludf.DUMMYFUNCTION("""COMPUTED_VALUE"""),"Jorge Martínez - Supervisor de Proyectos")</f>
        <v>Jorge Martínez - Supervisor de Proyectos</v>
      </c>
      <c r="O564" s="495" t="str">
        <f>IFERROR(__xludf.DUMMYFUNCTION("""COMPUTED_VALUE"""),"Obras y Especialidades")</f>
        <v>Obras y Especialidades</v>
      </c>
      <c r="P564" s="495"/>
      <c r="Q564" s="495"/>
      <c r="R564" s="495" t="str">
        <f>IFERROR(__xludf.DUMMYFUNCTION("""COMPUTED_VALUE"""),"Remodelación")</f>
        <v>Remodelación</v>
      </c>
      <c r="S564" s="495" t="str">
        <f>IFERROR(__xludf.DUMMYFUNCTION("""COMPUTED_VALUE"""),"Recepción de Obra - RC")</f>
        <v>Recepción de Obra - RC</v>
      </c>
      <c r="T564" s="495"/>
      <c r="U564" s="495"/>
      <c r="V564" s="495" t="str">
        <f>IFERROR(__xludf.DUMMYFUNCTION("""COMPUTED_VALUE"""),"Envío por medio de transporte Starken de señaléticas por concepto de Tótem CRC, que consta de Adhesivo Tótem Completo Impresión full color en adhesivo para exterior
3M Scotchcal laminado mate. Dimensiones: 61,3 x 153 cm. Se envía a dirección Av. Rudecindo"&amp;" Ortega 2351 por solicitud de la mandante quien acusa recibo del mismo en optimas condiciones.")</f>
        <v>Envío por medio de transporte Starken de señaléticas por concepto de Tótem CRC, que consta de Adhesivo Tótem Completo Impresión full color en adhesivo para exterior
3M Scotchcal laminado mate. Dimensiones: 61,3 x 153 cm. Se envía a dirección Av. Rudecindo Ortega 2351 por solicitud de la mandante quien acusa recibo del mismo en optimas condiciones.</v>
      </c>
      <c r="W564" s="495"/>
      <c r="X564" s="495" t="str">
        <f>IFERROR(__xludf.DUMMYFUNCTION("""COMPUTED_VALUE"""),"https://drive.google.com/open?id=12ukb8s57ljEb3a-oWA_g740_aFoH-CFw, https://drive.google.com/open?id=1AigsyUbAwyjY_IS5ro-efJCnW0u1whdP")</f>
        <v>https://drive.google.com/open?id=12ukb8s57ljEb3a-oWA_g740_aFoH-CFw, https://drive.google.com/open?id=1AigsyUbAwyjY_IS5ro-efJCnW0u1whdP</v>
      </c>
      <c r="Y564" s="495" t="str">
        <f>IFERROR(__xludf.DUMMYFUNCTION("""COMPUTED_VALUE"""),"diseno@pua.cl")</f>
        <v>diseno@pua.cl</v>
      </c>
      <c r="Z564" s="498">
        <f>IFERROR(__xludf.DUMMYFUNCTION("""COMPUTED_VALUE"""),159936.0)</f>
        <v>159936</v>
      </c>
      <c r="AA564" s="495"/>
      <c r="AB564" s="495"/>
      <c r="AC564" s="495"/>
      <c r="AD564" s="495" t="str">
        <f>IFERROR(__xludf.DUMMYFUNCTION("""COMPUTED_VALUE"""),"RC-242_26")</f>
        <v>RC-242_26</v>
      </c>
    </row>
    <row r="565">
      <c r="A565" s="495" t="str">
        <f t="shared" si="1"/>
        <v>RC-075</v>
      </c>
      <c r="B565" s="497">
        <f>IFERROR(__xludf.DUMMYFUNCTION("""COMPUTED_VALUE"""),45987.97848104167)</f>
        <v>45987.97848</v>
      </c>
      <c r="C565" s="495" t="str">
        <f>IFERROR(__xludf.DUMMYFUNCTION("""COMPUTED_VALUE"""),"")</f>
        <v/>
      </c>
      <c r="D565" s="495" t="str">
        <f>IFERROR(__xludf.DUMMYFUNCTION("""COMPUTED_VALUE"""),"Carol Huenchual Chañilao")</f>
        <v>Carol Huenchual Chañilao</v>
      </c>
      <c r="E565" s="495"/>
      <c r="F565" s="496" t="str">
        <f>IFERROR(__xludf.DUMMYFUNCTION("""COMPUTED_VALUE"""),"6460-2025")</f>
        <v>6460-2025</v>
      </c>
      <c r="G565" s="495"/>
      <c r="H565" s="495"/>
      <c r="I565" s="495"/>
      <c r="J565" s="495" t="str">
        <f>IFERROR(__xludf.DUMMYFUNCTION("""COMPUTED_VALUE"""),"Campus San Juan Pablo II - CJP")</f>
        <v>Campus San Juan Pablo II - CJP</v>
      </c>
      <c r="K565" s="495" t="str">
        <f>IFERROR(__xludf.DUMMYFUNCTION("""COMPUTED_VALUE"""),"07")</f>
        <v>07</v>
      </c>
      <c r="L565" s="495" t="str">
        <f>IFERROR(__xludf.DUMMYFUNCTION("""COMPUTED_VALUE"""),"SERVICIOS INTEGRALES CRITICOS SPA")</f>
        <v>SERVICIOS INTEGRALES CRITICOS SPA</v>
      </c>
      <c r="M565" s="495" t="str">
        <f>IFERROR(__xludf.DUMMYFUNCTION("""COMPUTED_VALUE"""),"77.248.719-3")</f>
        <v>77.248.719-3</v>
      </c>
      <c r="N565" s="495" t="str">
        <f>IFERROR(__xludf.DUMMYFUNCTION("""COMPUTED_VALUE"""),"ROBERTO FUENTES RIFFO INGENIERO")</f>
        <v>ROBERTO FUENTES RIFFO INGENIERO</v>
      </c>
      <c r="O565" s="495" t="str">
        <f>IFERROR(__xludf.DUMMYFUNCTION("""COMPUTED_VALUE"""),"Mantenciones")</f>
        <v>Mantenciones</v>
      </c>
      <c r="P565" s="495" t="str">
        <f>IFERROR(__xludf.DUMMYFUNCTION("""COMPUTED_VALUE"""),"Requerimientos Emergentes e Imprevistos")</f>
        <v>Requerimientos Emergentes e Imprevistos</v>
      </c>
      <c r="Q565" s="495"/>
      <c r="R565" s="495"/>
      <c r="S565" s="495"/>
      <c r="T565" s="495"/>
      <c r="U565" s="495"/>
      <c r="V565" s="495" t="str">
        <f>IFERROR(__xludf.DUMMYFUNCTION("""COMPUTED_VALUE"""),"MANTENCION ESTANQUE DE EXPANSION")</f>
        <v>MANTENCION ESTANQUE DE EXPANSION</v>
      </c>
      <c r="W565" s="495" t="str">
        <f>IFERROR(__xludf.DUMMYFUNCTION("""COMPUTED_VALUE"""),"REALIZAR MANTENCION 1 VEZ AL AÑO")</f>
        <v>REALIZAR MANTENCION 1 VEZ AL AÑO</v>
      </c>
      <c r="X565" s="495" t="str">
        <f>IFERROR(__xludf.DUMMYFUNCTION("""COMPUTED_VALUE"""),"https://drive.google.com/open?id=1Hk3R5_PIxQiK76HAnVpqcTaY1Ar8y7h-, https://drive.google.com/open?id=12l4tyAXhQbCs1dvsnBL4EzrpIRn3sB-b")</f>
        <v>https://drive.google.com/open?id=1Hk3R5_PIxQiK76HAnVpqcTaY1Ar8y7h-, https://drive.google.com/open?id=12l4tyAXhQbCs1dvsnBL4EzrpIRn3sB-b</v>
      </c>
      <c r="Y565" s="495" t="str">
        <f>IFERROR(__xludf.DUMMYFUNCTION("""COMPUTED_VALUE"""),"fuentes.roberto1@gmail.com")</f>
        <v>fuentes.roberto1@gmail.com</v>
      </c>
      <c r="Z565" s="495"/>
      <c r="AA565" s="495"/>
      <c r="AB565" s="495"/>
      <c r="AC565" s="495"/>
      <c r="AD565" s="495" t="str">
        <f>IFERROR(__xludf.DUMMYFUNCTION("""COMPUTED_VALUE"""),"RC-075")</f>
        <v>RC-075</v>
      </c>
    </row>
    <row r="566">
      <c r="A566" s="495" t="str">
        <f t="shared" si="1"/>
        <v>RC-244_26</v>
      </c>
      <c r="B566" s="497">
        <f>IFERROR(__xludf.DUMMYFUNCTION("""COMPUTED_VALUE"""),46188.554951377315)</f>
        <v>46188.55495</v>
      </c>
      <c r="C566" s="495" t="str">
        <f>IFERROR(__xludf.DUMMYFUNCTION("""COMPUTED_VALUE"""),"")</f>
        <v/>
      </c>
      <c r="D566" s="495" t="str">
        <f>IFERROR(__xludf.DUMMYFUNCTION("""COMPUTED_VALUE"""),"Juan Ignacio Solís de Ovando")</f>
        <v>Juan Ignacio Solís de Ovando</v>
      </c>
      <c r="E566" s="495"/>
      <c r="F566" s="496" t="str">
        <f>IFERROR(__xludf.DUMMYFUNCTION("""COMPUTED_VALUE"""),"4609-2026")</f>
        <v>4609-2026</v>
      </c>
      <c r="G566" s="495"/>
      <c r="H566" s="495"/>
      <c r="I566" s="495"/>
      <c r="J566" s="495" t="str">
        <f>IFERROR(__xludf.DUMMYFUNCTION("""COMPUTED_VALUE"""),"Campus Dr. Luis Rivas del Canto - CRC")</f>
        <v>Campus Dr. Luis Rivas del Canto - CRC</v>
      </c>
      <c r="K566" s="495">
        <f>IFERROR(__xludf.DUMMYFUNCTION("""COMPUTED_VALUE"""),10.0)</f>
        <v>10</v>
      </c>
      <c r="L566" s="495" t="str">
        <f>IFERROR(__xludf.DUMMYFUNCTION("""COMPUTED_VALUE"""),"LUIS SAEZ ALLENDES INGENIERIA Y CONSTRUCCION EIRL")</f>
        <v>LUIS SAEZ ALLENDES INGENIERIA Y CONSTRUCCION EIRL</v>
      </c>
      <c r="M566" s="495" t="str">
        <f>IFERROR(__xludf.DUMMYFUNCTION("""COMPUTED_VALUE"""),"76.219.281-0")</f>
        <v>76.219.281-0</v>
      </c>
      <c r="N566" s="495" t="str">
        <f>IFERROR(__xludf.DUMMYFUNCTION("""COMPUTED_VALUE"""),"LUIS SAEZ ALLENDES")</f>
        <v>LUIS SAEZ ALLENDES</v>
      </c>
      <c r="O566" s="495" t="str">
        <f>IFERROR(__xludf.DUMMYFUNCTION("""COMPUTED_VALUE"""),"Obras y Especialidades")</f>
        <v>Obras y Especialidades</v>
      </c>
      <c r="P566" s="495"/>
      <c r="Q566" s="495"/>
      <c r="R566" s="495" t="str">
        <f>IFERROR(__xludf.DUMMYFUNCTION("""COMPUTED_VALUE"""),"Nuevo Edificio")</f>
        <v>Nuevo Edificio</v>
      </c>
      <c r="S566" s="495" t="str">
        <f>IFERROR(__xludf.DUMMYFUNCTION("""COMPUTED_VALUE"""),"Estado de Pago - EP")</f>
        <v>Estado de Pago - EP</v>
      </c>
      <c r="T566" s="495">
        <f>IFERROR(__xludf.DUMMYFUNCTION("""COMPUTED_VALUE"""),1.0)</f>
        <v>1</v>
      </c>
      <c r="U566" s="498">
        <f>IFERROR(__xludf.DUMMYFUNCTION("""COMPUTED_VALUE"""),1.35040474E8)</f>
        <v>135040474</v>
      </c>
      <c r="V566" s="495" t="str">
        <f>IFERROR(__xludf.DUMMYFUNCTION("""COMPUTED_VALUE"""),"AUMENTO DE OBRA 3 - SEGUN PRESUPUESTO APROBADO")</f>
        <v>AUMENTO DE OBRA 3 - SEGUN PRESUPUESTO APROBADO</v>
      </c>
      <c r="W566" s="495"/>
      <c r="X566" s="495" t="str">
        <f>IFERROR(__xludf.DUMMYFUNCTION("""COMPUTED_VALUE"""),"https://drive.google.com/open?id=1oL6jGZGoo10SDNC_ZGpieRIxLr0DmDef, https://drive.google.com/open?id=1QvhLbEJY9o4ObliDf4lOPPWPVPa2Dw3H, https://drive.google.com/open?id=133HIuxt5Z4iayLcoFgAwIh6BQSdD8pXZ, https://drive.google.com/open?id=1-_crY_Ko53p9tuYJC"&amp;"i3WlIKSVaDLgZ2T, https://drive.google.com/open?id=1YQB9kEhQgh9RhY2kCnAy7Rcw6J_dzfwH, https://drive.google.com/open?id=1HNyzmSwvWg1Xi0Ohm02qd5exFmCpqkI_, https://drive.google.com/open?id=1UggUJ5OtLZngBwlk_Y59uVZ7ggXMqm1x")</f>
        <v>https://drive.google.com/open?id=1oL6jGZGoo10SDNC_ZGpieRIxLr0DmDef, https://drive.google.com/open?id=1QvhLbEJY9o4ObliDf4lOPPWPVPa2Dw3H, https://drive.google.com/open?id=133HIuxt5Z4iayLcoFgAwIh6BQSdD8pXZ, https://drive.google.com/open?id=1-_crY_Ko53p9tuYJCi3WlIKSVaDLgZ2T, https://drive.google.com/open?id=1YQB9kEhQgh9RhY2kCnAy7Rcw6J_dzfwH, https://drive.google.com/open?id=1HNyzmSwvWg1Xi0Ohm02qd5exFmCpqkI_, https://drive.google.com/open?id=1UggUJ5OtLZngBwlk_Y59uVZ7ggXMqm1x</v>
      </c>
      <c r="Y566" s="495" t="str">
        <f>IFERROR(__xludf.DUMMYFUNCTION("""COMPUTED_VALUE"""),"LUISSAEZ@LSAINGENIERIA.CL")</f>
        <v>LUISSAEZ@LSAINGENIERIA.CL</v>
      </c>
      <c r="Z566" s="498">
        <f>IFERROR(__xludf.DUMMYFUNCTION("""COMPUTED_VALUE"""),1.35040474E8)</f>
        <v>135040474</v>
      </c>
      <c r="AA566" s="495"/>
      <c r="AB566" s="495"/>
      <c r="AC566" s="495"/>
      <c r="AD566" s="495" t="str">
        <f>IFERROR(__xludf.DUMMYFUNCTION("""COMPUTED_VALUE"""),"RC-244_26")</f>
        <v>RC-244_26</v>
      </c>
    </row>
    <row r="567">
      <c r="A567" s="495" t="str">
        <f t="shared" si="1"/>
        <v>RC-073</v>
      </c>
      <c r="B567" s="497">
        <f>IFERROR(__xludf.DUMMYFUNCTION("""COMPUTED_VALUE"""),45986.97001851852)</f>
        <v>45986.97002</v>
      </c>
      <c r="C567" s="495" t="str">
        <f>IFERROR(__xludf.DUMMYFUNCTION("""COMPUTED_VALUE"""),"")</f>
        <v/>
      </c>
      <c r="D567" s="495" t="str">
        <f>IFERROR(__xludf.DUMMYFUNCTION("""COMPUTED_VALUE"""),"Carol Huenchual Chañilao")</f>
        <v>Carol Huenchual Chañilao</v>
      </c>
      <c r="E567" s="495"/>
      <c r="F567" s="496" t="str">
        <f>IFERROR(__xludf.DUMMYFUNCTION("""COMPUTED_VALUE"""),"6502-2025")</f>
        <v>6502-2025</v>
      </c>
      <c r="G567" s="495"/>
      <c r="H567" s="495"/>
      <c r="I567" s="495"/>
      <c r="J567" s="495" t="str">
        <f>IFERROR(__xludf.DUMMYFUNCTION("""COMPUTED_VALUE"""),"Campus San Francisco - CSF")</f>
        <v>Campus San Francisco - CSF</v>
      </c>
      <c r="K567" s="495">
        <f>IFERROR(__xludf.DUMMYFUNCTION("""COMPUTED_VALUE"""),15.0)</f>
        <v>15</v>
      </c>
      <c r="L567" s="495" t="str">
        <f>IFERROR(__xludf.DUMMYFUNCTION("""COMPUTED_VALUE"""),"SERVICIOS INTEGRALES CRITICOS SPA")</f>
        <v>SERVICIOS INTEGRALES CRITICOS SPA</v>
      </c>
      <c r="M567" s="495" t="str">
        <f>IFERROR(__xludf.DUMMYFUNCTION("""COMPUTED_VALUE"""),"77.248.719-3")</f>
        <v>77.248.719-3</v>
      </c>
      <c r="N567" s="495" t="str">
        <f>IFERROR(__xludf.DUMMYFUNCTION("""COMPUTED_VALUE"""),"ROBERTO FUENTES RIFFO INGENIERO")</f>
        <v>ROBERTO FUENTES RIFFO INGENIERO</v>
      </c>
      <c r="O567" s="495" t="str">
        <f>IFERROR(__xludf.DUMMYFUNCTION("""COMPUTED_VALUE"""),"Mantenciones")</f>
        <v>Mantenciones</v>
      </c>
      <c r="P567" s="495" t="str">
        <f>IFERROR(__xludf.DUMMYFUNCTION("""COMPUTED_VALUE"""),"Requerimientos Emergentes e Imprevistos")</f>
        <v>Requerimientos Emergentes e Imprevistos</v>
      </c>
      <c r="Q567" s="495"/>
      <c r="R567" s="495"/>
      <c r="S567" s="495"/>
      <c r="T567" s="495"/>
      <c r="U567" s="495"/>
      <c r="V567" s="495" t="str">
        <f>IFERROR(__xludf.DUMMYFUNCTION("""COMPUTED_VALUE"""),"BOMBA  RECIRCULACION EN MAL ESTADO")</f>
        <v>BOMBA  RECIRCULACION EN MAL ESTADO</v>
      </c>
      <c r="W567" s="495" t="str">
        <f>IFERROR(__xludf.DUMMYFUNCTION("""COMPUTED_VALUE"""),"REVISAR ANUALMENTE")</f>
        <v>REVISAR ANUALMENTE</v>
      </c>
      <c r="X567" s="495" t="str">
        <f>IFERROR(__xludf.DUMMYFUNCTION("""COMPUTED_VALUE"""),"https://drive.google.com/open?id=1no7XzPiR0zkCXd4qiY6HtFFExRn-RcZH, https://drive.google.com/open?id=1K5o2fVOKTYHo_pB9p5wVaqzbMJPgr-55")</f>
        <v>https://drive.google.com/open?id=1no7XzPiR0zkCXd4qiY6HtFFExRn-RcZH, https://drive.google.com/open?id=1K5o2fVOKTYHo_pB9p5wVaqzbMJPgr-55</v>
      </c>
      <c r="Y567" s="495" t="str">
        <f>IFERROR(__xludf.DUMMYFUNCTION("""COMPUTED_VALUE"""),"fuentes.roberto1@gmail.com")</f>
        <v>fuentes.roberto1@gmail.com</v>
      </c>
      <c r="Z567" s="495"/>
      <c r="AA567" s="495"/>
      <c r="AB567" s="495"/>
      <c r="AC567" s="495"/>
      <c r="AD567" s="495" t="str">
        <f>IFERROR(__xludf.DUMMYFUNCTION("""COMPUTED_VALUE"""),"RC-073")</f>
        <v>RC-073</v>
      </c>
    </row>
    <row r="568">
      <c r="A568" s="495" t="str">
        <f t="shared" si="1"/>
        <v>RC-072</v>
      </c>
      <c r="B568" s="497">
        <f>IFERROR(__xludf.DUMMYFUNCTION("""COMPUTED_VALUE"""),45986.95890471065)</f>
        <v>45986.9589</v>
      </c>
      <c r="C568" s="495" t="str">
        <f>IFERROR(__xludf.DUMMYFUNCTION("""COMPUTED_VALUE"""),"")</f>
        <v/>
      </c>
      <c r="D568" s="495" t="str">
        <f>IFERROR(__xludf.DUMMYFUNCTION("""COMPUTED_VALUE"""),"Carol Huenchual Chañilao")</f>
        <v>Carol Huenchual Chañilao</v>
      </c>
      <c r="E568" s="495"/>
      <c r="F568" s="496">
        <f>IFERROR(__xludf.DUMMYFUNCTION("""COMPUTED_VALUE"""),4939.0)</f>
        <v>4939</v>
      </c>
      <c r="G568" s="495"/>
      <c r="H568" s="495"/>
      <c r="I568" s="495"/>
      <c r="J568" s="495" t="str">
        <f>IFERROR(__xludf.DUMMYFUNCTION("""COMPUTED_VALUE"""),"Campus San Francisco - CSF")</f>
        <v>Campus San Francisco - CSF</v>
      </c>
      <c r="K568" s="495" t="str">
        <f>IFERROR(__xludf.DUMMYFUNCTION("""COMPUTED_VALUE"""),"05")</f>
        <v>05</v>
      </c>
      <c r="L568" s="495" t="str">
        <f>IFERROR(__xludf.DUMMYFUNCTION("""COMPUTED_VALUE"""),"SERVICIOS INTEGRALES CRITICOS SPA")</f>
        <v>SERVICIOS INTEGRALES CRITICOS SPA</v>
      </c>
      <c r="M568" s="495" t="str">
        <f>IFERROR(__xludf.DUMMYFUNCTION("""COMPUTED_VALUE"""),"77.248.719-3")</f>
        <v>77.248.719-3</v>
      </c>
      <c r="N568" s="495" t="str">
        <f>IFERROR(__xludf.DUMMYFUNCTION("""COMPUTED_VALUE"""),"ROBERTO FUENTES RIFFO INGENIERO")</f>
        <v>ROBERTO FUENTES RIFFO INGENIERO</v>
      </c>
      <c r="O568" s="495" t="str">
        <f>IFERROR(__xludf.DUMMYFUNCTION("""COMPUTED_VALUE"""),"Mantenciones")</f>
        <v>Mantenciones</v>
      </c>
      <c r="P568" s="495" t="str">
        <f>IFERROR(__xludf.DUMMYFUNCTION("""COMPUTED_VALUE"""),"Requerimientos Emergentes e Imprevistos")</f>
        <v>Requerimientos Emergentes e Imprevistos</v>
      </c>
      <c r="Q568" s="495"/>
      <c r="R568" s="495"/>
      <c r="S568" s="495"/>
      <c r="T568" s="495"/>
      <c r="U568" s="495"/>
      <c r="V568" s="495" t="str">
        <f>IFERROR(__xludf.DUMMYFUNCTION("""COMPUTED_VALUE"""),"DAR DE BAJA CALDERA")</f>
        <v>DAR DE BAJA CALDERA</v>
      </c>
      <c r="W568" s="495" t="str">
        <f>IFERROR(__xludf.DUMMYFUNCTION("""COMPUTED_VALUE"""),"SE DEBE INSCRIBIR CALDERA")</f>
        <v>SE DEBE INSCRIBIR CALDERA</v>
      </c>
      <c r="X568" s="499" t="str">
        <f>IFERROR(__xludf.DUMMYFUNCTION("""COMPUTED_VALUE"""),"https://drive.google.com/open?id=1HhL-ElQpWagd2GEVw_kKXKp0RdjURQqo")</f>
        <v>https://drive.google.com/open?id=1HhL-ElQpWagd2GEVw_kKXKp0RdjURQqo</v>
      </c>
      <c r="Y568" s="495" t="str">
        <f>IFERROR(__xludf.DUMMYFUNCTION("""COMPUTED_VALUE"""),"fuentes.roberto1@gmail.com")</f>
        <v>fuentes.roberto1@gmail.com</v>
      </c>
      <c r="Z568" s="495"/>
      <c r="AA568" s="495"/>
      <c r="AB568" s="495"/>
      <c r="AC568" s="495"/>
      <c r="AD568" s="495" t="str">
        <f>IFERROR(__xludf.DUMMYFUNCTION("""COMPUTED_VALUE"""),"RC-072")</f>
        <v>RC-072</v>
      </c>
    </row>
    <row r="569">
      <c r="A569" s="495" t="str">
        <f t="shared" si="1"/>
        <v>RC-071</v>
      </c>
      <c r="B569" s="497">
        <f>IFERROR(__xludf.DUMMYFUNCTION("""COMPUTED_VALUE"""),45986.94796388889)</f>
        <v>45986.94796</v>
      </c>
      <c r="C569" s="495" t="str">
        <f>IFERROR(__xludf.DUMMYFUNCTION("""COMPUTED_VALUE"""),"")</f>
        <v/>
      </c>
      <c r="D569" s="495" t="str">
        <f>IFERROR(__xludf.DUMMYFUNCTION("""COMPUTED_VALUE"""),"Carol Huenchual Chañilao")</f>
        <v>Carol Huenchual Chañilao</v>
      </c>
      <c r="E569" s="495"/>
      <c r="F569" s="496" t="str">
        <f>IFERROR(__xludf.DUMMYFUNCTION("""COMPUTED_VALUE"""),"6218-2025")</f>
        <v>6218-2025</v>
      </c>
      <c r="G569" s="495"/>
      <c r="H569" s="495"/>
      <c r="I569" s="495"/>
      <c r="J569" s="495" t="str">
        <f>IFERROR(__xludf.DUMMYFUNCTION("""COMPUTED_VALUE"""),"Campus Dr. Luis Rivas del Canto - CRC")</f>
        <v>Campus Dr. Luis Rivas del Canto - CRC</v>
      </c>
      <c r="K569" s="495" t="str">
        <f>IFERROR(__xludf.DUMMYFUNCTION("""COMPUTED_VALUE"""),"09")</f>
        <v>09</v>
      </c>
      <c r="L569" s="495" t="str">
        <f>IFERROR(__xludf.DUMMYFUNCTION("""COMPUTED_VALUE"""),"SERVICIOS INTEGRALES CRITICOS SPA")</f>
        <v>SERVICIOS INTEGRALES CRITICOS SPA</v>
      </c>
      <c r="M569" s="495" t="str">
        <f>IFERROR(__xludf.DUMMYFUNCTION("""COMPUTED_VALUE"""),"77.248.719-3")</f>
        <v>77.248.719-3</v>
      </c>
      <c r="N569" s="495" t="str">
        <f>IFERROR(__xludf.DUMMYFUNCTION("""COMPUTED_VALUE"""),"ROBERTO FUENTES RIFFO INGENIERO")</f>
        <v>ROBERTO FUENTES RIFFO INGENIERO</v>
      </c>
      <c r="O569" s="495" t="str">
        <f>IFERROR(__xludf.DUMMYFUNCTION("""COMPUTED_VALUE"""),"Mantenciones")</f>
        <v>Mantenciones</v>
      </c>
      <c r="P569" s="495" t="str">
        <f>IFERROR(__xludf.DUMMYFUNCTION("""COMPUTED_VALUE"""),"Requerimientos Emergentes e Imprevistos")</f>
        <v>Requerimientos Emergentes e Imprevistos</v>
      </c>
      <c r="Q569" s="495"/>
      <c r="R569" s="495"/>
      <c r="S569" s="495"/>
      <c r="T569" s="495"/>
      <c r="U569" s="495"/>
      <c r="V569" s="495" t="str">
        <f>IFERROR(__xludf.DUMMYFUNCTION("""COMPUTED_VALUE"""),"CAMBIO DE BOMBA")</f>
        <v>CAMBIO DE BOMBA</v>
      </c>
      <c r="W569" s="495" t="str">
        <f>IFERROR(__xludf.DUMMYFUNCTION("""COMPUTED_VALUE"""),"REVISAR ANUALMENTE")</f>
        <v>REVISAR ANUALMENTE</v>
      </c>
      <c r="X569" s="495" t="str">
        <f>IFERROR(__xludf.DUMMYFUNCTION("""COMPUTED_VALUE"""),"https://drive.google.com/open?id=1yc1U-yREmckD_uo4vNqS50NKoYGRjopP, https://drive.google.com/open?id=1_cB8O_xfgb2xszEKtgcfW0LNaKqNWuDg, https://drive.google.com/open?id=1g1klS3f40Y1cW8t3dDYQQcsZlvQ9Off5")</f>
        <v>https://drive.google.com/open?id=1yc1U-yREmckD_uo4vNqS50NKoYGRjopP, https://drive.google.com/open?id=1_cB8O_xfgb2xszEKtgcfW0LNaKqNWuDg, https://drive.google.com/open?id=1g1klS3f40Y1cW8t3dDYQQcsZlvQ9Off5</v>
      </c>
      <c r="Y569" s="495" t="str">
        <f>IFERROR(__xludf.DUMMYFUNCTION("""COMPUTED_VALUE"""),"fuentes.roberto1@gmail.com")</f>
        <v>fuentes.roberto1@gmail.com</v>
      </c>
      <c r="Z569" s="495"/>
      <c r="AA569" s="495"/>
      <c r="AB569" s="495"/>
      <c r="AC569" s="495"/>
      <c r="AD569" s="495" t="str">
        <f>IFERROR(__xludf.DUMMYFUNCTION("""COMPUTED_VALUE"""),"RC-071")</f>
        <v>RC-071</v>
      </c>
    </row>
    <row r="570">
      <c r="A570" s="495" t="str">
        <f t="shared" si="1"/>
        <v>RC-070</v>
      </c>
      <c r="B570" s="497">
        <f>IFERROR(__xludf.DUMMYFUNCTION("""COMPUTED_VALUE"""),45986.93604119213)</f>
        <v>45986.93604</v>
      </c>
      <c r="C570" s="495" t="str">
        <f>IFERROR(__xludf.DUMMYFUNCTION("""COMPUTED_VALUE"""),"")</f>
        <v/>
      </c>
      <c r="D570" s="495" t="str">
        <f>IFERROR(__xludf.DUMMYFUNCTION("""COMPUTED_VALUE"""),"Carol Huenchual Chañilao")</f>
        <v>Carol Huenchual Chañilao</v>
      </c>
      <c r="E570" s="495"/>
      <c r="F570" s="496" t="str">
        <f>IFERROR(__xludf.DUMMYFUNCTION("""COMPUTED_VALUE"""),"6218-2025")</f>
        <v>6218-2025</v>
      </c>
      <c r="G570" s="495"/>
      <c r="H570" s="495"/>
      <c r="I570" s="495"/>
      <c r="J570" s="495" t="str">
        <f>IFERROR(__xludf.DUMMYFUNCTION("""COMPUTED_VALUE"""),"Campus San Francisco - CSF")</f>
        <v>Campus San Francisco - CSF</v>
      </c>
      <c r="K570" s="495">
        <f>IFERROR(__xludf.DUMMYFUNCTION("""COMPUTED_VALUE"""),11.0)</f>
        <v>11</v>
      </c>
      <c r="L570" s="495" t="str">
        <f>IFERROR(__xludf.DUMMYFUNCTION("""COMPUTED_VALUE"""),"SERVICIOS INTEGRALES CRITICOS SPA")</f>
        <v>SERVICIOS INTEGRALES CRITICOS SPA</v>
      </c>
      <c r="M570" s="495" t="str">
        <f>IFERROR(__xludf.DUMMYFUNCTION("""COMPUTED_VALUE"""),"77.248.719-3")</f>
        <v>77.248.719-3</v>
      </c>
      <c r="N570" s="495" t="str">
        <f>IFERROR(__xludf.DUMMYFUNCTION("""COMPUTED_VALUE"""),"ROBERTO FUENTES RIFFO INGENIERO")</f>
        <v>ROBERTO FUENTES RIFFO INGENIERO</v>
      </c>
      <c r="O570" s="495" t="str">
        <f>IFERROR(__xludf.DUMMYFUNCTION("""COMPUTED_VALUE"""),"Mantenciones")</f>
        <v>Mantenciones</v>
      </c>
      <c r="P570" s="495" t="str">
        <f>IFERROR(__xludf.DUMMYFUNCTION("""COMPUTED_VALUE"""),"Requerimientos Emergentes e Imprevistos")</f>
        <v>Requerimientos Emergentes e Imprevistos</v>
      </c>
      <c r="Q570" s="495"/>
      <c r="R570" s="495"/>
      <c r="S570" s="495"/>
      <c r="T570" s="495"/>
      <c r="U570" s="495"/>
      <c r="V570" s="495" t="str">
        <f>IFERROR(__xludf.DUMMYFUNCTION("""COMPUTED_VALUE"""),"RADIADOR ROTO POR OXIDO")</f>
        <v>RADIADOR ROTO POR OXIDO</v>
      </c>
      <c r="W570" s="495" t="str">
        <f>IFERROR(__xludf.DUMMYFUNCTION("""COMPUTED_VALUE"""),"SE ELIMINO RADIADOR NO TENIA REPARACION")</f>
        <v>SE ELIMINO RADIADOR NO TENIA REPARACION</v>
      </c>
      <c r="X570" s="495" t="str">
        <f>IFERROR(__xludf.DUMMYFUNCTION("""COMPUTED_VALUE"""),"https://drive.google.com/open?id=1-qQlOYz2cU31ELKyaCiAByyLgvGOJxA-, https://drive.google.com/open?id=1z6MZuCNJbFDjaOQdyVIWnuWqn73Zu-cc")</f>
        <v>https://drive.google.com/open?id=1-qQlOYz2cU31ELKyaCiAByyLgvGOJxA-, https://drive.google.com/open?id=1z6MZuCNJbFDjaOQdyVIWnuWqn73Zu-cc</v>
      </c>
      <c r="Y570" s="495" t="str">
        <f>IFERROR(__xludf.DUMMYFUNCTION("""COMPUTED_VALUE"""),"fuentes.roberto1@gmail.com")</f>
        <v>fuentes.roberto1@gmail.com</v>
      </c>
      <c r="Z570" s="495"/>
      <c r="AA570" s="495"/>
      <c r="AB570" s="495"/>
      <c r="AC570" s="495"/>
      <c r="AD570" s="495" t="str">
        <f>IFERROR(__xludf.DUMMYFUNCTION("""COMPUTED_VALUE"""),"RC-070")</f>
        <v>RC-070</v>
      </c>
    </row>
    <row r="571">
      <c r="A571" s="495" t="str">
        <f t="shared" si="1"/>
        <v>RC-249_26</v>
      </c>
      <c r="B571" s="497">
        <f>IFERROR(__xludf.DUMMYFUNCTION("""COMPUTED_VALUE"""),46190.00917777778)</f>
        <v>46190.00918</v>
      </c>
      <c r="C571" s="495" t="str">
        <f>IFERROR(__xludf.DUMMYFUNCTION("""COMPUTED_VALUE"""),"")</f>
        <v/>
      </c>
      <c r="D571" s="495" t="str">
        <f>IFERROR(__xludf.DUMMYFUNCTION("""COMPUTED_VALUE"""),"Juan Ignacio Solís de Ovando")</f>
        <v>Juan Ignacio Solís de Ovando</v>
      </c>
      <c r="E571" s="495"/>
      <c r="F571" s="496" t="str">
        <f>IFERROR(__xludf.DUMMYFUNCTION("""COMPUTED_VALUE"""),"752-2025")</f>
        <v>752-2025</v>
      </c>
      <c r="G571" s="495"/>
      <c r="H571" s="495"/>
      <c r="I571" s="495"/>
      <c r="J571" s="495" t="str">
        <f>IFERROR(__xludf.DUMMYFUNCTION("""COMPUTED_VALUE"""),"Campus Phillippi - CPH")</f>
        <v>Campus Phillippi - CPH</v>
      </c>
      <c r="K571" s="495" t="str">
        <f>IFERROR(__xludf.DUMMYFUNCTION("""COMPUTED_VALUE"""),"02")</f>
        <v>02</v>
      </c>
      <c r="L571" s="495" t="str">
        <f>IFERROR(__xludf.DUMMYFUNCTION("""COMPUTED_VALUE"""),"constructora ingtrapp spa")</f>
        <v>constructora ingtrapp spa</v>
      </c>
      <c r="M571" s="495" t="str">
        <f>IFERROR(__xludf.DUMMYFUNCTION("""COMPUTED_VALUE"""),"78.202.133-8")</f>
        <v>78.202.133-8</v>
      </c>
      <c r="N571" s="495" t="str">
        <f>IFERROR(__xludf.DUMMYFUNCTION("""COMPUTED_VALUE"""),"israel ibarra")</f>
        <v>israel ibarra</v>
      </c>
      <c r="O571" s="495" t="str">
        <f>IFERROR(__xludf.DUMMYFUNCTION("""COMPUTED_VALUE"""),"Obras y Especialidades")</f>
        <v>Obras y Especialidades</v>
      </c>
      <c r="P571" s="495"/>
      <c r="Q571" s="495"/>
      <c r="R571" s="495" t="str">
        <f>IFERROR(__xludf.DUMMYFUNCTION("""COMPUTED_VALUE"""),"Remodelación")</f>
        <v>Remodelación</v>
      </c>
      <c r="S571" s="495" t="str">
        <f>IFERROR(__xludf.DUMMYFUNCTION("""COMPUTED_VALUE"""),"Estado de Pago - EP")</f>
        <v>Estado de Pago - EP</v>
      </c>
      <c r="T571" s="495">
        <f>IFERROR(__xludf.DUMMYFUNCTION("""COMPUTED_VALUE"""),2.0)</f>
        <v>2</v>
      </c>
      <c r="U571" s="498">
        <f>IFERROR(__xludf.DUMMYFUNCTION("""COMPUTED_VALUE"""),1.0E7)</f>
        <v>10000000</v>
      </c>
      <c r="V571" s="495" t="str">
        <f>IFERROR(__xludf.DUMMYFUNCTION("""COMPUTED_VALUE"""),"ADECUACION DE ESPACIOS PARA OFICINAS CPH02 ESPACIOS EX LABORATORIO DE SUELO ")</f>
        <v>ADECUACION DE ESPACIOS PARA OFICINAS CPH02 ESPACIOS EX LABORATORIO DE SUELO </v>
      </c>
      <c r="W571" s="495"/>
      <c r="X571" s="495" t="str">
        <f>IFERROR(__xludf.DUMMYFUNCTION("""COMPUTED_VALUE"""),"https://drive.google.com/open?id=1CWyqO2y-GdC3fAFPbUDG-zPkx-FEUBzU, https://drive.google.com/open?id=1WJB2cl0oJlgfn3mzQzJ_ApCJjBCAPLkS, https://drive.google.com/open?id=1xsklMXqkY8FnVtcNgQ43erIpyA_Smz8m, https://drive.google.com/open?id=1KISmmP7CQmWALaPfF"&amp;"U6BNJ4w9QxwUtc_, https://drive.google.com/open?id=1_GZaEkWGuzUT2oicYaeSDrXjj2x5o75D, https://drive.google.com/open?id=15UsVYrX3gTj9Rp5i5JOvZUEf2EKFss4P, https://drive.google.com/open?id=1ONHY9YOoAlWstXWegjiclZKCDp58JJYh, https://drive.google.com/open?id=1"&amp;"RTQJbMfjcAV9ziEUtekQ02xY6POua6bR")</f>
        <v>https://drive.google.com/open?id=1CWyqO2y-GdC3fAFPbUDG-zPkx-FEUBzU, https://drive.google.com/open?id=1WJB2cl0oJlgfn3mzQzJ_ApCJjBCAPLkS, https://drive.google.com/open?id=1xsklMXqkY8FnVtcNgQ43erIpyA_Smz8m, https://drive.google.com/open?id=1KISmmP7CQmWALaPfFU6BNJ4w9QxwUtc_, https://drive.google.com/open?id=1_GZaEkWGuzUT2oicYaeSDrXjj2x5o75D, https://drive.google.com/open?id=15UsVYrX3gTj9Rp5i5JOvZUEf2EKFss4P, https://drive.google.com/open?id=1ONHY9YOoAlWstXWegjiclZKCDp58JJYh, https://drive.google.com/open?id=1RTQJbMfjcAV9ziEUtekQ02xY6POua6bR</v>
      </c>
      <c r="Y571" s="495" t="str">
        <f>IFERROR(__xludf.DUMMYFUNCTION("""COMPUTED_VALUE"""),"constructoraingtrappspa@gmail.com")</f>
        <v>constructoraingtrappspa@gmail.com</v>
      </c>
      <c r="Z571" s="498">
        <f>IFERROR(__xludf.DUMMYFUNCTION("""COMPUTED_VALUE"""),5.3297921E7)</f>
        <v>53297921</v>
      </c>
      <c r="AA571" s="495"/>
      <c r="AB571" s="495"/>
      <c r="AC571" s="495"/>
      <c r="AD571" s="495" t="str">
        <f>IFERROR(__xludf.DUMMYFUNCTION("""COMPUTED_VALUE"""),"RC-249_26")</f>
        <v>RC-249_26</v>
      </c>
    </row>
    <row r="572">
      <c r="A572" s="495" t="str">
        <f t="shared" si="1"/>
        <v>RC-250_26</v>
      </c>
      <c r="B572" s="497">
        <f>IFERROR(__xludf.DUMMYFUNCTION("""COMPUTED_VALUE"""),46190.6094256713)</f>
        <v>46190.60943</v>
      </c>
      <c r="C572" s="495" t="str">
        <f>IFERROR(__xludf.DUMMYFUNCTION("""COMPUTED_VALUE"""),"")</f>
        <v/>
      </c>
      <c r="D572" s="495" t="str">
        <f>IFERROR(__xludf.DUMMYFUNCTION("""COMPUTED_VALUE"""),"Juan Ignacio Solís de Ovando")</f>
        <v>Juan Ignacio Solís de Ovando</v>
      </c>
      <c r="E572" s="495"/>
      <c r="F572" s="496" t="str">
        <f>IFERROR(__xludf.DUMMYFUNCTION("""COMPUTED_VALUE"""),"752-2025")</f>
        <v>752-2025</v>
      </c>
      <c r="G572" s="495"/>
      <c r="H572" s="495"/>
      <c r="I572" s="495"/>
      <c r="J572" s="495" t="str">
        <f>IFERROR(__xludf.DUMMYFUNCTION("""COMPUTED_VALUE"""),"Campus Phillippi - CPH")</f>
        <v>Campus Phillippi - CPH</v>
      </c>
      <c r="K572" s="495" t="str">
        <f>IFERROR(__xludf.DUMMYFUNCTION("""COMPUTED_VALUE"""),"02")</f>
        <v>02</v>
      </c>
      <c r="L572" s="495" t="str">
        <f>IFERROR(__xludf.DUMMYFUNCTION("""COMPUTED_VALUE"""),"CONSTRUCTORA INGRTRAPP SPA")</f>
        <v>CONSTRUCTORA INGRTRAPP SPA</v>
      </c>
      <c r="M572" s="495" t="str">
        <f>IFERROR(__xludf.DUMMYFUNCTION("""COMPUTED_VALUE"""),"78.202.133-8")</f>
        <v>78.202.133-8</v>
      </c>
      <c r="N572" s="495" t="str">
        <f>IFERROR(__xludf.DUMMYFUNCTION("""COMPUTED_VALUE"""),"PATRICK GUTIERREZ  JEFE DE OBRA")</f>
        <v>PATRICK GUTIERREZ  JEFE DE OBRA</v>
      </c>
      <c r="O572" s="495" t="str">
        <f>IFERROR(__xludf.DUMMYFUNCTION("""COMPUTED_VALUE"""),"Obras y Especialidades")</f>
        <v>Obras y Especialidades</v>
      </c>
      <c r="P572" s="495"/>
      <c r="Q572" s="495"/>
      <c r="R572" s="495" t="str">
        <f>IFERROR(__xludf.DUMMYFUNCTION("""COMPUTED_VALUE"""),"Remodelación")</f>
        <v>Remodelación</v>
      </c>
      <c r="S572" s="495" t="str">
        <f>IFERROR(__xludf.DUMMYFUNCTION("""COMPUTED_VALUE"""),"Estado de Pago - EP")</f>
        <v>Estado de Pago - EP</v>
      </c>
      <c r="T572" s="495">
        <f>IFERROR(__xludf.DUMMYFUNCTION("""COMPUTED_VALUE"""),2.0)</f>
        <v>2</v>
      </c>
      <c r="U572" s="498">
        <f>IFERROR(__xludf.DUMMYFUNCTION("""COMPUTED_VALUE"""),1.0659584E7)</f>
        <v>10659584</v>
      </c>
      <c r="V572" s="495" t="str">
        <f>IFERROR(__xludf.DUMMYFUNCTION("""COMPUTED_VALUE"""),"ADECUACION DE ESPACIOS PARA OFICINAS CPH02 ESPACIOS EX LABORATORIO DE SUELO ")</f>
        <v>ADECUACION DE ESPACIOS PARA OFICINAS CPH02 ESPACIOS EX LABORATORIO DE SUELO </v>
      </c>
      <c r="W572" s="495"/>
      <c r="X572" s="495" t="str">
        <f>IFERROR(__xludf.DUMMYFUNCTION("""COMPUTED_VALUE"""),"https://drive.google.com/open?id=1c_Y3o1mc20PpCAb9brRc6HduKeHVrRQk, https://drive.google.com/open?id=1UgoXEXOwYKV2u8YsJEH-lLGXsfeyNIg7, https://drive.google.com/open?id=1AU7w1LIKMfqk_zSeqp87G8lwuLKRjJbq, https://drive.google.com/open?id=1k7vVWhS7f_8Kq9WP0"&amp;"QWFtQWdBxLR469-, https://drive.google.com/open?id=1ieyaqYaN4Ti73XNhY_hpGgn-Fl3m1OK8, https://drive.google.com/open?id=1U2apVySSb5O3AD8ctO--gva1-71RUrIn, https://drive.google.com/open?id=129xlHvcpxQ4At421SBZfk7FoEugTrauO, https://drive.google.com/open?id=1"&amp;"hmR1biEoUotcz6uEQMZ0aOnDz0AF0Jp5")</f>
        <v>https://drive.google.com/open?id=1c_Y3o1mc20PpCAb9brRc6HduKeHVrRQk, https://drive.google.com/open?id=1UgoXEXOwYKV2u8YsJEH-lLGXsfeyNIg7, https://drive.google.com/open?id=1AU7w1LIKMfqk_zSeqp87G8lwuLKRjJbq, https://drive.google.com/open?id=1k7vVWhS7f_8Kq9WP0QWFtQWdBxLR469-, https://drive.google.com/open?id=1ieyaqYaN4Ti73XNhY_hpGgn-Fl3m1OK8, https://drive.google.com/open?id=1U2apVySSb5O3AD8ctO--gva1-71RUrIn, https://drive.google.com/open?id=129xlHvcpxQ4At421SBZfk7FoEugTrauO, https://drive.google.com/open?id=1hmR1biEoUotcz6uEQMZ0aOnDz0AF0Jp5</v>
      </c>
      <c r="Y572" s="495" t="str">
        <f>IFERROR(__xludf.DUMMYFUNCTION("""COMPUTED_VALUE"""),"CONSTRUCTORAINGTRAPPSPA@GMAIL.COM")</f>
        <v>CONSTRUCTORAINGTRAPPSPA@GMAIL.COM</v>
      </c>
      <c r="Z572" s="498">
        <f>IFERROR(__xludf.DUMMYFUNCTION("""COMPUTED_VALUE"""),5.3297921E7)</f>
        <v>53297921</v>
      </c>
      <c r="AA572" s="495"/>
      <c r="AB572" s="495"/>
      <c r="AC572" s="495"/>
      <c r="AD572" s="495" t="str">
        <f>IFERROR(__xludf.DUMMYFUNCTION("""COMPUTED_VALUE"""),"RC-250_26")</f>
        <v>RC-250_26</v>
      </c>
    </row>
    <row r="573">
      <c r="A573" s="495" t="str">
        <f t="shared" si="1"/>
        <v>RC-069</v>
      </c>
      <c r="B573" s="497">
        <f>IFERROR(__xludf.DUMMYFUNCTION("""COMPUTED_VALUE"""),45986.92257456019)</f>
        <v>45986.92257</v>
      </c>
      <c r="C573" s="495" t="str">
        <f>IFERROR(__xludf.DUMMYFUNCTION("""COMPUTED_VALUE"""),"")</f>
        <v/>
      </c>
      <c r="D573" s="495" t="str">
        <f>IFERROR(__xludf.DUMMYFUNCTION("""COMPUTED_VALUE"""),"Carol Huenchual Chañilao")</f>
        <v>Carol Huenchual Chañilao</v>
      </c>
      <c r="E573" s="495"/>
      <c r="F573" s="496">
        <f>IFERROR(__xludf.DUMMYFUNCTION("""COMPUTED_VALUE"""),4309.0)</f>
        <v>4309</v>
      </c>
      <c r="G573" s="495"/>
      <c r="H573" s="495"/>
      <c r="I573" s="495"/>
      <c r="J573" s="495" t="str">
        <f>IFERROR(__xludf.DUMMYFUNCTION("""COMPUTED_VALUE"""),"Campus San Francisco - CSF")</f>
        <v>Campus San Francisco - CSF</v>
      </c>
      <c r="K573" s="495" t="str">
        <f>IFERROR(__xludf.DUMMYFUNCTION("""COMPUTED_VALUE"""),"05")</f>
        <v>05</v>
      </c>
      <c r="L573" s="495" t="str">
        <f>IFERROR(__xludf.DUMMYFUNCTION("""COMPUTED_VALUE"""),"SERVICIOS INTEGRALES CRITICOS SPA")</f>
        <v>SERVICIOS INTEGRALES CRITICOS SPA</v>
      </c>
      <c r="M573" s="495" t="str">
        <f>IFERROR(__xludf.DUMMYFUNCTION("""COMPUTED_VALUE"""),"77.248.719-3")</f>
        <v>77.248.719-3</v>
      </c>
      <c r="N573" s="495" t="str">
        <f>IFERROR(__xludf.DUMMYFUNCTION("""COMPUTED_VALUE"""),"ROBERTO FUENTES RIFFO  INGENIERO")</f>
        <v>ROBERTO FUENTES RIFFO  INGENIERO</v>
      </c>
      <c r="O573" s="495" t="str">
        <f>IFERROR(__xludf.DUMMYFUNCTION("""COMPUTED_VALUE"""),"Mantenciones")</f>
        <v>Mantenciones</v>
      </c>
      <c r="P573" s="495" t="str">
        <f>IFERROR(__xludf.DUMMYFUNCTION("""COMPUTED_VALUE"""),"Requerimientos Emergentes e Imprevistos")</f>
        <v>Requerimientos Emergentes e Imprevistos</v>
      </c>
      <c r="Q573" s="495"/>
      <c r="R573" s="495"/>
      <c r="S573" s="495"/>
      <c r="T573" s="495"/>
      <c r="U573" s="495"/>
      <c r="V573" s="495" t="str">
        <f>IFERROR(__xludf.DUMMYFUNCTION("""COMPUTED_VALUE"""),"FALLA CONTROLADOR DE CALDERA")</f>
        <v>FALLA CONTROLADOR DE CALDERA</v>
      </c>
      <c r="W573" s="495" t="str">
        <f>IFERROR(__xludf.DUMMYFUNCTION("""COMPUTED_VALUE"""),"REVISAR ANUALMENTE")</f>
        <v>REVISAR ANUALMENTE</v>
      </c>
      <c r="X573" s="495" t="str">
        <f>IFERROR(__xludf.DUMMYFUNCTION("""COMPUTED_VALUE"""),"https://drive.google.com/open?id=1OJyQ6hhhvp0xWyeLTMEEUWNMmDfCipAS, https://drive.google.com/open?id=1dvBEwoN6HJwsuBfpBZIaWaG2vl9V3snV, https://drive.google.com/open?id=19y7zEruWsOEh-tgXgWwxOsA2ns1O39KB, https://drive.google.com/open?id=1W08irAJ10yAUzRuVN"&amp;"QKzne697baacNOG")</f>
        <v>https://drive.google.com/open?id=1OJyQ6hhhvp0xWyeLTMEEUWNMmDfCipAS, https://drive.google.com/open?id=1dvBEwoN6HJwsuBfpBZIaWaG2vl9V3snV, https://drive.google.com/open?id=19y7zEruWsOEh-tgXgWwxOsA2ns1O39KB, https://drive.google.com/open?id=1W08irAJ10yAUzRuVNQKzne697baacNOG</v>
      </c>
      <c r="Y573" s="495" t="str">
        <f>IFERROR(__xludf.DUMMYFUNCTION("""COMPUTED_VALUE"""),"fuentes.roberto1@gmail.com")</f>
        <v>fuentes.roberto1@gmail.com</v>
      </c>
      <c r="Z573" s="495"/>
      <c r="AA573" s="495"/>
      <c r="AB573" s="495"/>
      <c r="AC573" s="495"/>
      <c r="AD573" s="495" t="str">
        <f>IFERROR(__xludf.DUMMYFUNCTION("""COMPUTED_VALUE"""),"RC-069")</f>
        <v>RC-069</v>
      </c>
    </row>
    <row r="574">
      <c r="A574" s="495" t="str">
        <f t="shared" si="1"/>
        <v>RC-068</v>
      </c>
      <c r="B574" s="497">
        <f>IFERROR(__xludf.DUMMYFUNCTION("""COMPUTED_VALUE"""),45986.736655995366)</f>
        <v>45986.73666</v>
      </c>
      <c r="C574" s="495" t="str">
        <f>IFERROR(__xludf.DUMMYFUNCTION("""COMPUTED_VALUE"""),"")</f>
        <v/>
      </c>
      <c r="D574" s="495" t="str">
        <f>IFERROR(__xludf.DUMMYFUNCTION("""COMPUTED_VALUE"""),"Juan Ignacio Solís de Ovando")</f>
        <v>Juan Ignacio Solís de Ovando</v>
      </c>
      <c r="E574" s="495"/>
      <c r="F574" s="496" t="str">
        <f>IFERROR(__xludf.DUMMYFUNCTION("""COMPUTED_VALUE"""),"11925 - 2024")</f>
        <v>11925 - 2024</v>
      </c>
      <c r="G574" s="495"/>
      <c r="H574" s="495"/>
      <c r="I574" s="495"/>
      <c r="J574" s="495" t="str">
        <f>IFERROR(__xludf.DUMMYFUNCTION("""COMPUTED_VALUE"""),"Campus San Juan Pablo II - CJP")</f>
        <v>Campus San Juan Pablo II - CJP</v>
      </c>
      <c r="K574" s="495" t="str">
        <f>IFERROR(__xludf.DUMMYFUNCTION("""COMPUTED_VALUE"""),"Exterior")</f>
        <v>Exterior</v>
      </c>
      <c r="L574" s="495" t="str">
        <f>IFERROR(__xludf.DUMMYFUNCTION("""COMPUTED_VALUE"""),"Empresa Constructora IGECE Ltda.")</f>
        <v>Empresa Constructora IGECE Ltda.</v>
      </c>
      <c r="M574" s="495" t="str">
        <f>IFERROR(__xludf.DUMMYFUNCTION("""COMPUTED_VALUE"""),"76.878.824-3")</f>
        <v>76.878.824-3</v>
      </c>
      <c r="N574" s="495" t="str">
        <f>IFERROR(__xludf.DUMMYFUNCTION("""COMPUTED_VALUE"""),"Carlos Troncoso - Gerente general ")</f>
        <v>Carlos Troncoso - Gerente general </v>
      </c>
      <c r="O574" s="495" t="str">
        <f>IFERROR(__xludf.DUMMYFUNCTION("""COMPUTED_VALUE"""),"Mantenciones")</f>
        <v>Mantenciones</v>
      </c>
      <c r="P574" s="495" t="str">
        <f>IFERROR(__xludf.DUMMYFUNCTION("""COMPUTED_VALUE"""),"Instalaciones de Agua Potable")</f>
        <v>Instalaciones de Agua Potable</v>
      </c>
      <c r="Q574" s="495"/>
      <c r="R574" s="495"/>
      <c r="S574" s="495"/>
      <c r="T574" s="495"/>
      <c r="U574" s="495"/>
      <c r="V574" s="495" t="str">
        <f>IFERROR(__xludf.DUMMYFUNCTION("""COMPUTED_VALUE"""),"CORTE Y DESAME DE TORRE DE AGUAS
RETIRO DE 2 ESTANQUES DE AGUA
INSTALACION DE BARANDA LATERAL EN TORRE QUE QUEDA INSTALADA
INSTALACION ELECTRICA DIRECTA A TABLERO DE LLENADO CON PERA DE AGUA
INSTALACION DE GASFIETRIA CON PVC HIDRAULICO A ESTANQUE
FABRICAC"&amp;"ION E INSTALACION DE CERCHA METALICA PARA INSTALACIONES SANITARIAS
LAVADO INTERIOR DE ESTANQUE CON HIDROLAVADORA
RETIRO E INSTALACION DE ESCALERA GATO
ENTRE OTROS")</f>
        <v>CORTE Y DESAME DE TORRE DE AGUAS
RETIRO DE 2 ESTANQUES DE AGUA
INSTALACION DE BARANDA LATERAL EN TORRE QUE QUEDA INSTALADA
INSTALACION ELECTRICA DIRECTA A TABLERO DE LLENADO CON PERA DE AGUA
INSTALACION DE GASFIETRIA CON PVC HIDRAULICO A ESTANQUE
FABRICACION E INSTALACION DE CERCHA METALICA PARA INSTALACIONES SANITARIAS
LAVADO INTERIOR DE ESTANQUE CON HIDROLAVADORA
RETIRO E INSTALACION DE ESCALERA GATO
ENTRE OTROS</v>
      </c>
      <c r="W574" s="495"/>
      <c r="X574" s="495" t="str">
        <f>IFERROR(__xludf.DUMMYFUNCTION("""COMPUTED_VALUE"""),"https://drive.google.com/open?id=1det_M9Z3U3fxD9MlhbZFeWObZCUJHsrH, https://drive.google.com/open?id=1BClpuJcmQRX5jIOWrhuEB6TTtR4ks35O, https://drive.google.com/open?id=16U470S4y-yJmAFNPiiPCRkOdO2oI8okX, https://drive.google.com/open?id=1Bw1sM3xf0U_xMIwKY"&amp;"nfar8hXghGwOFcp, https://drive.google.com/open?id=1SfoHIRHnSF9QxtZrzCeCTRHg626NO8ee")</f>
        <v>https://drive.google.com/open?id=1det_M9Z3U3fxD9MlhbZFeWObZCUJHsrH, https://drive.google.com/open?id=1BClpuJcmQRX5jIOWrhuEB6TTtR4ks35O, https://drive.google.com/open?id=16U470S4y-yJmAFNPiiPCRkOdO2oI8okX, https://drive.google.com/open?id=1Bw1sM3xf0U_xMIwKYnfar8hXghGwOFcp, https://drive.google.com/open?id=1SfoHIRHnSF9QxtZrzCeCTRHg626NO8ee</v>
      </c>
      <c r="Y574" s="495" t="str">
        <f>IFERROR(__xludf.DUMMYFUNCTION("""COMPUTED_VALUE"""),"carlostroncosom@hotmail.com")</f>
        <v>carlostroncosom@hotmail.com</v>
      </c>
      <c r="Z574" s="495"/>
      <c r="AA574" s="495"/>
      <c r="AB574" s="495"/>
      <c r="AC574" s="495"/>
      <c r="AD574" s="495" t="str">
        <f>IFERROR(__xludf.DUMMYFUNCTION("""COMPUTED_VALUE"""),"RC-068")</f>
        <v>RC-068</v>
      </c>
    </row>
    <row r="575">
      <c r="A575" s="495" t="str">
        <f t="shared" si="1"/>
        <v>RC-066</v>
      </c>
      <c r="B575" s="497">
        <f>IFERROR(__xludf.DUMMYFUNCTION("""COMPUTED_VALUE"""),45985.65368771991)</f>
        <v>45985.65369</v>
      </c>
      <c r="C575" s="495" t="str">
        <f>IFERROR(__xludf.DUMMYFUNCTION("""COMPUTED_VALUE"""),"")</f>
        <v/>
      </c>
      <c r="D575" s="495" t="str">
        <f>IFERROR(__xludf.DUMMYFUNCTION("""COMPUTED_VALUE"""),"Felipe Anselme Grandón")</f>
        <v>Felipe Anselme Grandón</v>
      </c>
      <c r="E575" s="495"/>
      <c r="F575" s="496" t="str">
        <f>IFERROR(__xludf.DUMMYFUNCTION("""COMPUTED_VALUE"""),"11568-2025")</f>
        <v>11568-2025</v>
      </c>
      <c r="G575" s="495"/>
      <c r="H575" s="495"/>
      <c r="I575" s="495"/>
      <c r="J575" s="495" t="str">
        <f>IFERROR(__xludf.DUMMYFUNCTION("""COMPUTED_VALUE"""),"Campus Dr. Luis Rivas del Canto - CRC")</f>
        <v>Campus Dr. Luis Rivas del Canto - CRC</v>
      </c>
      <c r="K575" s="495" t="str">
        <f>IFERROR(__xludf.DUMMYFUNCTION("""COMPUTED_VALUE"""),"Exterior")</f>
        <v>Exterior</v>
      </c>
      <c r="L575" s="495" t="str">
        <f>IFERROR(__xludf.DUMMYFUNCTION("""COMPUTED_VALUE"""),"GATICAR SPA")</f>
        <v>GATICAR SPA</v>
      </c>
      <c r="M575" s="495" t="str">
        <f>IFERROR(__xludf.DUMMYFUNCTION("""COMPUTED_VALUE"""),"11568-2025")</f>
        <v>11568-2025</v>
      </c>
      <c r="N575" s="495" t="str">
        <f>IFERROR(__xludf.DUMMYFUNCTION("""COMPUTED_VALUE"""),"HECTOR GATICA")</f>
        <v>HECTOR GATICA</v>
      </c>
      <c r="O575" s="495" t="str">
        <f>IFERROR(__xludf.DUMMYFUNCTION("""COMPUTED_VALUE"""),"Mantenciones")</f>
        <v>Mantenciones</v>
      </c>
      <c r="P575" s="495" t="str">
        <f>IFERROR(__xludf.DUMMYFUNCTION("""COMPUTED_VALUE"""),"Requerimientos Emergentes e Imprevistos")</f>
        <v>Requerimientos Emergentes e Imprevistos</v>
      </c>
      <c r="Q575" s="495"/>
      <c r="R575" s="495"/>
      <c r="S575" s="495"/>
      <c r="T575" s="495"/>
      <c r="U575" s="495"/>
      <c r="V575" s="495" t="str">
        <f>IFERROR(__xludf.DUMMYFUNCTION("""COMPUTED_VALUE"""),"PUERTA EN MARCHA SISTEMA DE RIEGO ")</f>
        <v>PUERTA EN MARCHA SISTEMA DE RIEGO </v>
      </c>
      <c r="W575" s="495"/>
      <c r="X575" s="495" t="str">
        <f>IFERROR(__xludf.DUMMYFUNCTION("""COMPUTED_VALUE"""),"https://drive.google.com/open?id=1_w88l8c3HK8XisBqoZAwIB7T_mfkBG4w, https://drive.google.com/open?id=13y24TPRNpewIYIMH8749EDWee4XWHMQ2, https://drive.google.com/open?id=1j6qaO0w2320TGgJsx4f5pOE1xJZ9K-y8")</f>
        <v>https://drive.google.com/open?id=1_w88l8c3HK8XisBqoZAwIB7T_mfkBG4w, https://drive.google.com/open?id=13y24TPRNpewIYIMH8749EDWee4XWHMQ2, https://drive.google.com/open?id=1j6qaO0w2320TGgJsx4f5pOE1xJZ9K-y8</v>
      </c>
      <c r="Y575" s="495" t="str">
        <f>IFERROR(__xludf.DUMMYFUNCTION("""COMPUTED_VALUE"""),"serviciogaticar@gmail.com")</f>
        <v>serviciogaticar@gmail.com</v>
      </c>
      <c r="Z575" s="495"/>
      <c r="AA575" s="495"/>
      <c r="AB575" s="495"/>
      <c r="AC575" s="495"/>
      <c r="AD575" s="495" t="str">
        <f>IFERROR(__xludf.DUMMYFUNCTION("""COMPUTED_VALUE"""),"RC-066")</f>
        <v>RC-066</v>
      </c>
    </row>
    <row r="576">
      <c r="A576" s="495" t="str">
        <f t="shared" si="1"/>
        <v>RC-065</v>
      </c>
      <c r="B576" s="497">
        <f>IFERROR(__xludf.DUMMYFUNCTION("""COMPUTED_VALUE"""),45985.64440769676)</f>
        <v>45985.64441</v>
      </c>
      <c r="C576" s="495" t="str">
        <f>IFERROR(__xludf.DUMMYFUNCTION("""COMPUTED_VALUE"""),"")</f>
        <v/>
      </c>
      <c r="D576" s="495" t="str">
        <f>IFERROR(__xludf.DUMMYFUNCTION("""COMPUTED_VALUE"""),"Carol Huenchual Chañilao")</f>
        <v>Carol Huenchual Chañilao</v>
      </c>
      <c r="E576" s="495"/>
      <c r="F576" s="496" t="str">
        <f>IFERROR(__xludf.DUMMYFUNCTION("""COMPUTED_VALUE"""),"11479-2025")</f>
        <v>11479-2025</v>
      </c>
      <c r="G576" s="495"/>
      <c r="H576" s="495"/>
      <c r="I576" s="495"/>
      <c r="J576" s="495" t="str">
        <f>IFERROR(__xludf.DUMMYFUNCTION("""COMPUTED_VALUE"""),"Campus San Francisco - CSF")</f>
        <v>Campus San Francisco - CSF</v>
      </c>
      <c r="K576" s="495" t="str">
        <f>IFERROR(__xludf.DUMMYFUNCTION("""COMPUTED_VALUE"""),"Exterior")</f>
        <v>Exterior</v>
      </c>
      <c r="L576" s="495" t="str">
        <f>IFERROR(__xludf.DUMMYFUNCTION("""COMPUTED_VALUE"""),"GATICAR SPA")</f>
        <v>GATICAR SPA</v>
      </c>
      <c r="M576" s="495" t="str">
        <f>IFERROR(__xludf.DUMMYFUNCTION("""COMPUTED_VALUE"""),"77.578.487-3")</f>
        <v>77.578.487-3</v>
      </c>
      <c r="N576" s="495" t="str">
        <f>IFERROR(__xludf.DUMMYFUNCTION("""COMPUTED_VALUE"""),"HECTOR GATICA")</f>
        <v>HECTOR GATICA</v>
      </c>
      <c r="O576" s="495" t="str">
        <f>IFERROR(__xludf.DUMMYFUNCTION("""COMPUTED_VALUE"""),"Mantenciones")</f>
        <v>Mantenciones</v>
      </c>
      <c r="P576" s="495" t="str">
        <f>IFERROR(__xludf.DUMMYFUNCTION("""COMPUTED_VALUE"""),"Requerimientos Emergentes e Imprevistos")</f>
        <v>Requerimientos Emergentes e Imprevistos</v>
      </c>
      <c r="Q576" s="495"/>
      <c r="R576" s="495"/>
      <c r="S576" s="495"/>
      <c r="T576" s="495"/>
      <c r="U576" s="495"/>
      <c r="V576" s="495" t="str">
        <f>IFERROR(__xludf.DUMMYFUNCTION("""COMPUTED_VALUE"""),"PUESTA EN MARCHA SISTEMA DE RIEGO")</f>
        <v>PUESTA EN MARCHA SISTEMA DE RIEGO</v>
      </c>
      <c r="W576" s="495"/>
      <c r="X576" s="495" t="str">
        <f>IFERROR(__xludf.DUMMYFUNCTION("""COMPUTED_VALUE"""),"https://drive.google.com/open?id=15KS_7w_kL2Eb1keoRPhqJ7SoDxSbhgR6, https://drive.google.com/open?id=1-rOAzwAF6hpJpgkrnAEBFyKyXiq5E_XY, https://drive.google.com/open?id=1rT7YDYPzSRUeMpwDZSyNc5HWE2sERs7t, https://drive.google.com/open?id=15MwMU6a0x_DAWKF6A"&amp;"0HnyK8clMR1Vreo")</f>
        <v>https://drive.google.com/open?id=15KS_7w_kL2Eb1keoRPhqJ7SoDxSbhgR6, https://drive.google.com/open?id=1-rOAzwAF6hpJpgkrnAEBFyKyXiq5E_XY, https://drive.google.com/open?id=1rT7YDYPzSRUeMpwDZSyNc5HWE2sERs7t, https://drive.google.com/open?id=15MwMU6a0x_DAWKF6A0HnyK8clMR1Vreo</v>
      </c>
      <c r="Y576" s="495" t="str">
        <f>IFERROR(__xludf.DUMMYFUNCTION("""COMPUTED_VALUE"""),"serviciogaticar@gmail.com")</f>
        <v>serviciogaticar@gmail.com</v>
      </c>
      <c r="Z576" s="495"/>
      <c r="AA576" s="495"/>
      <c r="AB576" s="495"/>
      <c r="AC576" s="495"/>
      <c r="AD576" s="495" t="str">
        <f>IFERROR(__xludf.DUMMYFUNCTION("""COMPUTED_VALUE"""),"RC-065")</f>
        <v>RC-065</v>
      </c>
    </row>
    <row r="577">
      <c r="A577" s="495" t="str">
        <f t="shared" si="1"/>
        <v>RC-064</v>
      </c>
      <c r="B577" s="497">
        <f>IFERROR(__xludf.DUMMYFUNCTION("""COMPUTED_VALUE"""),45982.451410532405)</f>
        <v>45982.45141</v>
      </c>
      <c r="C577" s="495" t="str">
        <f>IFERROR(__xludf.DUMMYFUNCTION("""COMPUTED_VALUE"""),"")</f>
        <v/>
      </c>
      <c r="D577" s="495" t="str">
        <f>IFERROR(__xludf.DUMMYFUNCTION("""COMPUTED_VALUE"""),"Carol Huenchual Chañilao")</f>
        <v>Carol Huenchual Chañilao</v>
      </c>
      <c r="E577" s="495"/>
      <c r="F577" s="496" t="str">
        <f>IFERROR(__xludf.DUMMYFUNCTION("""COMPUTED_VALUE"""),"11674 - 2025")</f>
        <v>11674 - 2025</v>
      </c>
      <c r="G577" s="495"/>
      <c r="H577" s="495"/>
      <c r="I577" s="495"/>
      <c r="J577" s="495" t="str">
        <f>IFERROR(__xludf.DUMMYFUNCTION("""COMPUTED_VALUE"""),"Campus San Juan Pablo II - CJP")</f>
        <v>Campus San Juan Pablo II - CJP</v>
      </c>
      <c r="K577" s="495" t="str">
        <f>IFERROR(__xludf.DUMMYFUNCTION("""COMPUTED_VALUE"""),"Exterior")</f>
        <v>Exterior</v>
      </c>
      <c r="L577" s="495" t="str">
        <f>IFERROR(__xludf.DUMMYFUNCTION("""COMPUTED_VALUE"""),"Construcciones luis exequiel solis catalan E. I. R. L. ")</f>
        <v>Construcciones luis exequiel solis catalan E. I. R. L. </v>
      </c>
      <c r="M577" s="495" t="str">
        <f>IFERROR(__xludf.DUMMYFUNCTION("""COMPUTED_VALUE"""),"77.280.635-3")</f>
        <v>77.280.635-3</v>
      </c>
      <c r="N577" s="495" t="str">
        <f>IFERROR(__xludf.DUMMYFUNCTION("""COMPUTED_VALUE"""),"Luis solis")</f>
        <v>Luis solis</v>
      </c>
      <c r="O577" s="495" t="str">
        <f>IFERROR(__xludf.DUMMYFUNCTION("""COMPUTED_VALUE"""),"Mantenciones")</f>
        <v>Mantenciones</v>
      </c>
      <c r="P577" s="495" t="str">
        <f>IFERROR(__xludf.DUMMYFUNCTION("""COMPUTED_VALUE"""),"Suelos")</f>
        <v>Suelos</v>
      </c>
      <c r="Q577" s="495"/>
      <c r="R577" s="495"/>
      <c r="S577" s="495"/>
      <c r="T577" s="495"/>
      <c r="U577" s="495"/>
      <c r="V577" s="495" t="str">
        <f>IFERROR(__xludf.DUMMYFUNCTION("""COMPUTED_VALUE"""),"Reparacion cerco. ")</f>
        <v>Reparacion cerco. </v>
      </c>
      <c r="W577" s="495" t="str">
        <f>IFERROR(__xludf.DUMMYFUNCTION("""COMPUTED_VALUE"""),"Sin observacin. ")</f>
        <v>Sin observacin. </v>
      </c>
      <c r="X577" s="495" t="str">
        <f>IFERROR(__xludf.DUMMYFUNCTION("""COMPUTED_VALUE"""),"https://drive.google.com/open?id=17jDcoRoygc4UgLpsZ8BQgVcA8YZ9fjVb, https://drive.google.com/open?id=13byecF1FLO-DGd7wL0EDV-I3BKSVzKfJ, https://drive.google.com/open?id=1rdrNjq9ISy1hNbK6E6dYYFByYpYIR-Fv, https://drive.google.com/open?id=1rzV0HuQbN01MxHUJa"&amp;"VfY8IDfL95q81RW")</f>
        <v>https://drive.google.com/open?id=17jDcoRoygc4UgLpsZ8BQgVcA8YZ9fjVb, https://drive.google.com/open?id=13byecF1FLO-DGd7wL0EDV-I3BKSVzKfJ, https://drive.google.com/open?id=1rdrNjq9ISy1hNbK6E6dYYFByYpYIR-Fv, https://drive.google.com/open?id=1rzV0HuQbN01MxHUJaVfY8IDfL95q81RW</v>
      </c>
      <c r="Y577" s="495" t="str">
        <f>IFERROR(__xludf.DUMMYFUNCTION("""COMPUTED_VALUE"""),"luis.exequielsolis@gmail.com")</f>
        <v>luis.exequielsolis@gmail.com</v>
      </c>
      <c r="Z577" s="495"/>
      <c r="AA577" s="495"/>
      <c r="AB577" s="495"/>
      <c r="AC577" s="495"/>
      <c r="AD577" s="495" t="str">
        <f>IFERROR(__xludf.DUMMYFUNCTION("""COMPUTED_VALUE"""),"RC-064")</f>
        <v>RC-064</v>
      </c>
    </row>
    <row r="578">
      <c r="A578" s="495" t="str">
        <f t="shared" si="1"/>
        <v>RC-063</v>
      </c>
      <c r="B578" s="497">
        <f>IFERROR(__xludf.DUMMYFUNCTION("""COMPUTED_VALUE"""),45982.438891516205)</f>
        <v>45982.43889</v>
      </c>
      <c r="C578" s="495" t="str">
        <f>IFERROR(__xludf.DUMMYFUNCTION("""COMPUTED_VALUE"""),"")</f>
        <v/>
      </c>
      <c r="D578" s="495" t="str">
        <f>IFERROR(__xludf.DUMMYFUNCTION("""COMPUTED_VALUE"""),"Leonor Ríos Morales")</f>
        <v>Leonor Ríos Morales</v>
      </c>
      <c r="E578" s="495"/>
      <c r="F578" s="496" t="str">
        <f>IFERROR(__xludf.DUMMYFUNCTION("""COMPUTED_VALUE"""),"11490 - 2025")</f>
        <v>11490 - 2025</v>
      </c>
      <c r="G578" s="495"/>
      <c r="H578" s="495"/>
      <c r="I578" s="495"/>
      <c r="J578" s="495" t="str">
        <f>IFERROR(__xludf.DUMMYFUNCTION("""COMPUTED_VALUE"""),"Campus San Juan Pablo II - CJP")</f>
        <v>Campus San Juan Pablo II - CJP</v>
      </c>
      <c r="K578" s="495" t="str">
        <f>IFERROR(__xludf.DUMMYFUNCTION("""COMPUTED_VALUE"""),"07")</f>
        <v>07</v>
      </c>
      <c r="L578" s="495" t="str">
        <f>IFERROR(__xludf.DUMMYFUNCTION("""COMPUTED_VALUE"""),"Hardessen Crea S.P.A.")</f>
        <v>Hardessen Crea S.P.A.</v>
      </c>
      <c r="M578" s="495" t="str">
        <f>IFERROR(__xludf.DUMMYFUNCTION("""COMPUTED_VALUE"""),"52002295-3")</f>
        <v>52002295-3</v>
      </c>
      <c r="N578" s="495" t="str">
        <f>IFERROR(__xludf.DUMMYFUNCTION("""COMPUTED_VALUE"""),"Katherine Hardessen, representante de Hardessen Crea SPA")</f>
        <v>Katherine Hardessen, representante de Hardessen Crea SPA</v>
      </c>
      <c r="O578" s="495" t="str">
        <f>IFERROR(__xludf.DUMMYFUNCTION("""COMPUTED_VALUE"""),"Mantenciones")</f>
        <v>Mantenciones</v>
      </c>
      <c r="P578" s="495" t="str">
        <f>IFERROR(__xludf.DUMMYFUNCTION("""COMPUTED_VALUE"""),"Requerimientos Emergentes e Imprevistos")</f>
        <v>Requerimientos Emergentes e Imprevistos</v>
      </c>
      <c r="Q578" s="495"/>
      <c r="R578" s="495"/>
      <c r="S578" s="495"/>
      <c r="T578" s="495"/>
      <c r="U578" s="495"/>
      <c r="V578" s="495" t="str">
        <f>IFERROR(__xludf.DUMMYFUNCTION("""COMPUTED_VALUE"""),"Mantención señalética Tótem CPJ07")</f>
        <v>Mantención señalética Tótem CPJ07</v>
      </c>
      <c r="W578" s="495"/>
      <c r="X578" s="495" t="str">
        <f>IFERROR(__xludf.DUMMYFUNCTION("""COMPUTED_VALUE"""),"https://drive.google.com/open?id=1I6i1CR52Y8FDApwabmgyJdBc5smzdU9v, https://drive.google.com/open?id=15sea3H0Wi2kHby4i_uAbuaYNwxYMa1ki, https://drive.google.com/open?id=1RSzMNye2CHx8d5ETJ1zIO9cj4DPk8AcB, https://drive.google.com/open?id=1GLrGmtDLBcGc3NrR2"&amp;"Voe-EPbDye3nnuZ, https://drive.google.com/open?id=1n3sy9BTVhLR3m2UXQOjv4b2ulU_QbjIc")</f>
        <v>https://drive.google.com/open?id=1I6i1CR52Y8FDApwabmgyJdBc5smzdU9v, https://drive.google.com/open?id=15sea3H0Wi2kHby4i_uAbuaYNwxYMa1ki, https://drive.google.com/open?id=1RSzMNye2CHx8d5ETJ1zIO9cj4DPk8AcB, https://drive.google.com/open?id=1GLrGmtDLBcGc3NrR2Voe-EPbDye3nnuZ, https://drive.google.com/open?id=1n3sy9BTVhLR3m2UXQOjv4b2ulU_QbjIc</v>
      </c>
      <c r="Y578" s="495" t="str">
        <f>IFERROR(__xludf.DUMMYFUNCTION("""COMPUTED_VALUE"""),"kathy@hardessen.cl")</f>
        <v>kathy@hardessen.cl</v>
      </c>
      <c r="Z578" s="495"/>
      <c r="AA578" s="495"/>
      <c r="AB578" s="495"/>
      <c r="AC578" s="495"/>
      <c r="AD578" s="495" t="str">
        <f>IFERROR(__xludf.DUMMYFUNCTION("""COMPUTED_VALUE"""),"RC-063")</f>
        <v>RC-063</v>
      </c>
    </row>
    <row r="579">
      <c r="A579" s="495" t="str">
        <f t="shared" si="1"/>
        <v>RC-062</v>
      </c>
      <c r="B579" s="497">
        <f>IFERROR(__xludf.DUMMYFUNCTION("""COMPUTED_VALUE"""),45981.95861959491)</f>
        <v>45981.95862</v>
      </c>
      <c r="C579" s="495" t="str">
        <f>IFERROR(__xludf.DUMMYFUNCTION("""COMPUTED_VALUE"""),"")</f>
        <v/>
      </c>
      <c r="D579" s="495" t="str">
        <f>IFERROR(__xludf.DUMMYFUNCTION("""COMPUTED_VALUE"""),"Carol Huenchual Chañilao")</f>
        <v>Carol Huenchual Chañilao</v>
      </c>
      <c r="E579" s="495"/>
      <c r="F579" s="496" t="str">
        <f>IFERROR(__xludf.DUMMYFUNCTION("""COMPUTED_VALUE""")," 11685-2025")</f>
        <v> 11685-2025</v>
      </c>
      <c r="G579" s="495"/>
      <c r="H579" s="495"/>
      <c r="I579" s="495"/>
      <c r="J579" s="495" t="str">
        <f>IFERROR(__xludf.DUMMYFUNCTION("""COMPUTED_VALUE"""),"Campus San Francisco - CSF")</f>
        <v>Campus San Francisco - CSF</v>
      </c>
      <c r="K579" s="495" t="str">
        <f>IFERROR(__xludf.DUMMYFUNCTION("""COMPUTED_VALUE"""),"01")</f>
        <v>01</v>
      </c>
      <c r="L579" s="495" t="str">
        <f>IFERROR(__xludf.DUMMYFUNCTION("""COMPUTED_VALUE"""),"Kume Ruka SpA")</f>
        <v>Kume Ruka SpA</v>
      </c>
      <c r="M579" s="495" t="str">
        <f>IFERROR(__xludf.DUMMYFUNCTION("""COMPUTED_VALUE"""),"77.929.977-5")</f>
        <v>77.929.977-5</v>
      </c>
      <c r="N579" s="495" t="str">
        <f>IFERROR(__xludf.DUMMYFUNCTION("""COMPUTED_VALUE"""),"Hector Zambrano")</f>
        <v>Hector Zambrano</v>
      </c>
      <c r="O579" s="495" t="str">
        <f>IFERROR(__xludf.DUMMYFUNCTION("""COMPUTED_VALUE"""),"Mantenciones")</f>
        <v>Mantenciones</v>
      </c>
      <c r="P579" s="495" t="str">
        <f>IFERROR(__xludf.DUMMYFUNCTION("""COMPUTED_VALUE"""),"Requerimientos Emergentes e Imprevistos")</f>
        <v>Requerimientos Emergentes e Imprevistos</v>
      </c>
      <c r="Q579" s="495"/>
      <c r="R579" s="495"/>
      <c r="S579" s="495"/>
      <c r="T579" s="495"/>
      <c r="U579" s="495"/>
      <c r="V579" s="495" t="str">
        <f>IFERROR(__xludf.DUMMYFUNCTION("""COMPUTED_VALUE"""),"RETIRO DE PUERTA,CIERRE DE VANO, AISLACION ACUSTICA Y PINTURA.")</f>
        <v>RETIRO DE PUERTA,CIERRE DE VANO, AISLACION ACUSTICA Y PINTURA.</v>
      </c>
      <c r="W579" s="495"/>
      <c r="X579" s="495" t="str">
        <f>IFERROR(__xludf.DUMMYFUNCTION("""COMPUTED_VALUE"""),"https://drive.google.com/open?id=1nVPhCfAsm_oc3ZFGNxQmLSYasewAmqqO, https://drive.google.com/open?id=1IfxMvWvic5okBiA2m2Rz5KnKYxVvjIHC, https://drive.google.com/open?id=1zPChEhDYE6GY-ZGkCjAfN1Bafb6fhIbS")</f>
        <v>https://drive.google.com/open?id=1nVPhCfAsm_oc3ZFGNxQmLSYasewAmqqO, https://drive.google.com/open?id=1IfxMvWvic5okBiA2m2Rz5KnKYxVvjIHC, https://drive.google.com/open?id=1zPChEhDYE6GY-ZGkCjAfN1Bafb6fhIbS</v>
      </c>
      <c r="Y579" s="495" t="str">
        <f>IFERROR(__xludf.DUMMYFUNCTION("""COMPUTED_VALUE"""),"hzambranoleal@gmail.com")</f>
        <v>hzambranoleal@gmail.com</v>
      </c>
      <c r="Z579" s="495"/>
      <c r="AA579" s="495"/>
      <c r="AB579" s="495"/>
      <c r="AC579" s="495"/>
      <c r="AD579" s="495" t="str">
        <f>IFERROR(__xludf.DUMMYFUNCTION("""COMPUTED_VALUE"""),"RC-062")</f>
        <v>RC-062</v>
      </c>
    </row>
    <row r="580">
      <c r="A580" s="495" t="str">
        <f t="shared" si="1"/>
        <v>RC-061</v>
      </c>
      <c r="B580" s="497">
        <f>IFERROR(__xludf.DUMMYFUNCTION("""COMPUTED_VALUE"""),45980.549393657406)</f>
        <v>45980.54939</v>
      </c>
      <c r="C580" s="495" t="str">
        <f>IFERROR(__xludf.DUMMYFUNCTION("""COMPUTED_VALUE"""),"")</f>
        <v/>
      </c>
      <c r="D580" s="495" t="str">
        <f>IFERROR(__xludf.DUMMYFUNCTION("""COMPUTED_VALUE"""),"Carol Huenchual Chañilao")</f>
        <v>Carol Huenchual Chañilao</v>
      </c>
      <c r="E580" s="495"/>
      <c r="F580" s="496" t="str">
        <f>IFERROR(__xludf.DUMMYFUNCTION("""COMPUTED_VALUE"""),"9918 -2025")</f>
        <v>9918 -2025</v>
      </c>
      <c r="G580" s="495"/>
      <c r="H580" s="495"/>
      <c r="I580" s="495"/>
      <c r="J580" s="495" t="str">
        <f>IFERROR(__xludf.DUMMYFUNCTION("""COMPUTED_VALUE"""),"Campus Pillanlelbun - CPL")</f>
        <v>Campus Pillanlelbun - CPL</v>
      </c>
      <c r="K580" s="495" t="str">
        <f>IFERROR(__xludf.DUMMYFUNCTION("""COMPUTED_VALUE"""),"08")</f>
        <v>08</v>
      </c>
      <c r="L580" s="495" t="str">
        <f>IFERROR(__xludf.DUMMYFUNCTION("""COMPUTED_VALUE"""),"JUAN EVANGELISTA CARRASCO VILLABLANCA")</f>
        <v>JUAN EVANGELISTA CARRASCO VILLABLANCA</v>
      </c>
      <c r="M580" s="495" t="str">
        <f>IFERROR(__xludf.DUMMYFUNCTION("""COMPUTED_VALUE"""),"11.688.476- 3")</f>
        <v>11.688.476- 3</v>
      </c>
      <c r="N580" s="495" t="str">
        <f>IFERROR(__xludf.DUMMYFUNCTION("""COMPUTED_VALUE"""),"JUAN EVANGELISTA CARRASCO VILLABLANCA, TÉCNICO REPARACIONES")</f>
        <v>JUAN EVANGELISTA CARRASCO VILLABLANCA, TÉCNICO REPARACIONES</v>
      </c>
      <c r="O580" s="495" t="str">
        <f>IFERROR(__xludf.DUMMYFUNCTION("""COMPUTED_VALUE"""),"Mantenciones")</f>
        <v>Mantenciones</v>
      </c>
      <c r="P580" s="495" t="str">
        <f>IFERROR(__xludf.DUMMYFUNCTION("""COMPUTED_VALUE"""),"Requerimientos Emergentes e Imprevistos")</f>
        <v>Requerimientos Emergentes e Imprevistos</v>
      </c>
      <c r="Q580" s="495"/>
      <c r="R580" s="495"/>
      <c r="S580" s="495"/>
      <c r="T580" s="495"/>
      <c r="U580" s="495"/>
      <c r="V580" s="495" t="str">
        <f>IFERROR(__xludf.DUMMYFUNCTION("""COMPUTED_VALUE"""),"El trabajo tuvo dos etapas:
1° Desarmado y traslado temporal de bomba de vacío del equipo de lechería a sector estanque de frío ( La universidad estaba realizando obras de mejora en la estructura de sala de bomba de vacío. 
2° Una vez que el otro contrati"&amp;"sta terminó las paredes y radier de la sala de bomba de vacío, procedí al desarme y armado de la estructura al sector definitivo.
Para este trabajo se necesitó modificar el sistema existente y cambiar piezas para que la bomba funcionara correctamente en e"&amp;"l proceso de ordeña sin afectar los trabajos diarios que se realizan en la lechería para la obtención y entrega de leche al comprador.")</f>
        <v>El trabajo tuvo dos etapas:
1° Desarmado y traslado temporal de bomba de vacío del equipo de lechería a sector estanque de frío ( La universidad estaba realizando obras de mejora en la estructura de sala de bomba de vacío. 
2° Una vez que el otro contratista terminó las paredes y radier de la sala de bomba de vacío, procedí al desarme y armado de la estructura al sector definitivo.
Para este trabajo se necesitó modificar el sistema existente y cambiar piezas para que la bomba funcionara correctamente en el proceso de ordeña sin afectar los trabajos diarios que se realizan en la lechería para la obtención y entrega de leche al comprador.</v>
      </c>
      <c r="W580" s="495" t="str">
        <f>IFERROR(__xludf.DUMMYFUNCTION("""COMPUTED_VALUE"""),"Es importante señalar que todo sistema de ordeña se le debe realizar por lo menos una revisión y mantención anual.")</f>
        <v>Es importante señalar que todo sistema de ordeña se le debe realizar por lo menos una revisión y mantención anual.</v>
      </c>
      <c r="X580" s="495" t="str">
        <f>IFERROR(__xludf.DUMMYFUNCTION("""COMPUTED_VALUE"""),"https://drive.google.com/open?id=1h7aIOWZv69Z2RP6rVT2CzOQ6T0YQAzc5, https://drive.google.com/open?id=1KPJeCaja8pCGe-0smzshvor6I-C0EqSR, https://drive.google.com/open?id=1q86o23cKKb7KKU7mC273glLpLLQOeG2g, https://drive.google.com/open?id=1y6qZlmtQ100iyusOH"&amp;"kDFZ6OHKlwj7yec, https://drive.google.com/open?id=1Do8qcn1FBdxiBg0ezG5zZ0H9DyKE5hNO")</f>
        <v>https://drive.google.com/open?id=1h7aIOWZv69Z2RP6rVT2CzOQ6T0YQAzc5, https://drive.google.com/open?id=1KPJeCaja8pCGe-0smzshvor6I-C0EqSR, https://drive.google.com/open?id=1q86o23cKKb7KKU7mC273glLpLLQOeG2g, https://drive.google.com/open?id=1y6qZlmtQ100iyusOHkDFZ6OHKlwj7yec, https://drive.google.com/open?id=1Do8qcn1FBdxiBg0ezG5zZ0H9DyKE5hNO</v>
      </c>
      <c r="Y580" s="495" t="str">
        <f>IFERROR(__xludf.DUMMYFUNCTION("""COMPUTED_VALUE"""),"evangelistaj70@hotmail.com")</f>
        <v>evangelistaj70@hotmail.com</v>
      </c>
      <c r="Z580" s="495"/>
      <c r="AA580" s="495"/>
      <c r="AB580" s="495"/>
      <c r="AC580" s="495"/>
      <c r="AD580" s="495" t="str">
        <f>IFERROR(__xludf.DUMMYFUNCTION("""COMPUTED_VALUE"""),"RC-061")</f>
        <v>RC-061</v>
      </c>
    </row>
    <row r="581">
      <c r="A581" s="495" t="str">
        <f t="shared" si="1"/>
        <v>RC-059</v>
      </c>
      <c r="B581" s="497">
        <f>IFERROR(__xludf.DUMMYFUNCTION("""COMPUTED_VALUE"""),45979.81054237268)</f>
        <v>45979.81054</v>
      </c>
      <c r="C581" s="495" t="str">
        <f>IFERROR(__xludf.DUMMYFUNCTION("""COMPUTED_VALUE"""),"")</f>
        <v/>
      </c>
      <c r="D581" s="495" t="str">
        <f>IFERROR(__xludf.DUMMYFUNCTION("""COMPUTED_VALUE"""),"Juan Ignacio Solís de Ovando")</f>
        <v>Juan Ignacio Solís de Ovando</v>
      </c>
      <c r="E581" s="495"/>
      <c r="F581" s="496" t="str">
        <f>IFERROR(__xludf.DUMMYFUNCTION("""COMPUTED_VALUE"""),"11202-2025")</f>
        <v>11202-2025</v>
      </c>
      <c r="G581" s="495"/>
      <c r="H581" s="495"/>
      <c r="I581" s="495"/>
      <c r="J581" s="495" t="str">
        <f>IFERROR(__xludf.DUMMYFUNCTION("""COMPUTED_VALUE"""),"Campus Dr. Luis Rivas del Canto - CRC")</f>
        <v>Campus Dr. Luis Rivas del Canto - CRC</v>
      </c>
      <c r="K581" s="495" t="str">
        <f>IFERROR(__xludf.DUMMYFUNCTION("""COMPUTED_VALUE"""),"Exterior")</f>
        <v>Exterior</v>
      </c>
      <c r="L581" s="495" t="str">
        <f>IFERROR(__xludf.DUMMYFUNCTION("""COMPUTED_VALUE"""),"Constructora Alplas Spa")</f>
        <v>Constructora Alplas Spa</v>
      </c>
      <c r="M581" s="495" t="str">
        <f>IFERROR(__xludf.DUMMYFUNCTION("""COMPUTED_VALUE"""),"77190049-6")</f>
        <v>77190049-6</v>
      </c>
      <c r="N581" s="495" t="str">
        <f>IFERROR(__xludf.DUMMYFUNCTION("""COMPUTED_VALUE"""),"Camila Obando Nail / Ing. civil ")</f>
        <v>Camila Obando Nail / Ing. civil </v>
      </c>
      <c r="O581" s="495" t="str">
        <f>IFERROR(__xludf.DUMMYFUNCTION("""COMPUTED_VALUE"""),"Mantenciones")</f>
        <v>Mantenciones</v>
      </c>
      <c r="P581" s="495" t="str">
        <f>IFERROR(__xludf.DUMMYFUNCTION("""COMPUTED_VALUE"""),"Requerimientos Emergentes e Imprevistos")</f>
        <v>Requerimientos Emergentes e Imprevistos</v>
      </c>
      <c r="Q581" s="495"/>
      <c r="R581" s="495"/>
      <c r="S581" s="495"/>
      <c r="T581" s="495"/>
      <c r="U581" s="495"/>
      <c r="V581" s="495" t="str">
        <f>IFERROR(__xludf.DUMMYFUNCTION("""COMPUTED_VALUE"""),"RECAMBIO DE ARTEFACTOS BAÑOS CAMPUS RIVAS DEL CANTO")</f>
        <v>RECAMBIO DE ARTEFACTOS BAÑOS CAMPUS RIVAS DEL CANTO</v>
      </c>
      <c r="W581" s="495"/>
      <c r="X581" s="499" t="str">
        <f>IFERROR(__xludf.DUMMYFUNCTION("""COMPUTED_VALUE"""),"https://drive.google.com/open?id=1FL4F3wyzwInpbedVJD6YdsFPRVsinJCi")</f>
        <v>https://drive.google.com/open?id=1FL4F3wyzwInpbedVJD6YdsFPRVsinJCi</v>
      </c>
      <c r="Y581" s="495" t="str">
        <f>IFERROR(__xludf.DUMMYFUNCTION("""COMPUTED_VALUE"""),"ventas@alplas.cl")</f>
        <v>ventas@alplas.cl</v>
      </c>
      <c r="Z581" s="495"/>
      <c r="AA581" s="495"/>
      <c r="AB581" s="495"/>
      <c r="AC581" s="495"/>
      <c r="AD581" s="495" t="str">
        <f>IFERROR(__xludf.DUMMYFUNCTION("""COMPUTED_VALUE"""),"RC-059")</f>
        <v>RC-059</v>
      </c>
    </row>
    <row r="582">
      <c r="A582" s="495" t="str">
        <f t="shared" si="1"/>
        <v>RC-057</v>
      </c>
      <c r="B582" s="497">
        <f>IFERROR(__xludf.DUMMYFUNCTION("""COMPUTED_VALUE"""),45979.42512341435)</f>
        <v>45979.42512</v>
      </c>
      <c r="C582" s="495" t="str">
        <f>IFERROR(__xludf.DUMMYFUNCTION("""COMPUTED_VALUE"""),"")</f>
        <v/>
      </c>
      <c r="D582" s="495" t="str">
        <f>IFERROR(__xludf.DUMMYFUNCTION("""COMPUTED_VALUE"""),"Felipe Anselme Grandón")</f>
        <v>Felipe Anselme Grandón</v>
      </c>
      <c r="E582" s="495"/>
      <c r="F582" s="496" t="str">
        <f>IFERROR(__xludf.DUMMYFUNCTION("""COMPUTED_VALUE"""),"11481-2025")</f>
        <v>11481-2025</v>
      </c>
      <c r="G582" s="495"/>
      <c r="H582" s="495"/>
      <c r="I582" s="495"/>
      <c r="J582" s="495" t="str">
        <f>IFERROR(__xludf.DUMMYFUNCTION("""COMPUTED_VALUE"""),"Campus San Juan Pablo II - CJP")</f>
        <v>Campus San Juan Pablo II - CJP</v>
      </c>
      <c r="K582" s="495" t="str">
        <f>IFERROR(__xludf.DUMMYFUNCTION("""COMPUTED_VALUE"""),"Exterior")</f>
        <v>Exterior</v>
      </c>
      <c r="L582" s="495" t="str">
        <f>IFERROR(__xludf.DUMMYFUNCTION("""COMPUTED_VALUE"""),"GATICAR SPA")</f>
        <v>GATICAR SPA</v>
      </c>
      <c r="M582" s="495" t="str">
        <f>IFERROR(__xludf.DUMMYFUNCTION("""COMPUTED_VALUE"""),"77.578.487-3")</f>
        <v>77.578.487-3</v>
      </c>
      <c r="N582" s="495" t="str">
        <f>IFERROR(__xludf.DUMMYFUNCTION("""COMPUTED_VALUE"""),"HECTOR GATICA")</f>
        <v>HECTOR GATICA</v>
      </c>
      <c r="O582" s="495" t="str">
        <f>IFERROR(__xludf.DUMMYFUNCTION("""COMPUTED_VALUE"""),"Mantenciones")</f>
        <v>Mantenciones</v>
      </c>
      <c r="P582" s="495" t="str">
        <f>IFERROR(__xludf.DUMMYFUNCTION("""COMPUTED_VALUE"""),"Requerimientos Emergentes e Imprevistos")</f>
        <v>Requerimientos Emergentes e Imprevistos</v>
      </c>
      <c r="Q582" s="495"/>
      <c r="R582" s="495"/>
      <c r="S582" s="495"/>
      <c r="T582" s="495"/>
      <c r="U582" s="495"/>
      <c r="V582" s="495" t="str">
        <f>IFERROR(__xludf.DUMMYFUNCTION("""COMPUTED_VALUE"""),"puesta en marcha de sistema de riego ")</f>
        <v>puesta en marcha de sistema de riego </v>
      </c>
      <c r="W582" s="495"/>
      <c r="X582" s="495" t="str">
        <f>IFERROR(__xludf.DUMMYFUNCTION("""COMPUTED_VALUE"""),"https://drive.google.com/open?id=1xo4dJuVZmomlFxdO5sBj3obsbnUSZrYV, https://drive.google.com/open?id=1EJbKK9ZuyhHOpfaOmf8oknahswFwaPUd, https://drive.google.com/open?id=1_rh6PuIDeQMCMRWATaTmDQgporVuZxI0, https://drive.google.com/open?id=1owAVv8QJ4SZjHnGT8"&amp;"eA9AjWrKrQPJnxr, https://drive.google.com/open?id=1-__segLqlGqJF-2F9jt5b4fK63GC3KQW")</f>
        <v>https://drive.google.com/open?id=1xo4dJuVZmomlFxdO5sBj3obsbnUSZrYV, https://drive.google.com/open?id=1EJbKK9ZuyhHOpfaOmf8oknahswFwaPUd, https://drive.google.com/open?id=1_rh6PuIDeQMCMRWATaTmDQgporVuZxI0, https://drive.google.com/open?id=1owAVv8QJ4SZjHnGT8eA9AjWrKrQPJnxr, https://drive.google.com/open?id=1-__segLqlGqJF-2F9jt5b4fK63GC3KQW</v>
      </c>
      <c r="Y582" s="495" t="str">
        <f>IFERROR(__xludf.DUMMYFUNCTION("""COMPUTED_VALUE"""),"serviciogaticar@gmail.com")</f>
        <v>serviciogaticar@gmail.com</v>
      </c>
      <c r="Z582" s="495"/>
      <c r="AA582" s="495"/>
      <c r="AB582" s="495"/>
      <c r="AC582" s="495"/>
      <c r="AD582" s="495" t="str">
        <f>IFERROR(__xludf.DUMMYFUNCTION("""COMPUTED_VALUE"""),"RC-057")</f>
        <v>RC-057</v>
      </c>
    </row>
    <row r="583">
      <c r="A583" s="495" t="str">
        <f t="shared" si="1"/>
        <v>RC-056</v>
      </c>
      <c r="B583" s="497">
        <f>IFERROR(__xludf.DUMMYFUNCTION("""COMPUTED_VALUE"""),45979.41543003472)</f>
        <v>45979.41543</v>
      </c>
      <c r="C583" s="495" t="str">
        <f>IFERROR(__xludf.DUMMYFUNCTION("""COMPUTED_VALUE"""),"")</f>
        <v/>
      </c>
      <c r="D583" s="495" t="str">
        <f>IFERROR(__xludf.DUMMYFUNCTION("""COMPUTED_VALUE"""),"Felipe Anselme Grandón")</f>
        <v>Felipe Anselme Grandón</v>
      </c>
      <c r="E583" s="495"/>
      <c r="F583" s="496" t="str">
        <f>IFERROR(__xludf.DUMMYFUNCTION("""COMPUTED_VALUE"""),"11214-2025")</f>
        <v>11214-2025</v>
      </c>
      <c r="G583" s="495"/>
      <c r="H583" s="495"/>
      <c r="I583" s="495"/>
      <c r="J583" s="495" t="str">
        <f>IFERROR(__xludf.DUMMYFUNCTION("""COMPUTED_VALUE"""),"Campus San Juan Pablo II - CJP")</f>
        <v>Campus San Juan Pablo II - CJP</v>
      </c>
      <c r="K583" s="495" t="str">
        <f>IFERROR(__xludf.DUMMYFUNCTION("""COMPUTED_VALUE"""),"08")</f>
        <v>08</v>
      </c>
      <c r="L583" s="495" t="str">
        <f>IFERROR(__xludf.DUMMYFUNCTION("""COMPUTED_VALUE"""),"Ingertemuco Ingenieria Spa ")</f>
        <v>Ingertemuco Ingenieria Spa </v>
      </c>
      <c r="M583" s="495" t="str">
        <f>IFERROR(__xludf.DUMMYFUNCTION("""COMPUTED_VALUE"""),"77.369.471-0")</f>
        <v>77.369.471-0</v>
      </c>
      <c r="N583" s="495" t="str">
        <f>IFERROR(__xludf.DUMMYFUNCTION("""COMPUTED_VALUE"""),"Christian Ortega, Coordinador de proyectos ")</f>
        <v>Christian Ortega, Coordinador de proyectos </v>
      </c>
      <c r="O583" s="495" t="str">
        <f>IFERROR(__xludf.DUMMYFUNCTION("""COMPUTED_VALUE"""),"Mantenciones")</f>
        <v>Mantenciones</v>
      </c>
      <c r="P583" s="495" t="str">
        <f>IFERROR(__xludf.DUMMYFUNCTION("""COMPUTED_VALUE"""),"Requerimientos Emergentes e Imprevistos")</f>
        <v>Requerimientos Emergentes e Imprevistos</v>
      </c>
      <c r="Q583" s="495"/>
      <c r="R583" s="495"/>
      <c r="S583" s="495"/>
      <c r="T583" s="495"/>
      <c r="U583" s="495"/>
      <c r="V583" s="495" t="str">
        <f>IFERROR(__xludf.DUMMYFUNCTION("""COMPUTED_VALUE"""),"Se realiza cambio de fuente de poder para equipo de control de acceso y se instala UPS para respaldo de energía. Se corrobora que los botones de salida vuelvan a operar correctamente. ")</f>
        <v>Se realiza cambio de fuente de poder para equipo de control de acceso y se instala UPS para respaldo de energía. Se corrobora que los botones de salida vuelvan a operar correctamente. </v>
      </c>
      <c r="W583" s="495"/>
      <c r="X583" s="495" t="str">
        <f>IFERROR(__xludf.DUMMYFUNCTION("""COMPUTED_VALUE"""),"https://drive.google.com/open?id=1fwbNWohQKxyDb8L8TXwv8jtY32KDw50k, https://drive.google.com/open?id=19PO0597q2QnsJ8Qp4JfWMslGV2mofqxQ, https://drive.google.com/open?id=1sNn6vK5LKnh6Rh5l_qDHwUl7smokDFHv")</f>
        <v>https://drive.google.com/open?id=1fwbNWohQKxyDb8L8TXwv8jtY32KDw50k, https://drive.google.com/open?id=19PO0597q2QnsJ8Qp4JfWMslGV2mofqxQ, https://drive.google.com/open?id=1sNn6vK5LKnh6Rh5l_qDHwUl7smokDFHv</v>
      </c>
      <c r="Y583" s="495" t="str">
        <f>IFERROR(__xludf.DUMMYFUNCTION("""COMPUTED_VALUE"""),"comercialingertemuco@gmail.com")</f>
        <v>comercialingertemuco@gmail.com</v>
      </c>
      <c r="Z583" s="495"/>
      <c r="AA583" s="495"/>
      <c r="AB583" s="495"/>
      <c r="AC583" s="495"/>
      <c r="AD583" s="495" t="str">
        <f>IFERROR(__xludf.DUMMYFUNCTION("""COMPUTED_VALUE"""),"RC-056")</f>
        <v>RC-056</v>
      </c>
    </row>
    <row r="584">
      <c r="A584" s="495" t="str">
        <f t="shared" si="1"/>
        <v>RC-055</v>
      </c>
      <c r="B584" s="497">
        <f>IFERROR(__xludf.DUMMYFUNCTION("""COMPUTED_VALUE"""),45979.39333715278)</f>
        <v>45979.39334</v>
      </c>
      <c r="C584" s="495" t="str">
        <f>IFERROR(__xludf.DUMMYFUNCTION("""COMPUTED_VALUE"""),"")</f>
        <v/>
      </c>
      <c r="D584" s="495" t="str">
        <f>IFERROR(__xludf.DUMMYFUNCTION("""COMPUTED_VALUE"""),"Juan Ignacio Solís de Ovando")</f>
        <v>Juan Ignacio Solís de Ovando</v>
      </c>
      <c r="E584" s="495"/>
      <c r="F584" s="496" t="str">
        <f>IFERROR(__xludf.DUMMYFUNCTION("""COMPUTED_VALUE"""),"11202-2025")</f>
        <v>11202-2025</v>
      </c>
      <c r="G584" s="495"/>
      <c r="H584" s="495"/>
      <c r="I584" s="495"/>
      <c r="J584" s="495" t="str">
        <f>IFERROR(__xludf.DUMMYFUNCTION("""COMPUTED_VALUE"""),"Campus Dr. Luis Rivas del Canto - CRC")</f>
        <v>Campus Dr. Luis Rivas del Canto - CRC</v>
      </c>
      <c r="K584" s="495" t="str">
        <f>IFERROR(__xludf.DUMMYFUNCTION("""COMPUTED_VALUE"""),"Sin número")</f>
        <v>Sin número</v>
      </c>
      <c r="L584" s="495" t="str">
        <f>IFERROR(__xludf.DUMMYFUNCTION("""COMPUTED_VALUE"""),"Constructora Alplas spa")</f>
        <v>Constructora Alplas spa</v>
      </c>
      <c r="M584" s="495" t="str">
        <f>IFERROR(__xludf.DUMMYFUNCTION("""COMPUTED_VALUE"""),"77.190.049-6")</f>
        <v>77.190.049-6</v>
      </c>
      <c r="N584" s="495" t="str">
        <f>IFERROR(__xludf.DUMMYFUNCTION("""COMPUTED_VALUE"""),"Camila obando Nail / Ing, civil")</f>
        <v>Camila obando Nail / Ing, civil</v>
      </c>
      <c r="O584" s="495" t="str">
        <f>IFERROR(__xludf.DUMMYFUNCTION("""COMPUTED_VALUE"""),"Mantenciones")</f>
        <v>Mantenciones</v>
      </c>
      <c r="P584" s="495" t="str">
        <f>IFERROR(__xludf.DUMMYFUNCTION("""COMPUTED_VALUE"""),"Requerimientos Emergentes e Imprevistos")</f>
        <v>Requerimientos Emergentes e Imprevistos</v>
      </c>
      <c r="Q584" s="495"/>
      <c r="R584" s="495"/>
      <c r="S584" s="495"/>
      <c r="T584" s="495"/>
      <c r="U584" s="495"/>
      <c r="V584" s="495" t="str">
        <f>IFERROR(__xludf.DUMMYFUNCTION("""COMPUTED_VALUE"""),"Recambio de artefactos baños campus Luis Rivas del Canto. ")</f>
        <v>Recambio de artefactos baños campus Luis Rivas del Canto. </v>
      </c>
      <c r="W584" s="495"/>
      <c r="X584" s="499" t="str">
        <f>IFERROR(__xludf.DUMMYFUNCTION("""COMPUTED_VALUE"""),"https://drive.google.com/open?id=1hyyOW65jU-mdbwQnIA4Y53mE3Ri3NUeL")</f>
        <v>https://drive.google.com/open?id=1hyyOW65jU-mdbwQnIA4Y53mE3Ri3NUeL</v>
      </c>
      <c r="Y584" s="495" t="str">
        <f>IFERROR(__xludf.DUMMYFUNCTION("""COMPUTED_VALUE"""),"ventas@alplas.cl")</f>
        <v>ventas@alplas.cl</v>
      </c>
      <c r="Z584" s="495"/>
      <c r="AA584" s="495"/>
      <c r="AB584" s="495"/>
      <c r="AC584" s="495"/>
      <c r="AD584" s="495" t="str">
        <f>IFERROR(__xludf.DUMMYFUNCTION("""COMPUTED_VALUE"""),"RC-055")</f>
        <v>RC-055</v>
      </c>
    </row>
    <row r="585">
      <c r="A585" s="495" t="str">
        <f t="shared" si="1"/>
        <v>RC-263_26</v>
      </c>
      <c r="B585" s="497">
        <f>IFERROR(__xludf.DUMMYFUNCTION("""COMPUTED_VALUE"""),46195.67545357639)</f>
        <v>46195.67545</v>
      </c>
      <c r="C585" s="495" t="str">
        <f>IFERROR(__xludf.DUMMYFUNCTION("""COMPUTED_VALUE"""),"")</f>
        <v/>
      </c>
      <c r="D585" s="495" t="str">
        <f>IFERROR(__xludf.DUMMYFUNCTION("""COMPUTED_VALUE"""),"Mauricio Matus Belmar")</f>
        <v>Mauricio Matus Belmar</v>
      </c>
      <c r="E585" s="495"/>
      <c r="F585" s="496" t="str">
        <f>IFERROR(__xludf.DUMMYFUNCTION("""COMPUTED_VALUE"""),"4193-2026")</f>
        <v>4193-2026</v>
      </c>
      <c r="G585" s="495"/>
      <c r="H585" s="495"/>
      <c r="I585" s="495"/>
      <c r="J585" s="495" t="str">
        <f>IFERROR(__xludf.DUMMYFUNCTION("""COMPUTED_VALUE"""),"Campus San Juan Pablo II - CJP")</f>
        <v>Campus San Juan Pablo II - CJP</v>
      </c>
      <c r="K585" s="495">
        <f>IFERROR(__xludf.DUMMYFUNCTION("""COMPUTED_VALUE"""),11.0)</f>
        <v>11</v>
      </c>
      <c r="L585" s="495" t="str">
        <f>IFERROR(__xludf.DUMMYFUNCTION("""COMPUTED_VALUE"""),"MR ELECTROCLIMA SPA")</f>
        <v>MR ELECTROCLIMA SPA</v>
      </c>
      <c r="M585" s="495" t="str">
        <f>IFERROR(__xludf.DUMMYFUNCTION("""COMPUTED_VALUE"""),"77.773.634-5")</f>
        <v>77.773.634-5</v>
      </c>
      <c r="N585" s="495" t="str">
        <f>IFERROR(__xludf.DUMMYFUNCTION("""COMPUTED_VALUE"""),"Patricio Manriquez Riffo")</f>
        <v>Patricio Manriquez Riffo</v>
      </c>
      <c r="O585" s="495" t="str">
        <f>IFERROR(__xludf.DUMMYFUNCTION("""COMPUTED_VALUE"""),"Operación")</f>
        <v>Operación</v>
      </c>
      <c r="P585" s="495"/>
      <c r="Q585" s="495" t="str">
        <f>IFERROR(__xludf.DUMMYFUNCTION("""COMPUTED_VALUE"""),"Climatización")</f>
        <v>Climatización</v>
      </c>
      <c r="R585" s="495"/>
      <c r="S585" s="495"/>
      <c r="T585" s="495"/>
      <c r="U585" s="495"/>
      <c r="V585" s="495" t="str">
        <f>IFERROR(__xludf.DUMMYFUNCTION("""COMPUTED_VALUE"""),"Mantenimiento preventivo 2 equipos Chillers ( Bombas calor), incluye: Lavado, desinfección, medición de parámetros, medición de cargas eléctricas, revisión sistemas protección, calibración sondas y mantención T.D.F general.")</f>
        <v>Mantenimiento preventivo 2 equipos Chillers ( Bombas calor), incluye: Lavado, desinfección, medición de parámetros, medición de cargas eléctricas, revisión sistemas protección, calibración sondas y mantención T.D.F general.</v>
      </c>
      <c r="W585" s="495" t="str">
        <f>IFERROR(__xludf.DUMMYFUNCTION("""COMPUTED_VALUE"""),"Reemplazar pequeña fuga de agua en matris de llenado red agua estanque acumulador.")</f>
        <v>Reemplazar pequeña fuga de agua en matris de llenado red agua estanque acumulador.</v>
      </c>
      <c r="X585" s="495" t="str">
        <f>IFERROR(__xludf.DUMMYFUNCTION("""COMPUTED_VALUE"""),"https://drive.google.com/open?id=1TZQrtqzPpYuc_9KGQzn3l8q83SBbq3-7, https://drive.google.com/open?id=1jC3t83-c9q3k79EIagvOFTZqkp05x5pp, https://drive.google.com/open?id=1pi6W2zYeaJDoJmf3LHQlyS5QMUPaVt6E, https://drive.google.com/open?id=1rSmIL18HF2LXBXx3g"&amp;"K_OCDv0AoMjUKH0, https://drive.google.com/open?id=1mYR6-HkpsCyrp-qimdsCJuguKvd0lZaP")</f>
        <v>https://drive.google.com/open?id=1TZQrtqzPpYuc_9KGQzn3l8q83SBbq3-7, https://drive.google.com/open?id=1jC3t83-c9q3k79EIagvOFTZqkp05x5pp, https://drive.google.com/open?id=1pi6W2zYeaJDoJmf3LHQlyS5QMUPaVt6E, https://drive.google.com/open?id=1rSmIL18HF2LXBXx3gK_OCDv0AoMjUKH0, https://drive.google.com/open?id=1mYR6-HkpsCyrp-qimdsCJuguKvd0lZaP</v>
      </c>
      <c r="Y585" s="495" t="str">
        <f>IFERROR(__xludf.DUMMYFUNCTION("""COMPUTED_VALUE"""),"luismanriquez555@gmail.com")</f>
        <v>luismanriquez555@gmail.com</v>
      </c>
      <c r="Z585" s="498">
        <f>IFERROR(__xludf.DUMMYFUNCTION("""COMPUTED_VALUE"""),666400.0)</f>
        <v>666400</v>
      </c>
      <c r="AA585" s="495"/>
      <c r="AB585" s="495"/>
      <c r="AC585" s="495"/>
      <c r="AD585" s="495" t="str">
        <f>IFERROR(__xludf.DUMMYFUNCTION("""COMPUTED_VALUE"""),"RC-263_26")</f>
        <v>RC-263_26</v>
      </c>
    </row>
    <row r="586">
      <c r="A586" s="495" t="str">
        <f t="shared" si="1"/>
        <v>RC-264_26</v>
      </c>
      <c r="B586" s="497">
        <f>IFERROR(__xludf.DUMMYFUNCTION("""COMPUTED_VALUE"""),46195.68533674769)</f>
        <v>46195.68534</v>
      </c>
      <c r="C586" s="495" t="str">
        <f>IFERROR(__xludf.DUMMYFUNCTION("""COMPUTED_VALUE"""),"")</f>
        <v/>
      </c>
      <c r="D586" s="495" t="str">
        <f>IFERROR(__xludf.DUMMYFUNCTION("""COMPUTED_VALUE"""),"Mauricio Matus Belmar")</f>
        <v>Mauricio Matus Belmar</v>
      </c>
      <c r="E586" s="495"/>
      <c r="F586" s="496" t="str">
        <f>IFERROR(__xludf.DUMMYFUNCTION("""COMPUTED_VALUE"""),"4194-2026")</f>
        <v>4194-2026</v>
      </c>
      <c r="G586" s="495"/>
      <c r="H586" s="495"/>
      <c r="I586" s="495"/>
      <c r="J586" s="495" t="str">
        <f>IFERROR(__xludf.DUMMYFUNCTION("""COMPUTED_VALUE"""),"Campus San Juan Pablo II - CJP")</f>
        <v>Campus San Juan Pablo II - CJP</v>
      </c>
      <c r="K586" s="495" t="str">
        <f>IFERROR(__xludf.DUMMYFUNCTION("""COMPUTED_VALUE"""),"07")</f>
        <v>07</v>
      </c>
      <c r="L586" s="495" t="str">
        <f>IFERROR(__xludf.DUMMYFUNCTION("""COMPUTED_VALUE"""),"MR ELECTROCLIMA SPA")</f>
        <v>MR ELECTROCLIMA SPA</v>
      </c>
      <c r="M586" s="495" t="str">
        <f>IFERROR(__xludf.DUMMYFUNCTION("""COMPUTED_VALUE"""),"77.773.634-5")</f>
        <v>77.773.634-5</v>
      </c>
      <c r="N586" s="495" t="str">
        <f>IFERROR(__xludf.DUMMYFUNCTION("""COMPUTED_VALUE"""),"Patricio Manriquez Riffo")</f>
        <v>Patricio Manriquez Riffo</v>
      </c>
      <c r="O586" s="495" t="str">
        <f>IFERROR(__xludf.DUMMYFUNCTION("""COMPUTED_VALUE"""),"Operación")</f>
        <v>Operación</v>
      </c>
      <c r="P586" s="495"/>
      <c r="Q586" s="495" t="str">
        <f>IFERROR(__xludf.DUMMYFUNCTION("""COMPUTED_VALUE"""),"Climatización")</f>
        <v>Climatización</v>
      </c>
      <c r="R586" s="495"/>
      <c r="S586" s="495"/>
      <c r="T586" s="495"/>
      <c r="U586" s="495"/>
      <c r="V586" s="495" t="str">
        <f>IFERROR(__xludf.DUMMYFUNCTION("""COMPUTED_VALUE"""),"Mantenimiento preventivo manejadoras de aire (UMA): Cambio de filtros cartón 40% Eficiencia 16 Unidades y Cambio correas transmisión 4 Unidades.")</f>
        <v>Mantenimiento preventivo manejadoras de aire (UMA): Cambio de filtros cartón 40% Eficiencia 16 Unidades y Cambio correas transmisión 4 Unidades.</v>
      </c>
      <c r="W586" s="495" t="str">
        <f>IFERROR(__xludf.DUMMYFUNCTION("""COMPUTED_VALUE"""),"Sin observaciones.")</f>
        <v>Sin observaciones.</v>
      </c>
      <c r="X586" s="495" t="str">
        <f>IFERROR(__xludf.DUMMYFUNCTION("""COMPUTED_VALUE"""),"https://drive.google.com/open?id=1jp_C7q1RKj8TAAaY7YG5MaOSUrwxKiDu, https://drive.google.com/open?id=1D_uDfZVZ4m7H9kijjUvf_uogvTbA5Z6T, https://drive.google.com/open?id=1CPOTc5LpFEIdQJ1Zv3j-HQ2Rh4uwtzPk, https://drive.google.com/open?id=1C5vYYD8Fq-o1qNmHB"&amp;"QOCnBWBBCCh3Zsb, https://drive.google.com/open?id=1004ZRfao3_rNFQtnBcTNsGyH5spnHsbl")</f>
        <v>https://drive.google.com/open?id=1jp_C7q1RKj8TAAaY7YG5MaOSUrwxKiDu, https://drive.google.com/open?id=1D_uDfZVZ4m7H9kijjUvf_uogvTbA5Z6T, https://drive.google.com/open?id=1CPOTc5LpFEIdQJ1Zv3j-HQ2Rh4uwtzPk, https://drive.google.com/open?id=1C5vYYD8Fq-o1qNmHBQOCnBWBBCCh3Zsb, https://drive.google.com/open?id=1004ZRfao3_rNFQtnBcTNsGyH5spnHsbl</v>
      </c>
      <c r="Y586" s="495" t="str">
        <f>IFERROR(__xludf.DUMMYFUNCTION("""COMPUTED_VALUE"""),"luismanriquez555@gmail.com")</f>
        <v>luismanriquez555@gmail.com</v>
      </c>
      <c r="Z586" s="498">
        <f>IFERROR(__xludf.DUMMYFUNCTION("""COMPUTED_VALUE"""),626892.0)</f>
        <v>626892</v>
      </c>
      <c r="AA586" s="495"/>
      <c r="AB586" s="495"/>
      <c r="AC586" s="495"/>
      <c r="AD586" s="495" t="str">
        <f>IFERROR(__xludf.DUMMYFUNCTION("""COMPUTED_VALUE"""),"RC-264_26")</f>
        <v>RC-264_26</v>
      </c>
    </row>
    <row r="587">
      <c r="A587" s="495" t="str">
        <f t="shared" si="1"/>
        <v>RC-265_26</v>
      </c>
      <c r="B587" s="497">
        <f>IFERROR(__xludf.DUMMYFUNCTION("""COMPUTED_VALUE"""),46195.69205819444)</f>
        <v>46195.69206</v>
      </c>
      <c r="C587" s="495" t="str">
        <f>IFERROR(__xludf.DUMMYFUNCTION("""COMPUTED_VALUE"""),"")</f>
        <v/>
      </c>
      <c r="D587" s="495" t="str">
        <f>IFERROR(__xludf.DUMMYFUNCTION("""COMPUTED_VALUE"""),"Cristóbal Correa del Río")</f>
        <v>Cristóbal Correa del Río</v>
      </c>
      <c r="E587" s="495"/>
      <c r="F587" s="496">
        <f>IFERROR(__xludf.DUMMYFUNCTION("""COMPUTED_VALUE"""),4103.0)</f>
        <v>4103</v>
      </c>
      <c r="G587" s="495"/>
      <c r="H587" s="495"/>
      <c r="I587" s="495"/>
      <c r="J587" s="495" t="str">
        <f>IFERROR(__xludf.DUMMYFUNCTION("""COMPUTED_VALUE"""),"Campus San Francisco - CSF")</f>
        <v>Campus San Francisco - CSF</v>
      </c>
      <c r="K587" s="495" t="str">
        <f>IFERROR(__xludf.DUMMYFUNCTION("""COMPUTED_VALUE"""),"Exterior")</f>
        <v>Exterior</v>
      </c>
      <c r="L587" s="495" t="str">
        <f>IFERROR(__xludf.DUMMYFUNCTION("""COMPUTED_VALUE"""),"AMARIS CONSTRUCTORA SpA")</f>
        <v>AMARIS CONSTRUCTORA SpA</v>
      </c>
      <c r="M587" s="495" t="str">
        <f>IFERROR(__xludf.DUMMYFUNCTION("""COMPUTED_VALUE"""),"77.648.798-8")</f>
        <v>77.648.798-8</v>
      </c>
      <c r="N587" s="495" t="str">
        <f>IFERROR(__xludf.DUMMYFUNCTION("""COMPUTED_VALUE"""),"Jesus Mancilla Vidal ")</f>
        <v>Jesus Mancilla Vidal </v>
      </c>
      <c r="O587" s="495" t="str">
        <f>IFERROR(__xludf.DUMMYFUNCTION("""COMPUTED_VALUE"""),"Obras y Especialidades")</f>
        <v>Obras y Especialidades</v>
      </c>
      <c r="P587" s="495"/>
      <c r="Q587" s="495"/>
      <c r="R587" s="495" t="str">
        <f>IFERROR(__xludf.DUMMYFUNCTION("""COMPUTED_VALUE"""),"Modificación de Espacio")</f>
        <v>Modificación de Espacio</v>
      </c>
      <c r="S587" s="495" t="str">
        <f>IFERROR(__xludf.DUMMYFUNCTION("""COMPUTED_VALUE"""),"Recepción de Obra - RC")</f>
        <v>Recepción de Obra - RC</v>
      </c>
      <c r="T587" s="495"/>
      <c r="U587" s="495"/>
      <c r="V587" s="495" t="str">
        <f>IFERROR(__xludf.DUMMYFUNCTION("""COMPUTED_VALUE"""),"Construcción de tabique, division camarin guardias ")</f>
        <v>Construcción de tabique, division camarin guardias </v>
      </c>
      <c r="W587" s="495" t="str">
        <f>IFERROR(__xludf.DUMMYFUNCTION("""COMPUTED_VALUE"""),"Sin obsevaciones ")</f>
        <v>Sin obsevaciones </v>
      </c>
      <c r="X587" s="495" t="str">
        <f>IFERROR(__xludf.DUMMYFUNCTION("""COMPUTED_VALUE"""),"https://drive.google.com/open?id=1mHt6NchnS9yZomh7bhjoMLY6xKFMRUAY, https://drive.google.com/open?id=125bN4FD9orK4BR_2QNA-xPPkZqZqVJ_x, https://drive.google.com/open?id=10yFz0yofF_QJfMiiCUrSYKqWs_azosV-")</f>
        <v>https://drive.google.com/open?id=1mHt6NchnS9yZomh7bhjoMLY6xKFMRUAY, https://drive.google.com/open?id=125bN4FD9orK4BR_2QNA-xPPkZqZqVJ_x, https://drive.google.com/open?id=10yFz0yofF_QJfMiiCUrSYKqWs_azosV-</v>
      </c>
      <c r="Y587" s="495" t="str">
        <f>IFERROR(__xludf.DUMMYFUNCTION("""COMPUTED_VALUE"""),"e.fuentealba@amaris.cl")</f>
        <v>e.fuentealba@amaris.cl</v>
      </c>
      <c r="Z587" s="498">
        <f>IFERROR(__xludf.DUMMYFUNCTION("""COMPUTED_VALUE"""),749700.0)</f>
        <v>749700</v>
      </c>
      <c r="AA587" s="495"/>
      <c r="AB587" s="495"/>
      <c r="AC587" s="495"/>
      <c r="AD587" s="495" t="str">
        <f>IFERROR(__xludf.DUMMYFUNCTION("""COMPUTED_VALUE"""),"RC-265_26")</f>
        <v>RC-265_26</v>
      </c>
    </row>
    <row r="588">
      <c r="A588" s="495" t="str">
        <f t="shared" si="1"/>
        <v>RC-052</v>
      </c>
      <c r="B588" s="497">
        <f>IFERROR(__xludf.DUMMYFUNCTION("""COMPUTED_VALUE"""),45976.47463892361)</f>
        <v>45976.47464</v>
      </c>
      <c r="C588" s="495" t="str">
        <f>IFERROR(__xludf.DUMMYFUNCTION("""COMPUTED_VALUE"""),"")</f>
        <v/>
      </c>
      <c r="D588" s="495" t="str">
        <f>IFERROR(__xludf.DUMMYFUNCTION("""COMPUTED_VALUE"""),"Carol Huenchual Chañilao")</f>
        <v>Carol Huenchual Chañilao</v>
      </c>
      <c r="E588" s="495"/>
      <c r="F588" s="496" t="str">
        <f>IFERROR(__xludf.DUMMYFUNCTION("""COMPUTED_VALUE"""),"11372-2025")</f>
        <v>11372-2025</v>
      </c>
      <c r="G588" s="495"/>
      <c r="H588" s="495"/>
      <c r="I588" s="495"/>
      <c r="J588" s="495" t="str">
        <f>IFERROR(__xludf.DUMMYFUNCTION("""COMPUTED_VALUE"""),"Campus San Francisco - CSF")</f>
        <v>Campus San Francisco - CSF</v>
      </c>
      <c r="K588" s="495" t="str">
        <f>IFERROR(__xludf.DUMMYFUNCTION("""COMPUTED_VALUE"""),"Exterior")</f>
        <v>Exterior</v>
      </c>
      <c r="L588" s="495" t="str">
        <f>IFERROR(__xludf.DUMMYFUNCTION("""COMPUTED_VALUE"""),"Kume Ruka SpA")</f>
        <v>Kume Ruka SpA</v>
      </c>
      <c r="M588" s="495" t="str">
        <f>IFERROR(__xludf.DUMMYFUNCTION("""COMPUTED_VALUE"""),"77.929.977-5")</f>
        <v>77.929.977-5</v>
      </c>
      <c r="N588" s="495" t="str">
        <f>IFERROR(__xludf.DUMMYFUNCTION("""COMPUTED_VALUE"""),"Hector Zambrano")</f>
        <v>Hector Zambrano</v>
      </c>
      <c r="O588" s="495" t="str">
        <f>IFERROR(__xludf.DUMMYFUNCTION("""COMPUTED_VALUE"""),"Mantenciones")</f>
        <v>Mantenciones</v>
      </c>
      <c r="P588" s="495" t="str">
        <f>IFERROR(__xludf.DUMMYFUNCTION("""COMPUTED_VALUE"""),"Requerimientos Emergentes e Imprevistos")</f>
        <v>Requerimientos Emergentes e Imprevistos</v>
      </c>
      <c r="Q588" s="495"/>
      <c r="R588" s="495"/>
      <c r="S588" s="495"/>
      <c r="T588" s="495"/>
      <c r="U588" s="495"/>
      <c r="V588" s="495" t="str">
        <f>IFERROR(__xludf.DUMMYFUNCTION("""COMPUTED_VALUE"""),"REPARACION MASTIL EN SISTEMA IZAJE (TRABAJO EN ALTURA)")</f>
        <v>REPARACION MASTIL EN SISTEMA IZAJE (TRABAJO EN ALTURA)</v>
      </c>
      <c r="W588" s="495" t="str">
        <f>IFERROR(__xludf.DUMMYFUNCTION("""COMPUTED_VALUE"""),"Se reinstalo misma cuerda de bandera, se recomienda el cambio por cuerdas nuevas en los 3 mástil porque las existentes están deterioradas.")</f>
        <v>Se reinstalo misma cuerda de bandera, se recomienda el cambio por cuerdas nuevas en los 3 mástil porque las existentes están deterioradas.</v>
      </c>
      <c r="X588" s="499" t="str">
        <f>IFERROR(__xludf.DUMMYFUNCTION("""COMPUTED_VALUE"""),"https://drive.google.com/open?id=1GDOHe8UzzRF9Tq2OZzfbd9R-cqcb5LSE")</f>
        <v>https://drive.google.com/open?id=1GDOHe8UzzRF9Tq2OZzfbd9R-cqcb5LSE</v>
      </c>
      <c r="Y588" s="495" t="str">
        <f>IFERROR(__xludf.DUMMYFUNCTION("""COMPUTED_VALUE"""),"hzambranoleal@gmail.com")</f>
        <v>hzambranoleal@gmail.com</v>
      </c>
      <c r="Z588" s="495"/>
      <c r="AA588" s="495"/>
      <c r="AB588" s="495"/>
      <c r="AC588" s="495"/>
      <c r="AD588" s="495" t="str">
        <f>IFERROR(__xludf.DUMMYFUNCTION("""COMPUTED_VALUE"""),"RC-052")</f>
        <v>RC-052</v>
      </c>
    </row>
    <row r="589">
      <c r="A589" s="495" t="str">
        <f t="shared" si="1"/>
        <v>RC-267_26</v>
      </c>
      <c r="B589" s="497">
        <f>IFERROR(__xludf.DUMMYFUNCTION("""COMPUTED_VALUE"""),46196.58426658565)</f>
        <v>46196.58427</v>
      </c>
      <c r="C589" s="495" t="str">
        <f>IFERROR(__xludf.DUMMYFUNCTION("""COMPUTED_VALUE"""),"")</f>
        <v/>
      </c>
      <c r="D589" s="495" t="str">
        <f>IFERROR(__xludf.DUMMYFUNCTION("""COMPUTED_VALUE"""),"Cristóbal Correa del Río")</f>
        <v>Cristóbal Correa del Río</v>
      </c>
      <c r="E589" s="495"/>
      <c r="F589" s="496" t="str">
        <f>IFERROR(__xludf.DUMMYFUNCTION("""COMPUTED_VALUE"""),"4534-2026")</f>
        <v>4534-2026</v>
      </c>
      <c r="G589" s="495"/>
      <c r="H589" s="495"/>
      <c r="I589" s="495"/>
      <c r="J589" s="495" t="str">
        <f>IFERROR(__xludf.DUMMYFUNCTION("""COMPUTED_VALUE"""),"Campus Dr. Luis Rivas del Canto - CRC")</f>
        <v>Campus Dr. Luis Rivas del Canto - CRC</v>
      </c>
      <c r="K589" s="495" t="str">
        <f>IFERROR(__xludf.DUMMYFUNCTION("""COMPUTED_VALUE"""),"Exterior")</f>
        <v>Exterior</v>
      </c>
      <c r="L589" s="495" t="str">
        <f>IFERROR(__xludf.DUMMYFUNCTION("""COMPUTED_VALUE"""),"AMARIS CONSTRUCTORA Spa")</f>
        <v>AMARIS CONSTRUCTORA Spa</v>
      </c>
      <c r="M589" s="495" t="str">
        <f>IFERROR(__xludf.DUMMYFUNCTION("""COMPUTED_VALUE"""),"77.648.798-8")</f>
        <v>77.648.798-8</v>
      </c>
      <c r="N589" s="495" t="str">
        <f>IFERROR(__xludf.DUMMYFUNCTION("""COMPUTED_VALUE"""),"Jesus Mancilla Vidal ")</f>
        <v>Jesus Mancilla Vidal </v>
      </c>
      <c r="O589" s="495" t="str">
        <f>IFERROR(__xludf.DUMMYFUNCTION("""COMPUTED_VALUE"""),"Obras y Especialidades")</f>
        <v>Obras y Especialidades</v>
      </c>
      <c r="P589" s="495"/>
      <c r="Q589" s="495"/>
      <c r="R589" s="495" t="str">
        <f>IFERROR(__xludf.DUMMYFUNCTION("""COMPUTED_VALUE"""),"Exteriores")</f>
        <v>Exteriores</v>
      </c>
      <c r="S589" s="495" t="str">
        <f>IFERROR(__xludf.DUMMYFUNCTION("""COMPUTED_VALUE"""),"Recepción de Obra - RC")</f>
        <v>Recepción de Obra - RC</v>
      </c>
      <c r="T589" s="495"/>
      <c r="U589" s="495"/>
      <c r="V589" s="495" t="str">
        <f>IFERROR(__xludf.DUMMYFUNCTION("""COMPUTED_VALUE"""),"Confección de cierre perimetral recinto arqueologico y tupas.")</f>
        <v>Confección de cierre perimetral recinto arqueologico y tupas.</v>
      </c>
      <c r="W589" s="495" t="str">
        <f>IFERROR(__xludf.DUMMYFUNCTION("""COMPUTED_VALUE"""),"Sin observaciones ")</f>
        <v>Sin observaciones </v>
      </c>
      <c r="X589" s="495" t="str">
        <f>IFERROR(__xludf.DUMMYFUNCTION("""COMPUTED_VALUE"""),"https://drive.google.com/open?id=1l-vp4ollglyF8NpgOq8Uw_vMjaBk7cqB, https://drive.google.com/open?id=1NmxpVvSBYM_Ho6CMj3WesHjeL8XfOy66, https://drive.google.com/open?id=10dQoIrA49aOm13PKZqVKr5DLzrlCR9yn, https://drive.google.com/open?id=1s47rzPM5VD2emkcAk"&amp;"TdH8vWTCtjfCuMz, https://drive.google.com/open?id=1-LT4p4KnTy5XUoDyXDpTwUqdBtLD4NwC")</f>
        <v>https://drive.google.com/open?id=1l-vp4ollglyF8NpgOq8Uw_vMjaBk7cqB, https://drive.google.com/open?id=1NmxpVvSBYM_Ho6CMj3WesHjeL8XfOy66, https://drive.google.com/open?id=10dQoIrA49aOm13PKZqVKr5DLzrlCR9yn, https://drive.google.com/open?id=1s47rzPM5VD2emkcAkTdH8vWTCtjfCuMz, https://drive.google.com/open?id=1-LT4p4KnTy5XUoDyXDpTwUqdBtLD4NwC</v>
      </c>
      <c r="Y589" s="495" t="str">
        <f>IFERROR(__xludf.DUMMYFUNCTION("""COMPUTED_VALUE"""),"e.fuentealba@amaris.cl")</f>
        <v>e.fuentealba@amaris.cl</v>
      </c>
      <c r="Z589" s="498">
        <f>IFERROR(__xludf.DUMMYFUNCTION("""COMPUTED_VALUE"""),799502.0)</f>
        <v>799502</v>
      </c>
      <c r="AA589" s="495"/>
      <c r="AB589" s="495"/>
      <c r="AC589" s="495"/>
      <c r="AD589" s="495" t="str">
        <f>IFERROR(__xludf.DUMMYFUNCTION("""COMPUTED_VALUE"""),"RC-267_26")</f>
        <v>RC-267_26</v>
      </c>
    </row>
    <row r="590">
      <c r="A590" s="495" t="str">
        <f t="shared" si="1"/>
        <v>RC-051</v>
      </c>
      <c r="B590" s="497">
        <f>IFERROR(__xludf.DUMMYFUNCTION("""COMPUTED_VALUE"""),45976.468448113425)</f>
        <v>45976.46845</v>
      </c>
      <c r="C590" s="495" t="str">
        <f>IFERROR(__xludf.DUMMYFUNCTION("""COMPUTED_VALUE"""),"")</f>
        <v/>
      </c>
      <c r="D590" s="495" t="str">
        <f>IFERROR(__xludf.DUMMYFUNCTION("""COMPUTED_VALUE"""),"Carol Huenchual Chañilao")</f>
        <v>Carol Huenchual Chañilao</v>
      </c>
      <c r="E590" s="495"/>
      <c r="F590" s="496" t="str">
        <f>IFERROR(__xludf.DUMMYFUNCTION("""COMPUTED_VALUE"""),"11369-2025")</f>
        <v>11369-2025</v>
      </c>
      <c r="G590" s="495"/>
      <c r="H590" s="495"/>
      <c r="I590" s="495"/>
      <c r="J590" s="495" t="str">
        <f>IFERROR(__xludf.DUMMYFUNCTION("""COMPUTED_VALUE"""),"Campus San Francisco - CSF")</f>
        <v>Campus San Francisco - CSF</v>
      </c>
      <c r="K590" s="495">
        <f>IFERROR(__xludf.DUMMYFUNCTION("""COMPUTED_VALUE"""),12.0)</f>
        <v>12</v>
      </c>
      <c r="L590" s="495" t="str">
        <f>IFERROR(__xludf.DUMMYFUNCTION("""COMPUTED_VALUE"""),"Kume Ruka SpA")</f>
        <v>Kume Ruka SpA</v>
      </c>
      <c r="M590" s="495" t="str">
        <f>IFERROR(__xludf.DUMMYFUNCTION("""COMPUTED_VALUE"""),"77.929.977-5")</f>
        <v>77.929.977-5</v>
      </c>
      <c r="N590" s="495" t="str">
        <f>IFERROR(__xludf.DUMMYFUNCTION("""COMPUTED_VALUE"""),"Hector Zambrano")</f>
        <v>Hector Zambrano</v>
      </c>
      <c r="O590" s="495" t="str">
        <f>IFERROR(__xludf.DUMMYFUNCTION("""COMPUTED_VALUE"""),"Mantenciones")</f>
        <v>Mantenciones</v>
      </c>
      <c r="P590" s="495" t="str">
        <f>IFERROR(__xludf.DUMMYFUNCTION("""COMPUTED_VALUE"""),"Requerimientos Emergentes e Imprevistos")</f>
        <v>Requerimientos Emergentes e Imprevistos</v>
      </c>
      <c r="Q590" s="495"/>
      <c r="R590" s="495"/>
      <c r="S590" s="495"/>
      <c r="T590" s="495"/>
      <c r="U590" s="495"/>
      <c r="V590" s="495" t="str">
        <f>IFERROR(__xludf.DUMMYFUNCTION("""COMPUTED_VALUE"""),"REPARACIÓN DE CIELO INTERIOR Y FILTRACIONES SECTOR CSF12_227")</f>
        <v>REPARACIÓN DE CIELO INTERIOR Y FILTRACIONES SECTOR CSF12_227</v>
      </c>
      <c r="W590" s="495"/>
      <c r="X590" s="499" t="str">
        <f>IFERROR(__xludf.DUMMYFUNCTION("""COMPUTED_VALUE"""),"https://drive.google.com/open?id=1qMGJhIyhP9kAn5koKogYakQQGsgdMlHT")</f>
        <v>https://drive.google.com/open?id=1qMGJhIyhP9kAn5koKogYakQQGsgdMlHT</v>
      </c>
      <c r="Y590" s="495" t="str">
        <f>IFERROR(__xludf.DUMMYFUNCTION("""COMPUTED_VALUE"""),"HZAMBRANOLEAL@GMAIL.COM")</f>
        <v>HZAMBRANOLEAL@GMAIL.COM</v>
      </c>
      <c r="Z590" s="495"/>
      <c r="AA590" s="495"/>
      <c r="AB590" s="495"/>
      <c r="AC590" s="495"/>
      <c r="AD590" s="495" t="str">
        <f>IFERROR(__xludf.DUMMYFUNCTION("""COMPUTED_VALUE"""),"RC-051")</f>
        <v>RC-051</v>
      </c>
    </row>
    <row r="591">
      <c r="A591" s="495" t="str">
        <f t="shared" si="1"/>
        <v>RC-050</v>
      </c>
      <c r="B591" s="497">
        <f>IFERROR(__xludf.DUMMYFUNCTION("""COMPUTED_VALUE"""),45975.49629657407)</f>
        <v>45975.4963</v>
      </c>
      <c r="C591" s="495" t="str">
        <f>IFERROR(__xludf.DUMMYFUNCTION("""COMPUTED_VALUE"""),"")</f>
        <v/>
      </c>
      <c r="D591" s="495" t="str">
        <f>IFERROR(__xludf.DUMMYFUNCTION("""COMPUTED_VALUE"""),"Carol Huenchual Chañilao")</f>
        <v>Carol Huenchual Chañilao</v>
      </c>
      <c r="E591" s="495"/>
      <c r="F591" s="496" t="str">
        <f>IFERROR(__xludf.DUMMYFUNCTION("""COMPUTED_VALUE"""),"9464-2025")</f>
        <v>9464-2025</v>
      </c>
      <c r="G591" s="495"/>
      <c r="H591" s="495"/>
      <c r="I591" s="495"/>
      <c r="J591" s="495" t="str">
        <f>IFERROR(__xludf.DUMMYFUNCTION("""COMPUTED_VALUE"""),"Campus Dr. Luis Rivas del Canto - CRC")</f>
        <v>Campus Dr. Luis Rivas del Canto - CRC</v>
      </c>
      <c r="K591" s="495" t="str">
        <f>IFERROR(__xludf.DUMMYFUNCTION("""COMPUTED_VALUE"""),"Exterior")</f>
        <v>Exterior</v>
      </c>
      <c r="L591" s="495" t="str">
        <f>IFERROR(__xludf.DUMMYFUNCTION("""COMPUTED_VALUE"""),"Amaris Constructora Spa")</f>
        <v>Amaris Constructora Spa</v>
      </c>
      <c r="M591" s="495" t="str">
        <f>IFERROR(__xludf.DUMMYFUNCTION("""COMPUTED_VALUE"""),"77.648.798-8")</f>
        <v>77.648.798-8</v>
      </c>
      <c r="N591" s="495" t="str">
        <f>IFERROR(__xludf.DUMMYFUNCTION("""COMPUTED_VALUE"""),"Jesús Mancilla")</f>
        <v>Jesús Mancilla</v>
      </c>
      <c r="O591" s="495" t="str">
        <f>IFERROR(__xludf.DUMMYFUNCTION("""COMPUTED_VALUE"""),"Mantenciones")</f>
        <v>Mantenciones</v>
      </c>
      <c r="P591" s="495" t="str">
        <f>IFERROR(__xludf.DUMMYFUNCTION("""COMPUTED_VALUE"""),"Cerramientos Verticales")</f>
        <v>Cerramientos Verticales</v>
      </c>
      <c r="Q591" s="495"/>
      <c r="R591" s="495"/>
      <c r="S591" s="495"/>
      <c r="T591" s="495"/>
      <c r="U591" s="495"/>
      <c r="V591" s="495" t="str">
        <f>IFERROR(__xludf.DUMMYFUNCTION("""COMPUTED_VALUE"""),"Se perforo suelo con hoyadora, para instalar polines, posterior se instalo malla y puertas ")</f>
        <v>Se perforo suelo con hoyadora, para instalar polines, posterior se instalo malla y puertas </v>
      </c>
      <c r="W591" s="495" t="str">
        <f>IFERROR(__xludf.DUMMYFUNCTION("""COMPUTED_VALUE"""),"Se recomienda lubricar bisagras")</f>
        <v>Se recomienda lubricar bisagras</v>
      </c>
      <c r="X591" s="499" t="str">
        <f>IFERROR(__xludf.DUMMYFUNCTION("""COMPUTED_VALUE"""),"https://drive.google.com/open?id=1Uc3AlDKjHrwzboBuXDzBdASefSl4x_8T, https://drive.google.com/open?id=1PxqaXI2otIo2un_EVqPBQC5aru0KnNPD, https://drive.google.com/open?id=1tKS7R5m27TxMvnmzKhIDWCl3x3i6i4al, https://drive.google.com/open?id=1Xgc4QoY1RntIwFWb-"&amp;"Qn0Q7bKnGyyF7JK, https://drive.google.com/open?id=1QhkUHS2FFQftfafanRpbMjtnY9fCueTn")</f>
        <v>https://drive.google.com/open?id=1Uc3AlDKjHrwzboBuXDzBdASefSl4x_8T, https://drive.google.com/open?id=1PxqaXI2otIo2un_EVqPBQC5aru0KnNPD, https://drive.google.com/open?id=1tKS7R5m27TxMvnmzKhIDWCl3x3i6i4al, https://drive.google.com/open?id=1Xgc4QoY1RntIwFWb-Qn0Q7bKnGyyF7JK, https://drive.google.com/open?id=1QhkUHS2FFQftfafanRpbMjtnY9fCueTn</v>
      </c>
      <c r="Y591" s="495" t="str">
        <f>IFERROR(__xludf.DUMMYFUNCTION("""COMPUTED_VALUE"""),"administracion@amaris.cl")</f>
        <v>administracion@amaris.cl</v>
      </c>
      <c r="Z591" s="495"/>
      <c r="AA591" s="495"/>
      <c r="AB591" s="495"/>
      <c r="AC591" s="495"/>
      <c r="AD591" s="495" t="str">
        <f>IFERROR(__xludf.DUMMYFUNCTION("""COMPUTED_VALUE"""),"RC-050")</f>
        <v>RC-050</v>
      </c>
    </row>
    <row r="592">
      <c r="A592" s="495" t="str">
        <f t="shared" si="1"/>
        <v>RC-049</v>
      </c>
      <c r="B592" s="497">
        <f>IFERROR(__xludf.DUMMYFUNCTION("""COMPUTED_VALUE"""),45974.50564502315)</f>
        <v>45974.50565</v>
      </c>
      <c r="C592" s="495" t="str">
        <f>IFERROR(__xludf.DUMMYFUNCTION("""COMPUTED_VALUE"""),"")</f>
        <v/>
      </c>
      <c r="D592" s="495" t="str">
        <f>IFERROR(__xludf.DUMMYFUNCTION("""COMPUTED_VALUE"""),"Felipe Anselme Grandón")</f>
        <v>Felipe Anselme Grandón</v>
      </c>
      <c r="E592" s="495"/>
      <c r="F592" s="496">
        <f>IFERROR(__xludf.DUMMYFUNCTION("""COMPUTED_VALUE"""),11049.0)</f>
        <v>11049</v>
      </c>
      <c r="G592" s="495"/>
      <c r="H592" s="495"/>
      <c r="I592" s="495"/>
      <c r="J592" s="495" t="str">
        <f>IFERROR(__xludf.DUMMYFUNCTION("""COMPUTED_VALUE"""),"Campus San Juan Pablo II - CJP")</f>
        <v>Campus San Juan Pablo II - CJP</v>
      </c>
      <c r="K592" s="495">
        <f>IFERROR(__xludf.DUMMYFUNCTION("""COMPUTED_VALUE"""),14.0)</f>
        <v>14</v>
      </c>
      <c r="L592" s="495" t="str">
        <f>IFERROR(__xludf.DUMMYFUNCTION("""COMPUTED_VALUE"""),"Empresa luis solis")</f>
        <v>Empresa luis solis</v>
      </c>
      <c r="M592" s="495" t="str">
        <f>IFERROR(__xludf.DUMMYFUNCTION("""COMPUTED_VALUE"""),"77280635-3")</f>
        <v>77280635-3</v>
      </c>
      <c r="N592" s="495" t="str">
        <f>IFERROR(__xludf.DUMMYFUNCTION("""COMPUTED_VALUE"""),"Luis solis")</f>
        <v>Luis solis</v>
      </c>
      <c r="O592" s="495" t="str">
        <f>IFERROR(__xludf.DUMMYFUNCTION("""COMPUTED_VALUE"""),"Mantenciones")</f>
        <v>Mantenciones</v>
      </c>
      <c r="P592" s="495" t="str">
        <f>IFERROR(__xludf.DUMMYFUNCTION("""COMPUTED_VALUE"""),"Alcantarillado")</f>
        <v>Alcantarillado</v>
      </c>
      <c r="Q592" s="495"/>
      <c r="R592" s="495"/>
      <c r="S592" s="495"/>
      <c r="T592" s="495"/>
      <c r="U592" s="495"/>
      <c r="V592" s="495" t="str">
        <f>IFERROR(__xludf.DUMMYFUNCTION("""COMPUTED_VALUE"""),"Alcantarillado sifones y llave")</f>
        <v>Alcantarillado sifones y llave</v>
      </c>
      <c r="W592" s="495"/>
      <c r="X592" s="495" t="str">
        <f>IFERROR(__xludf.DUMMYFUNCTION("""COMPUTED_VALUE"""),"https://drive.google.com/open?id=1ELQfJegcwbFHFdn59GCApD0kfEaySjg7, https://drive.google.com/open?id=1YjeKA0uBrmuU9OarMiVG4pvVfMU6b_wZ, https://drive.google.com/open?id=1ik9ziTgPWkEf1SvhPwvcCTrcWHvYNsem, https://drive.google.com/open?id=1q3HAadhrRB45naHyU"&amp;"IPxG0hJV6TTZ5wS")</f>
        <v>https://drive.google.com/open?id=1ELQfJegcwbFHFdn59GCApD0kfEaySjg7, https://drive.google.com/open?id=1YjeKA0uBrmuU9OarMiVG4pvVfMU6b_wZ, https://drive.google.com/open?id=1ik9ziTgPWkEf1SvhPwvcCTrcWHvYNsem, https://drive.google.com/open?id=1q3HAadhrRB45naHyUIPxG0hJV6TTZ5wS</v>
      </c>
      <c r="Y592" s="495" t="str">
        <f>IFERROR(__xludf.DUMMYFUNCTION("""COMPUTED_VALUE"""),"luis.exequielsolis@gmail.com")</f>
        <v>luis.exequielsolis@gmail.com</v>
      </c>
      <c r="Z592" s="495"/>
      <c r="AA592" s="495"/>
      <c r="AB592" s="495"/>
      <c r="AC592" s="495"/>
      <c r="AD592" s="495" t="str">
        <f>IFERROR(__xludf.DUMMYFUNCTION("""COMPUTED_VALUE"""),"RC-049")</f>
        <v>RC-049</v>
      </c>
    </row>
    <row r="593">
      <c r="A593" s="495" t="str">
        <f t="shared" si="1"/>
        <v>RC-048</v>
      </c>
      <c r="B593" s="497">
        <f>IFERROR(__xludf.DUMMYFUNCTION("""COMPUTED_VALUE"""),45974.497577939816)</f>
        <v>45974.49758</v>
      </c>
      <c r="C593" s="495" t="str">
        <f>IFERROR(__xludf.DUMMYFUNCTION("""COMPUTED_VALUE"""),"")</f>
        <v/>
      </c>
      <c r="D593" s="495" t="str">
        <f>IFERROR(__xludf.DUMMYFUNCTION("""COMPUTED_VALUE"""),"Felipe Anselme Grandón")</f>
        <v>Felipe Anselme Grandón</v>
      </c>
      <c r="E593" s="495"/>
      <c r="F593" s="496" t="str">
        <f>IFERROR(__xludf.DUMMYFUNCTION("""COMPUTED_VALUE"""),"10979-2025")</f>
        <v>10979-2025</v>
      </c>
      <c r="G593" s="495"/>
      <c r="H593" s="495"/>
      <c r="I593" s="495"/>
      <c r="J593" s="495" t="str">
        <f>IFERROR(__xludf.DUMMYFUNCTION("""COMPUTED_VALUE"""),"Campus San Juan Pablo II - CJP")</f>
        <v>Campus San Juan Pablo II - CJP</v>
      </c>
      <c r="K593" s="495" t="str">
        <f>IFERROR(__xludf.DUMMYFUNCTION("""COMPUTED_VALUE"""),"04")</f>
        <v>04</v>
      </c>
      <c r="L593" s="495" t="str">
        <f>IFERROR(__xludf.DUMMYFUNCTION("""COMPUTED_VALUE"""),"Empresa luis solis")</f>
        <v>Empresa luis solis</v>
      </c>
      <c r="M593" s="495" t="str">
        <f>IFERROR(__xludf.DUMMYFUNCTION("""COMPUTED_VALUE"""),"77280635-3")</f>
        <v>77280635-3</v>
      </c>
      <c r="N593" s="495" t="str">
        <f>IFERROR(__xludf.DUMMYFUNCTION("""COMPUTED_VALUE"""),"Luis solis")</f>
        <v>Luis solis</v>
      </c>
      <c r="O593" s="495" t="str">
        <f>IFERROR(__xludf.DUMMYFUNCTION("""COMPUTED_VALUE"""),"Mantenciones")</f>
        <v>Mantenciones</v>
      </c>
      <c r="P593" s="495" t="str">
        <f>IFERROR(__xludf.DUMMYFUNCTION("""COMPUTED_VALUE"""),"Cubiertas")</f>
        <v>Cubiertas</v>
      </c>
      <c r="Q593" s="495"/>
      <c r="R593" s="495"/>
      <c r="S593" s="495"/>
      <c r="T593" s="495"/>
      <c r="U593" s="495"/>
      <c r="V593" s="495" t="str">
        <f>IFERROR(__xludf.DUMMYFUNCTION("""COMPUTED_VALUE"""),"Limpieza canal pintura sellos")</f>
        <v>Limpieza canal pintura sellos</v>
      </c>
      <c r="W593" s="495"/>
      <c r="X593" s="495" t="str">
        <f>IFERROR(__xludf.DUMMYFUNCTION("""COMPUTED_VALUE"""),"https://drive.google.com/open?id=1KIJHmcTNAfdNTQ-tgfD-s3CmqFsTezyZ, https://drive.google.com/open?id=1_BzUxkr1k6yPt901ZFZxnUsJ2mKVpZag, https://drive.google.com/open?id=1xCVjxUSxDBca_UUMPkC06mpNhqG4M3QA, https://drive.google.com/open?id=1iTDJgG6WSAaHAIW48"&amp;"vWYECiMIim174Tb")</f>
        <v>https://drive.google.com/open?id=1KIJHmcTNAfdNTQ-tgfD-s3CmqFsTezyZ, https://drive.google.com/open?id=1_BzUxkr1k6yPt901ZFZxnUsJ2mKVpZag, https://drive.google.com/open?id=1xCVjxUSxDBca_UUMPkC06mpNhqG4M3QA, https://drive.google.com/open?id=1iTDJgG6WSAaHAIW48vWYECiMIim174Tb</v>
      </c>
      <c r="Y593" s="495" t="str">
        <f>IFERROR(__xludf.DUMMYFUNCTION("""COMPUTED_VALUE"""),"luis.exequielsolis@gmail.com")</f>
        <v>luis.exequielsolis@gmail.com</v>
      </c>
      <c r="Z593" s="495"/>
      <c r="AA593" s="495"/>
      <c r="AB593" s="495"/>
      <c r="AC593" s="495"/>
      <c r="AD593" s="495" t="str">
        <f>IFERROR(__xludf.DUMMYFUNCTION("""COMPUTED_VALUE"""),"RC-048")</f>
        <v>RC-048</v>
      </c>
    </row>
    <row r="594">
      <c r="A594" s="495" t="str">
        <f t="shared" si="1"/>
        <v>RC-047</v>
      </c>
      <c r="B594" s="497">
        <f>IFERROR(__xludf.DUMMYFUNCTION("""COMPUTED_VALUE"""),45974.479459571754)</f>
        <v>45974.47946</v>
      </c>
      <c r="C594" s="495" t="str">
        <f>IFERROR(__xludf.DUMMYFUNCTION("""COMPUTED_VALUE"""),"")</f>
        <v/>
      </c>
      <c r="D594" s="495" t="str">
        <f>IFERROR(__xludf.DUMMYFUNCTION("""COMPUTED_VALUE"""),"Mauricio Zurita Aldea")</f>
        <v>Mauricio Zurita Aldea</v>
      </c>
      <c r="E594" s="495"/>
      <c r="F594" s="496" t="str">
        <f>IFERROR(__xludf.DUMMYFUNCTION("""COMPUTED_VALUE"""),"10795 - 2025")</f>
        <v>10795 - 2025</v>
      </c>
      <c r="G594" s="495"/>
      <c r="H594" s="495"/>
      <c r="I594" s="495"/>
      <c r="J594" s="495" t="str">
        <f>IFERROR(__xludf.DUMMYFUNCTION("""COMPUTED_VALUE"""),"Campus San Juan Pablo II - CJP")</f>
        <v>Campus San Juan Pablo II - CJP</v>
      </c>
      <c r="K594" s="495" t="str">
        <f>IFERROR(__xludf.DUMMYFUNCTION("""COMPUTED_VALUE"""),"Sin número")</f>
        <v>Sin número</v>
      </c>
      <c r="L594" s="495" t="str">
        <f>IFERROR(__xludf.DUMMYFUNCTION("""COMPUTED_VALUE"""),"MR Electroclima SPA")</f>
        <v>MR Electroclima SPA</v>
      </c>
      <c r="M594" s="495" t="str">
        <f>IFERROR(__xludf.DUMMYFUNCTION("""COMPUTED_VALUE"""),"77.773.634-5")</f>
        <v>77.773.634-5</v>
      </c>
      <c r="N594" s="495" t="str">
        <f>IFERROR(__xludf.DUMMYFUNCTION("""COMPUTED_VALUE"""),"Luis Manriquez Riffo")</f>
        <v>Luis Manriquez Riffo</v>
      </c>
      <c r="O594" s="495" t="str">
        <f>IFERROR(__xludf.DUMMYFUNCTION("""COMPUTED_VALUE"""),"Mantenciones")</f>
        <v>Mantenciones</v>
      </c>
      <c r="P594" s="495" t="str">
        <f>IFERROR(__xludf.DUMMYFUNCTION("""COMPUTED_VALUE"""),"Instalaciones Eléctricas")</f>
        <v>Instalaciones Eléctricas</v>
      </c>
      <c r="Q594" s="495"/>
      <c r="R594" s="495"/>
      <c r="S594" s="495"/>
      <c r="T594" s="495"/>
      <c r="U594" s="495"/>
      <c r="V594" s="495" t="str">
        <f>IFERROR(__xludf.DUMMYFUNCTION("""COMPUTED_VALUE"""),"Reemplazo de 15 luminarias estancas Led, por equipos nuevos en zonas de cocina casino Juan Pablo Segundo. Incluye además el cambio de tubos led sobrantes.")</f>
        <v>Reemplazo de 15 luminarias estancas Led, por equipos nuevos en zonas de cocina casino Juan Pablo Segundo. Incluye además el cambio de tubos led sobrantes.</v>
      </c>
      <c r="W594" s="495" t="str">
        <f>IFERROR(__xludf.DUMMYFUNCTION("""COMPUTED_VALUE"""),"Sin recoemndaciones.")</f>
        <v>Sin recoemndaciones.</v>
      </c>
      <c r="X594" s="495" t="str">
        <f>IFERROR(__xludf.DUMMYFUNCTION("""COMPUTED_VALUE"""),"https://drive.google.com/open?id=1TVW8YI2BE7aWFy6RuYMbVp9zaGuNPSgj, https://drive.google.com/open?id=1JBKAKxUicb4uYjSCY9FPaORj1p9SZASm, https://drive.google.com/open?id=1CKCJg_-8pAbBR0NFoLZ179bGAQEEcpWU, https://drive.google.com/open?id=1MH_XydA1wrVADAisw"&amp;"x7pEVQjRm8_tRXQ, https://drive.google.com/open?id=1pvTuccNJfcLN4QYT5M15mEiQFyfB2O_Y")</f>
        <v>https://drive.google.com/open?id=1TVW8YI2BE7aWFy6RuYMbVp9zaGuNPSgj, https://drive.google.com/open?id=1JBKAKxUicb4uYjSCY9FPaORj1p9SZASm, https://drive.google.com/open?id=1CKCJg_-8pAbBR0NFoLZ179bGAQEEcpWU, https://drive.google.com/open?id=1MH_XydA1wrVADAiswx7pEVQjRm8_tRXQ, https://drive.google.com/open?id=1pvTuccNJfcLN4QYT5M15mEiQFyfB2O_Y</v>
      </c>
      <c r="Y594" s="495" t="str">
        <f>IFERROR(__xludf.DUMMYFUNCTION("""COMPUTED_VALUE"""),"luismanriquez555@gmail.com")</f>
        <v>luismanriquez555@gmail.com</v>
      </c>
      <c r="Z594" s="495"/>
      <c r="AA594" s="495"/>
      <c r="AB594" s="495"/>
      <c r="AC594" s="495"/>
      <c r="AD594" s="495" t="str">
        <f>IFERROR(__xludf.DUMMYFUNCTION("""COMPUTED_VALUE"""),"RC-047")</f>
        <v>RC-047</v>
      </c>
    </row>
    <row r="595">
      <c r="A595" s="495" t="str">
        <f t="shared" si="1"/>
        <v>RC-046</v>
      </c>
      <c r="B595" s="497">
        <f>IFERROR(__xludf.DUMMYFUNCTION("""COMPUTED_VALUE"""),45974.475170798614)</f>
        <v>45974.47517</v>
      </c>
      <c r="C595" s="495" t="str">
        <f>IFERROR(__xludf.DUMMYFUNCTION("""COMPUTED_VALUE"""),"")</f>
        <v/>
      </c>
      <c r="D595" s="495" t="str">
        <f>IFERROR(__xludf.DUMMYFUNCTION("""COMPUTED_VALUE"""),"Leonor Ríos Morales")</f>
        <v>Leonor Ríos Morales</v>
      </c>
      <c r="E595" s="495"/>
      <c r="F595" s="496" t="str">
        <f>IFERROR(__xludf.DUMMYFUNCTION("""COMPUTED_VALUE"""),"10904 - 2025")</f>
        <v>10904 - 2025</v>
      </c>
      <c r="G595" s="495"/>
      <c r="H595" s="495"/>
      <c r="I595" s="495"/>
      <c r="J595" s="495" t="str">
        <f>IFERROR(__xludf.DUMMYFUNCTION("""COMPUTED_VALUE"""),"Campus San Juan Pablo II - CJP")</f>
        <v>Campus San Juan Pablo II - CJP</v>
      </c>
      <c r="K595" s="495" t="str">
        <f>IFERROR(__xludf.DUMMYFUNCTION("""COMPUTED_VALUE"""),"08")</f>
        <v>08</v>
      </c>
      <c r="L595" s="495" t="str">
        <f>IFERROR(__xludf.DUMMYFUNCTION("""COMPUTED_VALUE"""),"Contrucciones Luis Exequiel Solis Catalan E.I.R.L")</f>
        <v>Contrucciones Luis Exequiel Solis Catalan E.I.R.L</v>
      </c>
      <c r="M595" s="495" t="str">
        <f>IFERROR(__xludf.DUMMYFUNCTION("""COMPUTED_VALUE"""),"77280635-3")</f>
        <v>77280635-3</v>
      </c>
      <c r="N595" s="495" t="str">
        <f>IFERROR(__xludf.DUMMYFUNCTION("""COMPUTED_VALUE"""),"Leonor Rios")</f>
        <v>Leonor Rios</v>
      </c>
      <c r="O595" s="495" t="str">
        <f>IFERROR(__xludf.DUMMYFUNCTION("""COMPUTED_VALUE"""),"Mantenciones")</f>
        <v>Mantenciones</v>
      </c>
      <c r="P595" s="495" t="str">
        <f>IFERROR(__xludf.DUMMYFUNCTION("""COMPUTED_VALUE"""),"Terminaciones Interiores")</f>
        <v>Terminaciones Interiores</v>
      </c>
      <c r="Q595" s="495"/>
      <c r="R595" s="495"/>
      <c r="S595" s="495"/>
      <c r="T595" s="495"/>
      <c r="U595" s="495"/>
      <c r="V595" s="495" t="str">
        <f>IFERROR(__xludf.DUMMYFUNCTION("""COMPUTED_VALUE"""),"Traslado de mueble en muro, pintura y enchufe bajo la mesa por trabajo escritorio")</f>
        <v>Traslado de mueble en muro, pintura y enchufe bajo la mesa por trabajo escritorio</v>
      </c>
      <c r="W595" s="495" t="str">
        <f>IFERROR(__xludf.DUMMYFUNCTION("""COMPUTED_VALUE"""),"NA")</f>
        <v>NA</v>
      </c>
      <c r="X595" s="495" t="str">
        <f>IFERROR(__xludf.DUMMYFUNCTION("""COMPUTED_VALUE"""),"https://drive.google.com/open?id=1Td9poRnVu05xYQzHGMwrBDBTOqv-u5JF, https://drive.google.com/open?id=1PYwyrfwpikYgZr7u2KXX-7qvWgF43ZCP, https://drive.google.com/open?id=1LbuxzGdnstv15P_-BLA_UxQqaqKZPKCM")</f>
        <v>https://drive.google.com/open?id=1Td9poRnVu05xYQzHGMwrBDBTOqv-u5JF, https://drive.google.com/open?id=1PYwyrfwpikYgZr7u2KXX-7qvWgF43ZCP, https://drive.google.com/open?id=1LbuxzGdnstv15P_-BLA_UxQqaqKZPKCM</v>
      </c>
      <c r="Y595" s="495" t="str">
        <f>IFERROR(__xludf.DUMMYFUNCTION("""COMPUTED_VALUE"""),"lrios@uct.cl")</f>
        <v>lrios@uct.cl</v>
      </c>
      <c r="Z595" s="495"/>
      <c r="AA595" s="495"/>
      <c r="AB595" s="495"/>
      <c r="AC595" s="495"/>
      <c r="AD595" s="495" t="str">
        <f>IFERROR(__xludf.DUMMYFUNCTION("""COMPUTED_VALUE"""),"RC-046")</f>
        <v>RC-046</v>
      </c>
    </row>
    <row r="596">
      <c r="A596" s="495" t="str">
        <f t="shared" si="1"/>
        <v>RC-045</v>
      </c>
      <c r="B596" s="497">
        <f>IFERROR(__xludf.DUMMYFUNCTION("""COMPUTED_VALUE"""),45973.753818275465)</f>
        <v>45973.75382</v>
      </c>
      <c r="C596" s="495" t="str">
        <f>IFERROR(__xludf.DUMMYFUNCTION("""COMPUTED_VALUE"""),"")</f>
        <v/>
      </c>
      <c r="D596" s="495" t="str">
        <f>IFERROR(__xludf.DUMMYFUNCTION("""COMPUTED_VALUE"""),"Carol Huenchual Chañilao")</f>
        <v>Carol Huenchual Chañilao</v>
      </c>
      <c r="E596" s="495"/>
      <c r="F596" s="496" t="str">
        <f>IFERROR(__xludf.DUMMYFUNCTION("""COMPUTED_VALUE"""),"9845 - 2025")</f>
        <v>9845 - 2025</v>
      </c>
      <c r="G596" s="495"/>
      <c r="H596" s="495"/>
      <c r="I596" s="495"/>
      <c r="J596" s="495" t="str">
        <f>IFERROR(__xludf.DUMMYFUNCTION("""COMPUTED_VALUE"""),"Campus Dr. Luis Rivas del Canto - CRC")</f>
        <v>Campus Dr. Luis Rivas del Canto - CRC</v>
      </c>
      <c r="K596" s="495">
        <f>IFERROR(__xludf.DUMMYFUNCTION("""COMPUTED_VALUE"""),16.0)</f>
        <v>16</v>
      </c>
      <c r="L596" s="495" t="str">
        <f>IFERROR(__xludf.DUMMYFUNCTION("""COMPUTED_VALUE"""),"soc. gonzalez gajardo y cia ltda")</f>
        <v>soc. gonzalez gajardo y cia ltda</v>
      </c>
      <c r="M596" s="495" t="str">
        <f>IFERROR(__xludf.DUMMYFUNCTION("""COMPUTED_VALUE"""),"76265749-k")</f>
        <v>76265749-k</v>
      </c>
      <c r="N596" s="495" t="str">
        <f>IFERROR(__xludf.DUMMYFUNCTION("""COMPUTED_VALUE"""),"Carol Huenchual")</f>
        <v>Carol Huenchual</v>
      </c>
      <c r="O596" s="495" t="str">
        <f>IFERROR(__xludf.DUMMYFUNCTION("""COMPUTED_VALUE"""),"Mantenciones")</f>
        <v>Mantenciones</v>
      </c>
      <c r="P596" s="495" t="str">
        <f>IFERROR(__xludf.DUMMYFUNCTION("""COMPUTED_VALUE"""),"Instalaciones de Agua Potable")</f>
        <v>Instalaciones de Agua Potable</v>
      </c>
      <c r="Q596" s="495"/>
      <c r="R596" s="495"/>
      <c r="S596" s="495"/>
      <c r="T596" s="495"/>
      <c r="U596" s="495"/>
      <c r="V596" s="495" t="str">
        <f>IFERROR(__xludf.DUMMYFUNCTION("""COMPUTED_VALUE"""),"MANTENCIÓN Y REPARACIÓN SISTEMA DE REGADÍO CAMPUS RIVAL DEL CANTO")</f>
        <v>MANTENCIÓN Y REPARACIÓN SISTEMA DE REGADÍO CAMPUS RIVAL DEL CANTO</v>
      </c>
      <c r="W596" s="495" t="str">
        <f>IFERROR(__xludf.DUMMYFUNCTION("""COMPUTED_VALUE"""),"NO")</f>
        <v>NO</v>
      </c>
      <c r="X596" s="495" t="str">
        <f>IFERROR(__xludf.DUMMYFUNCTION("""COMPUTED_VALUE"""),"https://drive.google.com/open?id=1eCPcqfCgLiF0NQxkdWEO5c_-Hw7CV4CV, https://drive.google.com/open?id=1RLc3CSlrOHC6N7HuRySERMYYGknJnHIA")</f>
        <v>https://drive.google.com/open?id=1eCPcqfCgLiF0NQxkdWEO5c_-Hw7CV4CV, https://drive.google.com/open?id=1RLc3CSlrOHC6N7HuRySERMYYGknJnHIA</v>
      </c>
      <c r="Y596" s="495" t="str">
        <f>IFERROR(__xludf.DUMMYFUNCTION("""COMPUTED_VALUE"""),"operaciones@tecfull.cl")</f>
        <v>operaciones@tecfull.cl</v>
      </c>
      <c r="Z596" s="495"/>
      <c r="AA596" s="495"/>
      <c r="AB596" s="495"/>
      <c r="AC596" s="495"/>
      <c r="AD596" s="495" t="str">
        <f>IFERROR(__xludf.DUMMYFUNCTION("""COMPUTED_VALUE"""),"RC-045")</f>
        <v>RC-045</v>
      </c>
    </row>
    <row r="597">
      <c r="A597" s="495" t="str">
        <f t="shared" si="1"/>
        <v>RC-275_26</v>
      </c>
      <c r="B597" s="497">
        <f>IFERROR(__xludf.DUMMYFUNCTION("""COMPUTED_VALUE"""),46198.412565543986)</f>
        <v>46198.41257</v>
      </c>
      <c r="C597" s="495" t="str">
        <f>IFERROR(__xludf.DUMMYFUNCTION("""COMPUTED_VALUE"""),"")</f>
        <v/>
      </c>
      <c r="D597" s="495" t="str">
        <f>IFERROR(__xludf.DUMMYFUNCTION("""COMPUTED_VALUE"""),"Juan Ignacio Solís de Ovando")</f>
        <v>Juan Ignacio Solís de Ovando</v>
      </c>
      <c r="E597" s="495"/>
      <c r="F597" s="496" t="str">
        <f>IFERROR(__xludf.DUMMYFUNCTION("""COMPUTED_VALUE"""),"1426-2026")</f>
        <v>1426-2026</v>
      </c>
      <c r="G597" s="495"/>
      <c r="H597" s="495"/>
      <c r="I597" s="495"/>
      <c r="J597" s="495" t="str">
        <f>IFERROR(__xludf.DUMMYFUNCTION("""COMPUTED_VALUE"""),"Campus Dr. Luis Rivas del Canto - CRC")</f>
        <v>Campus Dr. Luis Rivas del Canto - CRC</v>
      </c>
      <c r="K597" s="495" t="str">
        <f>IFERROR(__xludf.DUMMYFUNCTION("""COMPUTED_VALUE"""),"Sin número")</f>
        <v>Sin número</v>
      </c>
      <c r="L597" s="495" t="str">
        <f>IFERROR(__xludf.DUMMYFUNCTION("""COMPUTED_VALUE"""),"LSA INGENIERIA Y CONSTRUCCION EIRL")</f>
        <v>LSA INGENIERIA Y CONSTRUCCION EIRL</v>
      </c>
      <c r="M597" s="495" t="str">
        <f>IFERROR(__xludf.DUMMYFUNCTION("""COMPUTED_VALUE"""),"76.219.281-0")</f>
        <v>76.219.281-0</v>
      </c>
      <c r="N597" s="495" t="str">
        <f>IFERROR(__xludf.DUMMYFUNCTION("""COMPUTED_VALUE"""),"CLAUDIA SANZANA SAEZ, ADMINISTRADOR DE OBRA")</f>
        <v>CLAUDIA SANZANA SAEZ, ADMINISTRADOR DE OBRA</v>
      </c>
      <c r="O597" s="495" t="str">
        <f>IFERROR(__xludf.DUMMYFUNCTION("""COMPUTED_VALUE"""),"Obras y Especialidades")</f>
        <v>Obras y Especialidades</v>
      </c>
      <c r="P597" s="495"/>
      <c r="Q597" s="495"/>
      <c r="R597" s="495" t="str">
        <f>IFERROR(__xludf.DUMMYFUNCTION("""COMPUTED_VALUE"""),"Nuevo Edificio")</f>
        <v>Nuevo Edificio</v>
      </c>
      <c r="S597" s="495" t="str">
        <f>IFERROR(__xludf.DUMMYFUNCTION("""COMPUTED_VALUE"""),"Estado de Pago - EP")</f>
        <v>Estado de Pago - EP</v>
      </c>
      <c r="T597" s="495">
        <f>IFERROR(__xludf.DUMMYFUNCTION("""COMPUTED_VALUE"""),4.0)</f>
        <v>4</v>
      </c>
      <c r="U597" s="498">
        <f>IFERROR(__xludf.DUMMYFUNCTION("""COMPUTED_VALUE"""),1.0594718E8)</f>
        <v>105947180</v>
      </c>
      <c r="V597" s="495" t="str">
        <f>IFERROR(__xludf.DUMMYFUNCTION("""COMPUTED_VALUE"""),"CONSTRUCCION DE NUEVO EDIFICIO DESTINADO A CASINO")</f>
        <v>CONSTRUCCION DE NUEVO EDIFICIO DESTINADO A CASINO</v>
      </c>
      <c r="W597" s="495"/>
      <c r="X597" s="495" t="str">
        <f>IFERROR(__xludf.DUMMYFUNCTION("""COMPUTED_VALUE"""),"https://drive.google.com/open?id=17qUZ5RPo-R1_xaaIfTN6AiFhyaNBKsNO, https://drive.google.com/open?id=1NuAfypgVLGCKwWUiFo1e8KqIKiQw9S7N, https://drive.google.com/open?id=1s1xrD4SRBcidEvzy1qD5U7ei7aYsq8aq, https://drive.google.com/open?id=1LgynPk09WuejFnOeH"&amp;"_A2etItbNlfTqIb, https://drive.google.com/open?id=1FF_iVOuLdzkwNpFcl8b6LRstQ2ha44uk")</f>
        <v>https://drive.google.com/open?id=17qUZ5RPo-R1_xaaIfTN6AiFhyaNBKsNO, https://drive.google.com/open?id=1NuAfypgVLGCKwWUiFo1e8KqIKiQw9S7N, https://drive.google.com/open?id=1s1xrD4SRBcidEvzy1qD5U7ei7aYsq8aq, https://drive.google.com/open?id=1LgynPk09WuejFnOeH_A2etItbNlfTqIb, https://drive.google.com/open?id=1FF_iVOuLdzkwNpFcl8b6LRstQ2ha44uk</v>
      </c>
      <c r="Y597" s="495" t="str">
        <f>IFERROR(__xludf.DUMMYFUNCTION("""COMPUTED_VALUE"""),"claudiasanzana@lsaingenieria.cl")</f>
        <v>claudiasanzana@lsaingenieria.cl</v>
      </c>
      <c r="Z597" s="498">
        <f>IFERROR(__xludf.DUMMYFUNCTION("""COMPUTED_VALUE"""),8.55200912E8)</f>
        <v>855200912</v>
      </c>
      <c r="AA597" s="495"/>
      <c r="AB597" s="495"/>
      <c r="AC597" s="495"/>
      <c r="AD597" s="495" t="str">
        <f>IFERROR(__xludf.DUMMYFUNCTION("""COMPUTED_VALUE"""),"RC-275_26")</f>
        <v>RC-275_26</v>
      </c>
    </row>
    <row r="598">
      <c r="A598" s="495" t="str">
        <f t="shared" si="1"/>
        <v>RC-043</v>
      </c>
      <c r="B598" s="497">
        <f>IFERROR(__xludf.DUMMYFUNCTION("""COMPUTED_VALUE"""),45973.73073652778)</f>
        <v>45973.73074</v>
      </c>
      <c r="C598" s="495" t="str">
        <f>IFERROR(__xludf.DUMMYFUNCTION("""COMPUTED_VALUE"""),"")</f>
        <v/>
      </c>
      <c r="D598" s="495" t="str">
        <f>IFERROR(__xludf.DUMMYFUNCTION("""COMPUTED_VALUE"""),"Carol Huenchual Chañilao")</f>
        <v>Carol Huenchual Chañilao</v>
      </c>
      <c r="E598" s="495"/>
      <c r="F598" s="496" t="str">
        <f>IFERROR(__xludf.DUMMYFUNCTION("""COMPUTED_VALUE"""),"10523 - 2025")</f>
        <v>10523 - 2025</v>
      </c>
      <c r="G598" s="495"/>
      <c r="H598" s="495"/>
      <c r="I598" s="495"/>
      <c r="J598" s="495" t="str">
        <f>IFERROR(__xludf.DUMMYFUNCTION("""COMPUTED_VALUE"""),"Campus Dr. Luis Rivas del Canto - CRC")</f>
        <v>Campus Dr. Luis Rivas del Canto - CRC</v>
      </c>
      <c r="K598" s="495" t="str">
        <f>IFERROR(__xludf.DUMMYFUNCTION("""COMPUTED_VALUE"""),"01")</f>
        <v>01</v>
      </c>
      <c r="L598" s="495" t="str">
        <f>IFERROR(__xludf.DUMMYFUNCTION("""COMPUTED_VALUE"""),"soc. gonzalez gajardo y cia ltda")</f>
        <v>soc. gonzalez gajardo y cia ltda</v>
      </c>
      <c r="M598" s="495" t="str">
        <f>IFERROR(__xludf.DUMMYFUNCTION("""COMPUTED_VALUE"""),"76265749-k")</f>
        <v>76265749-k</v>
      </c>
      <c r="N598" s="495" t="str">
        <f>IFERROR(__xludf.DUMMYFUNCTION("""COMPUTED_VALUE"""),"Carol Huenchual")</f>
        <v>Carol Huenchual</v>
      </c>
      <c r="O598" s="495" t="str">
        <f>IFERROR(__xludf.DUMMYFUNCTION("""COMPUTED_VALUE"""),"Mantenciones")</f>
        <v>Mantenciones</v>
      </c>
      <c r="P598" s="495" t="str">
        <f>IFERROR(__xludf.DUMMYFUNCTION("""COMPUTED_VALUE"""),"Instalaciones de Agua Potable")</f>
        <v>Instalaciones de Agua Potable</v>
      </c>
      <c r="Q598" s="495"/>
      <c r="R598" s="495"/>
      <c r="S598" s="495"/>
      <c r="T598" s="495"/>
      <c r="U598" s="495"/>
      <c r="V598" s="495" t="str">
        <f>IFERROR(__xludf.DUMMYFUNCTION("""COMPUTED_VALUE"""),"REPARACIÓN SISTEMA AGUA POTABLE EN SECTOR VETERINARIA
- REEMPLAZO DE BOYAS DE VÁLVULAS DE CORTE
- REEMPLAZO DE CONEXIÓN DE ESTANQUE CON ALIMENTACIÓN
- REPARACIÓN BOMBA 1 QUE ALIMENTA A COPA DE AGUA
- REPARACIÓN DE CAÑERÍAS CON FILTRACIÓN
- REVISIÓN GENER"&amp;"AL DEL SISTEMA
** SE REGULARIZO EL LLENADO DE LOS ESTANQUES DE BIBLIOTECA QUE ALIMENTAN
LOS 4 ESTANQUES PLÁSTICOS DE BIBLIOTECA **")</f>
        <v>REPARACIÓN SISTEMA AGUA POTABLE EN SECTOR VETERINARIA
- REEMPLAZO DE BOYAS DE VÁLVULAS DE CORTE
- REEMPLAZO DE CONEXIÓN DE ESTANQUE CON ALIMENTACIÓN
- REPARACIÓN BOMBA 1 QUE ALIMENTA A COPA DE AGUA
- REPARACIÓN DE CAÑERÍAS CON FILTRACIÓN
- REVISIÓN GENERAL DEL SISTEMA
** SE REGULARIZO EL LLENADO DE LOS ESTANQUES DE BIBLIOTECA QUE ALIMENTAN
LOS 4 ESTANQUES PLÁSTICOS DE BIBLIOTECA **</v>
      </c>
      <c r="W598" s="495" t="str">
        <f>IFERROR(__xludf.DUMMYFUNCTION("""COMPUTED_VALUE"""),"verificar que estanques plasticos no rebalsen")</f>
        <v>verificar que estanques plasticos no rebalsen</v>
      </c>
      <c r="X598" s="495" t="str">
        <f>IFERROR(__xludf.DUMMYFUNCTION("""COMPUTED_VALUE"""),"https://drive.google.com/open?id=1f09VyTtQXHE5-06OU8-i7SsNBEZko31U, https://drive.google.com/open?id=1JTjF2b_Cz4GXt3aUNmRvVJHqc20bqjoz, https://drive.google.com/open?id=1ctJ4c66zuy3IEcHCIeIHLoyYzUiLcKXN, https://drive.google.com/open?id=1SoAGeiBaN-ArA8ITX"&amp;"Z-rxtv8Pdmcjc0L, https://drive.google.com/open?id=1jkXv8vzzf4RlXz87oGPgivgm6cz5RQi6")</f>
        <v>https://drive.google.com/open?id=1f09VyTtQXHE5-06OU8-i7SsNBEZko31U, https://drive.google.com/open?id=1JTjF2b_Cz4GXt3aUNmRvVJHqc20bqjoz, https://drive.google.com/open?id=1ctJ4c66zuy3IEcHCIeIHLoyYzUiLcKXN, https://drive.google.com/open?id=1SoAGeiBaN-ArA8ITXZ-rxtv8Pdmcjc0L, https://drive.google.com/open?id=1jkXv8vzzf4RlXz87oGPgivgm6cz5RQi6</v>
      </c>
      <c r="Y598" s="495" t="str">
        <f>IFERROR(__xludf.DUMMYFUNCTION("""COMPUTED_VALUE"""),"operaciones@tecfull.cl")</f>
        <v>operaciones@tecfull.cl</v>
      </c>
      <c r="Z598" s="495"/>
      <c r="AA598" s="495"/>
      <c r="AB598" s="495"/>
      <c r="AC598" s="495"/>
      <c r="AD598" s="495" t="str">
        <f>IFERROR(__xludf.DUMMYFUNCTION("""COMPUTED_VALUE"""),"RC-043")</f>
        <v>RC-043</v>
      </c>
    </row>
    <row r="599">
      <c r="A599" s="495" t="str">
        <f t="shared" si="1"/>
        <v>RC-277_26</v>
      </c>
      <c r="B599" s="497">
        <f>IFERROR(__xludf.DUMMYFUNCTION("""COMPUTED_VALUE"""),46198.51941472222)</f>
        <v>46198.51941</v>
      </c>
      <c r="C599" s="495" t="str">
        <f>IFERROR(__xludf.DUMMYFUNCTION("""COMPUTED_VALUE"""),"")</f>
        <v/>
      </c>
      <c r="D599" s="495" t="str">
        <f>IFERROR(__xludf.DUMMYFUNCTION("""COMPUTED_VALUE"""),"Juan Ignacio Solís de Ovando")</f>
        <v>Juan Ignacio Solís de Ovando</v>
      </c>
      <c r="E599" s="495"/>
      <c r="F599" s="496" t="str">
        <f>IFERROR(__xludf.DUMMYFUNCTION("""COMPUTED_VALUE"""),"4997-2026")</f>
        <v>4997-2026</v>
      </c>
      <c r="G599" s="495"/>
      <c r="H599" s="495"/>
      <c r="I599" s="495"/>
      <c r="J599" s="495" t="str">
        <f>IFERROR(__xludf.DUMMYFUNCTION("""COMPUTED_VALUE"""),"Campus Dr. Luis Rivas del Canto - CRC")</f>
        <v>Campus Dr. Luis Rivas del Canto - CRC</v>
      </c>
      <c r="K599" s="495">
        <f>IFERROR(__xludf.DUMMYFUNCTION("""COMPUTED_VALUE"""),11.0)</f>
        <v>11</v>
      </c>
      <c r="L599" s="495" t="str">
        <f>IFERROR(__xludf.DUMMYFUNCTION("""COMPUTED_VALUE"""),"INGENIERIA Y CONSTRUCCIO MARCELO CARO SOTO E.I.R.L.")</f>
        <v>INGENIERIA Y CONSTRUCCIO MARCELO CARO SOTO E.I.R.L.</v>
      </c>
      <c r="M599" s="495" t="str">
        <f>IFERROR(__xludf.DUMMYFUNCTION("""COMPUTED_VALUE"""),"76.395.296-7")</f>
        <v>76.395.296-7</v>
      </c>
      <c r="N599" s="495" t="str">
        <f>IFERROR(__xludf.DUMMYFUNCTION("""COMPUTED_VALUE"""),"GERENTE PROYECTOS")</f>
        <v>GERENTE PROYECTOS</v>
      </c>
      <c r="O599" s="495" t="str">
        <f>IFERROR(__xludf.DUMMYFUNCTION("""COMPUTED_VALUE"""),"Obras y Especialidades")</f>
        <v>Obras y Especialidades</v>
      </c>
      <c r="P599" s="495"/>
      <c r="Q599" s="495"/>
      <c r="R599" s="495" t="str">
        <f>IFERROR(__xludf.DUMMYFUNCTION("""COMPUTED_VALUE"""),"Nuevo Edificio")</f>
        <v>Nuevo Edificio</v>
      </c>
      <c r="S599" s="495" t="str">
        <f>IFERROR(__xludf.DUMMYFUNCTION("""COMPUTED_VALUE"""),"Recepción de Obra - RC")</f>
        <v>Recepción de Obra - RC</v>
      </c>
      <c r="T599" s="495"/>
      <c r="U599" s="495"/>
      <c r="V599" s="495" t="str">
        <f>IFERROR(__xludf.DUMMYFUNCTION("""COMPUTED_VALUE"""),"PROYECTO DE GAS LICUADO EN CASINO")</f>
        <v>PROYECTO DE GAS LICUADO EN CASINO</v>
      </c>
      <c r="W599" s="495"/>
      <c r="X599" s="499" t="str">
        <f>IFERROR(__xludf.DUMMYFUNCTION("""COMPUTED_VALUE"""),"https://drive.google.com/open?id=1hz1UZvpN842pbye1tNYFBR3qGeZjICT7")</f>
        <v>https://drive.google.com/open?id=1hz1UZvpN842pbye1tNYFBR3qGeZjICT7</v>
      </c>
      <c r="Y599" s="495" t="str">
        <f>IFERROR(__xludf.DUMMYFUNCTION("""COMPUTED_VALUE"""),"mcarolira@gmail.com")</f>
        <v>mcarolira@gmail.com</v>
      </c>
      <c r="Z599" s="498">
        <f>IFERROR(__xludf.DUMMYFUNCTION("""COMPUTED_VALUE"""),797300.0)</f>
        <v>797300</v>
      </c>
      <c r="AA599" s="495"/>
      <c r="AB599" s="495"/>
      <c r="AC599" s="495"/>
      <c r="AD599" s="495" t="str">
        <f>IFERROR(__xludf.DUMMYFUNCTION("""COMPUTED_VALUE"""),"RC-277_26")</f>
        <v>RC-277_26</v>
      </c>
    </row>
    <row r="600">
      <c r="A600" s="495" t="str">
        <f t="shared" si="1"/>
        <v>RC-042</v>
      </c>
      <c r="B600" s="497">
        <f>IFERROR(__xludf.DUMMYFUNCTION("""COMPUTED_VALUE"""),45973.716348726855)</f>
        <v>45973.71635</v>
      </c>
      <c r="C600" s="495" t="str">
        <f>IFERROR(__xludf.DUMMYFUNCTION("""COMPUTED_VALUE"""),"")</f>
        <v/>
      </c>
      <c r="D600" s="495" t="str">
        <f>IFERROR(__xludf.DUMMYFUNCTION("""COMPUTED_VALUE"""),"Mauricio Matus Belmar")</f>
        <v>Mauricio Matus Belmar</v>
      </c>
      <c r="E600" s="495"/>
      <c r="F600" s="496">
        <f>IFERROR(__xludf.DUMMYFUNCTION("""COMPUTED_VALUE"""),10523.0)</f>
        <v>10523</v>
      </c>
      <c r="G600" s="495"/>
      <c r="H600" s="495"/>
      <c r="I600" s="495"/>
      <c r="J600" s="495" t="str">
        <f>IFERROR(__xludf.DUMMYFUNCTION("""COMPUTED_VALUE"""),"Campus Dr. Luis Rivas del Canto - CRC")</f>
        <v>Campus Dr. Luis Rivas del Canto - CRC</v>
      </c>
      <c r="K600" s="495" t="str">
        <f>IFERROR(__xludf.DUMMYFUNCTION("""COMPUTED_VALUE"""),"Sin número")</f>
        <v>Sin número</v>
      </c>
      <c r="L600" s="495" t="str">
        <f>IFERROR(__xludf.DUMMYFUNCTION("""COMPUTED_VALUE"""),"SOC. GONZALEZ GAJARDO Y CIA LTDA")</f>
        <v>SOC. GONZALEZ GAJARDO Y CIA LTDA</v>
      </c>
      <c r="M600" s="495" t="str">
        <f>IFERROR(__xludf.DUMMYFUNCTION("""COMPUTED_VALUE"""),"76265749-K")</f>
        <v>76265749-K</v>
      </c>
      <c r="N600" s="495" t="str">
        <f>IFERROR(__xludf.DUMMYFUNCTION("""COMPUTED_VALUE"""),"MAURICIO MATUS")</f>
        <v>MAURICIO MATUS</v>
      </c>
      <c r="O600" s="495" t="str">
        <f>IFERROR(__xludf.DUMMYFUNCTION("""COMPUTED_VALUE"""),"Mantenciones")</f>
        <v>Mantenciones</v>
      </c>
      <c r="P600" s="495" t="str">
        <f>IFERROR(__xludf.DUMMYFUNCTION("""COMPUTED_VALUE"""),"Instalaciones de Agua Potable")</f>
        <v>Instalaciones de Agua Potable</v>
      </c>
      <c r="Q600" s="495"/>
      <c r="R600" s="495"/>
      <c r="S600" s="495"/>
      <c r="T600" s="495"/>
      <c r="U600" s="495"/>
      <c r="V600" s="495" t="str">
        <f>IFERROR(__xludf.DUMMYFUNCTION("""COMPUTED_VALUE"""),"REPARACIÓN SISTEMA AGUA POTABLE EN SECTOR VETERINARIA
- REEMPLAZO DE BOYAS DE VÁLVULAS DE CORTE
- REEMPLAZO DE CONEXIÓN DE ESTANQUE CON ALIMENTACIÓN
- REPARACIÓN BOMBA 1 QUE ALIMENTA A COPA DE AGUA
- REPARACIÓN DE CAÑERÍAS CON FILTRACIÓN
- REVISIÓN GENER"&amp;"AL DEL SISTEMA
** SE REGULARIZO EL LLENADO DE LOS ESTANQUES DE BIBLIOTECA QUE ALIMENTAN
LOS 4 ESTANQUES PLÁSTICOS DE BIBLIOTECA **")</f>
        <v>REPARACIÓN SISTEMA AGUA POTABLE EN SECTOR VETERINARIA
- REEMPLAZO DE BOYAS DE VÁLVULAS DE CORTE
- REEMPLAZO DE CONEXIÓN DE ESTANQUE CON ALIMENTACIÓN
- REPARACIÓN BOMBA 1 QUE ALIMENTA A COPA DE AGUA
- REPARACIÓN DE CAÑERÍAS CON FILTRACIÓN
- REVISIÓN GENERAL DEL SISTEMA
** SE REGULARIZO EL LLENADO DE LOS ESTANQUES DE BIBLIOTECA QUE ALIMENTAN
LOS 4 ESTANQUES PLÁSTICOS DE BIBLIOTECA **</v>
      </c>
      <c r="W600" s="495" t="str">
        <f>IFERROR(__xludf.DUMMYFUNCTION("""COMPUTED_VALUE"""),"OBSERVAR QUE ESTANQUES NO REBALSEN ")</f>
        <v>OBSERVAR QUE ESTANQUES NO REBALSEN </v>
      </c>
      <c r="X600" s="495" t="str">
        <f>IFERROR(__xludf.DUMMYFUNCTION("""COMPUTED_VALUE"""),"https://drive.google.com/open?id=1YGxNIdR267VUFxl4A0Iilm7M_jOt8plz, https://drive.google.com/open?id=119ppVoHmHyF3Pry-hlD7AmmWa1iAVJTz, https://drive.google.com/open?id=1cqROpU3_WFnWoRc1YPj5wUJ1cb288qti, https://drive.google.com/open?id=13KI4Obylf8b4jeome"&amp;"nQ4n4iViSaVjPzA, https://drive.google.com/open?id=1YZfszycJOEh4j4Y9qJVkz7aeLImven40")</f>
        <v>https://drive.google.com/open?id=1YGxNIdR267VUFxl4A0Iilm7M_jOt8plz, https://drive.google.com/open?id=119ppVoHmHyF3Pry-hlD7AmmWa1iAVJTz, https://drive.google.com/open?id=1cqROpU3_WFnWoRc1YPj5wUJ1cb288qti, https://drive.google.com/open?id=13KI4Obylf8b4jeomenQ4n4iViSaVjPzA, https://drive.google.com/open?id=1YZfszycJOEh4j4Y9qJVkz7aeLImven40</v>
      </c>
      <c r="Y600" s="495" t="str">
        <f>IFERROR(__xludf.DUMMYFUNCTION("""COMPUTED_VALUE"""),"operaciones@tecfull.cl")</f>
        <v>operaciones@tecfull.cl</v>
      </c>
      <c r="Z600" s="495"/>
      <c r="AA600" s="495"/>
      <c r="AB600" s="495"/>
      <c r="AC600" s="495"/>
      <c r="AD600" s="495" t="str">
        <f>IFERROR(__xludf.DUMMYFUNCTION("""COMPUTED_VALUE"""),"RC-042")</f>
        <v>RC-042</v>
      </c>
    </row>
    <row r="601">
      <c r="A601" s="495" t="str">
        <f t="shared" si="1"/>
        <v>RC-041</v>
      </c>
      <c r="B601" s="497">
        <f>IFERROR(__xludf.DUMMYFUNCTION("""COMPUTED_VALUE"""),45973.46435359954)</f>
        <v>45973.46435</v>
      </c>
      <c r="C601" s="495" t="str">
        <f>IFERROR(__xludf.DUMMYFUNCTION("""COMPUTED_VALUE"""),"")</f>
        <v/>
      </c>
      <c r="D601" s="495" t="str">
        <f>IFERROR(__xludf.DUMMYFUNCTION("""COMPUTED_VALUE"""),"Carol Huenchual Chañilao")</f>
        <v>Carol Huenchual Chañilao</v>
      </c>
      <c r="E601" s="495"/>
      <c r="F601" s="496" t="str">
        <f>IFERROR(__xludf.DUMMYFUNCTION("""COMPUTED_VALUE"""),"10702-2025")</f>
        <v>10702-2025</v>
      </c>
      <c r="G601" s="495"/>
      <c r="H601" s="495"/>
      <c r="I601" s="495"/>
      <c r="J601" s="495" t="str">
        <f>IFERROR(__xludf.DUMMYFUNCTION("""COMPUTED_VALUE"""),"Campus Monseñor Alejandro Menchaca Lira - CML")</f>
        <v>Campus Monseñor Alejandro Menchaca Lira - CML</v>
      </c>
      <c r="K601" s="495" t="str">
        <f>IFERROR(__xludf.DUMMYFUNCTION("""COMPUTED_VALUE"""),"Exterior")</f>
        <v>Exterior</v>
      </c>
      <c r="L601" s="495" t="str">
        <f>IFERROR(__xludf.DUMMYFUNCTION("""COMPUTED_VALUE"""),"GATICAR SPA")</f>
        <v>GATICAR SPA</v>
      </c>
      <c r="M601" s="495" t="str">
        <f>IFERROR(__xludf.DUMMYFUNCTION("""COMPUTED_VALUE"""),"77.578.487-3")</f>
        <v>77.578.487-3</v>
      </c>
      <c r="N601" s="495" t="str">
        <f>IFERROR(__xludf.DUMMYFUNCTION("""COMPUTED_VALUE"""),"HECTOR GATICA")</f>
        <v>HECTOR GATICA</v>
      </c>
      <c r="O601" s="495" t="str">
        <f>IFERROR(__xludf.DUMMYFUNCTION("""COMPUTED_VALUE"""),"Mantenciones")</f>
        <v>Mantenciones</v>
      </c>
      <c r="P601" s="495" t="str">
        <f>IFERROR(__xludf.DUMMYFUNCTION("""COMPUTED_VALUE"""),"Requerimientos Emergentes e Imprevistos")</f>
        <v>Requerimientos Emergentes e Imprevistos</v>
      </c>
      <c r="Q601" s="495"/>
      <c r="R601" s="495"/>
      <c r="S601" s="495"/>
      <c r="T601" s="495"/>
      <c r="U601" s="495"/>
      <c r="V601" s="495" t="str">
        <f>IFERROR(__xludf.DUMMYFUNCTION("""COMPUTED_VALUE"""),"INSTALACION DE LLAVE DE AJRDIN PARA RIEGO ")</f>
        <v>INSTALACION DE LLAVE DE AJRDIN PARA RIEGO </v>
      </c>
      <c r="W601" s="495"/>
      <c r="X601" s="495" t="str">
        <f>IFERROR(__xludf.DUMMYFUNCTION("""COMPUTED_VALUE"""),"https://drive.google.com/open?id=1KZHkIBIhLuZWTSItk2UUpuvS4DqM40pc, https://drive.google.com/open?id=1PqsOcprDcsQ8WESJm03GKg7lJG3e1UVR")</f>
        <v>https://drive.google.com/open?id=1KZHkIBIhLuZWTSItk2UUpuvS4DqM40pc, https://drive.google.com/open?id=1PqsOcprDcsQ8WESJm03GKg7lJG3e1UVR</v>
      </c>
      <c r="Y601" s="495" t="str">
        <f>IFERROR(__xludf.DUMMYFUNCTION("""COMPUTED_VALUE"""),"serviciogaticar@gmail.com")</f>
        <v>serviciogaticar@gmail.com</v>
      </c>
      <c r="Z601" s="495"/>
      <c r="AA601" s="495"/>
      <c r="AB601" s="495"/>
      <c r="AC601" s="495"/>
      <c r="AD601" s="495" t="str">
        <f>IFERROR(__xludf.DUMMYFUNCTION("""COMPUTED_VALUE"""),"RC-041")</f>
        <v>RC-041</v>
      </c>
    </row>
    <row r="602">
      <c r="A602" s="495" t="str">
        <f t="shared" si="1"/>
        <v>RC-038</v>
      </c>
      <c r="B602" s="497">
        <f>IFERROR(__xludf.DUMMYFUNCTION("""COMPUTED_VALUE"""),45970.874120671295)</f>
        <v>45970.87412</v>
      </c>
      <c r="C602" s="495" t="str">
        <f>IFERROR(__xludf.DUMMYFUNCTION("""COMPUTED_VALUE"""),"")</f>
        <v/>
      </c>
      <c r="D602" s="495" t="str">
        <f>IFERROR(__xludf.DUMMYFUNCTION("""COMPUTED_VALUE"""),"Felipe Anselme Grandón")</f>
        <v>Felipe Anselme Grandón</v>
      </c>
      <c r="E602" s="495"/>
      <c r="F602" s="496">
        <f>IFERROR(__xludf.DUMMYFUNCTION("""COMPUTED_VALUE"""),10890.0)</f>
        <v>10890</v>
      </c>
      <c r="G602" s="495"/>
      <c r="H602" s="495"/>
      <c r="I602" s="495"/>
      <c r="J602" s="495" t="str">
        <f>IFERROR(__xludf.DUMMYFUNCTION("""COMPUTED_VALUE"""),"Campus Dr. Luis Rivas del Canto - CRC")</f>
        <v>Campus Dr. Luis Rivas del Canto - CRC</v>
      </c>
      <c r="K602" s="495" t="str">
        <f>IFERROR(__xludf.DUMMYFUNCTION("""COMPUTED_VALUE"""),"01")</f>
        <v>01</v>
      </c>
      <c r="L602" s="495" t="str">
        <f>IFERROR(__xludf.DUMMYFUNCTION("""COMPUTED_VALUE"""),"Flavia Oyarzun Soto")</f>
        <v>Flavia Oyarzun Soto</v>
      </c>
      <c r="M602" s="495" t="str">
        <f>IFERROR(__xludf.DUMMYFUNCTION("""COMPUTED_VALUE"""),"5503590-3")</f>
        <v>5503590-3</v>
      </c>
      <c r="N602" s="495" t="str">
        <f>IFERROR(__xludf.DUMMYFUNCTION("""COMPUTED_VALUE"""),"Roberto Lassalle Prado")</f>
        <v>Roberto Lassalle Prado</v>
      </c>
      <c r="O602" s="495" t="str">
        <f>IFERROR(__xludf.DUMMYFUNCTION("""COMPUTED_VALUE"""),"Mantenciones")</f>
        <v>Mantenciones</v>
      </c>
      <c r="P602" s="495" t="str">
        <f>IFERROR(__xludf.DUMMYFUNCTION("""COMPUTED_VALUE"""),"Cerramientos Verticales")</f>
        <v>Cerramientos Verticales</v>
      </c>
      <c r="Q602" s="495"/>
      <c r="R602" s="495"/>
      <c r="S602" s="495"/>
      <c r="T602" s="495"/>
      <c r="U602" s="495"/>
      <c r="V602" s="495" t="str">
        <f>IFERROR(__xludf.DUMMYFUNCTION("""COMPUTED_VALUE"""),"Cierre para colocar líquidos ")</f>
        <v>Cierre para colocar líquidos </v>
      </c>
      <c r="W602" s="495" t="str">
        <f>IFERROR(__xludf.DUMMYFUNCTION("""COMPUTED_VALUE"""),"no hay ")</f>
        <v>no hay </v>
      </c>
      <c r="X602" s="495" t="str">
        <f>IFERROR(__xludf.DUMMYFUNCTION("""COMPUTED_VALUE"""),"https://drive.google.com/open?id=1SbY2KIUMh0raX6Wote0XscFO9wNe2r_i, https://drive.google.com/open?id=1peXkOkklQdGC0Mz2wiifQnHLWD7vQxeY")</f>
        <v>https://drive.google.com/open?id=1SbY2KIUMh0raX6Wote0XscFO9wNe2r_i, https://drive.google.com/open?id=1peXkOkklQdGC0Mz2wiifQnHLWD7vQxeY</v>
      </c>
      <c r="Y602" s="495" t="str">
        <f>IFERROR(__xludf.DUMMYFUNCTION("""COMPUTED_VALUE"""),"roberto.lassalle@gmail.com")</f>
        <v>roberto.lassalle@gmail.com</v>
      </c>
      <c r="Z602" s="495"/>
      <c r="AA602" s="495"/>
      <c r="AB602" s="495"/>
      <c r="AC602" s="495"/>
      <c r="AD602" s="495" t="str">
        <f>IFERROR(__xludf.DUMMYFUNCTION("""COMPUTED_VALUE"""),"RC-038")</f>
        <v>RC-038</v>
      </c>
    </row>
    <row r="603">
      <c r="A603" s="495" t="str">
        <f t="shared" si="1"/>
        <v>RC-281_26</v>
      </c>
      <c r="B603" s="497">
        <f>IFERROR(__xludf.DUMMYFUNCTION("""COMPUTED_VALUE"""),46203.46164799768)</f>
        <v>46203.46165</v>
      </c>
      <c r="C603" s="495" t="str">
        <f>IFERROR(__xludf.DUMMYFUNCTION("""COMPUTED_VALUE"""),"")</f>
        <v/>
      </c>
      <c r="D603" s="495" t="str">
        <f>IFERROR(__xludf.DUMMYFUNCTION("""COMPUTED_VALUE"""),"Cristóbal Correa del Río")</f>
        <v>Cristóbal Correa del Río</v>
      </c>
      <c r="E603" s="495"/>
      <c r="F603" s="496" t="str">
        <f>IFERROR(__xludf.DUMMYFUNCTION("""COMPUTED_VALUE"""),"2867-2026")</f>
        <v>2867-2026</v>
      </c>
      <c r="G603" s="495"/>
      <c r="H603" s="495"/>
      <c r="I603" s="495"/>
      <c r="J603" s="495" t="str">
        <f>IFERROR(__xludf.DUMMYFUNCTION("""COMPUTED_VALUE"""),"Campus San Juan Pablo II - CJP")</f>
        <v>Campus San Juan Pablo II - CJP</v>
      </c>
      <c r="K603" s="495" t="str">
        <f>IFERROR(__xludf.DUMMYFUNCTION("""COMPUTED_VALUE"""),"07")</f>
        <v>07</v>
      </c>
      <c r="L603" s="495" t="str">
        <f>IFERROR(__xludf.DUMMYFUNCTION("""COMPUTED_VALUE"""),"Comercial y fabrica de muebles Claudio Gallardo E.I.R.L.")</f>
        <v>Comercial y fabrica de muebles Claudio Gallardo E.I.R.L.</v>
      </c>
      <c r="M603" s="495" t="str">
        <f>IFERROR(__xludf.DUMMYFUNCTION("""COMPUTED_VALUE"""),"78.194.234-0")</f>
        <v>78.194.234-0</v>
      </c>
      <c r="N603" s="495" t="str">
        <f>IFERROR(__xludf.DUMMYFUNCTION("""COMPUTED_VALUE"""),"Claudio Gallardo, Representante Legal")</f>
        <v>Claudio Gallardo, Representante Legal</v>
      </c>
      <c r="O603" s="495" t="str">
        <f>IFERROR(__xludf.DUMMYFUNCTION("""COMPUTED_VALUE"""),"Obras y Especialidades")</f>
        <v>Obras y Especialidades</v>
      </c>
      <c r="P603" s="495"/>
      <c r="Q603" s="495"/>
      <c r="R603" s="495" t="str">
        <f>IFERROR(__xludf.DUMMYFUNCTION("""COMPUTED_VALUE"""),"Especialidades")</f>
        <v>Especialidades</v>
      </c>
      <c r="S603" s="495" t="str">
        <f>IFERROR(__xludf.DUMMYFUNCTION("""COMPUTED_VALUE"""),"Recepción de Obra - RC")</f>
        <v>Recepción de Obra - RC</v>
      </c>
      <c r="T603" s="495"/>
      <c r="U603" s="495"/>
      <c r="V603" s="495" t="str">
        <f>IFERROR(__xludf.DUMMYFUNCTION("""COMPUTED_VALUE"""),"Se instalo una rampa de estructura metálica, con revestimiento de terciado master mueblería de 18mm de espesor, con terminación de tres manos de vitrificante vitrolux, ")</f>
        <v>Se instalo una rampa de estructura metálica, con revestimiento de terciado master mueblería de 18mm de espesor, con terminación de tres manos de vitrificante vitrolux, </v>
      </c>
      <c r="W603" s="495" t="str">
        <f>IFERROR(__xludf.DUMMYFUNCTION("""COMPUTED_VALUE"""),"Sin observaciones ")</f>
        <v>Sin observaciones </v>
      </c>
      <c r="X603" s="495" t="str">
        <f>IFERROR(__xludf.DUMMYFUNCTION("""COMPUTED_VALUE"""),"https://drive.google.com/open?id=1zJ82Qm9KsJF_-hIBG5p-wIY2w1NpEwr-, https://drive.google.com/open?id=171eU2qNDrHW6hxJx6jLOoazRZkaOcT05, https://drive.google.com/open?id=11A331byXT_PUJ9BFJljfL9yi5jmf6WyB")</f>
        <v>https://drive.google.com/open?id=1zJ82Qm9KsJF_-hIBG5p-wIY2w1NpEwr-, https://drive.google.com/open?id=171eU2qNDrHW6hxJx6jLOoazRZkaOcT05, https://drive.google.com/open?id=11A331byXT_PUJ9BFJljfL9yi5jmf6WyB</v>
      </c>
      <c r="Y603" s="495" t="str">
        <f>IFERROR(__xludf.DUMMYFUNCTION("""COMPUTED_VALUE"""),"Mueblescreagallardo@gmail.com")</f>
        <v>Mueblescreagallardo@gmail.com</v>
      </c>
      <c r="Z603" s="498">
        <f>IFERROR(__xludf.DUMMYFUNCTION("""COMPUTED_VALUE"""),484030.0)</f>
        <v>484030</v>
      </c>
      <c r="AA603" s="495"/>
      <c r="AB603" s="495"/>
      <c r="AC603" s="495"/>
      <c r="AD603" s="495" t="str">
        <f>IFERROR(__xludf.DUMMYFUNCTION("""COMPUTED_VALUE"""),"RC-281_26")</f>
        <v>RC-281_26</v>
      </c>
    </row>
    <row r="604">
      <c r="A604" s="495" t="str">
        <f t="shared" si="1"/>
        <v>RC-282_26</v>
      </c>
      <c r="B604" s="497">
        <f>IFERROR(__xludf.DUMMYFUNCTION("""COMPUTED_VALUE"""),46203.69999559028)</f>
        <v>46203.7</v>
      </c>
      <c r="C604" s="495" t="str">
        <f>IFERROR(__xludf.DUMMYFUNCTION("""COMPUTED_VALUE"""),"")</f>
        <v/>
      </c>
      <c r="D604" s="495" t="str">
        <f>IFERROR(__xludf.DUMMYFUNCTION("""COMPUTED_VALUE"""),"Cristóbal Correa del Río")</f>
        <v>Cristóbal Correa del Río</v>
      </c>
      <c r="E604" s="495"/>
      <c r="F604" s="496" t="str">
        <f>IFERROR(__xludf.DUMMYFUNCTION("""COMPUTED_VALUE"""),"5140-2026")</f>
        <v>5140-2026</v>
      </c>
      <c r="G604" s="495"/>
      <c r="H604" s="495"/>
      <c r="I604" s="495"/>
      <c r="J604" s="495" t="str">
        <f>IFERROR(__xludf.DUMMYFUNCTION("""COMPUTED_VALUE"""),"Campus Prieto Norte - CHS")</f>
        <v>Campus Prieto Norte - CHS</v>
      </c>
      <c r="K604" s="495" t="str">
        <f>IFERROR(__xludf.DUMMYFUNCTION("""COMPUTED_VALUE"""),"01")</f>
        <v>01</v>
      </c>
      <c r="L604" s="495" t="str">
        <f>IFERROR(__xludf.DUMMYFUNCTION("""COMPUTED_VALUE"""),"SERVICIOS DE PUBLICIDAD 830 SPA")</f>
        <v>SERVICIOS DE PUBLICIDAD 830 SPA</v>
      </c>
      <c r="M604" s="495" t="str">
        <f>IFERROR(__xludf.DUMMYFUNCTION("""COMPUTED_VALUE"""),"77.966.038-9")</f>
        <v>77.966.038-9</v>
      </c>
      <c r="N604" s="495" t="str">
        <f>IFERROR(__xludf.DUMMYFUNCTION("""COMPUTED_VALUE"""),"JUAN RENE LINCOÑIR MANQUEO ")</f>
        <v>JUAN RENE LINCOÑIR MANQUEO </v>
      </c>
      <c r="O604" s="495" t="str">
        <f>IFERROR(__xludf.DUMMYFUNCTION("""COMPUTED_VALUE"""),"Obras y Especialidades")</f>
        <v>Obras y Especialidades</v>
      </c>
      <c r="P604" s="495"/>
      <c r="Q604" s="495"/>
      <c r="R604" s="495" t="str">
        <f>IFERROR(__xludf.DUMMYFUNCTION("""COMPUTED_VALUE"""),"Especialidades")</f>
        <v>Especialidades</v>
      </c>
      <c r="S604" s="495" t="str">
        <f>IFERROR(__xludf.DUMMYFUNCTION("""COMPUTED_VALUE"""),"Recepción de Obra - RC")</f>
        <v>Recepción de Obra - RC</v>
      </c>
      <c r="T604" s="495"/>
      <c r="U604" s="495"/>
      <c r="V604" s="495" t="str">
        <f>IFERROR(__xludf.DUMMYFUNCTION("""COMPUTED_VALUE"""),"INSTALACION PLACA ALUMINIO BRUSHED (LOGO UCT MAS TEXTO LABORATORIO CLINICO) EN FACHADA LABOROTORIO CLINICO ")</f>
        <v>INSTALACION PLACA ALUMINIO BRUSHED (LOGO UCT MAS TEXTO LABORATORIO CLINICO) EN FACHADA LABOROTORIO CLINICO </v>
      </c>
      <c r="W604" s="495" t="str">
        <f>IFERROR(__xludf.DUMMYFUNCTION("""COMPUTED_VALUE"""),"todo en orden ")</f>
        <v>todo en orden </v>
      </c>
      <c r="X604" s="499" t="str">
        <f>IFERROR(__xludf.DUMMYFUNCTION("""COMPUTED_VALUE"""),"https://drive.google.com/open?id=1idwi3XHvWuz2-kjf5pW2Lz9Yb-R5RSZV")</f>
        <v>https://drive.google.com/open?id=1idwi3XHvWuz2-kjf5pW2Lz9Yb-R5RSZV</v>
      </c>
      <c r="Y604" s="495" t="str">
        <f>IFERROR(__xludf.DUMMYFUNCTION("""COMPUTED_VALUE"""),"jrenelm@gmail.com")</f>
        <v>jrenelm@gmail.com</v>
      </c>
      <c r="Z604" s="498">
        <f>IFERROR(__xludf.DUMMYFUNCTION("""COMPUTED_VALUE"""),737800.0)</f>
        <v>737800</v>
      </c>
      <c r="AA604" s="495"/>
      <c r="AB604" s="495"/>
      <c r="AC604" s="495"/>
      <c r="AD604" s="495" t="str">
        <f>IFERROR(__xludf.DUMMYFUNCTION("""COMPUTED_VALUE"""),"RC-282_26")</f>
        <v>RC-282_26</v>
      </c>
    </row>
    <row r="605">
      <c r="A605" s="495" t="str">
        <f t="shared" si="1"/>
        <v>RC-037</v>
      </c>
      <c r="B605" s="497">
        <f>IFERROR(__xludf.DUMMYFUNCTION("""COMPUTED_VALUE"""),45968.55963043981)</f>
        <v>45968.55963</v>
      </c>
      <c r="C605" s="495" t="str">
        <f>IFERROR(__xludf.DUMMYFUNCTION("""COMPUTED_VALUE"""),"")</f>
        <v/>
      </c>
      <c r="D605" s="495" t="str">
        <f>IFERROR(__xludf.DUMMYFUNCTION("""COMPUTED_VALUE"""),"Felipe Anselme Grandón")</f>
        <v>Felipe Anselme Grandón</v>
      </c>
      <c r="E605" s="495"/>
      <c r="F605" s="496" t="str">
        <f>IFERROR(__xludf.DUMMYFUNCTION("""COMPUTED_VALUE"""),"10758-2025")</f>
        <v>10758-2025</v>
      </c>
      <c r="G605" s="495"/>
      <c r="H605" s="495"/>
      <c r="I605" s="495"/>
      <c r="J605" s="495" t="str">
        <f>IFERROR(__xludf.DUMMYFUNCTION("""COMPUTED_VALUE"""),"Campus San Francisco - CSF")</f>
        <v>Campus San Francisco - CSF</v>
      </c>
      <c r="K605" s="495">
        <f>IFERROR(__xludf.DUMMYFUNCTION("""COMPUTED_VALUE"""),11.0)</f>
        <v>11</v>
      </c>
      <c r="L605" s="495" t="str">
        <f>IFERROR(__xludf.DUMMYFUNCTION("""COMPUTED_VALUE"""),"Alejandro Barría Mateluna ")</f>
        <v>Alejandro Barría Mateluna </v>
      </c>
      <c r="M605" s="495" t="str">
        <f>IFERROR(__xludf.DUMMYFUNCTION("""COMPUTED_VALUE"""),"11.662.472-9")</f>
        <v>11.662.472-9</v>
      </c>
      <c r="N605" s="495" t="str">
        <f>IFERROR(__xludf.DUMMYFUNCTION("""COMPUTED_VALUE"""),"Alejandro Barría Mateluna ")</f>
        <v>Alejandro Barría Mateluna </v>
      </c>
      <c r="O605" s="495" t="str">
        <f>IFERROR(__xludf.DUMMYFUNCTION("""COMPUTED_VALUE"""),"Mantenciones")</f>
        <v>Mantenciones</v>
      </c>
      <c r="P605" s="495" t="str">
        <f>IFERROR(__xludf.DUMMYFUNCTION("""COMPUTED_VALUE"""),"Cerramientos Verticales")</f>
        <v>Cerramientos Verticales</v>
      </c>
      <c r="Q605" s="495"/>
      <c r="R605" s="495"/>
      <c r="S605" s="495"/>
      <c r="T605" s="495"/>
      <c r="U605" s="495"/>
      <c r="V605" s="495" t="str">
        <f>IFERROR(__xludf.DUMMYFUNCTION("""COMPUTED_VALUE"""),"Cambio mallas mosquiteras ")</f>
        <v>Cambio mallas mosquiteras </v>
      </c>
      <c r="W605" s="495" t="str">
        <f>IFERROR(__xludf.DUMMYFUNCTION("""COMPUTED_VALUE"""),"No")</f>
        <v>No</v>
      </c>
      <c r="X605" s="495" t="str">
        <f>IFERROR(__xludf.DUMMYFUNCTION("""COMPUTED_VALUE"""),"https://drive.google.com/open?id=1SFQ_t6Fk6gGeicCOCMYuowfAuuS8d-YN, https://drive.google.com/open?id=17nZyjzqPjwV-oBJj3Xq7nEVvhMrxe58B")</f>
        <v>https://drive.google.com/open?id=1SFQ_t6Fk6gGeicCOCMYuowfAuuS8d-YN, https://drive.google.com/open?id=17nZyjzqPjwV-oBJj3Xq7nEVvhMrxe58B</v>
      </c>
      <c r="Y605" s="495" t="str">
        <f>IFERROR(__xludf.DUMMYFUNCTION("""COMPUTED_VALUE"""),"aabarriam@gmail.com")</f>
        <v>aabarriam@gmail.com</v>
      </c>
      <c r="Z605" s="495"/>
      <c r="AA605" s="495"/>
      <c r="AB605" s="495"/>
      <c r="AC605" s="495"/>
      <c r="AD605" s="495" t="str">
        <f>IFERROR(__xludf.DUMMYFUNCTION("""COMPUTED_VALUE"""),"RC-037")</f>
        <v>RC-037</v>
      </c>
    </row>
    <row r="606">
      <c r="A606" s="495" t="str">
        <f t="shared" si="1"/>
        <v>RC-036</v>
      </c>
      <c r="B606" s="497">
        <f>IFERROR(__xludf.DUMMYFUNCTION("""COMPUTED_VALUE"""),45968.556455694445)</f>
        <v>45968.55646</v>
      </c>
      <c r="C606" s="495" t="str">
        <f>IFERROR(__xludf.DUMMYFUNCTION("""COMPUTED_VALUE"""),"")</f>
        <v/>
      </c>
      <c r="D606" s="495" t="str">
        <f>IFERROR(__xludf.DUMMYFUNCTION("""COMPUTED_VALUE"""),"Felipe Anselme Grandón")</f>
        <v>Felipe Anselme Grandón</v>
      </c>
      <c r="E606" s="495"/>
      <c r="F606" s="496" t="str">
        <f>IFERROR(__xludf.DUMMYFUNCTION("""COMPUTED_VALUE"""),"10737-2025")</f>
        <v>10737-2025</v>
      </c>
      <c r="G606" s="495"/>
      <c r="H606" s="495"/>
      <c r="I606" s="495"/>
      <c r="J606" s="495" t="str">
        <f>IFERROR(__xludf.DUMMYFUNCTION("""COMPUTED_VALUE"""),"Campus San Juan Pablo II - CJP")</f>
        <v>Campus San Juan Pablo II - CJP</v>
      </c>
      <c r="K606" s="495" t="str">
        <f>IFERROR(__xludf.DUMMYFUNCTION("""COMPUTED_VALUE"""),"05")</f>
        <v>05</v>
      </c>
      <c r="L606" s="495" t="str">
        <f>IFERROR(__xludf.DUMMYFUNCTION("""COMPUTED_VALUE"""),"Alejandro Barría Mateluna ")</f>
        <v>Alejandro Barría Mateluna </v>
      </c>
      <c r="M606" s="495" t="str">
        <f>IFERROR(__xludf.DUMMYFUNCTION("""COMPUTED_VALUE"""),"11.662.472-9")</f>
        <v>11.662.472-9</v>
      </c>
      <c r="N606" s="495" t="str">
        <f>IFERROR(__xludf.DUMMYFUNCTION("""COMPUTED_VALUE"""),"Alejandro Barría Mateluna ")</f>
        <v>Alejandro Barría Mateluna </v>
      </c>
      <c r="O606" s="495" t="str">
        <f>IFERROR(__xludf.DUMMYFUNCTION("""COMPUTED_VALUE"""),"Mantenciones")</f>
        <v>Mantenciones</v>
      </c>
      <c r="P606" s="495" t="str">
        <f>IFERROR(__xludf.DUMMYFUNCTION("""COMPUTED_VALUE"""),"Cerramientos Verticales")</f>
        <v>Cerramientos Verticales</v>
      </c>
      <c r="Q606" s="495"/>
      <c r="R606" s="495"/>
      <c r="S606" s="495"/>
      <c r="T606" s="495"/>
      <c r="U606" s="495"/>
      <c r="V606" s="495" t="str">
        <f>IFERROR(__xludf.DUMMYFUNCTION("""COMPUTED_VALUE"""),"Cambio mallas mosquiteras ")</f>
        <v>Cambio mallas mosquiteras </v>
      </c>
      <c r="W606" s="495" t="str">
        <f>IFERROR(__xludf.DUMMYFUNCTION("""COMPUTED_VALUE"""),"No")</f>
        <v>No</v>
      </c>
      <c r="X606" s="495" t="str">
        <f>IFERROR(__xludf.DUMMYFUNCTION("""COMPUTED_VALUE"""),"https://drive.google.com/open?id=1A-bpDtOfYSj_H_1nES0E100Kt7ZYls9V, https://drive.google.com/open?id=1ety4qVf0PJ735aZHykQSDbTVbayVbIyt, https://drive.google.com/open?id=1BiWA-LVJ5n7I57ku8FNOnH-R9z6dBO3n, https://drive.google.com/open?id=1kfDFHwU6ZK-m-CpbP"&amp;"ue5jtQ-BKM_jp-U")</f>
        <v>https://drive.google.com/open?id=1A-bpDtOfYSj_H_1nES0E100Kt7ZYls9V, https://drive.google.com/open?id=1ety4qVf0PJ735aZHykQSDbTVbayVbIyt, https://drive.google.com/open?id=1BiWA-LVJ5n7I57ku8FNOnH-R9z6dBO3n, https://drive.google.com/open?id=1kfDFHwU6ZK-m-CpbPue5jtQ-BKM_jp-U</v>
      </c>
      <c r="Y606" s="495" t="str">
        <f>IFERROR(__xludf.DUMMYFUNCTION("""COMPUTED_VALUE"""),"aabarriam@gmail.com")</f>
        <v>aabarriam@gmail.com</v>
      </c>
      <c r="Z606" s="495"/>
      <c r="AA606" s="495"/>
      <c r="AB606" s="495"/>
      <c r="AC606" s="495"/>
      <c r="AD606" s="495" t="str">
        <f>IFERROR(__xludf.DUMMYFUNCTION("""COMPUTED_VALUE"""),"RC-036")</f>
        <v>RC-036</v>
      </c>
    </row>
    <row r="607">
      <c r="A607" s="495" t="str">
        <f t="shared" si="1"/>
        <v>RC-285_26</v>
      </c>
      <c r="B607" s="497">
        <f>IFERROR(__xludf.DUMMYFUNCTION("""COMPUTED_VALUE"""),46204.78543815972)</f>
        <v>46204.78544</v>
      </c>
      <c r="C607" s="495" t="str">
        <f>IFERROR(__xludf.DUMMYFUNCTION("""COMPUTED_VALUE"""),"")</f>
        <v/>
      </c>
      <c r="D607" s="495" t="str">
        <f>IFERROR(__xludf.DUMMYFUNCTION("""COMPUTED_VALUE"""),"Leonor Ríos Morales")</f>
        <v>Leonor Ríos Morales</v>
      </c>
      <c r="E607" s="495"/>
      <c r="F607" s="496" t="str">
        <f>IFERROR(__xludf.DUMMYFUNCTION("""COMPUTED_VALUE"""),"4100 -2026")</f>
        <v>4100 -2026</v>
      </c>
      <c r="G607" s="495"/>
      <c r="H607" s="495"/>
      <c r="I607" s="495"/>
      <c r="J607" s="495" t="str">
        <f>IFERROR(__xludf.DUMMYFUNCTION("""COMPUTED_VALUE"""),"Campus San Francisco - CSF")</f>
        <v>Campus San Francisco - CSF</v>
      </c>
      <c r="K607" s="495" t="str">
        <f>IFERROR(__xludf.DUMMYFUNCTION("""COMPUTED_VALUE"""),"Exterior")</f>
        <v>Exterior</v>
      </c>
      <c r="L607" s="495" t="str">
        <f>IFERROR(__xludf.DUMMYFUNCTION("""COMPUTED_VALUE"""),"nicolas riquelme lizama")</f>
        <v>nicolas riquelme lizama</v>
      </c>
      <c r="M607" s="495" t="str">
        <f>IFERROR(__xludf.DUMMYFUNCTION("""COMPUTED_VALUE"""),"9.937.535-3")</f>
        <v>9.937.535-3</v>
      </c>
      <c r="N607" s="495" t="str">
        <f>IFERROR(__xludf.DUMMYFUNCTION("""COMPUTED_VALUE"""),"Leonor Rios Morales")</f>
        <v>Leonor Rios Morales</v>
      </c>
      <c r="O607" s="495" t="str">
        <f>IFERROR(__xludf.DUMMYFUNCTION("""COMPUTED_VALUE"""),"Obras y Especialidades")</f>
        <v>Obras y Especialidades</v>
      </c>
      <c r="P607" s="495"/>
      <c r="Q607" s="495"/>
      <c r="R607" s="495" t="str">
        <f>IFERROR(__xludf.DUMMYFUNCTION("""COMPUTED_VALUE"""),"Exteriores")</f>
        <v>Exteriores</v>
      </c>
      <c r="S607" s="495" t="str">
        <f>IFERROR(__xludf.DUMMYFUNCTION("""COMPUTED_VALUE"""),"Recepción de Obra - RC")</f>
        <v>Recepción de Obra - RC</v>
      </c>
      <c r="T607" s="495"/>
      <c r="U607" s="495"/>
      <c r="V607" s="495" t="str">
        <f>IFERROR(__xludf.DUMMYFUNCTION("""COMPUTED_VALUE"""),"Provisión de letrero Estructura caja metálica doble faz base aluminio compuesto 3mm Soporte para anclaje Adhesivo impreso según diseño. Instalado")</f>
        <v>Provisión de letrero Estructura caja metálica doble faz base aluminio compuesto 3mm Soporte para anclaje Adhesivo impreso según diseño. Instalado</v>
      </c>
      <c r="W607" s="495"/>
      <c r="X607" s="499" t="str">
        <f>IFERROR(__xludf.DUMMYFUNCTION("""COMPUTED_VALUE"""),"https://drive.google.com/open?id=19ypG2wifBlfYVPQMNfgWqKEgGCo9EG8z")</f>
        <v>https://drive.google.com/open?id=19ypG2wifBlfYVPQMNfgWqKEgGCo9EG8z</v>
      </c>
      <c r="Y607" s="495" t="str">
        <f>IFERROR(__xludf.DUMMYFUNCTION("""COMPUTED_VALUE"""),"nicolas.rotulados@gmail.com")</f>
        <v>nicolas.rotulados@gmail.com</v>
      </c>
      <c r="Z607" s="498">
        <f>IFERROR(__xludf.DUMMYFUNCTION("""COMPUTED_VALUE"""),220150.0)</f>
        <v>220150</v>
      </c>
      <c r="AA607" s="495"/>
      <c r="AB607" s="495"/>
      <c r="AC607" s="495"/>
      <c r="AD607" s="495" t="str">
        <f>IFERROR(__xludf.DUMMYFUNCTION("""COMPUTED_VALUE"""),"RC-285_26")</f>
        <v>RC-285_26</v>
      </c>
    </row>
    <row r="608">
      <c r="A608" s="495" t="str">
        <f t="shared" si="1"/>
        <v>RC-286_26</v>
      </c>
      <c r="B608" s="497">
        <f>IFERROR(__xludf.DUMMYFUNCTION("""COMPUTED_VALUE"""),46205.45370912037)</f>
        <v>46205.45371</v>
      </c>
      <c r="C608" s="495" t="str">
        <f>IFERROR(__xludf.DUMMYFUNCTION("""COMPUTED_VALUE"""),"")</f>
        <v/>
      </c>
      <c r="D608" s="495" t="str">
        <f>IFERROR(__xludf.DUMMYFUNCTION("""COMPUTED_VALUE"""),"Mauricio Matus Belmar")</f>
        <v>Mauricio Matus Belmar</v>
      </c>
      <c r="E608" s="495"/>
      <c r="F608" s="496" t="str">
        <f>IFERROR(__xludf.DUMMYFUNCTION("""COMPUTED_VALUE"""),"4990-2026")</f>
        <v>4990-2026</v>
      </c>
      <c r="G608" s="495"/>
      <c r="H608" s="495"/>
      <c r="I608" s="495"/>
      <c r="J608" s="495" t="str">
        <f>IFERROR(__xludf.DUMMYFUNCTION("""COMPUTED_VALUE"""),"Campus San Juan Pablo II - CJP")</f>
        <v>Campus San Juan Pablo II - CJP</v>
      </c>
      <c r="K608" s="495">
        <f>IFERROR(__xludf.DUMMYFUNCTION("""COMPUTED_VALUE"""),11.0)</f>
        <v>11</v>
      </c>
      <c r="L608" s="495" t="str">
        <f>IFERROR(__xludf.DUMMYFUNCTION("""COMPUTED_VALUE"""),"MR ELECTROCLIMA SPA")</f>
        <v>MR ELECTROCLIMA SPA</v>
      </c>
      <c r="M608" s="495" t="str">
        <f>IFERROR(__xludf.DUMMYFUNCTION("""COMPUTED_VALUE"""),"77.773.634-5")</f>
        <v>77.773.634-5</v>
      </c>
      <c r="N608" s="495" t="str">
        <f>IFERROR(__xludf.DUMMYFUNCTION("""COMPUTED_VALUE"""),"Patricio Manriquez Riffo")</f>
        <v>Patricio Manriquez Riffo</v>
      </c>
      <c r="O608" s="495" t="str">
        <f>IFERROR(__xludf.DUMMYFUNCTION("""COMPUTED_VALUE"""),"Operación")</f>
        <v>Operación</v>
      </c>
      <c r="P608" s="495"/>
      <c r="Q608" s="495" t="str">
        <f>IFERROR(__xludf.DUMMYFUNCTION("""COMPUTED_VALUE"""),"Climatización")</f>
        <v>Climatización</v>
      </c>
      <c r="R608" s="495"/>
      <c r="S608" s="495"/>
      <c r="T608" s="495"/>
      <c r="U608" s="495"/>
      <c r="V608" s="495" t="str">
        <f>IFERROR(__xludf.DUMMYFUNCTION("""COMPUTED_VALUE"""),"Mantenimiento prteventivo Fan coil edificio 11 incluye, Desarme tapas lateral acceso a filtros succión, limpieza y desinfección de filtros, aspirado de unidade, pruebas de control temperatura termostatos y revisión conexiones eléctricas.")</f>
        <v>Mantenimiento prteventivo Fan coil edificio 11 incluye, Desarme tapas lateral acceso a filtros succión, limpieza y desinfección de filtros, aspirado de unidade, pruebas de control temperatura termostatos y revisión conexiones eléctricas.</v>
      </c>
      <c r="W608" s="495" t="str">
        <f>IFERROR(__xludf.DUMMYFUNCTION("""COMPUTED_VALUE"""),"Sin Observaciones")</f>
        <v>Sin Observaciones</v>
      </c>
      <c r="X608" s="495" t="str">
        <f>IFERROR(__xludf.DUMMYFUNCTION("""COMPUTED_VALUE"""),"https://drive.google.com/open?id=1bSqfoLBhqBO_sX1Ic29JjJuMkzk33ub3, https://drive.google.com/open?id=1UAqXRkIYWzdd9ciEacPEnjU-QLb6n6tU, https://drive.google.com/open?id=1sN0ckhjX0WpeRCItfaa4_GdbSNfc7LgT, https://drive.google.com/open?id=1d6ycJWPFYfiGNcfwN"&amp;"iDHf6VD0bg0338s, https://drive.google.com/open?id=1kzFihqovaGWQ38VmBdT7IRtzw02GJPkS")</f>
        <v>https://drive.google.com/open?id=1bSqfoLBhqBO_sX1Ic29JjJuMkzk33ub3, https://drive.google.com/open?id=1UAqXRkIYWzdd9ciEacPEnjU-QLb6n6tU, https://drive.google.com/open?id=1sN0ckhjX0WpeRCItfaa4_GdbSNfc7LgT, https://drive.google.com/open?id=1d6ycJWPFYfiGNcfwNiDHf6VD0bg0338s, https://drive.google.com/open?id=1kzFihqovaGWQ38VmBdT7IRtzw02GJPkS</v>
      </c>
      <c r="Y608" s="495" t="str">
        <f>IFERROR(__xludf.DUMMYFUNCTION("""COMPUTED_VALUE"""),"luismanriquez555@gmail.com")</f>
        <v>luismanriquez555@gmail.com</v>
      </c>
      <c r="Z608" s="498">
        <f>IFERROR(__xludf.DUMMYFUNCTION("""COMPUTED_VALUE"""),214200.0)</f>
        <v>214200</v>
      </c>
      <c r="AA608" s="495"/>
      <c r="AB608" s="495"/>
      <c r="AC608" s="495"/>
      <c r="AD608" s="495" t="str">
        <f>IFERROR(__xludf.DUMMYFUNCTION("""COMPUTED_VALUE"""),"RC-286_26")</f>
        <v>RC-286_26</v>
      </c>
    </row>
    <row r="609">
      <c r="A609" s="495" t="str">
        <f t="shared" si="1"/>
        <v>RC-035</v>
      </c>
      <c r="B609" s="497">
        <f>IFERROR(__xludf.DUMMYFUNCTION("""COMPUTED_VALUE"""),45968.46063886574)</f>
        <v>45968.46064</v>
      </c>
      <c r="C609" s="495" t="str">
        <f>IFERROR(__xludf.DUMMYFUNCTION("""COMPUTED_VALUE"""),"")</f>
        <v/>
      </c>
      <c r="D609" s="495" t="str">
        <f>IFERROR(__xludf.DUMMYFUNCTION("""COMPUTED_VALUE"""),"Carol Huenchual Chañilao")</f>
        <v>Carol Huenchual Chañilao</v>
      </c>
      <c r="E609" s="495"/>
      <c r="F609" s="496" t="str">
        <f>IFERROR(__xludf.DUMMYFUNCTION("""COMPUTED_VALUE"""),"10525-2025")</f>
        <v>10525-2025</v>
      </c>
      <c r="G609" s="495"/>
      <c r="H609" s="495"/>
      <c r="I609" s="495"/>
      <c r="J609" s="495" t="str">
        <f>IFERROR(__xludf.DUMMYFUNCTION("""COMPUTED_VALUE"""),"Campus Dr. Luis Rivas del Canto - CRC")</f>
        <v>Campus Dr. Luis Rivas del Canto - CRC</v>
      </c>
      <c r="K609" s="495" t="str">
        <f>IFERROR(__xludf.DUMMYFUNCTION("""COMPUTED_VALUE"""),"Exterior")</f>
        <v>Exterior</v>
      </c>
      <c r="L609" s="495" t="str">
        <f>IFERROR(__xludf.DUMMYFUNCTION("""COMPUTED_VALUE"""),"GATICAR")</f>
        <v>GATICAR</v>
      </c>
      <c r="M609" s="495" t="str">
        <f>IFERROR(__xludf.DUMMYFUNCTION("""COMPUTED_VALUE"""),"77.578.487-3")</f>
        <v>77.578.487-3</v>
      </c>
      <c r="N609" s="495" t="str">
        <f>IFERROR(__xludf.DUMMYFUNCTION("""COMPUTED_VALUE"""),"HECTOR GATICA")</f>
        <v>HECTOR GATICA</v>
      </c>
      <c r="O609" s="495" t="str">
        <f>IFERROR(__xludf.DUMMYFUNCTION("""COMPUTED_VALUE"""),"Mantenciones")</f>
        <v>Mantenciones</v>
      </c>
      <c r="P609" s="495" t="str">
        <f>IFERROR(__xludf.DUMMYFUNCTION("""COMPUTED_VALUE"""),"Requerimientos Emergentes e Imprevistos")</f>
        <v>Requerimientos Emergentes e Imprevistos</v>
      </c>
      <c r="Q609" s="495"/>
      <c r="R609" s="495"/>
      <c r="S609" s="495"/>
      <c r="T609" s="495"/>
      <c r="U609" s="495"/>
      <c r="V609" s="495" t="str">
        <f>IFERROR(__xludf.DUMMYFUNCTION("""COMPUTED_VALUE"""),"REPARACION DE FILTRACIONES DE AGUA POTABLES, SECTOR POTREROS Y ESTANQUE EN ALTURA 
")</f>
        <v>REPARACION DE FILTRACIONES DE AGUA POTABLES, SECTOR POTREROS Y ESTANQUE EN ALTURA 
</v>
      </c>
      <c r="W609" s="495"/>
      <c r="X609" s="495" t="str">
        <f>IFERROR(__xludf.DUMMYFUNCTION("""COMPUTED_VALUE"""),"https://drive.google.com/open?id=1wLFGe4hsKENavl1xEVGqadDA212Sdvq4, https://drive.google.com/open?id=1wopQUlUovMonGT7X467wL05A_BUUVkoQ, https://drive.google.com/open?id=1LkTxJUE5JPAHPvRF3p5mDshwVF1qfTX1")</f>
        <v>https://drive.google.com/open?id=1wLFGe4hsKENavl1xEVGqadDA212Sdvq4, https://drive.google.com/open?id=1wopQUlUovMonGT7X467wL05A_BUUVkoQ, https://drive.google.com/open?id=1LkTxJUE5JPAHPvRF3p5mDshwVF1qfTX1</v>
      </c>
      <c r="Y609" s="495" t="str">
        <f>IFERROR(__xludf.DUMMYFUNCTION("""COMPUTED_VALUE"""),"serviciogaticar@gmail.com")</f>
        <v>serviciogaticar@gmail.com</v>
      </c>
      <c r="Z609" s="495"/>
      <c r="AA609" s="495"/>
      <c r="AB609" s="495"/>
      <c r="AC609" s="495"/>
      <c r="AD609" s="495" t="str">
        <f>IFERROR(__xludf.DUMMYFUNCTION("""COMPUTED_VALUE"""),"RC-035")</f>
        <v>RC-035</v>
      </c>
    </row>
    <row r="610">
      <c r="A610" s="495" t="str">
        <f t="shared" si="1"/>
        <v>RC-034</v>
      </c>
      <c r="B610" s="497">
        <f>IFERROR(__xludf.DUMMYFUNCTION("""COMPUTED_VALUE"""),45967.964554826394)</f>
        <v>45967.96455</v>
      </c>
      <c r="C610" s="495" t="str">
        <f>IFERROR(__xludf.DUMMYFUNCTION("""COMPUTED_VALUE"""),"")</f>
        <v/>
      </c>
      <c r="D610" s="495" t="str">
        <f>IFERROR(__xludf.DUMMYFUNCTION("""COMPUTED_VALUE"""),"Carol Huenchual Chañilao")</f>
        <v>Carol Huenchual Chañilao</v>
      </c>
      <c r="E610" s="495"/>
      <c r="F610" s="496" t="str">
        <f>IFERROR(__xludf.DUMMYFUNCTION("""COMPUTED_VALUE"""),"9914-2025")</f>
        <v>9914-2025</v>
      </c>
      <c r="G610" s="495"/>
      <c r="H610" s="495"/>
      <c r="I610" s="495"/>
      <c r="J610" s="495" t="str">
        <f>IFERROR(__xludf.DUMMYFUNCTION("""COMPUTED_VALUE"""),"Campus San Juan Pablo II - CJP")</f>
        <v>Campus San Juan Pablo II - CJP</v>
      </c>
      <c r="K610" s="495" t="str">
        <f>IFERROR(__xludf.DUMMYFUNCTION("""COMPUTED_VALUE"""),"08")</f>
        <v>08</v>
      </c>
      <c r="L610" s="495" t="str">
        <f>IFERROR(__xludf.DUMMYFUNCTION("""COMPUTED_VALUE"""),"SERVICIOS INTEGRALES CRITICOS SPA")</f>
        <v>SERVICIOS INTEGRALES CRITICOS SPA</v>
      </c>
      <c r="M610" s="495" t="str">
        <f>IFERROR(__xludf.DUMMYFUNCTION("""COMPUTED_VALUE"""),"77.248.719-3")</f>
        <v>77.248.719-3</v>
      </c>
      <c r="N610" s="495" t="str">
        <f>IFERROR(__xludf.DUMMYFUNCTION("""COMPUTED_VALUE"""),"ROBERTO FUENTES  JEFE TECNICO")</f>
        <v>ROBERTO FUENTES  JEFE TECNICO</v>
      </c>
      <c r="O610" s="495" t="str">
        <f>IFERROR(__xludf.DUMMYFUNCTION("""COMPUTED_VALUE"""),"Mantenciones")</f>
        <v>Mantenciones</v>
      </c>
      <c r="P610" s="495" t="str">
        <f>IFERROR(__xludf.DUMMYFUNCTION("""COMPUTED_VALUE"""),"Ventilacion")</f>
        <v>Ventilacion</v>
      </c>
      <c r="Q610" s="495"/>
      <c r="R610" s="495"/>
      <c r="S610" s="495"/>
      <c r="T610" s="495"/>
      <c r="U610" s="495"/>
      <c r="V610" s="495" t="str">
        <f>IFERROR(__xludf.DUMMYFUNCTION("""COMPUTED_VALUE"""),"CAMBIO 2 EXTRACTORES BAÑOS NORTE Y SUR QUINTO PISO EDIFICIO8")</f>
        <v>CAMBIO 2 EXTRACTORES BAÑOS NORTE Y SUR QUINTO PISO EDIFICIO8</v>
      </c>
      <c r="W610" s="495" t="str">
        <f>IFERROR(__xludf.DUMMYFUNCTION("""COMPUTED_VALUE"""),"REVISAR 1 VEZ AL AÑO")</f>
        <v>REVISAR 1 VEZ AL AÑO</v>
      </c>
      <c r="X610" s="495" t="str">
        <f>IFERROR(__xludf.DUMMYFUNCTION("""COMPUTED_VALUE"""),"https://drive.google.com/open?id=1aRyASMtLDWNEE4TtT-ZR4q-vpKDZj4SU, https://drive.google.com/open?id=1VGhJlWfq8p9W2SJroV0-Q9_YsJEyJFcV, https://drive.google.com/open?id=1B5T0wzYVmmTfag8myVr80nKaTL-HkG9A, https://drive.google.com/open?id=1XBpdR8kdzJvbwXxUp"&amp;"mi1xOelE7DjamOx")</f>
        <v>https://drive.google.com/open?id=1aRyASMtLDWNEE4TtT-ZR4q-vpKDZj4SU, https://drive.google.com/open?id=1VGhJlWfq8p9W2SJroV0-Q9_YsJEyJFcV, https://drive.google.com/open?id=1B5T0wzYVmmTfag8myVr80nKaTL-HkG9A, https://drive.google.com/open?id=1XBpdR8kdzJvbwXxUpmi1xOelE7DjamOx</v>
      </c>
      <c r="Y610" s="495" t="str">
        <f>IFERROR(__xludf.DUMMYFUNCTION("""COMPUTED_VALUE"""),"fuentes.roberto1@gmail.com")</f>
        <v>fuentes.roberto1@gmail.com</v>
      </c>
      <c r="Z610" s="495"/>
      <c r="AA610" s="495"/>
      <c r="AB610" s="495"/>
      <c r="AC610" s="495"/>
      <c r="AD610" s="495" t="str">
        <f>IFERROR(__xludf.DUMMYFUNCTION("""COMPUTED_VALUE"""),"RC-034")</f>
        <v>RC-034</v>
      </c>
    </row>
    <row r="611">
      <c r="A611" s="495" t="str">
        <f t="shared" si="1"/>
        <v>RC-033</v>
      </c>
      <c r="B611" s="497">
        <f>IFERROR(__xludf.DUMMYFUNCTION("""COMPUTED_VALUE"""),45967.69182828703)</f>
        <v>45967.69183</v>
      </c>
      <c r="C611" s="495" t="str">
        <f>IFERROR(__xludf.DUMMYFUNCTION("""COMPUTED_VALUE"""),"")</f>
        <v/>
      </c>
      <c r="D611" s="495" t="str">
        <f>IFERROR(__xludf.DUMMYFUNCTION("""COMPUTED_VALUE"""),"Felipe Anselme Grandón")</f>
        <v>Felipe Anselme Grandón</v>
      </c>
      <c r="E611" s="495"/>
      <c r="F611" s="496" t="str">
        <f>IFERROR(__xludf.DUMMYFUNCTION("""COMPUTED_VALUE"""),"10760-2022")</f>
        <v>10760-2022</v>
      </c>
      <c r="G611" s="495"/>
      <c r="H611" s="495"/>
      <c r="I611" s="495"/>
      <c r="J611" s="495" t="str">
        <f>IFERROR(__xludf.DUMMYFUNCTION("""COMPUTED_VALUE"""),"Campus San Francisco - CSF")</f>
        <v>Campus San Francisco - CSF</v>
      </c>
      <c r="K611" s="495">
        <f>IFERROR(__xludf.DUMMYFUNCTION("""COMPUTED_VALUE"""),11.0)</f>
        <v>11</v>
      </c>
      <c r="L611" s="495" t="str">
        <f>IFERROR(__xludf.DUMMYFUNCTION("""COMPUTED_VALUE"""),"gaticar spa")</f>
        <v>gaticar spa</v>
      </c>
      <c r="M611" s="495" t="str">
        <f>IFERROR(__xludf.DUMMYFUNCTION("""COMPUTED_VALUE"""),"77.578.487-3")</f>
        <v>77.578.487-3</v>
      </c>
      <c r="N611" s="495" t="str">
        <f>IFERROR(__xludf.DUMMYFUNCTION("""COMPUTED_VALUE"""),"HECTOR GATICA")</f>
        <v>HECTOR GATICA</v>
      </c>
      <c r="O611" s="495" t="str">
        <f>IFERROR(__xludf.DUMMYFUNCTION("""COMPUTED_VALUE"""),"Mantenciones")</f>
        <v>Mantenciones</v>
      </c>
      <c r="P611" s="495" t="str">
        <f>IFERROR(__xludf.DUMMYFUNCTION("""COMPUTED_VALUE"""),"Requerimientos Emergentes e Imprevistos")</f>
        <v>Requerimientos Emergentes e Imprevistos</v>
      </c>
      <c r="Q611" s="495"/>
      <c r="R611" s="495"/>
      <c r="S611" s="495"/>
      <c r="T611" s="495"/>
      <c r="U611" s="495"/>
      <c r="V611" s="495" t="str">
        <f>IFERROR(__xludf.DUMMYFUNCTION("""COMPUTED_VALUE"""),"CAMBIO POR SIFONES DE COBRE, ")</f>
        <v>CAMBIO POR SIFONES DE COBRE, </v>
      </c>
      <c r="W611" s="495"/>
      <c r="X611" s="495" t="str">
        <f>IFERROR(__xludf.DUMMYFUNCTION("""COMPUTED_VALUE"""),"https://drive.google.com/open?id=1XM-Wc17_WTIOFJfOL_0fBxzaXtGxQKq9, https://drive.google.com/open?id=1Xze7KfSccLpahx6GK-1FGJo9n0AM6iPG, https://drive.google.com/open?id=1E1ERypJZRNfkM1yugWM8Amcs3c__mG2u")</f>
        <v>https://drive.google.com/open?id=1XM-Wc17_WTIOFJfOL_0fBxzaXtGxQKq9, https://drive.google.com/open?id=1Xze7KfSccLpahx6GK-1FGJo9n0AM6iPG, https://drive.google.com/open?id=1E1ERypJZRNfkM1yugWM8Amcs3c__mG2u</v>
      </c>
      <c r="Y611" s="495" t="str">
        <f>IFERROR(__xludf.DUMMYFUNCTION("""COMPUTED_VALUE"""),"serviciogaticar@gmail.com")</f>
        <v>serviciogaticar@gmail.com</v>
      </c>
      <c r="Z611" s="495"/>
      <c r="AA611" s="495"/>
      <c r="AB611" s="495"/>
      <c r="AC611" s="495"/>
      <c r="AD611" s="495" t="str">
        <f>IFERROR(__xludf.DUMMYFUNCTION("""COMPUTED_VALUE"""),"RC-033")</f>
        <v>RC-033</v>
      </c>
    </row>
    <row r="612">
      <c r="A612" s="495" t="str">
        <f t="shared" si="1"/>
        <v>RC-031</v>
      </c>
      <c r="B612" s="497">
        <f>IFERROR(__xludf.DUMMYFUNCTION("""COMPUTED_VALUE"""),45967.591143032405)</f>
        <v>45967.59114</v>
      </c>
      <c r="C612" s="495" t="str">
        <f>IFERROR(__xludf.DUMMYFUNCTION("""COMPUTED_VALUE"""),"")</f>
        <v/>
      </c>
      <c r="D612" s="495" t="str">
        <f>IFERROR(__xludf.DUMMYFUNCTION("""COMPUTED_VALUE"""),"Felipe Anselme Grandón")</f>
        <v>Felipe Anselme Grandón</v>
      </c>
      <c r="E612" s="495"/>
      <c r="F612" s="496">
        <f>IFERROR(__xludf.DUMMYFUNCTION("""COMPUTED_VALUE"""),10709.0)</f>
        <v>10709</v>
      </c>
      <c r="G612" s="495"/>
      <c r="H612" s="495"/>
      <c r="I612" s="495"/>
      <c r="J612" s="495" t="str">
        <f>IFERROR(__xludf.DUMMYFUNCTION("""COMPUTED_VALUE"""),"Campus San Juan Pablo II - CJP")</f>
        <v>Campus San Juan Pablo II - CJP</v>
      </c>
      <c r="K612" s="495" t="str">
        <f>IFERROR(__xludf.DUMMYFUNCTION("""COMPUTED_VALUE"""),"05")</f>
        <v>05</v>
      </c>
      <c r="L612" s="495" t="str">
        <f>IFERROR(__xludf.DUMMYFUNCTION("""COMPUTED_VALUE"""),"GATICAR SPA")</f>
        <v>GATICAR SPA</v>
      </c>
      <c r="M612" s="495" t="str">
        <f>IFERROR(__xludf.DUMMYFUNCTION("""COMPUTED_VALUE"""),"77.578.487-3")</f>
        <v>77.578.487-3</v>
      </c>
      <c r="N612" s="495" t="str">
        <f>IFERROR(__xludf.DUMMYFUNCTION("""COMPUTED_VALUE"""),"HECTOR GATICA ")</f>
        <v>HECTOR GATICA </v>
      </c>
      <c r="O612" s="495" t="str">
        <f>IFERROR(__xludf.DUMMYFUNCTION("""COMPUTED_VALUE"""),"Mantenciones")</f>
        <v>Mantenciones</v>
      </c>
      <c r="P612" s="495" t="str">
        <f>IFERROR(__xludf.DUMMYFUNCTION("""COMPUTED_VALUE"""),"Requerimientos Emergentes e Imprevistos")</f>
        <v>Requerimientos Emergentes e Imprevistos</v>
      </c>
      <c r="Q612" s="495"/>
      <c r="R612" s="495"/>
      <c r="S612" s="495"/>
      <c r="T612" s="495"/>
      <c r="U612" s="495"/>
      <c r="V612" s="495" t="str">
        <f>IFERROR(__xludf.DUMMYFUNCTION("""COMPUTED_VALUE"""),"CAMBIO CERAMICAS SOPLADAS Y CIFONES CON GOTERA ")</f>
        <v>CAMBIO CERAMICAS SOPLADAS Y CIFONES CON GOTERA </v>
      </c>
      <c r="W612" s="495"/>
      <c r="X612" s="495" t="str">
        <f>IFERROR(__xludf.DUMMYFUNCTION("""COMPUTED_VALUE"""),"https://drive.google.com/open?id=1bBGKfJ432HvfMzo1KCCcBrxvMvVA8SVB, https://drive.google.com/open?id=1AR2wfcHyZHBW9lIBD-IfUoybyxJ4zXVq, https://drive.google.com/open?id=1CiwwvUFOM3q0SSYwrWN4LeL69MvXkuxl, https://drive.google.com/open?id=1sZgogRcer2_Zv-NTa"&amp;"tTqdGDI5qQfghL-")</f>
        <v>https://drive.google.com/open?id=1bBGKfJ432HvfMzo1KCCcBrxvMvVA8SVB, https://drive.google.com/open?id=1AR2wfcHyZHBW9lIBD-IfUoybyxJ4zXVq, https://drive.google.com/open?id=1CiwwvUFOM3q0SSYwrWN4LeL69MvXkuxl, https://drive.google.com/open?id=1sZgogRcer2_Zv-NTatTqdGDI5qQfghL-</v>
      </c>
      <c r="Y612" s="495" t="str">
        <f>IFERROR(__xludf.DUMMYFUNCTION("""COMPUTED_VALUE"""),"serviciogaticar@gmail.com")</f>
        <v>serviciogaticar@gmail.com</v>
      </c>
      <c r="Z612" s="495"/>
      <c r="AA612" s="495"/>
      <c r="AB612" s="495"/>
      <c r="AC612" s="495"/>
      <c r="AD612" s="495" t="str">
        <f>IFERROR(__xludf.DUMMYFUNCTION("""COMPUTED_VALUE"""),"RC-031")</f>
        <v>RC-031</v>
      </c>
    </row>
    <row r="613">
      <c r="A613" s="495" t="str">
        <f t="shared" si="1"/>
        <v>RC-030</v>
      </c>
      <c r="B613" s="497">
        <f>IFERROR(__xludf.DUMMYFUNCTION("""COMPUTED_VALUE"""),45967.29762017362)</f>
        <v>45967.29762</v>
      </c>
      <c r="C613" s="495" t="str">
        <f>IFERROR(__xludf.DUMMYFUNCTION("""COMPUTED_VALUE"""),"")</f>
        <v/>
      </c>
      <c r="D613" s="495" t="str">
        <f>IFERROR(__xludf.DUMMYFUNCTION("""COMPUTED_VALUE"""),"Mauricio Matus Belmar")</f>
        <v>Mauricio Matus Belmar</v>
      </c>
      <c r="E613" s="495"/>
      <c r="F613" s="496" t="str">
        <f>IFERROR(__xludf.DUMMYFUNCTION("""COMPUTED_VALUE"""),"9914-2025")</f>
        <v>9914-2025</v>
      </c>
      <c r="G613" s="495"/>
      <c r="H613" s="495"/>
      <c r="I613" s="495"/>
      <c r="J613" s="495" t="str">
        <f>IFERROR(__xludf.DUMMYFUNCTION("""COMPUTED_VALUE"""),"Campus San Juan Pablo II - CJP")</f>
        <v>Campus San Juan Pablo II - CJP</v>
      </c>
      <c r="K613" s="495" t="str">
        <f>IFERROR(__xludf.DUMMYFUNCTION("""COMPUTED_VALUE"""),"08")</f>
        <v>08</v>
      </c>
      <c r="L613" s="495" t="str">
        <f>IFERROR(__xludf.DUMMYFUNCTION("""COMPUTED_VALUE"""),"SERVICIOS INTEGRALES CRITICOS SPA")</f>
        <v>SERVICIOS INTEGRALES CRITICOS SPA</v>
      </c>
      <c r="M613" s="495" t="str">
        <f>IFERROR(__xludf.DUMMYFUNCTION("""COMPUTED_VALUE"""),"77.248.719-3")</f>
        <v>77.248.719-3</v>
      </c>
      <c r="N613" s="495" t="str">
        <f>IFERROR(__xludf.DUMMYFUNCTION("""COMPUTED_VALUE"""),"ROBERTO FUENTES - SUPERVISOR TECNICO")</f>
        <v>ROBERTO FUENTES - SUPERVISOR TECNICO</v>
      </c>
      <c r="O613" s="495" t="str">
        <f>IFERROR(__xludf.DUMMYFUNCTION("""COMPUTED_VALUE"""),"Mantenciones")</f>
        <v>Mantenciones</v>
      </c>
      <c r="P613" s="495" t="str">
        <f>IFERROR(__xludf.DUMMYFUNCTION("""COMPUTED_VALUE"""),"Ventilacion")</f>
        <v>Ventilacion</v>
      </c>
      <c r="Q613" s="495"/>
      <c r="R613" s="495"/>
      <c r="S613" s="495"/>
      <c r="T613" s="495"/>
      <c r="U613" s="495"/>
      <c r="V613" s="495" t="str">
        <f>IFERROR(__xludf.DUMMYFUNCTION("""COMPUTED_VALUE"""),"CAMBIAR EXTRACTORES BAÑOS SUR Y NORTE QUINTO PISO")</f>
        <v>CAMBIAR EXTRACTORES BAÑOS SUR Y NORTE QUINTO PISO</v>
      </c>
      <c r="W613" s="495" t="str">
        <f>IFERROR(__xludf.DUMMYFUNCTION("""COMPUTED_VALUE"""),"REVISAR ANUALMENTE")</f>
        <v>REVISAR ANUALMENTE</v>
      </c>
      <c r="X613" s="495" t="str">
        <f>IFERROR(__xludf.DUMMYFUNCTION("""COMPUTED_VALUE"""),"https://drive.google.com/open?id=1ZFMhrsWcrqvs-B3mBnDZl06GPaxBT7VG, https://drive.google.com/open?id=1oXDxp3gf9vi3_abBY_yINk1Z6TQilr99, https://drive.google.com/open?id=1l3VpDUEu5JAJ4jG4IhqOyJBF9kjA7Xme, https://drive.google.com/open?id=1qUJDwrKubUo4TurFT"&amp;"reLvsY1XMMTFzJn")</f>
        <v>https://drive.google.com/open?id=1ZFMhrsWcrqvs-B3mBnDZl06GPaxBT7VG, https://drive.google.com/open?id=1oXDxp3gf9vi3_abBY_yINk1Z6TQilr99, https://drive.google.com/open?id=1l3VpDUEu5JAJ4jG4IhqOyJBF9kjA7Xme, https://drive.google.com/open?id=1qUJDwrKubUo4TurFTreLvsY1XMMTFzJn</v>
      </c>
      <c r="Y613" s="495" t="str">
        <f>IFERROR(__xludf.DUMMYFUNCTION("""COMPUTED_VALUE"""),"fuentes.roberto1@gmail.com")</f>
        <v>fuentes.roberto1@gmail.com</v>
      </c>
      <c r="Z613" s="495"/>
      <c r="AA613" s="495"/>
      <c r="AB613" s="495"/>
      <c r="AC613" s="495"/>
      <c r="AD613" s="495" t="str">
        <f>IFERROR(__xludf.DUMMYFUNCTION("""COMPUTED_VALUE"""),"RC-030")</f>
        <v>RC-030</v>
      </c>
    </row>
    <row r="614">
      <c r="A614" s="495" t="str">
        <f t="shared" si="1"/>
        <v>RC-029</v>
      </c>
      <c r="B614" s="497">
        <f>IFERROR(__xludf.DUMMYFUNCTION("""COMPUTED_VALUE"""),45966.53886505787)</f>
        <v>45966.53887</v>
      </c>
      <c r="C614" s="495" t="str">
        <f>IFERROR(__xludf.DUMMYFUNCTION("""COMPUTED_VALUE"""),"")</f>
        <v/>
      </c>
      <c r="D614" s="495" t="str">
        <f>IFERROR(__xludf.DUMMYFUNCTION("""COMPUTED_VALUE"""),"Mauricio Matus Belmar")</f>
        <v>Mauricio Matus Belmar</v>
      </c>
      <c r="E614" s="495"/>
      <c r="F614" s="496" t="str">
        <f>IFERROR(__xludf.DUMMYFUNCTION("""COMPUTED_VALUE"""),"6716-2025")</f>
        <v>6716-2025</v>
      </c>
      <c r="G614" s="495"/>
      <c r="H614" s="495"/>
      <c r="I614" s="495"/>
      <c r="J614" s="495" t="str">
        <f>IFERROR(__xludf.DUMMYFUNCTION("""COMPUTED_VALUE"""),"Campus San Juan Pablo II - CJP")</f>
        <v>Campus San Juan Pablo II - CJP</v>
      </c>
      <c r="K614" s="495" t="str">
        <f>IFERROR(__xludf.DUMMYFUNCTION("""COMPUTED_VALUE"""),"05")</f>
        <v>05</v>
      </c>
      <c r="L614" s="495" t="str">
        <f>IFERROR(__xludf.DUMMYFUNCTION("""COMPUTED_VALUE"""),"SERVICIOS INTEGRALES CRITICOS SPA")</f>
        <v>SERVICIOS INTEGRALES CRITICOS SPA</v>
      </c>
      <c r="M614" s="495" t="str">
        <f>IFERROR(__xludf.DUMMYFUNCTION("""COMPUTED_VALUE"""),"77.248.719-3")</f>
        <v>77.248.719-3</v>
      </c>
      <c r="N614" s="495" t="str">
        <f>IFERROR(__xludf.DUMMYFUNCTION("""COMPUTED_VALUE"""),"ROBERTO FUENTES RIFFO JEFE TECNICO")</f>
        <v>ROBERTO FUENTES RIFFO JEFE TECNICO</v>
      </c>
      <c r="O614" s="495" t="str">
        <f>IFERROR(__xludf.DUMMYFUNCTION("""COMPUTED_VALUE"""),"Mantenciones")</f>
        <v>Mantenciones</v>
      </c>
      <c r="P614" s="495" t="str">
        <f>IFERROR(__xludf.DUMMYFUNCTION("""COMPUTED_VALUE"""),"Requerimientos Emergentes e Imprevistos")</f>
        <v>Requerimientos Emergentes e Imprevistos</v>
      </c>
      <c r="Q614" s="495"/>
      <c r="R614" s="495"/>
      <c r="S614" s="495"/>
      <c r="T614" s="495"/>
      <c r="U614" s="495"/>
      <c r="V614" s="495" t="str">
        <f>IFERROR(__xludf.DUMMYFUNCTION("""COMPUTED_VALUE"""),"CALDERA ACUICULTURA MANTENCION ESTANQUE EXPANSION")</f>
        <v>CALDERA ACUICULTURA MANTENCION ESTANQUE EXPANSION</v>
      </c>
      <c r="W614" s="495" t="str">
        <f>IFERROR(__xludf.DUMMYFUNCTION("""COMPUTED_VALUE"""),"REALIZAR MANTENCION 1 VEZ AL AÑO")</f>
        <v>REALIZAR MANTENCION 1 VEZ AL AÑO</v>
      </c>
      <c r="X614" s="495" t="str">
        <f>IFERROR(__xludf.DUMMYFUNCTION("""COMPUTED_VALUE"""),"https://drive.google.com/open?id=1B0GFI2X02WrQiHCk9zKJQVqqzjQ2GF5H, https://drive.google.com/open?id=1KX0NlRNLoq7k4ELCBkbmZskgBzk3Ywfx")</f>
        <v>https://drive.google.com/open?id=1B0GFI2X02WrQiHCk9zKJQVqqzjQ2GF5H, https://drive.google.com/open?id=1KX0NlRNLoq7k4ELCBkbmZskgBzk3Ywfx</v>
      </c>
      <c r="Y614" s="495" t="str">
        <f>IFERROR(__xludf.DUMMYFUNCTION("""COMPUTED_VALUE"""),"fuentes.roberto1@gmail.com")</f>
        <v>fuentes.roberto1@gmail.com</v>
      </c>
      <c r="Z614" s="495"/>
      <c r="AA614" s="495"/>
      <c r="AB614" s="495"/>
      <c r="AC614" s="495"/>
      <c r="AD614" s="495" t="str">
        <f>IFERROR(__xludf.DUMMYFUNCTION("""COMPUTED_VALUE"""),"RC-029")</f>
        <v>RC-029</v>
      </c>
    </row>
    <row r="615">
      <c r="A615" s="495" t="str">
        <f t="shared" si="1"/>
        <v>RC-028</v>
      </c>
      <c r="B615" s="497">
        <f>IFERROR(__xludf.DUMMYFUNCTION("""COMPUTED_VALUE"""),45966.39633265046)</f>
        <v>45966.39633</v>
      </c>
      <c r="C615" s="495" t="str">
        <f>IFERROR(__xludf.DUMMYFUNCTION("""COMPUTED_VALUE"""),"")</f>
        <v/>
      </c>
      <c r="D615" s="495" t="str">
        <f>IFERROR(__xludf.DUMMYFUNCTION("""COMPUTED_VALUE"""),"Mauricio Zurita Aldea")</f>
        <v>Mauricio Zurita Aldea</v>
      </c>
      <c r="E615" s="495"/>
      <c r="F615" s="496" t="str">
        <f>IFERROR(__xludf.DUMMYFUNCTION("""COMPUTED_VALUE"""),"10012-2025")</f>
        <v>10012-2025</v>
      </c>
      <c r="G615" s="495"/>
      <c r="H615" s="495"/>
      <c r="I615" s="495"/>
      <c r="J615" s="495" t="str">
        <f>IFERROR(__xludf.DUMMYFUNCTION("""COMPUTED_VALUE"""),"Campus San Francisco - CSF")</f>
        <v>Campus San Francisco - CSF</v>
      </c>
      <c r="K615" s="495" t="str">
        <f>IFERROR(__xludf.DUMMYFUNCTION("""COMPUTED_VALUE"""),"02")</f>
        <v>02</v>
      </c>
      <c r="L615" s="495" t="str">
        <f>IFERROR(__xludf.DUMMYFUNCTION("""COMPUTED_VALUE"""),"GyG servicios spa.")</f>
        <v>GyG servicios spa.</v>
      </c>
      <c r="M615" s="495" t="str">
        <f>IFERROR(__xludf.DUMMYFUNCTION("""COMPUTED_VALUE"""),"77.215.624-3")</f>
        <v>77.215.624-3</v>
      </c>
      <c r="N615" s="495" t="str">
        <f>IFERROR(__xludf.DUMMYFUNCTION("""COMPUTED_VALUE"""),"Gustavo Fuentes, técnico instalador.")</f>
        <v>Gustavo Fuentes, técnico instalador.</v>
      </c>
      <c r="O615" s="495" t="str">
        <f>IFERROR(__xludf.DUMMYFUNCTION("""COMPUTED_VALUE"""),"Mantenciones")</f>
        <v>Mantenciones</v>
      </c>
      <c r="P615" s="495" t="str">
        <f>IFERROR(__xludf.DUMMYFUNCTION("""COMPUTED_VALUE"""),"Instalaciones Eléctricas")</f>
        <v>Instalaciones Eléctricas</v>
      </c>
      <c r="Q615" s="495"/>
      <c r="R615" s="495"/>
      <c r="S615" s="495"/>
      <c r="T615" s="495"/>
      <c r="U615" s="495"/>
      <c r="V615" s="495" t="str">
        <f>IFERROR(__xludf.DUMMYFUNCTION("""COMPUTED_VALUE"""),"instalación de enchufe y punto de red para alimentación de tv de cartelera.")</f>
        <v>instalación de enchufe y punto de red para alimentación de tv de cartelera.</v>
      </c>
      <c r="W615" s="495"/>
      <c r="X615" s="495" t="str">
        <f>IFERROR(__xludf.DUMMYFUNCTION("""COMPUTED_VALUE"""),"https://drive.google.com/open?id=17wJUDbIs_2Tlae3SpcVU1j8mm1CF8-P4, https://drive.google.com/open?id=1CP-n0jPrQjYYdTmrBLpczwxPJNkFhHpG, https://drive.google.com/open?id=1bbhqGusIGhbtksRyATI2zK0U6MpueXFm, https://drive.google.com/open?id=1AfNgi7vVYtrKnjImp"&amp;"P-7QLasZ7j0bYxD, https://drive.google.com/open?id=15wLAEWrROo9sB4nTYi6zDBmsomxdaRSA")</f>
        <v>https://drive.google.com/open?id=17wJUDbIs_2Tlae3SpcVU1j8mm1CF8-P4, https://drive.google.com/open?id=1CP-n0jPrQjYYdTmrBLpczwxPJNkFhHpG, https://drive.google.com/open?id=1bbhqGusIGhbtksRyATI2zK0U6MpueXFm, https://drive.google.com/open?id=1AfNgi7vVYtrKnjImpP-7QLasZ7j0bYxD, https://drive.google.com/open?id=15wLAEWrROo9sB4nTYi6zDBmsomxdaRSA</v>
      </c>
      <c r="Y615" s="495" t="str">
        <f>IFERROR(__xludf.DUMMYFUNCTION("""COMPUTED_VALUE"""),"contacto@gygtecnologias.com")</f>
        <v>contacto@gygtecnologias.com</v>
      </c>
      <c r="Z615" s="495"/>
      <c r="AA615" s="495"/>
      <c r="AB615" s="495"/>
      <c r="AC615" s="495"/>
      <c r="AD615" s="495" t="str">
        <f>IFERROR(__xludf.DUMMYFUNCTION("""COMPUTED_VALUE"""),"RC-028")</f>
        <v>RC-028</v>
      </c>
    </row>
    <row r="616">
      <c r="A616" s="495" t="str">
        <f t="shared" si="1"/>
        <v>RC-294_26</v>
      </c>
      <c r="B616" s="497">
        <f>IFERROR(__xludf.DUMMYFUNCTION("""COMPUTED_VALUE"""),46206.37449405092)</f>
        <v>46206.37449</v>
      </c>
      <c r="C616" s="495" t="str">
        <f>IFERROR(__xludf.DUMMYFUNCTION("""COMPUTED_VALUE"""),"")</f>
        <v/>
      </c>
      <c r="D616" s="495" t="str">
        <f>IFERROR(__xludf.DUMMYFUNCTION("""COMPUTED_VALUE"""),"Leonor Ríos Morales")</f>
        <v>Leonor Ríos Morales</v>
      </c>
      <c r="E616" s="495"/>
      <c r="F616" s="496" t="str">
        <f>IFERROR(__xludf.DUMMYFUNCTION("""COMPUTED_VALUE"""),"5188-2026")</f>
        <v>5188-2026</v>
      </c>
      <c r="G616" s="495"/>
      <c r="H616" s="495"/>
      <c r="I616" s="495"/>
      <c r="J616" s="495" t="str">
        <f>IFERROR(__xludf.DUMMYFUNCTION("""COMPUTED_VALUE"""),"Campus San Francisco - CSF")</f>
        <v>Campus San Francisco - CSF</v>
      </c>
      <c r="K616" s="495" t="str">
        <f>IFERROR(__xludf.DUMMYFUNCTION("""COMPUTED_VALUE"""),"Exterior")</f>
        <v>Exterior</v>
      </c>
      <c r="L616" s="495" t="str">
        <f>IFERROR(__xludf.DUMMYFUNCTION("""COMPUTED_VALUE"""),"nicolas riquelme lizama")</f>
        <v>nicolas riquelme lizama</v>
      </c>
      <c r="M616" s="495" t="str">
        <f>IFERROR(__xludf.DUMMYFUNCTION("""COMPUTED_VALUE"""),"9.937.535-3")</f>
        <v>9.937.535-3</v>
      </c>
      <c r="N616" s="495" t="str">
        <f>IFERROR(__xludf.DUMMYFUNCTION("""COMPUTED_VALUE"""),"Leonor Rios Morales")</f>
        <v>Leonor Rios Morales</v>
      </c>
      <c r="O616" s="495" t="str">
        <f>IFERROR(__xludf.DUMMYFUNCTION("""COMPUTED_VALUE"""),"Obras y Especialidades")</f>
        <v>Obras y Especialidades</v>
      </c>
      <c r="P616" s="495"/>
      <c r="Q616" s="495"/>
      <c r="R616" s="495" t="str">
        <f>IFERROR(__xludf.DUMMYFUNCTION("""COMPUTED_VALUE"""),"Exteriores")</f>
        <v>Exteriores</v>
      </c>
      <c r="S616" s="495" t="str">
        <f>IFERROR(__xludf.DUMMYFUNCTION("""COMPUTED_VALUE"""),"Recepción de Obra - RC")</f>
        <v>Recepción de Obra - RC</v>
      </c>
      <c r="T616" s="495"/>
      <c r="U616" s="495"/>
      <c r="V616" s="495" t="str">
        <f>IFERROR(__xludf.DUMMYFUNCTION("""COMPUTED_VALUE"""),"caja metálica instalada en poste. Campaña espacio libre de humo")</f>
        <v>caja metálica instalada en poste. Campaña espacio libre de humo</v>
      </c>
      <c r="W616" s="495"/>
      <c r="X616" s="495" t="str">
        <f>IFERROR(__xludf.DUMMYFUNCTION("""COMPUTED_VALUE"""),"https://drive.google.com/open?id=11FxpDk0i9tV2Ufq3124iy0Mu7aLeCz2u, https://drive.google.com/open?id=192FWjClEyKlecPDKC384VQvFwynrgUSD")</f>
        <v>https://drive.google.com/open?id=11FxpDk0i9tV2Ufq3124iy0Mu7aLeCz2u, https://drive.google.com/open?id=192FWjClEyKlecPDKC384VQvFwynrgUSD</v>
      </c>
      <c r="Y616" s="495" t="str">
        <f>IFERROR(__xludf.DUMMYFUNCTION("""COMPUTED_VALUE"""),"nicolas.rotulados@gmail.com")</f>
        <v>nicolas.rotulados@gmail.com</v>
      </c>
      <c r="Z616" s="498">
        <f>IFERROR(__xludf.DUMMYFUNCTION("""COMPUTED_VALUE"""),155771.0)</f>
        <v>155771</v>
      </c>
      <c r="AA616" s="495"/>
      <c r="AB616" s="495"/>
      <c r="AC616" s="495"/>
      <c r="AD616" s="495" t="str">
        <f>IFERROR(__xludf.DUMMYFUNCTION("""COMPUTED_VALUE"""),"RC-294_26")</f>
        <v>RC-294_26</v>
      </c>
    </row>
    <row r="617">
      <c r="A617" s="495" t="str">
        <f t="shared" si="1"/>
        <v>RC-295_26</v>
      </c>
      <c r="B617" s="497">
        <f>IFERROR(__xludf.DUMMYFUNCTION("""COMPUTED_VALUE"""),46206.67415320602)</f>
        <v>46206.67415</v>
      </c>
      <c r="C617" s="495" t="str">
        <f>IFERROR(__xludf.DUMMYFUNCTION("""COMPUTED_VALUE"""),"")</f>
        <v/>
      </c>
      <c r="D617" s="495" t="str">
        <f>IFERROR(__xludf.DUMMYFUNCTION("""COMPUTED_VALUE"""),"Mauricio Matus Belmar")</f>
        <v>Mauricio Matus Belmar</v>
      </c>
      <c r="E617" s="495"/>
      <c r="F617" s="496" t="str">
        <f>IFERROR(__xludf.DUMMYFUNCTION("""COMPUTED_VALUE"""),"4971  - 2026")</f>
        <v>4971  - 2026</v>
      </c>
      <c r="G617" s="495"/>
      <c r="H617" s="495"/>
      <c r="I617" s="495"/>
      <c r="J617" s="495" t="str">
        <f>IFERROR(__xludf.DUMMYFUNCTION("""COMPUTED_VALUE"""),"Campus San Juan Pablo II - CJP")</f>
        <v>Campus San Juan Pablo II - CJP</v>
      </c>
      <c r="K617" s="495" t="str">
        <f>IFERROR(__xludf.DUMMYFUNCTION("""COMPUTED_VALUE"""),"07")</f>
        <v>07</v>
      </c>
      <c r="L617" s="495" t="str">
        <f>IFERROR(__xludf.DUMMYFUNCTION("""COMPUTED_VALUE"""),"Flavia Oyarzun Soto")</f>
        <v>Flavia Oyarzun Soto</v>
      </c>
      <c r="M617" s="495" t="str">
        <f>IFERROR(__xludf.DUMMYFUNCTION("""COMPUTED_VALUE"""),"5.503.590-3")</f>
        <v>5.503.590-3</v>
      </c>
      <c r="N617" s="495" t="str">
        <f>IFERROR(__xludf.DUMMYFUNCTION("""COMPUTED_VALUE"""),"Roberto Lassalle Prado")</f>
        <v>Roberto Lassalle Prado</v>
      </c>
      <c r="O617" s="495" t="str">
        <f>IFERROR(__xludf.DUMMYFUNCTION("""COMPUTED_VALUE"""),"Obras y Especialidades")</f>
        <v>Obras y Especialidades</v>
      </c>
      <c r="P617" s="495"/>
      <c r="Q617" s="495"/>
      <c r="R617" s="495" t="str">
        <f>IFERROR(__xludf.DUMMYFUNCTION("""COMPUTED_VALUE"""),"Alhajamiento")</f>
        <v>Alhajamiento</v>
      </c>
      <c r="S617" s="495" t="str">
        <f>IFERROR(__xludf.DUMMYFUNCTION("""COMPUTED_VALUE"""),"Recepción de Obra - RC")</f>
        <v>Recepción de Obra - RC</v>
      </c>
      <c r="T617" s="495"/>
      <c r="U617" s="495"/>
      <c r="V617" s="495" t="str">
        <f>IFERROR(__xludf.DUMMYFUNCTION("""COMPUTED_VALUE"""),"Traslado de Maquina pesada y artículos menores como televisor N° de atención etc")</f>
        <v>Traslado de Maquina pesada y artículos menores como televisor N° de atención etc</v>
      </c>
      <c r="W617" s="495" t="str">
        <f>IFERROR(__xludf.DUMMYFUNCTION("""COMPUTED_VALUE"""),"no hay")</f>
        <v>no hay</v>
      </c>
      <c r="X617" s="495" t="str">
        <f>IFERROR(__xludf.DUMMYFUNCTION("""COMPUTED_VALUE"""),"https://drive.google.com/open?id=13PuO0cljKLAqTs0G9ks9m9lHL0nWe7Hg, https://drive.google.com/open?id=1JWIFpl9cfPWnX63vYWqU_rJMAO3VjgV9, https://drive.google.com/open?id=1sRTojbgzed-4B3Bnc4_D-n8DlIPLJN_k")</f>
        <v>https://drive.google.com/open?id=13PuO0cljKLAqTs0G9ks9m9lHL0nWe7Hg, https://drive.google.com/open?id=1JWIFpl9cfPWnX63vYWqU_rJMAO3VjgV9, https://drive.google.com/open?id=1sRTojbgzed-4B3Bnc4_D-n8DlIPLJN_k</v>
      </c>
      <c r="Y617" s="495" t="str">
        <f>IFERROR(__xludf.DUMMYFUNCTION("""COMPUTED_VALUE"""),"roberto.lassalle@gmail.com")</f>
        <v>roberto.lassalle@gmail.com</v>
      </c>
      <c r="Z617" s="498">
        <f>IFERROR(__xludf.DUMMYFUNCTION("""COMPUTED_VALUE"""),511710.0)</f>
        <v>511710</v>
      </c>
      <c r="AA617" s="495"/>
      <c r="AB617" s="495"/>
      <c r="AC617" s="495"/>
      <c r="AD617" s="495" t="str">
        <f>IFERROR(__xludf.DUMMYFUNCTION("""COMPUTED_VALUE"""),"RC-295_26")</f>
        <v>RC-295_26</v>
      </c>
    </row>
    <row r="618">
      <c r="A618" s="495" t="str">
        <f t="shared" si="1"/>
        <v>RC-027</v>
      </c>
      <c r="B618" s="497">
        <f>IFERROR(__xludf.DUMMYFUNCTION("""COMPUTED_VALUE"""),45965.736471944445)</f>
        <v>45965.73647</v>
      </c>
      <c r="C618" s="495" t="str">
        <f>IFERROR(__xludf.DUMMYFUNCTION("""COMPUTED_VALUE"""),"")</f>
        <v/>
      </c>
      <c r="D618" s="495" t="str">
        <f>IFERROR(__xludf.DUMMYFUNCTION("""COMPUTED_VALUE"""),"Juan Ignacio Solís de Ovando")</f>
        <v>Juan Ignacio Solís de Ovando</v>
      </c>
      <c r="E618" s="495"/>
      <c r="F618" s="496" t="str">
        <f>IFERROR(__xludf.DUMMYFUNCTION("""COMPUTED_VALUE"""),"10636-2025")</f>
        <v>10636-2025</v>
      </c>
      <c r="G618" s="495"/>
      <c r="H618" s="495"/>
      <c r="I618" s="495"/>
      <c r="J618" s="495" t="str">
        <f>IFERROR(__xludf.DUMMYFUNCTION("""COMPUTED_VALUE"""),"Campus Educación Continua - CEC")</f>
        <v>Campus Educación Continua - CEC</v>
      </c>
      <c r="K618" s="495" t="str">
        <f>IFERROR(__xludf.DUMMYFUNCTION("""COMPUTED_VALUE"""),"Sin número")</f>
        <v>Sin número</v>
      </c>
      <c r="L618" s="495" t="str">
        <f>IFERROR(__xludf.DUMMYFUNCTION("""COMPUTED_VALUE"""),"Empresa Constructora IGECE Ltda.")</f>
        <v>Empresa Constructora IGECE Ltda.</v>
      </c>
      <c r="M618" s="495" t="str">
        <f>IFERROR(__xludf.DUMMYFUNCTION("""COMPUTED_VALUE"""),"76.878.824-3")</f>
        <v>76.878.824-3</v>
      </c>
      <c r="N618" s="495" t="str">
        <f>IFERROR(__xludf.DUMMYFUNCTION("""COMPUTED_VALUE"""),"Carlos Troncoso - Gerente General ")</f>
        <v>Carlos Troncoso - Gerente General </v>
      </c>
      <c r="O618" s="495" t="str">
        <f>IFERROR(__xludf.DUMMYFUNCTION("""COMPUTED_VALUE"""),"Mantenciones")</f>
        <v>Mantenciones</v>
      </c>
      <c r="P618" s="495" t="str">
        <f>IFERROR(__xludf.DUMMYFUNCTION("""COMPUTED_VALUE"""),"Ventilacion")</f>
        <v>Ventilacion</v>
      </c>
      <c r="Q618" s="495"/>
      <c r="R618" s="495"/>
      <c r="S618" s="495"/>
      <c r="T618" s="495"/>
      <c r="U618" s="495"/>
      <c r="V618" s="495" t="str">
        <f>IFERROR(__xludf.DUMMYFUNCTION("""COMPUTED_VALUE"""),"Instalación extractor de aire a cielo - perforación de cubierta para instalación de ductos de extracción hacia el exterior - alimentación eléctrica de extractor + cambio de interruptor simple por uno doble.")</f>
        <v>Instalación extractor de aire a cielo - perforación de cubierta para instalación de ductos de extracción hacia el exterior - alimentación eléctrica de extractor + cambio de interruptor simple por uno doble.</v>
      </c>
      <c r="W618" s="495"/>
      <c r="X618" s="495" t="str">
        <f>IFERROR(__xludf.DUMMYFUNCTION("""COMPUTED_VALUE"""),"https://drive.google.com/open?id=1z8LEMZ5NelvbrF0Dm2lViNA7NPqvyMGq, https://drive.google.com/open?id=1r09RHcVROe0-QopKwY9Bg17-wWsuM5u8, https://drive.google.com/open?id=1TX4r8Qktm7Cnu18NarvNXj2sJdHzCk0h")</f>
        <v>https://drive.google.com/open?id=1z8LEMZ5NelvbrF0Dm2lViNA7NPqvyMGq, https://drive.google.com/open?id=1r09RHcVROe0-QopKwY9Bg17-wWsuM5u8, https://drive.google.com/open?id=1TX4r8Qktm7Cnu18NarvNXj2sJdHzCk0h</v>
      </c>
      <c r="Y618" s="495" t="str">
        <f>IFERROR(__xludf.DUMMYFUNCTION("""COMPUTED_VALUE"""),"fabian.i.burgos.s@gmail.com")</f>
        <v>fabian.i.burgos.s@gmail.com</v>
      </c>
      <c r="Z618" s="495"/>
      <c r="AA618" s="495"/>
      <c r="AB618" s="495"/>
      <c r="AC618" s="495"/>
      <c r="AD618" s="495" t="str">
        <f>IFERROR(__xludf.DUMMYFUNCTION("""COMPUTED_VALUE"""),"RC-027")</f>
        <v>RC-027</v>
      </c>
    </row>
    <row r="619">
      <c r="A619" s="495" t="str">
        <f t="shared" si="1"/>
        <v>RC-297_26</v>
      </c>
      <c r="B619" s="497">
        <f>IFERROR(__xludf.DUMMYFUNCTION("""COMPUTED_VALUE"""),46209.409819050925)</f>
        <v>46209.40982</v>
      </c>
      <c r="C619" s="495" t="str">
        <f>IFERROR(__xludf.DUMMYFUNCTION("""COMPUTED_VALUE"""),"")</f>
        <v/>
      </c>
      <c r="D619" s="495" t="str">
        <f>IFERROR(__xludf.DUMMYFUNCTION("""COMPUTED_VALUE"""),"Juan Ignacio Solís de Ovando")</f>
        <v>Juan Ignacio Solís de Ovando</v>
      </c>
      <c r="E619" s="495"/>
      <c r="F619" s="496" t="str">
        <f>IFERROR(__xludf.DUMMYFUNCTION("""COMPUTED_VALUE"""),"4075 - 2024")</f>
        <v>4075 - 2024</v>
      </c>
      <c r="G619" s="495"/>
      <c r="H619" s="495"/>
      <c r="I619" s="495"/>
      <c r="J619" s="495" t="str">
        <f>IFERROR(__xludf.DUMMYFUNCTION("""COMPUTED_VALUE"""),"Campus Dr. Luis Rivas del Canto - CRC")</f>
        <v>Campus Dr. Luis Rivas del Canto - CRC</v>
      </c>
      <c r="K619" s="495">
        <f>IFERROR(__xludf.DUMMYFUNCTION("""COMPUTED_VALUE"""),10.0)</f>
        <v>10</v>
      </c>
      <c r="L619" s="495" t="str">
        <f>IFERROR(__xludf.DUMMYFUNCTION("""COMPUTED_VALUE"""),"SOCIEDAD DE PROFESIONALES BAIXAS Y DEL RIO ARQUITECTOS LIMITADA")</f>
        <v>SOCIEDAD DE PROFESIONALES BAIXAS Y DEL RIO ARQUITECTOS LIMITADA</v>
      </c>
      <c r="M619" s="495" t="str">
        <f>IFERROR(__xludf.DUMMYFUNCTION("""COMPUTED_VALUE"""),"77.712.479-K")</f>
        <v>77.712.479-K</v>
      </c>
      <c r="N619" s="495" t="str">
        <f>IFERROR(__xludf.DUMMYFUNCTION("""COMPUTED_VALUE"""),"Enrique Del Río Ojeda - Arquitecto")</f>
        <v>Enrique Del Río Ojeda - Arquitecto</v>
      </c>
      <c r="O619" s="495" t="str">
        <f>IFERROR(__xludf.DUMMYFUNCTION("""COMPUTED_VALUE"""),"Obras y Especialidades")</f>
        <v>Obras y Especialidades</v>
      </c>
      <c r="P619" s="495"/>
      <c r="Q619" s="495"/>
      <c r="R619" s="495" t="str">
        <f>IFERROR(__xludf.DUMMYFUNCTION("""COMPUTED_VALUE"""),"Nuevo Edificio")</f>
        <v>Nuevo Edificio</v>
      </c>
      <c r="S619" s="495" t="str">
        <f>IFERROR(__xludf.DUMMYFUNCTION("""COMPUTED_VALUE"""),"Recepción de Obra - RC")</f>
        <v>Recepción de Obra - RC</v>
      </c>
      <c r="T619" s="495"/>
      <c r="U619" s="495"/>
      <c r="V619" s="495" t="str">
        <f>IFERROR(__xludf.DUMMYFUNCTION("""COMPUTED_VALUE"""),"Finalización de obras y entrega del Edificio de Ingeniería UCT CRC10, junto con su permiso de edificación municipal al día y documentos necesarios para recepción definitiva.")</f>
        <v>Finalización de obras y entrega del Edificio de Ingeniería UCT CRC10, junto con su permiso de edificación municipal al día y documentos necesarios para recepción definitiva.</v>
      </c>
      <c r="W619" s="495"/>
      <c r="X619" s="495" t="str">
        <f>IFERROR(__xludf.DUMMYFUNCTION("""COMPUTED_VALUE"""),"https://drive.google.com/open?id=1M2QcFR0t-CZxIvkrkVDkUwbO4P_3vvaq, https://drive.google.com/open?id=1jMVk5Klb968ciVksNqSNTQtoEhMWY9XP, https://drive.google.com/open?id=1tNow9Ts6ayP5L7PX_IiezfoIsQKzEbMX, https://drive.google.com/open?id=1xP8pp5V9AoTNBsB8T"&amp;"cwmgH3v5mGnF_wb")</f>
        <v>https://drive.google.com/open?id=1M2QcFR0t-CZxIvkrkVDkUwbO4P_3vvaq, https://drive.google.com/open?id=1jMVk5Klb968ciVksNqSNTQtoEhMWY9XP, https://drive.google.com/open?id=1tNow9Ts6ayP5L7PX_IiezfoIsQKzEbMX, https://drive.google.com/open?id=1xP8pp5V9AoTNBsB8TcwmgH3v5mGnF_wb</v>
      </c>
      <c r="Y619" s="495" t="str">
        <f>IFERROR(__xludf.DUMMYFUNCTION("""COMPUTED_VALUE"""),"baixasdelrio@vtr.net")</f>
        <v>baixasdelrio@vtr.net</v>
      </c>
      <c r="Z619" s="498">
        <f>IFERROR(__xludf.DUMMYFUNCTION("""COMPUTED_VALUE"""),1.2912054E7)</f>
        <v>12912054</v>
      </c>
      <c r="AA619" s="495"/>
      <c r="AB619" s="495"/>
      <c r="AC619" s="495"/>
      <c r="AD619" s="495" t="str">
        <f>IFERROR(__xludf.DUMMYFUNCTION("""COMPUTED_VALUE"""),"RC-297_26")</f>
        <v>RC-297_26</v>
      </c>
    </row>
    <row r="620">
      <c r="A620" s="495" t="str">
        <f t="shared" si="1"/>
        <v>RC-026</v>
      </c>
      <c r="B620" s="497">
        <f>IFERROR(__xludf.DUMMYFUNCTION("""COMPUTED_VALUE"""),45965.52853271991)</f>
        <v>45965.52853</v>
      </c>
      <c r="C620" s="495" t="str">
        <f>IFERROR(__xludf.DUMMYFUNCTION("""COMPUTED_VALUE"""),"")</f>
        <v/>
      </c>
      <c r="D620" s="495" t="str">
        <f>IFERROR(__xludf.DUMMYFUNCTION("""COMPUTED_VALUE"""),"Carol Huenchual Chañilao")</f>
        <v>Carol Huenchual Chañilao</v>
      </c>
      <c r="E620" s="495"/>
      <c r="F620" s="496" t="str">
        <f>IFERROR(__xludf.DUMMYFUNCTION("""COMPUTED_VALUE"""),"10525-2025")</f>
        <v>10525-2025</v>
      </c>
      <c r="G620" s="495"/>
      <c r="H620" s="495"/>
      <c r="I620" s="495"/>
      <c r="J620" s="495" t="str">
        <f>IFERROR(__xludf.DUMMYFUNCTION("""COMPUTED_VALUE"""),"Campus Educación Continua - CEC")</f>
        <v>Campus Educación Continua - CEC</v>
      </c>
      <c r="K620" s="495" t="str">
        <f>IFERROR(__xludf.DUMMYFUNCTION("""COMPUTED_VALUE"""),"Sin número")</f>
        <v>Sin número</v>
      </c>
      <c r="L620" s="495" t="str">
        <f>IFERROR(__xludf.DUMMYFUNCTION("""COMPUTED_VALUE"""),"gaticar spa")</f>
        <v>gaticar spa</v>
      </c>
      <c r="M620" s="495" t="str">
        <f>IFERROR(__xludf.DUMMYFUNCTION("""COMPUTED_VALUE"""),"77578487-3")</f>
        <v>77578487-3</v>
      </c>
      <c r="N620" s="495" t="str">
        <f>IFERROR(__xludf.DUMMYFUNCTION("""COMPUTED_VALUE"""),"hector gatica contratista")</f>
        <v>hector gatica contratista</v>
      </c>
      <c r="O620" s="495" t="str">
        <f>IFERROR(__xludf.DUMMYFUNCTION("""COMPUTED_VALUE"""),"Mantenciones")</f>
        <v>Mantenciones</v>
      </c>
      <c r="P620" s="495" t="str">
        <f>IFERROR(__xludf.DUMMYFUNCTION("""COMPUTED_VALUE"""),"Requerimientos Emergentes e Imprevistos")</f>
        <v>Requerimientos Emergentes e Imprevistos</v>
      </c>
      <c r="Q620" s="495"/>
      <c r="R620" s="495"/>
      <c r="S620" s="495"/>
      <c r="T620" s="495"/>
      <c r="U620" s="495"/>
      <c r="V620" s="495" t="str">
        <f>IFERROR(__xludf.DUMMYFUNCTION("""COMPUTED_VALUE"""),"reparacion de fuga de agua con cambio de llave y fijacion de malla en cec")</f>
        <v>reparacion de fuga de agua con cambio de llave y fijacion de malla en cec</v>
      </c>
      <c r="W620" s="495"/>
      <c r="X620" s="495" t="str">
        <f>IFERROR(__xludf.DUMMYFUNCTION("""COMPUTED_VALUE"""),"https://drive.google.com/open?id=1KqQSHEvKLycuEoylopp8GvuQY0Jz8nl1, https://drive.google.com/open?id=1eM073-TI6a5QRY5pyAVSGscfXZ-JnzMo, https://drive.google.com/open?id=15TksH3lbAv9CermD1ZaXli53zmLqMJrc, https://drive.google.com/open?id=1vtGx85iGexXPIiYSz"&amp;"MRbLLTu9eMpRtYC")</f>
        <v>https://drive.google.com/open?id=1KqQSHEvKLycuEoylopp8GvuQY0Jz8nl1, https://drive.google.com/open?id=1eM073-TI6a5QRY5pyAVSGscfXZ-JnzMo, https://drive.google.com/open?id=15TksH3lbAv9CermD1ZaXli53zmLqMJrc, https://drive.google.com/open?id=1vtGx85iGexXPIiYSzMRbLLTu9eMpRtYC</v>
      </c>
      <c r="Y620" s="495" t="str">
        <f>IFERROR(__xludf.DUMMYFUNCTION("""COMPUTED_VALUE"""),"serviciogaticar@gmail.com")</f>
        <v>serviciogaticar@gmail.com</v>
      </c>
      <c r="Z620" s="495"/>
      <c r="AA620" s="495"/>
      <c r="AB620" s="495"/>
      <c r="AC620" s="495"/>
      <c r="AD620" s="495" t="str">
        <f>IFERROR(__xludf.DUMMYFUNCTION("""COMPUTED_VALUE"""),"RC-026")</f>
        <v>RC-026</v>
      </c>
    </row>
    <row r="621">
      <c r="A621" s="495" t="str">
        <f t="shared" si="1"/>
        <v>RC-025</v>
      </c>
      <c r="B621" s="497">
        <f>IFERROR(__xludf.DUMMYFUNCTION("""COMPUTED_VALUE"""),45965.497124953705)</f>
        <v>45965.49712</v>
      </c>
      <c r="C621" s="495" t="str">
        <f>IFERROR(__xludf.DUMMYFUNCTION("""COMPUTED_VALUE"""),"")</f>
        <v/>
      </c>
      <c r="D621" s="495" t="str">
        <f>IFERROR(__xludf.DUMMYFUNCTION("""COMPUTED_VALUE"""),"Carol Huenchual Chañilao")</f>
        <v>Carol Huenchual Chañilao</v>
      </c>
      <c r="E621" s="495"/>
      <c r="F621" s="496" t="str">
        <f>IFERROR(__xludf.DUMMYFUNCTION("""COMPUTED_VALUE"""),"9870-2025")</f>
        <v>9870-2025</v>
      </c>
      <c r="G621" s="495"/>
      <c r="H621" s="495"/>
      <c r="I621" s="495"/>
      <c r="J621" s="495" t="str">
        <f>IFERROR(__xludf.DUMMYFUNCTION("""COMPUTED_VALUE"""),"Campus San Juan Pablo II - CJP")</f>
        <v>Campus San Juan Pablo II - CJP</v>
      </c>
      <c r="K621" s="495" t="str">
        <f>IFERROR(__xludf.DUMMYFUNCTION("""COMPUTED_VALUE"""),"07")</f>
        <v>07</v>
      </c>
      <c r="L621" s="495" t="str">
        <f>IFERROR(__xludf.DUMMYFUNCTION("""COMPUTED_VALUE"""),"Sergio Flores Garrido")</f>
        <v>Sergio Flores Garrido</v>
      </c>
      <c r="M621" s="495" t="str">
        <f>IFERROR(__xludf.DUMMYFUNCTION("""COMPUTED_VALUE"""),"12.928.980-5")</f>
        <v>12.928.980-5</v>
      </c>
      <c r="N621" s="495" t="str">
        <f>IFERROR(__xludf.DUMMYFUNCTION("""COMPUTED_VALUE"""),"Sergio Flores Garrido ")</f>
        <v>Sergio Flores Garrido </v>
      </c>
      <c r="O621" s="495" t="str">
        <f>IFERROR(__xludf.DUMMYFUNCTION("""COMPUTED_VALUE"""),"Mantenciones")</f>
        <v>Mantenciones</v>
      </c>
      <c r="P621" s="495" t="str">
        <f>IFERROR(__xludf.DUMMYFUNCTION("""COMPUTED_VALUE"""),"Requerimientos Emergentes e Imprevistos")</f>
        <v>Requerimientos Emergentes e Imprevistos</v>
      </c>
      <c r="Q621" s="495"/>
      <c r="R621" s="495"/>
      <c r="S621" s="495"/>
      <c r="T621" s="495"/>
      <c r="U621" s="495"/>
      <c r="V621" s="495" t="str">
        <f>IFERROR(__xludf.DUMMYFUNCTION("""COMPUTED_VALUE"""),"Instalación de dos espejos nuevos en baños de damas y varones en el tercer piso.")</f>
        <v>Instalación de dos espejos nuevos en baños de damas y varones en el tercer piso.</v>
      </c>
      <c r="W621" s="495" t="str">
        <f>IFERROR(__xludf.DUMMYFUNCTION("""COMPUTED_VALUE"""),"No requiere seguimiento.")</f>
        <v>No requiere seguimiento.</v>
      </c>
      <c r="X621" s="495" t="str">
        <f>IFERROR(__xludf.DUMMYFUNCTION("""COMPUTED_VALUE"""),"https://drive.google.com/open?id=1G9PTd_3agPl3zRciAeUuJF_NXApMTr4s, https://drive.google.com/open?id=18vb4NOtURTChmRZBYMd3FrXk8QOl4ql7")</f>
        <v>https://drive.google.com/open?id=1G9PTd_3agPl3zRciAeUuJF_NXApMTr4s, https://drive.google.com/open?id=18vb4NOtURTChmRZBYMd3FrXk8QOl4ql7</v>
      </c>
      <c r="Y621" s="495" t="str">
        <f>IFERROR(__xludf.DUMMYFUNCTION("""COMPUTED_VALUE"""),"sergiofloresgarrido19731217@gmail.com")</f>
        <v>sergiofloresgarrido19731217@gmail.com</v>
      </c>
      <c r="Z621" s="495"/>
      <c r="AA621" s="495"/>
      <c r="AB621" s="495"/>
      <c r="AC621" s="495"/>
      <c r="AD621" s="495" t="str">
        <f>IFERROR(__xludf.DUMMYFUNCTION("""COMPUTED_VALUE"""),"RC-025")</f>
        <v>RC-025</v>
      </c>
    </row>
    <row r="622">
      <c r="A622" s="495" t="str">
        <f t="shared" si="1"/>
        <v>RC-024</v>
      </c>
      <c r="B622" s="497">
        <f>IFERROR(__xludf.DUMMYFUNCTION("""COMPUTED_VALUE"""),45965.47044679398)</f>
        <v>45965.47045</v>
      </c>
      <c r="C622" s="495" t="str">
        <f>IFERROR(__xludf.DUMMYFUNCTION("""COMPUTED_VALUE"""),"")</f>
        <v/>
      </c>
      <c r="D622" s="495" t="str">
        <f>IFERROR(__xludf.DUMMYFUNCTION("""COMPUTED_VALUE"""),"Mauricio Zurita Aldea")</f>
        <v>Mauricio Zurita Aldea</v>
      </c>
      <c r="E622" s="495"/>
      <c r="F622" s="496" t="str">
        <f>IFERROR(__xludf.DUMMYFUNCTION("""COMPUTED_VALUE"""),"9929-2025")</f>
        <v>9929-2025</v>
      </c>
      <c r="G622" s="495"/>
      <c r="H622" s="495"/>
      <c r="I622" s="495"/>
      <c r="J622" s="495" t="str">
        <f>IFERROR(__xludf.DUMMYFUNCTION("""COMPUTED_VALUE"""),"Campus San Francisco - CSF")</f>
        <v>Campus San Francisco - CSF</v>
      </c>
      <c r="K622" s="495">
        <f>IFERROR(__xludf.DUMMYFUNCTION("""COMPUTED_VALUE"""),11.0)</f>
        <v>11</v>
      </c>
      <c r="L622" s="495" t="str">
        <f>IFERROR(__xludf.DUMMYFUNCTION("""COMPUTED_VALUE"""),"GATICAR")</f>
        <v>GATICAR</v>
      </c>
      <c r="M622" s="495" t="str">
        <f>IFERROR(__xludf.DUMMYFUNCTION("""COMPUTED_VALUE"""),"77.578.487-3")</f>
        <v>77.578.487-3</v>
      </c>
      <c r="N622" s="495" t="str">
        <f>IFERROR(__xludf.DUMMYFUNCTION("""COMPUTED_VALUE"""),"HECTOR GATICA")</f>
        <v>HECTOR GATICA</v>
      </c>
      <c r="O622" s="495" t="str">
        <f>IFERROR(__xludf.DUMMYFUNCTION("""COMPUTED_VALUE"""),"Mantenciones")</f>
        <v>Mantenciones</v>
      </c>
      <c r="P622" s="495" t="str">
        <f>IFERROR(__xludf.DUMMYFUNCTION("""COMPUTED_VALUE"""),"Requerimientos Emergentes e Imprevistos")</f>
        <v>Requerimientos Emergentes e Imprevistos</v>
      </c>
      <c r="Q622" s="495"/>
      <c r="R622" s="495"/>
      <c r="S622" s="495"/>
      <c r="T622" s="495"/>
      <c r="U622" s="495"/>
      <c r="V622" s="495" t="str">
        <f>IFERROR(__xludf.DUMMYFUNCTION("""COMPUTED_VALUE"""),"REPARACION DE MARCOS DE VENTANA, PINTURA Y LIMPIEZA DE PISO DE TERRAZA, POSTERIOR A IMPLEMENTACION DE PANELES FOTOVOLTAICOS DEL EDIFICIO
")</f>
        <v>REPARACION DE MARCOS DE VENTANA, PINTURA Y LIMPIEZA DE PISO DE TERRAZA, POSTERIOR A IMPLEMENTACION DE PANELES FOTOVOLTAICOS DEL EDIFICIO
</v>
      </c>
      <c r="W622" s="495"/>
      <c r="X622" s="495" t="str">
        <f>IFERROR(__xludf.DUMMYFUNCTION("""COMPUTED_VALUE"""),"https://drive.google.com/open?id=1rfGU0xIAurzr1nY9RZdoI7ulsc-9ZgmM, https://drive.google.com/open?id=1fGY5WmDGdqNPQZxr2fopBvc8gJgXOaep, https://drive.google.com/open?id=1Q6Jhgysxb-En1q8E702TlTuyhNFCEKzl")</f>
        <v>https://drive.google.com/open?id=1rfGU0xIAurzr1nY9RZdoI7ulsc-9ZgmM, https://drive.google.com/open?id=1fGY5WmDGdqNPQZxr2fopBvc8gJgXOaep, https://drive.google.com/open?id=1Q6Jhgysxb-En1q8E702TlTuyhNFCEKzl</v>
      </c>
      <c r="Y622" s="495" t="str">
        <f>IFERROR(__xludf.DUMMYFUNCTION("""COMPUTED_VALUE"""),"serviciogaticar@gmail.com")</f>
        <v>serviciogaticar@gmail.com</v>
      </c>
      <c r="Z622" s="495"/>
      <c r="AA622" s="495"/>
      <c r="AB622" s="495"/>
      <c r="AC622" s="495"/>
      <c r="AD622" s="495" t="str">
        <f>IFERROR(__xludf.DUMMYFUNCTION("""COMPUTED_VALUE"""),"RC-024")</f>
        <v>RC-024</v>
      </c>
    </row>
    <row r="623">
      <c r="A623" s="495" t="str">
        <f t="shared" si="1"/>
        <v>RC-023</v>
      </c>
      <c r="B623" s="497">
        <f>IFERROR(__xludf.DUMMYFUNCTION("""COMPUTED_VALUE"""),45965.41166082176)</f>
        <v>45965.41166</v>
      </c>
      <c r="C623" s="495" t="str">
        <f>IFERROR(__xludf.DUMMYFUNCTION("""COMPUTED_VALUE"""),"")</f>
        <v/>
      </c>
      <c r="D623" s="495" t="str">
        <f>IFERROR(__xludf.DUMMYFUNCTION("""COMPUTED_VALUE"""),"Mauricio Zurita Aldea")</f>
        <v>Mauricio Zurita Aldea</v>
      </c>
      <c r="E623" s="495"/>
      <c r="F623" s="496" t="str">
        <f>IFERROR(__xludf.DUMMYFUNCTION("""COMPUTED_VALUE"""),"9229-2025")</f>
        <v>9229-2025</v>
      </c>
      <c r="G623" s="495"/>
      <c r="H623" s="495"/>
      <c r="I623" s="495"/>
      <c r="J623" s="495" t="str">
        <f>IFERROR(__xludf.DUMMYFUNCTION("""COMPUTED_VALUE"""),"Campus San Juan Pablo II - CJP")</f>
        <v>Campus San Juan Pablo II - CJP</v>
      </c>
      <c r="K623" s="495" t="str">
        <f>IFERROR(__xludf.DUMMYFUNCTION("""COMPUTED_VALUE"""),"Sin número")</f>
        <v>Sin número</v>
      </c>
      <c r="L623" s="495" t="str">
        <f>IFERROR(__xludf.DUMMYFUNCTION("""COMPUTED_VALUE"""),"MR Electroclima SPA")</f>
        <v>MR Electroclima SPA</v>
      </c>
      <c r="M623" s="495" t="str">
        <f>IFERROR(__xludf.DUMMYFUNCTION("""COMPUTED_VALUE"""),"77.773.634-5")</f>
        <v>77.773.634-5</v>
      </c>
      <c r="N623" s="495" t="str">
        <f>IFERROR(__xludf.DUMMYFUNCTION("""COMPUTED_VALUE"""),"Luis Manriquez Riffo Supervisor")</f>
        <v>Luis Manriquez Riffo Supervisor</v>
      </c>
      <c r="O623" s="495" t="str">
        <f>IFERROR(__xludf.DUMMYFUNCTION("""COMPUTED_VALUE"""),"Mantenciones")</f>
        <v>Mantenciones</v>
      </c>
      <c r="P623" s="495" t="str">
        <f>IFERROR(__xludf.DUMMYFUNCTION("""COMPUTED_VALUE"""),"Instalaciones Eléctricas")</f>
        <v>Instalaciones Eléctricas</v>
      </c>
      <c r="Q623" s="495"/>
      <c r="R623" s="495"/>
      <c r="S623" s="495"/>
      <c r="T623" s="495"/>
      <c r="U623" s="495"/>
      <c r="V623" s="495" t="str">
        <f>IFERROR(__xludf.DUMMYFUNCTION("""COMPUTED_VALUE"""),"Reemplazo de 9 focos antiguos por iluminación led.")</f>
        <v>Reemplazo de 9 focos antiguos por iluminación led.</v>
      </c>
      <c r="W623" s="495" t="str">
        <f>IFERROR(__xludf.DUMMYFUNCTION("""COMPUTED_VALUE"""),"Sin Recomendaciones.")</f>
        <v>Sin Recomendaciones.</v>
      </c>
      <c r="X623" s="495" t="str">
        <f>IFERROR(__xludf.DUMMYFUNCTION("""COMPUTED_VALUE"""),"https://drive.google.com/open?id=14xteVOddiw_i45o9Ny1v9VQYRXV7w-FD, https://drive.google.com/open?id=1-hxDdQEfYD6-10azfNwZMljbKTBSdEHM, https://drive.google.com/open?id=1FPiwgIyYwMKFxkmsyilveYFpKpx_zEGe, https://drive.google.com/open?id=1ZLgOddvW8IwnO543w"&amp;"7Ucimb7MQRjPbLH")</f>
        <v>https://drive.google.com/open?id=14xteVOddiw_i45o9Ny1v9VQYRXV7w-FD, https://drive.google.com/open?id=1-hxDdQEfYD6-10azfNwZMljbKTBSdEHM, https://drive.google.com/open?id=1FPiwgIyYwMKFxkmsyilveYFpKpx_zEGe, https://drive.google.com/open?id=1ZLgOddvW8IwnO543w7Ucimb7MQRjPbLH</v>
      </c>
      <c r="Y623" s="495" t="str">
        <f>IFERROR(__xludf.DUMMYFUNCTION("""COMPUTED_VALUE"""),"luismanriquez555@gmail.com")</f>
        <v>luismanriquez555@gmail.com</v>
      </c>
      <c r="Z623" s="495"/>
      <c r="AA623" s="495"/>
      <c r="AB623" s="495"/>
      <c r="AC623" s="495"/>
      <c r="AD623" s="495" t="str">
        <f>IFERROR(__xludf.DUMMYFUNCTION("""COMPUTED_VALUE"""),"RC-023")</f>
        <v>RC-023</v>
      </c>
    </row>
    <row r="624">
      <c r="A624" s="495" t="str">
        <f t="shared" si="1"/>
        <v>RC-022</v>
      </c>
      <c r="B624" s="497">
        <f>IFERROR(__xludf.DUMMYFUNCTION("""COMPUTED_VALUE"""),45964.472628993055)</f>
        <v>45964.47263</v>
      </c>
      <c r="C624" s="495" t="str">
        <f>IFERROR(__xludf.DUMMYFUNCTION("""COMPUTED_VALUE"""),"")</f>
        <v/>
      </c>
      <c r="D624" s="495" t="str">
        <f>IFERROR(__xludf.DUMMYFUNCTION("""COMPUTED_VALUE"""),"Mauricio Matus Belmar")</f>
        <v>Mauricio Matus Belmar</v>
      </c>
      <c r="E624" s="495"/>
      <c r="F624" s="496" t="str">
        <f>IFERROR(__xludf.DUMMYFUNCTION("""COMPUTED_VALUE"""),"10525-2025")</f>
        <v>10525-2025</v>
      </c>
      <c r="G624" s="495"/>
      <c r="H624" s="495"/>
      <c r="I624" s="495"/>
      <c r="J624" s="495" t="str">
        <f>IFERROR(__xludf.DUMMYFUNCTION("""COMPUTED_VALUE"""),"Campus Dr. Luis Rivas del Canto - CRC")</f>
        <v>Campus Dr. Luis Rivas del Canto - CRC</v>
      </c>
      <c r="K624" s="495" t="str">
        <f>IFERROR(__xludf.DUMMYFUNCTION("""COMPUTED_VALUE"""),"Exterior")</f>
        <v>Exterior</v>
      </c>
      <c r="L624" s="495" t="str">
        <f>IFERROR(__xludf.DUMMYFUNCTION("""COMPUTED_VALUE"""),"gaticar")</f>
        <v>gaticar</v>
      </c>
      <c r="M624" s="495" t="str">
        <f>IFERROR(__xludf.DUMMYFUNCTION("""COMPUTED_VALUE"""),"77.578.487-3")</f>
        <v>77.578.487-3</v>
      </c>
      <c r="N624" s="495" t="str">
        <f>IFERROR(__xludf.DUMMYFUNCTION("""COMPUTED_VALUE"""),"HECTOR GATICA ")</f>
        <v>HECTOR GATICA </v>
      </c>
      <c r="O624" s="495" t="str">
        <f>IFERROR(__xludf.DUMMYFUNCTION("""COMPUTED_VALUE"""),"Mantenciones")</f>
        <v>Mantenciones</v>
      </c>
      <c r="P624" s="495" t="str">
        <f>IFERROR(__xludf.DUMMYFUNCTION("""COMPUTED_VALUE"""),"Requerimientos Emergentes e Imprevistos")</f>
        <v>Requerimientos Emergentes e Imprevistos</v>
      </c>
      <c r="Q624" s="495"/>
      <c r="R624" s="495"/>
      <c r="S624" s="495"/>
      <c r="T624" s="495"/>
      <c r="U624" s="495"/>
      <c r="V624" s="495" t="str">
        <f>IFERROR(__xludf.DUMMYFUNCTION("""COMPUTED_VALUE"""),"REPARACION  DE FILTRACIONES DE AGUA POTABLES ")</f>
        <v>REPARACION  DE FILTRACIONES DE AGUA POTABLES </v>
      </c>
      <c r="W624" s="495"/>
      <c r="X624" s="495" t="str">
        <f>IFERROR(__xludf.DUMMYFUNCTION("""COMPUTED_VALUE"""),"https://drive.google.com/open?id=1yBxPY17uqNut2XUngaWI0xC-S7S0oZAO, https://drive.google.com/open?id=1PN_TB6NuRg6EvR7-GzMdL3UxBWGxbhFw, https://drive.google.com/open?id=1RWHMrX3QHwg6lJVoVqNkjxgfKYVoCfCk, https://drive.google.com/open?id=1IY4_bFogmjqHUA0Ra"&amp;"Jvvm3_0Pep_NgSd, https://drive.google.com/open?id=1oZ_vZ2bPkgHp-jXjpqd9DBJp-tIccUPd")</f>
        <v>https://drive.google.com/open?id=1yBxPY17uqNut2XUngaWI0xC-S7S0oZAO, https://drive.google.com/open?id=1PN_TB6NuRg6EvR7-GzMdL3UxBWGxbhFw, https://drive.google.com/open?id=1RWHMrX3QHwg6lJVoVqNkjxgfKYVoCfCk, https://drive.google.com/open?id=1IY4_bFogmjqHUA0RaJvvm3_0Pep_NgSd, https://drive.google.com/open?id=1oZ_vZ2bPkgHp-jXjpqd9DBJp-tIccUPd</v>
      </c>
      <c r="Y624" s="495" t="str">
        <f>IFERROR(__xludf.DUMMYFUNCTION("""COMPUTED_VALUE"""),"serviciogaticar@gmail.com")</f>
        <v>serviciogaticar@gmail.com</v>
      </c>
      <c r="Z624" s="495"/>
      <c r="AA624" s="495"/>
      <c r="AB624" s="495"/>
      <c r="AC624" s="495"/>
      <c r="AD624" s="495" t="str">
        <f>IFERROR(__xludf.DUMMYFUNCTION("""COMPUTED_VALUE"""),"RC-022")</f>
        <v>RC-022</v>
      </c>
    </row>
    <row r="625">
      <c r="A625" s="495" t="str">
        <f t="shared" si="1"/>
        <v>RC-021</v>
      </c>
      <c r="B625" s="497">
        <f>IFERROR(__xludf.DUMMYFUNCTION("""COMPUTED_VALUE"""),45960.893050011575)</f>
        <v>45960.89305</v>
      </c>
      <c r="C625" s="495" t="str">
        <f>IFERROR(__xludf.DUMMYFUNCTION("""COMPUTED_VALUE"""),"")</f>
        <v/>
      </c>
      <c r="D625" s="495" t="str">
        <f>IFERROR(__xludf.DUMMYFUNCTION("""COMPUTED_VALUE"""),"Felipe Anselme Grandón")</f>
        <v>Felipe Anselme Grandón</v>
      </c>
      <c r="E625" s="495"/>
      <c r="F625" s="496" t="str">
        <f>IFERROR(__xludf.DUMMYFUNCTION("""COMPUTED_VALUE"""),"10478-2025")</f>
        <v>10478-2025</v>
      </c>
      <c r="G625" s="495"/>
      <c r="H625" s="495"/>
      <c r="I625" s="495"/>
      <c r="J625" s="495" t="str">
        <f>IFERROR(__xludf.DUMMYFUNCTION("""COMPUTED_VALUE"""),"Campus San Francisco - CSF")</f>
        <v>Campus San Francisco - CSF</v>
      </c>
      <c r="K625" s="495">
        <f>IFERROR(__xludf.DUMMYFUNCTION("""COMPUTED_VALUE"""),14.0)</f>
        <v>14</v>
      </c>
      <c r="L625" s="495" t="str">
        <f>IFERROR(__xludf.DUMMYFUNCTION("""COMPUTED_VALUE"""),"Gyg servicios spa")</f>
        <v>Gyg servicios spa</v>
      </c>
      <c r="M625" s="495" t="str">
        <f>IFERROR(__xludf.DUMMYFUNCTION("""COMPUTED_VALUE"""),"77.215.624-3")</f>
        <v>77.215.624-3</v>
      </c>
      <c r="N625" s="495" t="str">
        <f>IFERROR(__xludf.DUMMYFUNCTION("""COMPUTED_VALUE"""),"Gerardo Paillalef Llanquitruf ")</f>
        <v>Gerardo Paillalef Llanquitruf </v>
      </c>
      <c r="O625" s="495" t="str">
        <f>IFERROR(__xludf.DUMMYFUNCTION("""COMPUTED_VALUE"""),"Mantenciones")</f>
        <v>Mantenciones</v>
      </c>
      <c r="P625" s="495" t="str">
        <f>IFERROR(__xludf.DUMMYFUNCTION("""COMPUTED_VALUE"""),"Instalaciones Eléctricas")</f>
        <v>Instalaciones Eléctricas</v>
      </c>
      <c r="Q625" s="495"/>
      <c r="R625" s="495"/>
      <c r="S625" s="495"/>
      <c r="T625" s="495"/>
      <c r="U625" s="495"/>
      <c r="V625" s="495" t="str">
        <f>IFERROR(__xludf.DUMMYFUNCTION("""COMPUTED_VALUE"""),"Cableado y instalación de bandeja ")</f>
        <v>Cableado y instalación de bandeja </v>
      </c>
      <c r="W625" s="495"/>
      <c r="X625" s="495" t="str">
        <f>IFERROR(__xludf.DUMMYFUNCTION("""COMPUTED_VALUE"""),"https://drive.google.com/open?id=1aml7EhW3tmR6OimMH-yOShdlfhHGf3wj, https://drive.google.com/open?id=1RLaKdsmLBDZqJE9ywXoPtB_WKrFATj5r, https://drive.google.com/open?id=1wpr0ynk89_0G42WopTnxZg-eW4XTqQOx")</f>
        <v>https://drive.google.com/open?id=1aml7EhW3tmR6OimMH-yOShdlfhHGf3wj, https://drive.google.com/open?id=1RLaKdsmLBDZqJE9ywXoPtB_WKrFATj5r, https://drive.google.com/open?id=1wpr0ynk89_0G42WopTnxZg-eW4XTqQOx</v>
      </c>
      <c r="Y625" s="495" t="str">
        <f>IFERROR(__xludf.DUMMYFUNCTION("""COMPUTED_VALUE"""),"contacto@gygtecnologias.com")</f>
        <v>contacto@gygtecnologias.com</v>
      </c>
      <c r="Z625" s="495"/>
      <c r="AA625" s="495"/>
      <c r="AB625" s="495"/>
      <c r="AC625" s="495"/>
      <c r="AD625" s="495" t="str">
        <f>IFERROR(__xludf.DUMMYFUNCTION("""COMPUTED_VALUE"""),"RC-021")</f>
        <v>RC-021</v>
      </c>
    </row>
    <row r="626">
      <c r="A626" s="495" t="str">
        <f t="shared" si="1"/>
        <v>RC-018</v>
      </c>
      <c r="B626" s="497">
        <f>IFERROR(__xludf.DUMMYFUNCTION("""COMPUTED_VALUE"""),45959.80593361111)</f>
        <v>45959.80593</v>
      </c>
      <c r="C626" s="495" t="str">
        <f>IFERROR(__xludf.DUMMYFUNCTION("""COMPUTED_VALUE"""),"")</f>
        <v/>
      </c>
      <c r="D626" s="495" t="str">
        <f>IFERROR(__xludf.DUMMYFUNCTION("""COMPUTED_VALUE"""),"Mauricio Zurita Aldea")</f>
        <v>Mauricio Zurita Aldea</v>
      </c>
      <c r="E626" s="495"/>
      <c r="F626" s="496" t="str">
        <f>IFERROR(__xludf.DUMMYFUNCTION("""COMPUTED_VALUE"""),"9770-2025")</f>
        <v>9770-2025</v>
      </c>
      <c r="G626" s="495"/>
      <c r="H626" s="495"/>
      <c r="I626" s="495"/>
      <c r="J626" s="495" t="str">
        <f>IFERROR(__xludf.DUMMYFUNCTION("""COMPUTED_VALUE"""),"Campus San Juan Pablo II - CJP")</f>
        <v>Campus San Juan Pablo II - CJP</v>
      </c>
      <c r="K626" s="495" t="str">
        <f>IFERROR(__xludf.DUMMYFUNCTION("""COMPUTED_VALUE"""),"Exterior")</f>
        <v>Exterior</v>
      </c>
      <c r="L626" s="495" t="str">
        <f>IFERROR(__xludf.DUMMYFUNCTION("""COMPUTED_VALUE"""),"INGENIERIA Y CONSTRUCCIONES ELEKTRICA SPA")</f>
        <v>INGENIERIA Y CONSTRUCCIONES ELEKTRICA SPA</v>
      </c>
      <c r="M626" s="495" t="str">
        <f>IFERROR(__xludf.DUMMYFUNCTION("""COMPUTED_VALUE"""),"76.884.395-3")</f>
        <v>76.884.395-3</v>
      </c>
      <c r="N626" s="495" t="str">
        <f>IFERROR(__xludf.DUMMYFUNCTION("""COMPUTED_VALUE"""),"Marco Paine Salgado - Gerente")</f>
        <v>Marco Paine Salgado - Gerente</v>
      </c>
      <c r="O626" s="495" t="str">
        <f>IFERROR(__xludf.DUMMYFUNCTION("""COMPUTED_VALUE"""),"Mantenciones")</f>
        <v>Mantenciones</v>
      </c>
      <c r="P626" s="495" t="str">
        <f>IFERROR(__xludf.DUMMYFUNCTION("""COMPUTED_VALUE"""),"Instalaciones Eléctricas")</f>
        <v>Instalaciones Eléctricas</v>
      </c>
      <c r="Q626" s="495"/>
      <c r="R626" s="495"/>
      <c r="S626" s="495"/>
      <c r="T626" s="495"/>
      <c r="U626" s="495"/>
      <c r="V626" s="495" t="str">
        <f>IFERROR(__xludf.DUMMYFUNCTION("""COMPUTED_VALUE"""),"Se realizo cambio de proyectores Led en torre de iluminación (4 proyectores) y se instaló nuevo poste metálico adosado a estructura metálica con 2 proyectores. El nuevo circuito quedó canalizado con ducto metálico (EMT). Además se instaló una nueva tierra"&amp;" de protección. Todo esto en zona de pasarela entre CJP UCT y Villa Alcántara.")</f>
        <v>Se realizo cambio de proyectores Led en torre de iluminación (4 proyectores) y se instaló nuevo poste metálico adosado a estructura metálica con 2 proyectores. El nuevo circuito quedó canalizado con ducto metálico (EMT). Además se instaló una nueva tierra de protección. Todo esto en zona de pasarela entre CJP UCT y Villa Alcántara.</v>
      </c>
      <c r="W626" s="495" t="str">
        <f>IFERROR(__xludf.DUMMYFUNCTION("""COMPUTED_VALUE"""),"Se sugiere ajustar el reloj controlador, ya que el encendido esta siendo realizado con la operación del interruptor diferencial")</f>
        <v>Se sugiere ajustar el reloj controlador, ya que el encendido esta siendo realizado con la operación del interruptor diferencial</v>
      </c>
      <c r="X626" s="495" t="str">
        <f>IFERROR(__xludf.DUMMYFUNCTION("""COMPUTED_VALUE"""),"https://drive.google.com/open?id=1VcZmdyT08XPPAYnDcMZ4CXwsgEzmCSGw, https://drive.google.com/open?id=1jQOa_JXV3TReKAVDjed_OPWpTWRt-KyA")</f>
        <v>https://drive.google.com/open?id=1VcZmdyT08XPPAYnDcMZ4CXwsgEzmCSGw, https://drive.google.com/open?id=1jQOa_JXV3TReKAVDjed_OPWpTWRt-KyA</v>
      </c>
      <c r="Y626" s="495" t="str">
        <f>IFERROR(__xludf.DUMMYFUNCTION("""COMPUTED_VALUE"""),"marcopaine@gmail.com")</f>
        <v>marcopaine@gmail.com</v>
      </c>
      <c r="Z626" s="495"/>
      <c r="AA626" s="495"/>
      <c r="AB626" s="495"/>
      <c r="AC626" s="495"/>
      <c r="AD626" s="495" t="str">
        <f>IFERROR(__xludf.DUMMYFUNCTION("""COMPUTED_VALUE"""),"RC-018")</f>
        <v>RC-018</v>
      </c>
    </row>
    <row r="627">
      <c r="A627" s="495" t="str">
        <f t="shared" si="1"/>
        <v>RC-013</v>
      </c>
      <c r="B627" s="497">
        <f>IFERROR(__xludf.DUMMYFUNCTION("""COMPUTED_VALUE"""),45953.63630023148)</f>
        <v>45953.6363</v>
      </c>
      <c r="C627" s="495" t="str">
        <f>IFERROR(__xludf.DUMMYFUNCTION("""COMPUTED_VALUE"""),"")</f>
        <v/>
      </c>
      <c r="D627" s="495" t="str">
        <f>IFERROR(__xludf.DUMMYFUNCTION("""COMPUTED_VALUE"""),"Mauricio Matus Belmar")</f>
        <v>Mauricio Matus Belmar</v>
      </c>
      <c r="E627" s="495"/>
      <c r="F627" s="496" t="str">
        <f>IFERROR(__xludf.DUMMYFUNCTION("""COMPUTED_VALUE"""),"9894-2025")</f>
        <v>9894-2025</v>
      </c>
      <c r="G627" s="495"/>
      <c r="H627" s="495"/>
      <c r="I627" s="495"/>
      <c r="J627" s="495" t="str">
        <f>IFERROR(__xludf.DUMMYFUNCTION("""COMPUTED_VALUE"""),"Campus San Juan Pablo II - CJP")</f>
        <v>Campus San Juan Pablo II - CJP</v>
      </c>
      <c r="K627" s="495" t="str">
        <f>IFERROR(__xludf.DUMMYFUNCTION("""COMPUTED_VALUE"""),"Exterior")</f>
        <v>Exterior</v>
      </c>
      <c r="L627" s="495" t="str">
        <f>IFERROR(__xludf.DUMMYFUNCTION("""COMPUTED_VALUE"""),"Luis Solis")</f>
        <v>Luis Solis</v>
      </c>
      <c r="M627" s="495" t="str">
        <f>IFERROR(__xludf.DUMMYFUNCTION("""COMPUTED_VALUE"""),"77.280.635-3")</f>
        <v>77.280.635-3</v>
      </c>
      <c r="N627" s="495" t="str">
        <f>IFERROR(__xludf.DUMMYFUNCTION("""COMPUTED_VALUE"""),"Luis Solis")</f>
        <v>Luis Solis</v>
      </c>
      <c r="O627" s="495" t="str">
        <f>IFERROR(__xludf.DUMMYFUNCTION("""COMPUTED_VALUE"""),"Mantenciones")</f>
        <v>Mantenciones</v>
      </c>
      <c r="P627" s="495" t="str">
        <f>IFERROR(__xludf.DUMMYFUNCTION("""COMPUTED_VALUE"""),"Suelos")</f>
        <v>Suelos</v>
      </c>
      <c r="Q627" s="495"/>
      <c r="R627" s="495"/>
      <c r="S627" s="495"/>
      <c r="T627" s="495"/>
      <c r="U627" s="495"/>
      <c r="V627" s="495" t="str">
        <f>IFERROR(__xludf.DUMMYFUNCTION("""COMPUTED_VALUE"""),"Cambio de tablas en puente 
Madera")</f>
        <v>Cambio de tablas en puente 
Madera</v>
      </c>
      <c r="W627" s="495"/>
      <c r="X627" s="495" t="str">
        <f>IFERROR(__xludf.DUMMYFUNCTION("""COMPUTED_VALUE"""),"https://drive.google.com/open?id=1_tgXl_KcYqkb09Wk8HZGj8VkQUaVk75_, https://drive.google.com/open?id=1noQADkWgXo9rbC84mefEFgqkQoNXuWYM, https://drive.google.com/open?id=1m8F53JakUmPXOaB3cTmSY8nwwuuWb4q7, https://drive.google.com/open?id=182NuT7XmT4qtbZH4q"&amp;"OnA5PbkKvZ8WXd8, https://drive.google.com/open?id=14vwKHhKcr4hcuzYevHCVBNLYdmwc8EhD")</f>
        <v>https://drive.google.com/open?id=1_tgXl_KcYqkb09Wk8HZGj8VkQUaVk75_, https://drive.google.com/open?id=1noQADkWgXo9rbC84mefEFgqkQoNXuWYM, https://drive.google.com/open?id=1m8F53JakUmPXOaB3cTmSY8nwwuuWb4q7, https://drive.google.com/open?id=182NuT7XmT4qtbZH4qOnA5PbkKvZ8WXd8, https://drive.google.com/open?id=14vwKHhKcr4hcuzYevHCVBNLYdmwc8EhD</v>
      </c>
      <c r="Y627" s="495" t="str">
        <f>IFERROR(__xludf.DUMMYFUNCTION("""COMPUTED_VALUE"""),"luis.exequielsolis@gmail.com")</f>
        <v>luis.exequielsolis@gmail.com</v>
      </c>
      <c r="Z627" s="495"/>
      <c r="AA627" s="495"/>
      <c r="AB627" s="495"/>
      <c r="AC627" s="495"/>
      <c r="AD627" s="495" t="str">
        <f>IFERROR(__xludf.DUMMYFUNCTION("""COMPUTED_VALUE"""),"RC-013")</f>
        <v>RC-013</v>
      </c>
    </row>
    <row r="628">
      <c r="A628" s="495" t="str">
        <f t="shared" si="1"/>
        <v>RC-012</v>
      </c>
      <c r="B628" s="497">
        <f>IFERROR(__xludf.DUMMYFUNCTION("""COMPUTED_VALUE"""),45952.934475208334)</f>
        <v>45952.93448</v>
      </c>
      <c r="C628" s="495" t="str">
        <f>IFERROR(__xludf.DUMMYFUNCTION("""COMPUTED_VALUE"""),"")</f>
        <v/>
      </c>
      <c r="D628" s="495" t="str">
        <f>IFERROR(__xludf.DUMMYFUNCTION("""COMPUTED_VALUE"""),"Leonor Ríos Morales")</f>
        <v>Leonor Ríos Morales</v>
      </c>
      <c r="E628" s="495"/>
      <c r="F628" s="496" t="str">
        <f>IFERROR(__xludf.DUMMYFUNCTION("""COMPUTED_VALUE"""),"9930 - 2025")</f>
        <v>9930 - 2025</v>
      </c>
      <c r="G628" s="495"/>
      <c r="H628" s="495"/>
      <c r="I628" s="495"/>
      <c r="J628" s="495" t="str">
        <f>IFERROR(__xludf.DUMMYFUNCTION("""COMPUTED_VALUE"""),"Campus San Francisco - CSF")</f>
        <v>Campus San Francisco - CSF</v>
      </c>
      <c r="K628" s="495">
        <f>IFERROR(__xludf.DUMMYFUNCTION("""COMPUTED_VALUE"""),12.0)</f>
        <v>12</v>
      </c>
      <c r="L628" s="495" t="str">
        <f>IFERROR(__xludf.DUMMYFUNCTION("""COMPUTED_VALUE"""),"Flavia Oyarzun Soto ")</f>
        <v>Flavia Oyarzun Soto </v>
      </c>
      <c r="M628" s="495" t="str">
        <f>IFERROR(__xludf.DUMMYFUNCTION("""COMPUTED_VALUE"""),"5.503.590-3 ")</f>
        <v>5.503.590-3 </v>
      </c>
      <c r="N628" s="495" t="str">
        <f>IFERROR(__xludf.DUMMYFUNCTION("""COMPUTED_VALUE"""),"Roberto Lassalle supervisor ")</f>
        <v>Roberto Lassalle supervisor </v>
      </c>
      <c r="O628" s="495" t="str">
        <f>IFERROR(__xludf.DUMMYFUNCTION("""COMPUTED_VALUE"""),"Mantenciones")</f>
        <v>Mantenciones</v>
      </c>
      <c r="P628" s="495" t="str">
        <f>IFERROR(__xludf.DUMMYFUNCTION("""COMPUTED_VALUE"""),"Terminaciones Interiores")</f>
        <v>Terminaciones Interiores</v>
      </c>
      <c r="Q628" s="495"/>
      <c r="R628" s="495"/>
      <c r="S628" s="495"/>
      <c r="T628" s="495"/>
      <c r="U628" s="495"/>
      <c r="V628" s="495" t="str">
        <f>IFERROR(__xludf.DUMMYFUNCTION("""COMPUTED_VALUE"""),"Modificación repisas para productos químicos ")</f>
        <v>Modificación repisas para productos químicos </v>
      </c>
      <c r="W628" s="495" t="str">
        <f>IFERROR(__xludf.DUMMYFUNCTION("""COMPUTED_VALUE"""),"No")</f>
        <v>No</v>
      </c>
      <c r="X628" s="495" t="str">
        <f>IFERROR(__xludf.DUMMYFUNCTION("""COMPUTED_VALUE"""),"https://drive.google.com/open?id=1tbTObV9DwB4XDx0q0Zss7n8MoZascTkX, https://drive.google.com/open?id=1dAlKQ6vtxD_VRklAyIv4zPUO9p4ib4ut, https://drive.google.com/open?id=1mpYiMOvlot0Z7p1z3h5pmWbnrP0NU7o9")</f>
        <v>https://drive.google.com/open?id=1tbTObV9DwB4XDx0q0Zss7n8MoZascTkX, https://drive.google.com/open?id=1dAlKQ6vtxD_VRklAyIv4zPUO9p4ib4ut, https://drive.google.com/open?id=1mpYiMOvlot0Z7p1z3h5pmWbnrP0NU7o9</v>
      </c>
      <c r="Y628" s="495" t="str">
        <f>IFERROR(__xludf.DUMMYFUNCTION("""COMPUTED_VALUE"""),"roberto.lassalle@gmail.com")</f>
        <v>roberto.lassalle@gmail.com</v>
      </c>
      <c r="Z628" s="495"/>
      <c r="AA628" s="495"/>
      <c r="AB628" s="495"/>
      <c r="AC628" s="495"/>
      <c r="AD628" s="495" t="str">
        <f>IFERROR(__xludf.DUMMYFUNCTION("""COMPUTED_VALUE"""),"RC-012")</f>
        <v>RC-012</v>
      </c>
    </row>
    <row r="629">
      <c r="A629" s="495" t="str">
        <f t="shared" si="1"/>
        <v>RC-307_26</v>
      </c>
      <c r="B629" s="497">
        <f>IFERROR(__xludf.DUMMYFUNCTION("""COMPUTED_VALUE"""),46216.523837071756)</f>
        <v>46216.52384</v>
      </c>
      <c r="C629" s="495" t="str">
        <f>IFERROR(__xludf.DUMMYFUNCTION("""COMPUTED_VALUE"""),"")</f>
        <v/>
      </c>
      <c r="D629" s="495" t="str">
        <f>IFERROR(__xludf.DUMMYFUNCTION("""COMPUTED_VALUE"""),"Cristóbal Correa del Río")</f>
        <v>Cristóbal Correa del Río</v>
      </c>
      <c r="E629" s="495"/>
      <c r="F629" s="496" t="str">
        <f>IFERROR(__xludf.DUMMYFUNCTION("""COMPUTED_VALUE"""),"5315-2026")</f>
        <v>5315-2026</v>
      </c>
      <c r="G629" s="495"/>
      <c r="H629" s="495"/>
      <c r="I629" s="495"/>
      <c r="J629" s="495" t="str">
        <f>IFERROR(__xludf.DUMMYFUNCTION("""COMPUTED_VALUE"""),"Campus Dr. Luis Rivas del Canto - CRC")</f>
        <v>Campus Dr. Luis Rivas del Canto - CRC</v>
      </c>
      <c r="K629" s="495" t="str">
        <f>IFERROR(__xludf.DUMMYFUNCTION("""COMPUTED_VALUE"""),"Exterior")</f>
        <v>Exterior</v>
      </c>
      <c r="L629" s="495" t="str">
        <f>IFERROR(__xludf.DUMMYFUNCTION("""COMPUTED_VALUE"""),"Amaris Constructora SpA")</f>
        <v>Amaris Constructora SpA</v>
      </c>
      <c r="M629" s="495" t="str">
        <f>IFERROR(__xludf.DUMMYFUNCTION("""COMPUTED_VALUE"""),"77.648.798-8")</f>
        <v>77.648.798-8</v>
      </c>
      <c r="N629" s="495" t="str">
        <f>IFERROR(__xludf.DUMMYFUNCTION("""COMPUTED_VALUE"""),"Jesus Mancilla Vidal ")</f>
        <v>Jesus Mancilla Vidal </v>
      </c>
      <c r="O629" s="495" t="str">
        <f>IFERROR(__xludf.DUMMYFUNCTION("""COMPUTED_VALUE"""),"Obras y Especialidades")</f>
        <v>Obras y Especialidades</v>
      </c>
      <c r="P629" s="495"/>
      <c r="Q629" s="495"/>
      <c r="R629" s="495" t="str">
        <f>IFERROR(__xludf.DUMMYFUNCTION("""COMPUTED_VALUE"""),"Exteriores")</f>
        <v>Exteriores</v>
      </c>
      <c r="S629" s="495" t="str">
        <f>IFERROR(__xludf.DUMMYFUNCTION("""COMPUTED_VALUE"""),"Recepción de Obra - RC")</f>
        <v>Recepción de Obra - RC</v>
      </c>
      <c r="T629" s="495"/>
      <c r="U629" s="495"/>
      <c r="V629" s="495" t="str">
        <f>IFERROR(__xludf.DUMMYFUNCTION("""COMPUTED_VALUE"""),"Instalación de pastelones ")</f>
        <v>Instalación de pastelones </v>
      </c>
      <c r="W629" s="495" t="str">
        <f>IFERROR(__xludf.DUMMYFUNCTION("""COMPUTED_VALUE"""),"Mantener limpios y que no se adiera la maleza ")</f>
        <v>Mantener limpios y que no se adiera la maleza </v>
      </c>
      <c r="X629" s="495" t="str">
        <f>IFERROR(__xludf.DUMMYFUNCTION("""COMPUTED_VALUE"""),"https://drive.google.com/open?id=1Be-REy8nOT5OiNzCefxjppjmnW72RdsD, https://drive.google.com/open?id=1KqYKyFkLUintIzvlnT8jeU1grN7aCZ6x")</f>
        <v>https://drive.google.com/open?id=1Be-REy8nOT5OiNzCefxjppjmnW72RdsD, https://drive.google.com/open?id=1KqYKyFkLUintIzvlnT8jeU1grN7aCZ6x</v>
      </c>
      <c r="Y629" s="495" t="str">
        <f>IFERROR(__xludf.DUMMYFUNCTION("""COMPUTED_VALUE"""),"e.fuentealba@amaris.cl")</f>
        <v>e.fuentealba@amaris.cl</v>
      </c>
      <c r="Z629" s="498">
        <f>IFERROR(__xludf.DUMMYFUNCTION("""COMPUTED_VALUE"""),3998400.0)</f>
        <v>3998400</v>
      </c>
      <c r="AA629" s="495"/>
      <c r="AB629" s="495"/>
      <c r="AC629" s="495"/>
      <c r="AD629" s="495" t="str">
        <f>IFERROR(__xludf.DUMMYFUNCTION("""COMPUTED_VALUE"""),"RC-307_26")</f>
        <v>RC-307_26</v>
      </c>
    </row>
    <row r="630">
      <c r="A630" s="495" t="str">
        <f t="shared" si="1"/>
        <v>RC-308_26</v>
      </c>
      <c r="B630" s="497">
        <f>IFERROR(__xludf.DUMMYFUNCTION("""COMPUTED_VALUE"""),46216.57863564815)</f>
        <v>46216.57864</v>
      </c>
      <c r="C630" s="495" t="str">
        <f>IFERROR(__xludf.DUMMYFUNCTION("""COMPUTED_VALUE"""),"")</f>
        <v/>
      </c>
      <c r="D630" s="495" t="str">
        <f>IFERROR(__xludf.DUMMYFUNCTION("""COMPUTED_VALUE"""),"Mauricio Zurita Aldea")</f>
        <v>Mauricio Zurita Aldea</v>
      </c>
      <c r="E630" s="495"/>
      <c r="F630" s="496">
        <f>IFERROR(__xludf.DUMMYFUNCTION("""COMPUTED_VALUE"""),5293.0)</f>
        <v>5293</v>
      </c>
      <c r="G630" s="495"/>
      <c r="H630" s="495"/>
      <c r="I630" s="495"/>
      <c r="J630" s="495" t="str">
        <f>IFERROR(__xludf.DUMMYFUNCTION("""COMPUTED_VALUE"""),"Campus El Bosque - CBQ")</f>
        <v>Campus El Bosque - CBQ</v>
      </c>
      <c r="K630" s="495" t="str">
        <f>IFERROR(__xludf.DUMMYFUNCTION("""COMPUTED_VALUE"""),"09")</f>
        <v>09</v>
      </c>
      <c r="L630" s="495" t="str">
        <f>IFERROR(__xludf.DUMMYFUNCTION("""COMPUTED_VALUE"""),"TECHNOLOGY INVESTMENT G&amp;O SPA")</f>
        <v>TECHNOLOGY INVESTMENT G&amp;O SPA</v>
      </c>
      <c r="M630" s="495" t="str">
        <f>IFERROR(__xludf.DUMMYFUNCTION("""COMPUTED_VALUE"""),"78.974.456-7")</f>
        <v>78.974.456-7</v>
      </c>
      <c r="N630" s="495" t="str">
        <f>IFERROR(__xludf.DUMMYFUNCTION("""COMPUTED_VALUE"""),"FELIPE OPORTO , DIRECTOR DE OPERACIONES")</f>
        <v>FELIPE OPORTO , DIRECTOR DE OPERACIONES</v>
      </c>
      <c r="O630" s="495" t="str">
        <f>IFERROR(__xludf.DUMMYFUNCTION("""COMPUTED_VALUE"""),"Obras y Especialidades")</f>
        <v>Obras y Especialidades</v>
      </c>
      <c r="P630" s="495"/>
      <c r="Q630" s="495"/>
      <c r="R630" s="495" t="str">
        <f>IFERROR(__xludf.DUMMYFUNCTION("""COMPUTED_VALUE"""),"Especialidades")</f>
        <v>Especialidades</v>
      </c>
      <c r="S630" s="495" t="str">
        <f>IFERROR(__xludf.DUMMYFUNCTION("""COMPUTED_VALUE"""),"Recepción de Obra - RC")</f>
        <v>Recepción de Obra - RC</v>
      </c>
      <c r="T630" s="495"/>
      <c r="U630" s="495"/>
      <c r="V630" s="495" t="str">
        <f>IFERROR(__xludf.DUMMYFUNCTION("""COMPUTED_VALUE"""),"SE REALIZO DESINTALACION DE SISTEMA DE CONTROL DE TEMPERATURAS, DESDE EL CASINO, AL PRIMER PISO DEL EDIFICIO H, INSTALANDO TRANSMISOR Y SENSORES EN LOS LUGARES CONVENIDOS, TAMBIEN SE REALIZO LA INTEGRACION DE LOS DATOS AL SISTEMA DE CONTROL AUTOMATICO DE "&amp;"LA BOMBA 5 DE LA CALDERA, CONFIRMANDO SU CORRECTO FUNCIONAMIENTO ")</f>
        <v>SE REALIZO DESINTALACION DE SISTEMA DE CONTROL DE TEMPERATURAS, DESDE EL CASINO, AL PRIMER PISO DEL EDIFICIO H, INSTALANDO TRANSMISOR Y SENSORES EN LOS LUGARES CONVENIDOS, TAMBIEN SE REALIZO LA INTEGRACION DE LOS DATOS AL SISTEMA DE CONTROL AUTOMATICO DE LA BOMBA 5 DE LA CALDERA, CONFIRMANDO SU CORRECTO FUNCIONAMIENTO </v>
      </c>
      <c r="W630" s="495" t="str">
        <f>IFERROR(__xludf.DUMMYFUNCTION("""COMPUTED_VALUE"""),"SIN OBSERVACIONES")</f>
        <v>SIN OBSERVACIONES</v>
      </c>
      <c r="X630" s="495" t="str">
        <f>IFERROR(__xludf.DUMMYFUNCTION("""COMPUTED_VALUE"""),"https://drive.google.com/open?id=1P6XDshstxXIqJ-QbRInW1WcLEp_UABnQ, https://drive.google.com/open?id=1WRtV9KctdR0cz4ntwGhIL80fOqqEBD2S, https://drive.google.com/open?id=14JgBVd4UBX4yvICaXpfF-Veu_Tr5pag5, https://drive.google.com/open?id=1mEh-biOyvDvhVV4S8"&amp;"AeD7f1hz7UuXiQg, https://drive.google.com/open?id=1ppmRKXmRaBZ5Gyg23XcadOmxAIbVPZN7")</f>
        <v>https://drive.google.com/open?id=1P6XDshstxXIqJ-QbRInW1WcLEp_UABnQ, https://drive.google.com/open?id=1WRtV9KctdR0cz4ntwGhIL80fOqqEBD2S, https://drive.google.com/open?id=14JgBVd4UBX4yvICaXpfF-Veu_Tr5pag5, https://drive.google.com/open?id=1mEh-biOyvDvhVV4S8AeD7f1hz7UuXiQg, https://drive.google.com/open?id=1ppmRKXmRaBZ5Gyg23XcadOmxAIbVPZN7</v>
      </c>
      <c r="Y630" s="495" t="str">
        <f>IFERROR(__xludf.DUMMYFUNCTION("""COMPUTED_VALUE"""),"contacto@gyotechnologies.com")</f>
        <v>contacto@gyotechnologies.com</v>
      </c>
      <c r="Z630" s="498">
        <f>IFERROR(__xludf.DUMMYFUNCTION("""COMPUTED_VALUE"""),242897.0)</f>
        <v>242897</v>
      </c>
      <c r="AA630" s="495"/>
      <c r="AB630" s="495"/>
      <c r="AC630" s="495"/>
      <c r="AD630" s="495" t="str">
        <f>IFERROR(__xludf.DUMMYFUNCTION("""COMPUTED_VALUE"""),"RC-308_26")</f>
        <v>RC-308_26</v>
      </c>
    </row>
    <row r="631">
      <c r="A631" s="495" t="str">
        <f t="shared" si="1"/>
        <v>RC-309_26</v>
      </c>
      <c r="B631" s="497">
        <f>IFERROR(__xludf.DUMMYFUNCTION("""COMPUTED_VALUE"""),46216.59725784722)</f>
        <v>46216.59726</v>
      </c>
      <c r="C631" s="495" t="str">
        <f>IFERROR(__xludf.DUMMYFUNCTION("""COMPUTED_VALUE"""),"")</f>
        <v/>
      </c>
      <c r="D631" s="495" t="str">
        <f>IFERROR(__xludf.DUMMYFUNCTION("""COMPUTED_VALUE"""),"Cristóbal Correa del Río")</f>
        <v>Cristóbal Correa del Río</v>
      </c>
      <c r="E631" s="495"/>
      <c r="F631" s="496">
        <f>IFERROR(__xludf.DUMMYFUNCTION("""COMPUTED_VALUE"""),5315.0)</f>
        <v>5315</v>
      </c>
      <c r="G631" s="495"/>
      <c r="H631" s="495"/>
      <c r="I631" s="495"/>
      <c r="J631" s="495" t="str">
        <f>IFERROR(__xludf.DUMMYFUNCTION("""COMPUTED_VALUE"""),"Campus Dr. Luis Rivas del Canto - CRC")</f>
        <v>Campus Dr. Luis Rivas del Canto - CRC</v>
      </c>
      <c r="K631" s="495" t="str">
        <f>IFERROR(__xludf.DUMMYFUNCTION("""COMPUTED_VALUE"""),"Exterior")</f>
        <v>Exterior</v>
      </c>
      <c r="L631" s="495" t="str">
        <f>IFERROR(__xludf.DUMMYFUNCTION("""COMPUTED_VALUE"""),"Amaris Constructora SpA")</f>
        <v>Amaris Constructora SpA</v>
      </c>
      <c r="M631" s="495" t="str">
        <f>IFERROR(__xludf.DUMMYFUNCTION("""COMPUTED_VALUE"""),"77.648.798-8")</f>
        <v>77.648.798-8</v>
      </c>
      <c r="N631" s="495" t="str">
        <f>IFERROR(__xludf.DUMMYFUNCTION("""COMPUTED_VALUE"""),"JESUS MANCILLA VIDAL ")</f>
        <v>JESUS MANCILLA VIDAL </v>
      </c>
      <c r="O631" s="495" t="str">
        <f>IFERROR(__xludf.DUMMYFUNCTION("""COMPUTED_VALUE"""),"Obras y Especialidades")</f>
        <v>Obras y Especialidades</v>
      </c>
      <c r="P631" s="495"/>
      <c r="Q631" s="495"/>
      <c r="R631" s="495" t="str">
        <f>IFERROR(__xludf.DUMMYFUNCTION("""COMPUTED_VALUE"""),"Exteriores")</f>
        <v>Exteriores</v>
      </c>
      <c r="S631" s="495" t="str">
        <f>IFERROR(__xludf.DUMMYFUNCTION("""COMPUTED_VALUE"""),"Recepción de Obra - RC")</f>
        <v>Recepción de Obra - RC</v>
      </c>
      <c r="T631" s="495"/>
      <c r="U631" s="495"/>
      <c r="V631" s="495" t="str">
        <f>IFERROR(__xludf.DUMMYFUNCTION("""COMPUTED_VALUE"""),"Instalación de pastelones ")</f>
        <v>Instalación de pastelones </v>
      </c>
      <c r="W631" s="495" t="str">
        <f>IFERROR(__xludf.DUMMYFUNCTION("""COMPUTED_VALUE"""),"Limpieza del area, para que no se adiera la maleza")</f>
        <v>Limpieza del area, para que no se adiera la maleza</v>
      </c>
      <c r="X631" s="495" t="str">
        <f>IFERROR(__xludf.DUMMYFUNCTION("""COMPUTED_VALUE"""),"https://drive.google.com/open?id=1HjyIQSQbkyycDayd41Nj0R_X1lefohiT, https://drive.google.com/open?id=1iVwG7q8tOp_F02zVQm5tzJrATaQXdSSc")</f>
        <v>https://drive.google.com/open?id=1HjyIQSQbkyycDayd41Nj0R_X1lefohiT, https://drive.google.com/open?id=1iVwG7q8tOp_F02zVQm5tzJrATaQXdSSc</v>
      </c>
      <c r="Y631" s="495" t="str">
        <f>IFERROR(__xludf.DUMMYFUNCTION("""COMPUTED_VALUE"""),"e.fuentealba@amaris.cl")</f>
        <v>e.fuentealba@amaris.cl</v>
      </c>
      <c r="Z631" s="498">
        <f>IFERROR(__xludf.DUMMYFUNCTION("""COMPUTED_VALUE"""),2261000.0)</f>
        <v>2261000</v>
      </c>
      <c r="AA631" s="495"/>
      <c r="AB631" s="495"/>
      <c r="AC631" s="495"/>
      <c r="AD631" s="495" t="str">
        <f>IFERROR(__xludf.DUMMYFUNCTION("""COMPUTED_VALUE"""),"RC-309_26")</f>
        <v>RC-309_26</v>
      </c>
    </row>
    <row r="632">
      <c r="A632" s="495" t="str">
        <f t="shared" si="1"/>
        <v>RC-310_26</v>
      </c>
      <c r="B632" s="497">
        <f>IFERROR(__xludf.DUMMYFUNCTION("""COMPUTED_VALUE"""),46216.62170099537)</f>
        <v>46216.6217</v>
      </c>
      <c r="C632" s="495" t="str">
        <f>IFERROR(__xludf.DUMMYFUNCTION("""COMPUTED_VALUE"""),"")</f>
        <v/>
      </c>
      <c r="D632" s="495" t="str">
        <f>IFERROR(__xludf.DUMMYFUNCTION("""COMPUTED_VALUE"""),"Cristóbal Correa del Río")</f>
        <v>Cristóbal Correa del Río</v>
      </c>
      <c r="E632" s="495"/>
      <c r="F632" s="496" t="str">
        <f>IFERROR(__xludf.DUMMYFUNCTION("""COMPUTED_VALUE"""),"5315-2026")</f>
        <v>5315-2026</v>
      </c>
      <c r="G632" s="495"/>
      <c r="H632" s="495"/>
      <c r="I632" s="495"/>
      <c r="J632" s="495" t="str">
        <f>IFERROR(__xludf.DUMMYFUNCTION("""COMPUTED_VALUE"""),"Campus Dr. Luis Rivas del Canto - CRC")</f>
        <v>Campus Dr. Luis Rivas del Canto - CRC</v>
      </c>
      <c r="K632" s="495" t="str">
        <f>IFERROR(__xludf.DUMMYFUNCTION("""COMPUTED_VALUE"""),"Exterior")</f>
        <v>Exterior</v>
      </c>
      <c r="L632" s="495" t="str">
        <f>IFERROR(__xludf.DUMMYFUNCTION("""COMPUTED_VALUE"""),"AMARIS CONSTRUCTORA SPA")</f>
        <v>AMARIS CONSTRUCTORA SPA</v>
      </c>
      <c r="M632" s="495" t="str">
        <f>IFERROR(__xludf.DUMMYFUNCTION("""COMPUTED_VALUE"""),"77.648.798-8")</f>
        <v>77.648.798-8</v>
      </c>
      <c r="N632" s="495" t="str">
        <f>IFERROR(__xludf.DUMMYFUNCTION("""COMPUTED_VALUE"""),"JESUS MANCILLA VIDAL- JEFE DE PROYECTOS")</f>
        <v>JESUS MANCILLA VIDAL- JEFE DE PROYECTOS</v>
      </c>
      <c r="O632" s="495" t="str">
        <f>IFERROR(__xludf.DUMMYFUNCTION("""COMPUTED_VALUE"""),"Obras y Especialidades")</f>
        <v>Obras y Especialidades</v>
      </c>
      <c r="P632" s="495"/>
      <c r="Q632" s="495"/>
      <c r="R632" s="495" t="str">
        <f>IFERROR(__xludf.DUMMYFUNCTION("""COMPUTED_VALUE"""),"Exteriores")</f>
        <v>Exteriores</v>
      </c>
      <c r="S632" s="495" t="str">
        <f>IFERROR(__xludf.DUMMYFUNCTION("""COMPUTED_VALUE"""),"Estado de Pago - EP")</f>
        <v>Estado de Pago - EP</v>
      </c>
      <c r="T632" s="495">
        <f>IFERROR(__xludf.DUMMYFUNCTION("""COMPUTED_VALUE"""),1.0)</f>
        <v>1</v>
      </c>
      <c r="U632" s="498">
        <f>IFERROR(__xludf.DUMMYFUNCTION("""COMPUTED_VALUE"""),2261000.0)</f>
        <v>2261000</v>
      </c>
      <c r="V632" s="495" t="str">
        <f>IFERROR(__xludf.DUMMYFUNCTION("""COMPUTED_VALUE"""),"	
Instalación de pastelones de 40x40: Preparación de terreno (nivelación de terreno) Estabilizado (compactación con arena y placa compactadora), Instalación de pastelon.")</f>
        <v>	
Instalación de pastelones de 40x40: Preparación de terreno (nivelación de terreno) Estabilizado (compactación con arena y placa compactadora), Instalación de pastelon.</v>
      </c>
      <c r="W632" s="495"/>
      <c r="X632" s="495" t="str">
        <f>IFERROR(__xludf.DUMMYFUNCTION("""COMPUTED_VALUE"""),"https://drive.google.com/open?id=1V9940eh5V62oy5zaLP2wCuFKIZl2bUqu, https://drive.google.com/open?id=1FkA-3QAOYNzbGuJBX2EAe_87ABfC0Oz1")</f>
        <v>https://drive.google.com/open?id=1V9940eh5V62oy5zaLP2wCuFKIZl2bUqu, https://drive.google.com/open?id=1FkA-3QAOYNzbGuJBX2EAe_87ABfC0Oz1</v>
      </c>
      <c r="Y632" s="495" t="str">
        <f>IFERROR(__xludf.DUMMYFUNCTION("""COMPUTED_VALUE"""),"administracion@amaris.cl")</f>
        <v>administracion@amaris.cl</v>
      </c>
      <c r="Z632" s="498">
        <f>IFERROR(__xludf.DUMMYFUNCTION("""COMPUTED_VALUE"""),3998400.0)</f>
        <v>3998400</v>
      </c>
      <c r="AA632" s="495"/>
      <c r="AB632" s="495"/>
      <c r="AC632" s="495"/>
      <c r="AD632" s="495" t="str">
        <f>IFERROR(__xludf.DUMMYFUNCTION("""COMPUTED_VALUE"""),"RC-310_26")</f>
        <v>RC-310_26</v>
      </c>
    </row>
    <row r="633">
      <c r="A633" s="495" t="str">
        <f t="shared" si="1"/>
        <v>RC-011</v>
      </c>
      <c r="B633" s="497">
        <f>IFERROR(__xludf.DUMMYFUNCTION("""COMPUTED_VALUE"""),45952.932488402774)</f>
        <v>45952.93249</v>
      </c>
      <c r="C633" s="495" t="str">
        <f>IFERROR(__xludf.DUMMYFUNCTION("""COMPUTED_VALUE"""),"")</f>
        <v/>
      </c>
      <c r="D633" s="495" t="str">
        <f>IFERROR(__xludf.DUMMYFUNCTION("""COMPUTED_VALUE"""),"Leonor Ríos Morales")</f>
        <v>Leonor Ríos Morales</v>
      </c>
      <c r="E633" s="495"/>
      <c r="F633" s="496" t="str">
        <f>IFERROR(__xludf.DUMMYFUNCTION("""COMPUTED_VALUE"""),"9931 - 2025")</f>
        <v>9931 - 2025</v>
      </c>
      <c r="G633" s="495"/>
      <c r="H633" s="495"/>
      <c r="I633" s="495"/>
      <c r="J633" s="495" t="str">
        <f>IFERROR(__xludf.DUMMYFUNCTION("""COMPUTED_VALUE"""),"Campus San Francisco - CSF")</f>
        <v>Campus San Francisco - CSF</v>
      </c>
      <c r="K633" s="495">
        <f>IFERROR(__xludf.DUMMYFUNCTION("""COMPUTED_VALUE"""),11.0)</f>
        <v>11</v>
      </c>
      <c r="L633" s="495" t="str">
        <f>IFERROR(__xludf.DUMMYFUNCTION("""COMPUTED_VALUE"""),"Flavia  Oyarzun Soto ")</f>
        <v>Flavia  Oyarzun Soto </v>
      </c>
      <c r="M633" s="495" t="str">
        <f>IFERROR(__xludf.DUMMYFUNCTION("""COMPUTED_VALUE"""),"5.503.590-3 ")</f>
        <v>5.503.590-3 </v>
      </c>
      <c r="N633" s="495" t="str">
        <f>IFERROR(__xludf.DUMMYFUNCTION("""COMPUTED_VALUE"""),"Roberto Lassalle supervisor ")</f>
        <v>Roberto Lassalle supervisor </v>
      </c>
      <c r="O633" s="495" t="str">
        <f>IFERROR(__xludf.DUMMYFUNCTION("""COMPUTED_VALUE"""),"Mantenciones")</f>
        <v>Mantenciones</v>
      </c>
      <c r="P633" s="495" t="str">
        <f>IFERROR(__xludf.DUMMYFUNCTION("""COMPUTED_VALUE"""),"Terminaciones Interiores")</f>
        <v>Terminaciones Interiores</v>
      </c>
      <c r="Q633" s="495"/>
      <c r="R633" s="495"/>
      <c r="S633" s="495"/>
      <c r="T633" s="495"/>
      <c r="U633" s="495"/>
      <c r="V633" s="495" t="str">
        <f>IFERROR(__xludf.DUMMYFUNCTION("""COMPUTED_VALUE"""),"Reparaciones varias oficina 5to piso, cerámicos ")</f>
        <v>Reparaciones varias oficina 5to piso, cerámicos </v>
      </c>
      <c r="W633" s="495" t="str">
        <f>IFERROR(__xludf.DUMMYFUNCTION("""COMPUTED_VALUE"""),"No")</f>
        <v>No</v>
      </c>
      <c r="X633" s="495" t="str">
        <f>IFERROR(__xludf.DUMMYFUNCTION("""COMPUTED_VALUE"""),"https://drive.google.com/open?id=1UoZAALBoC-SlxlA3jOXYHR0XMDSo6uD1, https://drive.google.com/open?id=17UXpp5xVaC1HK-GCQ0m9QCq3ZsN5CAAN")</f>
        <v>https://drive.google.com/open?id=1UoZAALBoC-SlxlA3jOXYHR0XMDSo6uD1, https://drive.google.com/open?id=17UXpp5xVaC1HK-GCQ0m9QCq3ZsN5CAAN</v>
      </c>
      <c r="Y633" s="495" t="str">
        <f>IFERROR(__xludf.DUMMYFUNCTION("""COMPUTED_VALUE"""),"roberto.lassalle@gmail.com")</f>
        <v>roberto.lassalle@gmail.com</v>
      </c>
      <c r="Z633" s="495"/>
      <c r="AA633" s="495"/>
      <c r="AB633" s="495"/>
      <c r="AC633" s="495"/>
      <c r="AD633" s="495" t="str">
        <f>IFERROR(__xludf.DUMMYFUNCTION("""COMPUTED_VALUE"""),"RC-011")</f>
        <v>RC-011</v>
      </c>
    </row>
    <row r="634">
      <c r="A634" s="495" t="str">
        <f t="shared" si="1"/>
        <v>RC-008</v>
      </c>
      <c r="B634" s="497">
        <f>IFERROR(__xludf.DUMMYFUNCTION("""COMPUTED_VALUE"""),45952.69906427083)</f>
        <v>45952.69906</v>
      </c>
      <c r="C634" s="495" t="str">
        <f>IFERROR(__xludf.DUMMYFUNCTION("""COMPUTED_VALUE"""),"")</f>
        <v/>
      </c>
      <c r="D634" s="495" t="str">
        <f>IFERROR(__xludf.DUMMYFUNCTION("""COMPUTED_VALUE"""),"Carol Huenchual Chañilao")</f>
        <v>Carol Huenchual Chañilao</v>
      </c>
      <c r="E634" s="495"/>
      <c r="F634" s="496" t="str">
        <f>IFERROR(__xludf.DUMMYFUNCTION("""COMPUTED_VALUE"""),"9916-2025")</f>
        <v>9916-2025</v>
      </c>
      <c r="G634" s="495"/>
      <c r="H634" s="495"/>
      <c r="I634" s="495"/>
      <c r="J634" s="495" t="str">
        <f>IFERROR(__xludf.DUMMYFUNCTION("""COMPUTED_VALUE"""),"Campus San Francisco - CSF")</f>
        <v>Campus San Francisco - CSF</v>
      </c>
      <c r="K634" s="495">
        <f>IFERROR(__xludf.DUMMYFUNCTION("""COMPUTED_VALUE"""),11.0)</f>
        <v>11</v>
      </c>
      <c r="L634" s="495" t="str">
        <f>IFERROR(__xludf.DUMMYFUNCTION("""COMPUTED_VALUE"""),"Kume Ruka SpA.")</f>
        <v>Kume Ruka SpA.</v>
      </c>
      <c r="M634" s="495" t="str">
        <f>IFERROR(__xludf.DUMMYFUNCTION("""COMPUTED_VALUE"""),"77.929.977-5")</f>
        <v>77.929.977-5</v>
      </c>
      <c r="N634" s="495" t="str">
        <f>IFERROR(__xludf.DUMMYFUNCTION("""COMPUTED_VALUE"""),"Hector Zambrano")</f>
        <v>Hector Zambrano</v>
      </c>
      <c r="O634" s="495" t="str">
        <f>IFERROR(__xludf.DUMMYFUNCTION("""COMPUTED_VALUE"""),"Mantenciones")</f>
        <v>Mantenciones</v>
      </c>
      <c r="P634" s="495" t="str">
        <f>IFERROR(__xludf.DUMMYFUNCTION("""COMPUTED_VALUE"""),"Requerimientos Emergentes e Imprevistos")</f>
        <v>Requerimientos Emergentes e Imprevistos</v>
      </c>
      <c r="Q634" s="495"/>
      <c r="R634" s="495"/>
      <c r="S634" s="495"/>
      <c r="T634" s="495"/>
      <c r="U634" s="495"/>
      <c r="V634" s="495" t="str">
        <f>IFERROR(__xludf.DUMMYFUNCTION("""COMPUTED_VALUE"""),"Retiro de cinta antideslizante antigua, instalación de nueva cinta
antideslizante en áreas informadas, Cinta Antideslizante Transparente de
50mm ancho, además tratamiento de piso con pintura incolora
antideslizante para mejorar el coeficiente de fricción "&amp;"del piso que estén en constante humedad.")</f>
        <v>Retiro de cinta antideslizante antigua, instalación de nueva cinta
antideslizante en áreas informadas, Cinta Antideslizante Transparente de
50mm ancho, además tratamiento de piso con pintura incolora
antideslizante para mejorar el coeficiente de fricción del piso que estén en constante humedad.</v>
      </c>
      <c r="W634" s="495"/>
      <c r="X634" s="499" t="str">
        <f>IFERROR(__xludf.DUMMYFUNCTION("""COMPUTED_VALUE"""),"https://drive.google.com/open?id=1hEqIQ7VJmIKxwUmB7GJHDSRYTr0mRE45, https://drive.google.com/open?id=1fwZdRZvgoI9OvDJqqkEKy6Bo-h5wjD8Q, https://drive.google.com/open?id=1iqIwSNJlTQ2S5gNqRIZulUhriqLvl4n8, https://drive.google.com/open?id=1Lz9jcJ_WYwBF6-b45"&amp;"HEVOJL69BFzii3j")</f>
        <v>https://drive.google.com/open?id=1hEqIQ7VJmIKxwUmB7GJHDSRYTr0mRE45, https://drive.google.com/open?id=1fwZdRZvgoI9OvDJqqkEKy6Bo-h5wjD8Q, https://drive.google.com/open?id=1iqIwSNJlTQ2S5gNqRIZulUhriqLvl4n8, https://drive.google.com/open?id=1Lz9jcJ_WYwBF6-b45HEVOJL69BFzii3j</v>
      </c>
      <c r="Y634" s="495" t="str">
        <f>IFERROR(__xludf.DUMMYFUNCTION("""COMPUTED_VALUE"""),"hzambranoleal@gmail.com")</f>
        <v>hzambranoleal@gmail.com</v>
      </c>
      <c r="Z634" s="495"/>
      <c r="AA634" s="495"/>
      <c r="AB634" s="495"/>
      <c r="AC634" s="495"/>
      <c r="AD634" s="495" t="str">
        <f>IFERROR(__xludf.DUMMYFUNCTION("""COMPUTED_VALUE"""),"RC-008")</f>
        <v>RC-008</v>
      </c>
    </row>
    <row r="635">
      <c r="A635" s="495" t="str">
        <f t="shared" si="1"/>
        <v>RC-007</v>
      </c>
      <c r="B635" s="497">
        <f>IFERROR(__xludf.DUMMYFUNCTION("""COMPUTED_VALUE"""),45951.817444722226)</f>
        <v>45951.81744</v>
      </c>
      <c r="C635" s="495" t="str">
        <f>IFERROR(__xludf.DUMMYFUNCTION("""COMPUTED_VALUE"""),"")</f>
        <v/>
      </c>
      <c r="D635" s="495" t="str">
        <f>IFERROR(__xludf.DUMMYFUNCTION("""COMPUTED_VALUE"""),"Cristóbal Correa del Río")</f>
        <v>Cristóbal Correa del Río</v>
      </c>
      <c r="E635" s="495"/>
      <c r="F635" s="496">
        <f>IFERROR(__xludf.DUMMYFUNCTION("""COMPUTED_VALUE"""),9919.0)</f>
        <v>9919</v>
      </c>
      <c r="G635" s="495"/>
      <c r="H635" s="495"/>
      <c r="I635" s="495"/>
      <c r="J635" s="495" t="str">
        <f>IFERROR(__xludf.DUMMYFUNCTION("""COMPUTED_VALUE"""),"Campus Prieto Norte - CHS")</f>
        <v>Campus Prieto Norte - CHS</v>
      </c>
      <c r="K635" s="495" t="str">
        <f>IFERROR(__xludf.DUMMYFUNCTION("""COMPUTED_VALUE"""),"01")</f>
        <v>01</v>
      </c>
      <c r="L635" s="495" t="str">
        <f>IFERROR(__xludf.DUMMYFUNCTION("""COMPUTED_VALUE"""),"Flavia Oyarzun Soto ")</f>
        <v>Flavia Oyarzun Soto </v>
      </c>
      <c r="M635" s="495" t="str">
        <f>IFERROR(__xludf.DUMMYFUNCTION("""COMPUTED_VALUE"""),"5.503.590-3 ")</f>
        <v>5.503.590-3 </v>
      </c>
      <c r="N635" s="495" t="str">
        <f>IFERROR(__xludf.DUMMYFUNCTION("""COMPUTED_VALUE"""),"Roberto Lassalle ")</f>
        <v>Roberto Lassalle </v>
      </c>
      <c r="O635" s="495" t="str">
        <f>IFERROR(__xludf.DUMMYFUNCTION("""COMPUTED_VALUE"""),"Mantenciones")</f>
        <v>Mantenciones</v>
      </c>
      <c r="P635" s="495" t="str">
        <f>IFERROR(__xludf.DUMMYFUNCTION("""COMPUTED_VALUE"""),"Terminaciones Interiores")</f>
        <v>Terminaciones Interiores</v>
      </c>
      <c r="Q635" s="495"/>
      <c r="R635" s="495"/>
      <c r="S635" s="495"/>
      <c r="T635" s="495"/>
      <c r="U635" s="495"/>
      <c r="V635" s="495" t="str">
        <f>IFERROR(__xludf.DUMMYFUNCTION("""COMPUTED_VALUE"""),"Instalacion de espejos ")</f>
        <v>Instalacion de espejos </v>
      </c>
      <c r="W635" s="495" t="str">
        <f>IFERROR(__xludf.DUMMYFUNCTION("""COMPUTED_VALUE"""),"No")</f>
        <v>No</v>
      </c>
      <c r="X635" s="495" t="str">
        <f>IFERROR(__xludf.DUMMYFUNCTION("""COMPUTED_VALUE"""),"https://drive.google.com/open?id=1U9SNBNcmAwkrwXdKn-6ynUvE9spiaug8, https://drive.google.com/open?id=1X4vAfkHZt5fgcse0KSb30zsUJTwF00q2, https://drive.google.com/open?id=1HbKdHF_-5QKERRx-MKhoHrdKK_KWrHxP")</f>
        <v>https://drive.google.com/open?id=1U9SNBNcmAwkrwXdKn-6ynUvE9spiaug8, https://drive.google.com/open?id=1X4vAfkHZt5fgcse0KSb30zsUJTwF00q2, https://drive.google.com/open?id=1HbKdHF_-5QKERRx-MKhoHrdKK_KWrHxP</v>
      </c>
      <c r="Y635" s="495" t="str">
        <f>IFERROR(__xludf.DUMMYFUNCTION("""COMPUTED_VALUE"""),"roberto.lassalle@gmail.com")</f>
        <v>roberto.lassalle@gmail.com</v>
      </c>
      <c r="Z635" s="495"/>
      <c r="AA635" s="495"/>
      <c r="AB635" s="495"/>
      <c r="AC635" s="495"/>
      <c r="AD635" s="495" t="str">
        <f>IFERROR(__xludf.DUMMYFUNCTION("""COMPUTED_VALUE"""),"RC-007")</f>
        <v>RC-007</v>
      </c>
    </row>
    <row r="636">
      <c r="A636" s="495" t="str">
        <f t="shared" si="1"/>
        <v>RC-005</v>
      </c>
      <c r="B636" s="497">
        <f>IFERROR(__xludf.DUMMYFUNCTION("""COMPUTED_VALUE"""),45951.54356042824)</f>
        <v>45951.54356</v>
      </c>
      <c r="C636" s="495" t="str">
        <f>IFERROR(__xludf.DUMMYFUNCTION("""COMPUTED_VALUE"""),"")</f>
        <v/>
      </c>
      <c r="D636" s="495" t="str">
        <f>IFERROR(__xludf.DUMMYFUNCTION("""COMPUTED_VALUE"""),"Mauricio Zurita Aldea")</f>
        <v>Mauricio Zurita Aldea</v>
      </c>
      <c r="E636" s="495"/>
      <c r="F636" s="496" t="str">
        <f>IFERROR(__xludf.DUMMYFUNCTION("""COMPUTED_VALUE"""),"9929-2025")</f>
        <v>9929-2025</v>
      </c>
      <c r="G636" s="495"/>
      <c r="H636" s="495"/>
      <c r="I636" s="495"/>
      <c r="J636" s="495" t="str">
        <f>IFERROR(__xludf.DUMMYFUNCTION("""COMPUTED_VALUE"""),"Campus San Francisco - CSF")</f>
        <v>Campus San Francisco - CSF</v>
      </c>
      <c r="K636" s="495">
        <f>IFERROR(__xludf.DUMMYFUNCTION("""COMPUTED_VALUE"""),11.0)</f>
        <v>11</v>
      </c>
      <c r="L636" s="495" t="str">
        <f>IFERROR(__xludf.DUMMYFUNCTION("""COMPUTED_VALUE"""),"GATICAR SPA")</f>
        <v>GATICAR SPA</v>
      </c>
      <c r="M636" s="495" t="str">
        <f>IFERROR(__xludf.DUMMYFUNCTION("""COMPUTED_VALUE"""),"77.578.487-3")</f>
        <v>77.578.487-3</v>
      </c>
      <c r="N636" s="495" t="str">
        <f>IFERROR(__xludf.DUMMYFUNCTION("""COMPUTED_VALUE"""),"HECTOR GATICA  ")</f>
        <v>HECTOR GATICA  </v>
      </c>
      <c r="O636" s="495" t="str">
        <f>IFERROR(__xludf.DUMMYFUNCTION("""COMPUTED_VALUE"""),"Mantenciones")</f>
        <v>Mantenciones</v>
      </c>
      <c r="P636" s="495" t="str">
        <f>IFERROR(__xludf.DUMMYFUNCTION("""COMPUTED_VALUE"""),"Requerimientos Emergentes e Imprevistos")</f>
        <v>Requerimientos Emergentes e Imprevistos</v>
      </c>
      <c r="Q636" s="495"/>
      <c r="R636" s="495"/>
      <c r="S636" s="495"/>
      <c r="T636" s="495"/>
      <c r="U636" s="495"/>
      <c r="V636" s="495" t="str">
        <f>IFERROR(__xludf.DUMMYFUNCTION("""COMPUTED_VALUE"""),"REPARACION DE MARCOS DE VENTANA, PINTURA Y LIMPIEZA DE PISO")</f>
        <v>REPARACION DE MARCOS DE VENTANA, PINTURA Y LIMPIEZA DE PISO</v>
      </c>
      <c r="W636" s="495"/>
      <c r="X636" s="495" t="str">
        <f>IFERROR(__xludf.DUMMYFUNCTION("""COMPUTED_VALUE"""),"https://drive.google.com/open?id=1N4261TsaCAVs6GZL-uDucxqlXUVHvaVx, https://drive.google.com/open?id=1z_Y9EsMGGr1-AJhD4cTdYRWTUjUHJZX8, https://drive.google.com/open?id=13vdYYC-84nTOoSg-3BTfKqXipUjI16z1, https://drive.google.com/open?id=1bxMjAQg8Tx1UTLnsU"&amp;"S5TZxcgUiGqD-FQ")</f>
        <v>https://drive.google.com/open?id=1N4261TsaCAVs6GZL-uDucxqlXUVHvaVx, https://drive.google.com/open?id=1z_Y9EsMGGr1-AJhD4cTdYRWTUjUHJZX8, https://drive.google.com/open?id=13vdYYC-84nTOoSg-3BTfKqXipUjI16z1, https://drive.google.com/open?id=1bxMjAQg8Tx1UTLnsUS5TZxcgUiGqD-FQ</v>
      </c>
      <c r="Y636" s="495" t="str">
        <f>IFERROR(__xludf.DUMMYFUNCTION("""COMPUTED_VALUE"""),"serviciogaticar@gmail.com")</f>
        <v>serviciogaticar@gmail.com</v>
      </c>
      <c r="Z636" s="495"/>
      <c r="AA636" s="495"/>
      <c r="AB636" s="495"/>
      <c r="AC636" s="495"/>
      <c r="AD636" s="495" t="str">
        <f>IFERROR(__xludf.DUMMYFUNCTION("""COMPUTED_VALUE"""),"RC-005")</f>
        <v>RC-005</v>
      </c>
    </row>
    <row r="637">
      <c r="A637" s="495" t="str">
        <f t="shared" si="1"/>
        <v>RC-315_26</v>
      </c>
      <c r="B637" s="497">
        <f>IFERROR(__xludf.DUMMYFUNCTION("""COMPUTED_VALUE"""),46217.38715055556)</f>
        <v>46217.38715</v>
      </c>
      <c r="C637" s="495" t="str">
        <f>IFERROR(__xludf.DUMMYFUNCTION("""COMPUTED_VALUE"""),"")</f>
        <v/>
      </c>
      <c r="D637" s="495" t="str">
        <f>IFERROR(__xludf.DUMMYFUNCTION("""COMPUTED_VALUE"""),"Juan Ignacio Solís de Ovando")</f>
        <v>Juan Ignacio Solís de Ovando</v>
      </c>
      <c r="E637" s="495"/>
      <c r="F637" s="496">
        <f>IFERROR(__xludf.DUMMYFUNCTION("""COMPUTED_VALUE"""),5552.0)</f>
        <v>5552</v>
      </c>
      <c r="G637" s="495"/>
      <c r="H637" s="495"/>
      <c r="I637" s="495"/>
      <c r="J637" s="495" t="str">
        <f>IFERROR(__xludf.DUMMYFUNCTION("""COMPUTED_VALUE"""),"Campus Dr. Luis Rivas del Canto - CRC")</f>
        <v>Campus Dr. Luis Rivas del Canto - CRC</v>
      </c>
      <c r="K637" s="495">
        <f>IFERROR(__xludf.DUMMYFUNCTION("""COMPUTED_VALUE"""),10.0)</f>
        <v>10</v>
      </c>
      <c r="L637" s="495" t="str">
        <f>IFERROR(__xludf.DUMMYFUNCTION("""COMPUTED_VALUE"""),"Comercializadora Daniela Arriagada EIRL")</f>
        <v>Comercializadora Daniela Arriagada EIRL</v>
      </c>
      <c r="M637" s="495" t="str">
        <f>IFERROR(__xludf.DUMMYFUNCTION("""COMPUTED_VALUE"""),"76.707.485-9")</f>
        <v>76.707.485-9</v>
      </c>
      <c r="N637" s="495" t="str">
        <f>IFERROR(__xludf.DUMMYFUNCTION("""COMPUTED_VALUE"""),"JUAN IGNACIO SOLIS")</f>
        <v>JUAN IGNACIO SOLIS</v>
      </c>
      <c r="O637" s="495" t="str">
        <f>IFERROR(__xludf.DUMMYFUNCTION("""COMPUTED_VALUE"""),"Obras y Especialidades")</f>
        <v>Obras y Especialidades</v>
      </c>
      <c r="P637" s="495"/>
      <c r="Q637" s="495"/>
      <c r="R637" s="495" t="str">
        <f>IFERROR(__xludf.DUMMYFUNCTION("""COMPUTED_VALUE"""),"Nuevo Edificio")</f>
        <v>Nuevo Edificio</v>
      </c>
      <c r="S637" s="495" t="str">
        <f>IFERROR(__xludf.DUMMYFUNCTION("""COMPUTED_VALUE"""),"Estado de Pago - EP")</f>
        <v>Estado de Pago - EP</v>
      </c>
      <c r="T637" s="495">
        <f>IFERROR(__xludf.DUMMYFUNCTION("""COMPUTED_VALUE"""),1.0)</f>
        <v>1</v>
      </c>
      <c r="U637" s="498">
        <f>IFERROR(__xludf.DUMMYFUNCTION("""COMPUTED_VALUE"""),282690.0)</f>
        <v>282690</v>
      </c>
      <c r="V637" s="495" t="str">
        <f>IFERROR(__xludf.DUMMYFUNCTION("""COMPUTED_VALUE"""),"INSTALACION EMPAVONADO")</f>
        <v>INSTALACION EMPAVONADO</v>
      </c>
      <c r="W637" s="495"/>
      <c r="X637" s="499" t="str">
        <f>IFERROR(__xludf.DUMMYFUNCTION("""COMPUTED_VALUE"""),"https://drive.google.com/open?id=1sKTePN0VRq_nODku0-cH1q7jaAZFkIFa")</f>
        <v>https://drive.google.com/open?id=1sKTePN0VRq_nODku0-cH1q7jaAZFkIFa</v>
      </c>
      <c r="Y637" s="495" t="str">
        <f>IFERROR(__xludf.DUMMYFUNCTION("""COMPUTED_VALUE"""),"danielapatriciaarriagadacaba@gmail.com")</f>
        <v>danielapatriciaarriagadacaba@gmail.com</v>
      </c>
      <c r="Z637" s="498">
        <f>IFERROR(__xludf.DUMMYFUNCTION("""COMPUTED_VALUE"""),282690.0)</f>
        <v>282690</v>
      </c>
      <c r="AA637" s="495"/>
      <c r="AB637" s="495"/>
      <c r="AC637" s="495"/>
      <c r="AD637" s="495" t="str">
        <f>IFERROR(__xludf.DUMMYFUNCTION("""COMPUTED_VALUE"""),"RC-315_26")</f>
        <v>RC-315_26</v>
      </c>
    </row>
    <row r="638">
      <c r="A638" s="495" t="str">
        <f t="shared" si="1"/>
        <v>RC-004</v>
      </c>
      <c r="B638" s="497">
        <f>IFERROR(__xludf.DUMMYFUNCTION("""COMPUTED_VALUE"""),45951.3726187037)</f>
        <v>45951.37262</v>
      </c>
      <c r="C638" s="495" t="str">
        <f>IFERROR(__xludf.DUMMYFUNCTION("""COMPUTED_VALUE"""),"")</f>
        <v/>
      </c>
      <c r="D638" s="495" t="str">
        <f>IFERROR(__xludf.DUMMYFUNCTION("""COMPUTED_VALUE"""),"Carol Huenchual Chañilao")</f>
        <v>Carol Huenchual Chañilao</v>
      </c>
      <c r="E638" s="495"/>
      <c r="F638" s="496">
        <f>IFERROR(__xludf.DUMMYFUNCTION("""COMPUTED_VALUE"""),9581.0)</f>
        <v>9581</v>
      </c>
      <c r="G638" s="495"/>
      <c r="H638" s="495"/>
      <c r="I638" s="495"/>
      <c r="J638" s="495" t="str">
        <f>IFERROR(__xludf.DUMMYFUNCTION("""COMPUTED_VALUE"""),"Campus San Francisco - CSF")</f>
        <v>Campus San Francisco - CSF</v>
      </c>
      <c r="K638" s="495">
        <f>IFERROR(__xludf.DUMMYFUNCTION("""COMPUTED_VALUE"""),16.0)</f>
        <v>16</v>
      </c>
      <c r="L638" s="495" t="str">
        <f>IFERROR(__xludf.DUMMYFUNCTION("""COMPUTED_VALUE"""),"Flavia Oyarzún Soto")</f>
        <v>Flavia Oyarzún Soto</v>
      </c>
      <c r="M638" s="495" t="str">
        <f>IFERROR(__xludf.DUMMYFUNCTION("""COMPUTED_VALUE"""),"5.503.590-3 ")</f>
        <v>5.503.590-3 </v>
      </c>
      <c r="N638" s="495" t="str">
        <f>IFERROR(__xludf.DUMMYFUNCTION("""COMPUTED_VALUE"""),"Roberto Lassalle (supervisor)")</f>
        <v>Roberto Lassalle (supervisor)</v>
      </c>
      <c r="O638" s="495" t="str">
        <f>IFERROR(__xludf.DUMMYFUNCTION("""COMPUTED_VALUE"""),"Mantenciones")</f>
        <v>Mantenciones</v>
      </c>
      <c r="P638" s="495" t="str">
        <f>IFERROR(__xludf.DUMMYFUNCTION("""COMPUTED_VALUE"""),"Cerramientos Verticales")</f>
        <v>Cerramientos Verticales</v>
      </c>
      <c r="Q638" s="495"/>
      <c r="R638" s="495"/>
      <c r="S638" s="495"/>
      <c r="T638" s="495"/>
      <c r="U638" s="495"/>
      <c r="V638" s="495" t="str">
        <f>IFERROR(__xludf.DUMMYFUNCTION("""COMPUTED_VALUE"""),"Reparación fachada muro exterior 4to piso ")</f>
        <v>Reparación fachada muro exterior 4to piso </v>
      </c>
      <c r="W638" s="495" t="str">
        <f>IFERROR(__xludf.DUMMYFUNCTION("""COMPUTED_VALUE"""),"No")</f>
        <v>No</v>
      </c>
      <c r="X638" s="495" t="str">
        <f>IFERROR(__xludf.DUMMYFUNCTION("""COMPUTED_VALUE"""),"https://drive.google.com/open?id=16PaxZU7SQpdOEI8_tV_cTpn1ZpM3xuOp, https://drive.google.com/open?id=1b7_R5KYKQJed-Dnl2KK8EUTXSJ1QygJS, https://drive.google.com/open?id=14V_OKGc3ss_5DTx4BedqJg9d3FV18i1V")</f>
        <v>https://drive.google.com/open?id=16PaxZU7SQpdOEI8_tV_cTpn1ZpM3xuOp, https://drive.google.com/open?id=1b7_R5KYKQJed-Dnl2KK8EUTXSJ1QygJS, https://drive.google.com/open?id=14V_OKGc3ss_5DTx4BedqJg9d3FV18i1V</v>
      </c>
      <c r="Y638" s="495" t="str">
        <f>IFERROR(__xludf.DUMMYFUNCTION("""COMPUTED_VALUE"""),"roberto.lassalle@gmail.com")</f>
        <v>roberto.lassalle@gmail.com</v>
      </c>
      <c r="Z638" s="495"/>
      <c r="AA638" s="495"/>
      <c r="AB638" s="495"/>
      <c r="AC638" s="495"/>
      <c r="AD638" s="495" t="str">
        <f>IFERROR(__xludf.DUMMYFUNCTION("""COMPUTED_VALUE"""),"RC-004")</f>
        <v>RC-004</v>
      </c>
    </row>
    <row r="639">
      <c r="A639" s="495" t="str">
        <f t="shared" si="1"/>
        <v>RC-317_26</v>
      </c>
      <c r="B639" s="497">
        <f>IFERROR(__xludf.DUMMYFUNCTION("""COMPUTED_VALUE"""),46217.48816677083)</f>
        <v>46217.48817</v>
      </c>
      <c r="C639" s="495" t="str">
        <f>IFERROR(__xludf.DUMMYFUNCTION("""COMPUTED_VALUE"""),"")</f>
        <v/>
      </c>
      <c r="D639" s="495" t="str">
        <f>IFERROR(__xludf.DUMMYFUNCTION("""COMPUTED_VALUE"""),"Arturo Meza Vega")</f>
        <v>Arturo Meza Vega</v>
      </c>
      <c r="E639" s="495"/>
      <c r="F639" s="496">
        <f>IFERROR(__xludf.DUMMYFUNCTION("""COMPUTED_VALUE"""),2773.0)</f>
        <v>2773</v>
      </c>
      <c r="G639" s="495"/>
      <c r="H639" s="495"/>
      <c r="I639" s="495"/>
      <c r="J639" s="495" t="str">
        <f>IFERROR(__xludf.DUMMYFUNCTION("""COMPUTED_VALUE"""),"Campus San Francisco - CSF")</f>
        <v>Campus San Francisco - CSF</v>
      </c>
      <c r="K639" s="495">
        <f>IFERROR(__xludf.DUMMYFUNCTION("""COMPUTED_VALUE"""),21.0)</f>
        <v>21</v>
      </c>
      <c r="L639" s="495" t="str">
        <f>IFERROR(__xludf.DUMMYFUNCTION("""COMPUTED_VALUE"""),"OPCIONES S.A. Sistemas de información")</f>
        <v>OPCIONES S.A. Sistemas de información</v>
      </c>
      <c r="M639" s="495" t="str">
        <f>IFERROR(__xludf.DUMMYFUNCTION("""COMPUTED_VALUE"""),"96.523.180-3")</f>
        <v>96.523.180-3</v>
      </c>
      <c r="N639" s="495" t="str">
        <f>IFERROR(__xludf.DUMMYFUNCTION("""COMPUTED_VALUE"""),"Guillermo Sierra - account manager")</f>
        <v>Guillermo Sierra - account manager</v>
      </c>
      <c r="O639" s="495" t="str">
        <f>IFERROR(__xludf.DUMMYFUNCTION("""COMPUTED_VALUE"""),"Obras y Especialidades")</f>
        <v>Obras y Especialidades</v>
      </c>
      <c r="P639" s="495"/>
      <c r="Q639" s="495"/>
      <c r="R639" s="495" t="str">
        <f>IFERROR(__xludf.DUMMYFUNCTION("""COMPUTED_VALUE"""),"Especialidades")</f>
        <v>Especialidades</v>
      </c>
      <c r="S639" s="495" t="str">
        <f>IFERROR(__xludf.DUMMYFUNCTION("""COMPUTED_VALUE"""),"Recepción de Obra - RC")</f>
        <v>Recepción de Obra - RC</v>
      </c>
      <c r="T639" s="495"/>
      <c r="U639" s="495"/>
      <c r="V639" s="495" t="str">
        <f>IFERROR(__xludf.DUMMYFUNCTION("""COMPUTED_VALUE"""),"Suministro de 02 switchs de comunicaciones CISCO C9200L 24 bocas")</f>
        <v>Suministro de 02 switchs de comunicaciones CISCO C9200L 24 bocas</v>
      </c>
      <c r="W639" s="495"/>
      <c r="X639" s="499" t="str">
        <f>IFERROR(__xludf.DUMMYFUNCTION("""COMPUTED_VALUE"""),"https://drive.google.com/open?id=1SofI0PRQQZeVoRR9LYsXbkocMcj8emvn")</f>
        <v>https://drive.google.com/open?id=1SofI0PRQQZeVoRR9LYsXbkocMcj8emvn</v>
      </c>
      <c r="Y639" s="495" t="str">
        <f>IFERROR(__xludf.DUMMYFUNCTION("""COMPUTED_VALUE"""),"guillermo.sierra@opciones.cl")</f>
        <v>guillermo.sierra@opciones.cl</v>
      </c>
      <c r="Z639" s="498">
        <f>IFERROR(__xludf.DUMMYFUNCTION("""COMPUTED_VALUE"""),4538444.0)</f>
        <v>4538444</v>
      </c>
      <c r="AA639" s="495"/>
      <c r="AB639" s="495"/>
      <c r="AC639" s="495"/>
      <c r="AD639" s="495" t="str">
        <f>IFERROR(__xludf.DUMMYFUNCTION("""COMPUTED_VALUE"""),"RC-317_26")</f>
        <v>RC-317_26</v>
      </c>
    </row>
    <row r="640">
      <c r="A640" s="495" t="str">
        <f t="shared" si="1"/>
        <v>RC-003</v>
      </c>
      <c r="B640" s="497">
        <f>IFERROR(__xludf.DUMMYFUNCTION("""COMPUTED_VALUE"""),45950.597579293986)</f>
        <v>45950.59758</v>
      </c>
      <c r="C640" s="495" t="str">
        <f>IFERROR(__xludf.DUMMYFUNCTION("""COMPUTED_VALUE"""),"")</f>
        <v/>
      </c>
      <c r="D640" s="495" t="str">
        <f>IFERROR(__xludf.DUMMYFUNCTION("""COMPUTED_VALUE"""),"Mauricio Matus Belmar")</f>
        <v>Mauricio Matus Belmar</v>
      </c>
      <c r="E640" s="495"/>
      <c r="F640" s="496" t="str">
        <f>IFERROR(__xludf.DUMMYFUNCTION("""COMPUTED_VALUE"""),"9844-2025")</f>
        <v>9844-2025</v>
      </c>
      <c r="G640" s="495"/>
      <c r="H640" s="495"/>
      <c r="I640" s="495"/>
      <c r="J640" s="495" t="str">
        <f>IFERROR(__xludf.DUMMYFUNCTION("""COMPUTED_VALUE"""),"Campus San Juan Pablo II - CJP")</f>
        <v>Campus San Juan Pablo II - CJP</v>
      </c>
      <c r="K640" s="495" t="str">
        <f>IFERROR(__xludf.DUMMYFUNCTION("""COMPUTED_VALUE"""),"06")</f>
        <v>06</v>
      </c>
      <c r="L640" s="495" t="str">
        <f>IFERROR(__xludf.DUMMYFUNCTION("""COMPUTED_VALUE"""),"gaticar spa")</f>
        <v>gaticar spa</v>
      </c>
      <c r="M640" s="495" t="str">
        <f>IFERROR(__xludf.DUMMYFUNCTION("""COMPUTED_VALUE"""),"77.578.487-3")</f>
        <v>77.578.487-3</v>
      </c>
      <c r="N640" s="495" t="str">
        <f>IFERROR(__xludf.DUMMYFUNCTION("""COMPUTED_VALUE"""),"Héctor gatica ")</f>
        <v>Héctor gatica </v>
      </c>
      <c r="O640" s="495" t="str">
        <f>IFERROR(__xludf.DUMMYFUNCTION("""COMPUTED_VALUE"""),"Mantenciones")</f>
        <v>Mantenciones</v>
      </c>
      <c r="P640" s="495" t="str">
        <f>IFERROR(__xludf.DUMMYFUNCTION("""COMPUTED_VALUE"""),"Requerimientos Emergentes e Imprevistos")</f>
        <v>Requerimientos Emergentes e Imprevistos</v>
      </c>
      <c r="Q640" s="495"/>
      <c r="R640" s="495"/>
      <c r="S640" s="495"/>
      <c r="T640" s="495"/>
      <c r="U640" s="495"/>
      <c r="V640" s="495" t="str">
        <f>IFERROR(__xludf.DUMMYFUNCTION("""COMPUTED_VALUE"""),"Detección y reparación de fuga")</f>
        <v>Detección y reparación de fuga</v>
      </c>
      <c r="W640" s="495"/>
      <c r="X640" s="495" t="str">
        <f>IFERROR(__xludf.DUMMYFUNCTION("""COMPUTED_VALUE"""),"https://drive.google.com/open?id=1f0pZ7sxMre0aXLWYWRiiJduxErCedeES, https://drive.google.com/open?id=1uQJ50kJ7P16Ll1d03_laSf85Ornoyw9o, https://drive.google.com/open?id=18oC5O5tSeLJ4bg9aWcvh4KDlyER0W2_G, https://drive.google.com/open?id=1-8df8Wv8lF9oLKDh5"&amp;"T_wg2xKQYWopkdV")</f>
        <v>https://drive.google.com/open?id=1f0pZ7sxMre0aXLWYWRiiJduxErCedeES, https://drive.google.com/open?id=1uQJ50kJ7P16Ll1d03_laSf85Ornoyw9o, https://drive.google.com/open?id=18oC5O5tSeLJ4bg9aWcvh4KDlyER0W2_G, https://drive.google.com/open?id=1-8df8Wv8lF9oLKDh5T_wg2xKQYWopkdV</v>
      </c>
      <c r="Y640" s="495" t="str">
        <f>IFERROR(__xludf.DUMMYFUNCTION("""COMPUTED_VALUE"""),"serviciogaticar@gmail.com")</f>
        <v>serviciogaticar@gmail.com</v>
      </c>
      <c r="Z640" s="495"/>
      <c r="AA640" s="495"/>
      <c r="AB640" s="495"/>
      <c r="AC640" s="495"/>
      <c r="AD640" s="495" t="str">
        <f>IFERROR(__xludf.DUMMYFUNCTION("""COMPUTED_VALUE"""),"RC-003")</f>
        <v>RC-003</v>
      </c>
    </row>
    <row r="641">
      <c r="A641" s="495" t="str">
        <f t="shared" si="1"/>
        <v>RC-046</v>
      </c>
      <c r="B641" s="497">
        <f>IFERROR(__xludf.DUMMYFUNCTION("""COMPUTED_VALUE"""),45945.813854409724)</f>
        <v>45945.81385</v>
      </c>
      <c r="C641" s="495" t="str">
        <f>IFERROR(__xludf.DUMMYFUNCTION("""COMPUTED_VALUE"""),"")</f>
        <v/>
      </c>
      <c r="D641" s="495" t="str">
        <f>IFERROR(__xludf.DUMMYFUNCTION("""COMPUTED_VALUE"""),"Carol Huenchual Chañilao")</f>
        <v>Carol Huenchual Chañilao</v>
      </c>
      <c r="E641" s="495"/>
      <c r="F641" s="496">
        <f>IFERROR(__xludf.DUMMYFUNCTION("""COMPUTED_VALUE"""),9583.0)</f>
        <v>9583</v>
      </c>
      <c r="G641" s="495"/>
      <c r="H641" s="495"/>
      <c r="I641" s="495"/>
      <c r="J641" s="495" t="str">
        <f>IFERROR(__xludf.DUMMYFUNCTION("""COMPUTED_VALUE"""),"Campus Monseñor Alejandro Menchaca Lira - CML")</f>
        <v>Campus Monseñor Alejandro Menchaca Lira - CML</v>
      </c>
      <c r="K641" s="495" t="str">
        <f>IFERROR(__xludf.DUMMYFUNCTION("""COMPUTED_VALUE"""),"03")</f>
        <v>03</v>
      </c>
      <c r="L641" s="495" t="str">
        <f>IFERROR(__xludf.DUMMYFUNCTION("""COMPUTED_VALUE"""),"Flavia Oyarzun Soto")</f>
        <v>Flavia Oyarzun Soto</v>
      </c>
      <c r="M641" s="495" t="str">
        <f>IFERROR(__xludf.DUMMYFUNCTION("""COMPUTED_VALUE"""),"5.503.590-3 ")</f>
        <v>5.503.590-3 </v>
      </c>
      <c r="N641" s="495" t="str">
        <f>IFERROR(__xludf.DUMMYFUNCTION("""COMPUTED_VALUE"""),"Roberto Lassalle supervisor")</f>
        <v>Roberto Lassalle supervisor</v>
      </c>
      <c r="O641" s="495" t="str">
        <f>IFERROR(__xludf.DUMMYFUNCTION("""COMPUTED_VALUE"""),"Mantenciones")</f>
        <v>Mantenciones</v>
      </c>
      <c r="P641" s="495" t="str">
        <f>IFERROR(__xludf.DUMMYFUNCTION("""COMPUTED_VALUE"""),"Cubiertas")</f>
        <v>Cubiertas</v>
      </c>
      <c r="Q641" s="495"/>
      <c r="R641" s="495"/>
      <c r="S641" s="495"/>
      <c r="T641" s="495"/>
      <c r="U641" s="495"/>
      <c r="V641" s="495" t="str">
        <f>IFERROR(__xludf.DUMMYFUNCTION("""COMPUTED_VALUE"""),"Cambio de policarbonato en cubierta edificio academia de artes musicales ")</f>
        <v>Cambio de policarbonato en cubierta edificio academia de artes musicales </v>
      </c>
      <c r="W641" s="495" t="str">
        <f>IFERROR(__xludf.DUMMYFUNCTION("""COMPUTED_VALUE"""),"No Aplica ")</f>
        <v>No Aplica </v>
      </c>
      <c r="X641" s="495" t="str">
        <f>IFERROR(__xludf.DUMMYFUNCTION("""COMPUTED_VALUE"""),"https://drive.google.com/open?id=1uhr6PUfeHdxjZZP5ry-S2oLVUXq1-VPY, https://drive.google.com/open?id=1GtUPV012AJeibTfT8c9oBSDweYX7Mpgu, https://drive.google.com/open?id=1gK8u5oxDLLj521bOcRLtcbYKG5pNopUo")</f>
        <v>https://drive.google.com/open?id=1uhr6PUfeHdxjZZP5ry-S2oLVUXq1-VPY, https://drive.google.com/open?id=1GtUPV012AJeibTfT8c9oBSDweYX7Mpgu, https://drive.google.com/open?id=1gK8u5oxDLLj521bOcRLtcbYKG5pNopUo</v>
      </c>
      <c r="Y641" s="495" t="str">
        <f>IFERROR(__xludf.DUMMYFUNCTION("""COMPUTED_VALUE"""),"roberto.lassalle@gmail.com")</f>
        <v>roberto.lassalle@gmail.com</v>
      </c>
      <c r="Z641" s="495"/>
      <c r="AA641" s="495"/>
      <c r="AB641" s="495"/>
      <c r="AC641" s="495"/>
      <c r="AD641" s="495" t="str">
        <f>IFERROR(__xludf.DUMMYFUNCTION("""COMPUTED_VALUE"""),"RC-046")</f>
        <v>RC-046</v>
      </c>
    </row>
    <row r="642">
      <c r="A642" s="495" t="str">
        <f t="shared" si="1"/>
        <v>RC-320_26</v>
      </c>
      <c r="B642" s="497">
        <f>IFERROR(__xludf.DUMMYFUNCTION("""COMPUTED_VALUE"""),46218.420611724534)</f>
        <v>46218.42061</v>
      </c>
      <c r="C642" s="495" t="str">
        <f>IFERROR(__xludf.DUMMYFUNCTION("""COMPUTED_VALUE"""),"")</f>
        <v/>
      </c>
      <c r="D642" s="495" t="str">
        <f>IFERROR(__xludf.DUMMYFUNCTION("""COMPUTED_VALUE"""),"Carol Huenchual Chañilao")</f>
        <v>Carol Huenchual Chañilao</v>
      </c>
      <c r="E642" s="495"/>
      <c r="F642" s="496" t="str">
        <f>IFERROR(__xludf.DUMMYFUNCTION("""COMPUTED_VALUE"""),"5806-2026")</f>
        <v>5806-2026</v>
      </c>
      <c r="G642" s="495"/>
      <c r="H642" s="495"/>
      <c r="I642" s="495"/>
      <c r="J642" s="495" t="str">
        <f>IFERROR(__xludf.DUMMYFUNCTION("""COMPUTED_VALUE"""),"Campus Monseñor Sergio Contreras Navia - CSC")</f>
        <v>Campus Monseñor Sergio Contreras Navia - CSC</v>
      </c>
      <c r="K642" s="495" t="str">
        <f>IFERROR(__xludf.DUMMYFUNCTION("""COMPUTED_VALUE"""),"01")</f>
        <v>01</v>
      </c>
      <c r="L642" s="495" t="str">
        <f>IFERROR(__xludf.DUMMYFUNCTION("""COMPUTED_VALUE"""),"MR ELECTROCLIMA SPA")</f>
        <v>MR ELECTROCLIMA SPA</v>
      </c>
      <c r="M642" s="495" t="str">
        <f>IFERROR(__xludf.DUMMYFUNCTION("""COMPUTED_VALUE"""),"77.773.634-5")</f>
        <v>77.773.634-5</v>
      </c>
      <c r="N642" s="495" t="str">
        <f>IFERROR(__xludf.DUMMYFUNCTION("""COMPUTED_VALUE"""),"Patricio Manriquez R.")</f>
        <v>Patricio Manriquez R.</v>
      </c>
      <c r="O642" s="495" t="str">
        <f>IFERROR(__xludf.DUMMYFUNCTION("""COMPUTED_VALUE"""),"Operación")</f>
        <v>Operación</v>
      </c>
      <c r="P642" s="495"/>
      <c r="Q642" s="495" t="str">
        <f>IFERROR(__xludf.DUMMYFUNCTION("""COMPUTED_VALUE"""),"Climatización")</f>
        <v>Climatización</v>
      </c>
      <c r="R642" s="495"/>
      <c r="S642" s="495"/>
      <c r="T642" s="495"/>
      <c r="U642" s="495"/>
      <c r="V642" s="495" t="str">
        <f>IFERROR(__xludf.DUMMYFUNCTION("""COMPUTED_VALUE"""),"Mantención anual equipos de climatización de todos los Recintos Incluye: Limpieza y desinfección de equipos, medición de parámetros de refrigeración, eléctricos, etc.")</f>
        <v>Mantención anual equipos de climatización de todos los Recintos Incluye: Limpieza y desinfección de equipos, medición de parámetros de refrigeración, eléctricos, etc.</v>
      </c>
      <c r="W642" s="495" t="str">
        <f>IFERROR(__xludf.DUMMYFUNCTION("""COMPUTED_VALUE"""),"Sin Observaciones.")</f>
        <v>Sin Observaciones.</v>
      </c>
      <c r="X642" s="495" t="str">
        <f>IFERROR(__xludf.DUMMYFUNCTION("""COMPUTED_VALUE"""),"https://drive.google.com/open?id=1C2W-1_AZU-I_IdOEgDjEpblBsnpV4g_B, https://drive.google.com/open?id=10AenQn2Kvbm4EjYz48GdwHEruMFSg-53, https://drive.google.com/open?id=1p087R7xfEE82HZFw0an7IpkIIiFipAem, https://drive.google.com/open?id=1mKp7imi8Ai7eTx2-w"&amp;"-lRZmgnUed7Ephp, https://drive.google.com/open?id=1n6Xo60vkOA3_9v-8JiS6pm9-BtalZ2mt")</f>
        <v>https://drive.google.com/open?id=1C2W-1_AZU-I_IdOEgDjEpblBsnpV4g_B, https://drive.google.com/open?id=10AenQn2Kvbm4EjYz48GdwHEruMFSg-53, https://drive.google.com/open?id=1p087R7xfEE82HZFw0an7IpkIIiFipAem, https://drive.google.com/open?id=1mKp7imi8Ai7eTx2-w-lRZmgnUed7Ephp, https://drive.google.com/open?id=1n6Xo60vkOA3_9v-8JiS6pm9-BtalZ2mt</v>
      </c>
      <c r="Y642" s="495" t="str">
        <f>IFERROR(__xludf.DUMMYFUNCTION("""COMPUTED_VALUE"""),"luismanriquez555@gmail.com")</f>
        <v>luismanriquez555@gmail.com</v>
      </c>
      <c r="Z642" s="498">
        <f>IFERROR(__xludf.DUMMYFUNCTION("""COMPUTED_VALUE"""),4760000.0)</f>
        <v>4760000</v>
      </c>
      <c r="AA642" s="495"/>
      <c r="AB642" s="495"/>
      <c r="AC642" s="495"/>
      <c r="AD642" s="495" t="str">
        <f>IFERROR(__xludf.DUMMYFUNCTION("""COMPUTED_VALUE"""),"RC-320_26")</f>
        <v>RC-320_26</v>
      </c>
    </row>
    <row r="643">
      <c r="A643" s="495" t="str">
        <f t="shared" si="1"/>
        <v>RC-321_26</v>
      </c>
      <c r="B643" s="497">
        <f>IFERROR(__xludf.DUMMYFUNCTION("""COMPUTED_VALUE"""),46218.46324324074)</f>
        <v>46218.46324</v>
      </c>
      <c r="C643" s="495" t="str">
        <f>IFERROR(__xludf.DUMMYFUNCTION("""COMPUTED_VALUE"""),"")</f>
        <v/>
      </c>
      <c r="D643" s="495" t="str">
        <f>IFERROR(__xludf.DUMMYFUNCTION("""COMPUTED_VALUE"""),"Cristóbal Correa del Río")</f>
        <v>Cristóbal Correa del Río</v>
      </c>
      <c r="E643" s="495"/>
      <c r="F643" s="496" t="str">
        <f>IFERROR(__xludf.DUMMYFUNCTION("""COMPUTED_VALUE"""),"5643 2026")</f>
        <v>5643 2026</v>
      </c>
      <c r="G643" s="495"/>
      <c r="H643" s="495"/>
      <c r="I643" s="495"/>
      <c r="J643" s="495" t="str">
        <f>IFERROR(__xludf.DUMMYFUNCTION("""COMPUTED_VALUE"""),"Campus San Francisco - CSF")</f>
        <v>Campus San Francisco - CSF</v>
      </c>
      <c r="K643" s="495">
        <f>IFERROR(__xludf.DUMMYFUNCTION("""COMPUTED_VALUE"""),21.0)</f>
        <v>21</v>
      </c>
      <c r="L643" s="495" t="str">
        <f>IFERROR(__xludf.DUMMYFUNCTION("""COMPUTED_VALUE"""),"Construcciones luis exequiel solis catalan e.i.r.l")</f>
        <v>Construcciones luis exequiel solis catalan e.i.r.l</v>
      </c>
      <c r="M643" s="495" t="str">
        <f>IFERROR(__xludf.DUMMYFUNCTION("""COMPUTED_VALUE"""),"77.280.635-3")</f>
        <v>77.280.635-3</v>
      </c>
      <c r="N643" s="495" t="str">
        <f>IFERROR(__xludf.DUMMYFUNCTION("""COMPUTED_VALUE"""),"Luis solis , representante")</f>
        <v>Luis solis , representante</v>
      </c>
      <c r="O643" s="495" t="str">
        <f>IFERROR(__xludf.DUMMYFUNCTION("""COMPUTED_VALUE"""),"Obras y Especialidades")</f>
        <v>Obras y Especialidades</v>
      </c>
      <c r="P643" s="495"/>
      <c r="Q643" s="495"/>
      <c r="R643" s="495" t="str">
        <f>IFERROR(__xludf.DUMMYFUNCTION("""COMPUTED_VALUE"""),"Modificación de Espacio")</f>
        <v>Modificación de Espacio</v>
      </c>
      <c r="S643" s="495" t="str">
        <f>IFERROR(__xludf.DUMMYFUNCTION("""COMPUTED_VALUE"""),"Recepción de Obra - RC")</f>
        <v>Recepción de Obra - RC</v>
      </c>
      <c r="T643" s="495"/>
      <c r="U643" s="495"/>
      <c r="V643" s="495" t="str">
        <f>IFERROR(__xludf.DUMMYFUNCTION("""COMPUTED_VALUE"""),"Estructura para cerrar tuberias bajo gabinetes de incendio , del piso 1 al piso 5")</f>
        <v>Estructura para cerrar tuberias bajo gabinetes de incendio , del piso 1 al piso 5</v>
      </c>
      <c r="W643" s="495" t="str">
        <f>IFERROR(__xludf.DUMMYFUNCTION("""COMPUTED_VALUE"""),"No apoyarse y tratar con cuidado")</f>
        <v>No apoyarse y tratar con cuidado</v>
      </c>
      <c r="X643" s="495" t="str">
        <f>IFERROR(__xludf.DUMMYFUNCTION("""COMPUTED_VALUE"""),"https://drive.google.com/open?id=15RFvUktmCEVNVBGNJM22AZqSDu0Df0np, https://drive.google.com/open?id=1uOLv37gxGfx_AqFL-RKkF_VDjyvrhy6r, https://drive.google.com/open?id=11C34eMQZyjUu_maYmc24oNQ1peKgU8g0, https://drive.google.com/open?id=1NOwTp8pbcdcpJPr85"&amp;"_HzewB_WuQmI5qb")</f>
        <v>https://drive.google.com/open?id=15RFvUktmCEVNVBGNJM22AZqSDu0Df0np, https://drive.google.com/open?id=1uOLv37gxGfx_AqFL-RKkF_VDjyvrhy6r, https://drive.google.com/open?id=11C34eMQZyjUu_maYmc24oNQ1peKgU8g0, https://drive.google.com/open?id=1NOwTp8pbcdcpJPr85_HzewB_WuQmI5qb</v>
      </c>
      <c r="Y643" s="495" t="str">
        <f>IFERROR(__xludf.DUMMYFUNCTION("""COMPUTED_VALUE"""),"luis.exequielsolis@gmail.com")</f>
        <v>luis.exequielsolis@gmail.com</v>
      </c>
      <c r="Z643" s="498">
        <f>IFERROR(__xludf.DUMMYFUNCTION("""COMPUTED_VALUE"""),271320.0)</f>
        <v>271320</v>
      </c>
      <c r="AA643" s="495"/>
      <c r="AB643" s="495"/>
      <c r="AC643" s="495"/>
      <c r="AD643" s="495" t="str">
        <f>IFERROR(__xludf.DUMMYFUNCTION("""COMPUTED_VALUE"""),"RC-321_26")</f>
        <v>RC-321_26</v>
      </c>
    </row>
    <row r="644">
      <c r="A644" s="495" t="str">
        <f t="shared" si="1"/>
        <v>RC-322_26</v>
      </c>
      <c r="B644" s="497">
        <f>IFERROR(__xludf.DUMMYFUNCTION("""COMPUTED_VALUE"""),46218.52280685185)</f>
        <v>46218.52281</v>
      </c>
      <c r="C644" s="495" t="str">
        <f>IFERROR(__xludf.DUMMYFUNCTION("""COMPUTED_VALUE"""),"")</f>
        <v/>
      </c>
      <c r="D644" s="495" t="str">
        <f>IFERROR(__xludf.DUMMYFUNCTION("""COMPUTED_VALUE"""),"Juan Ignacio Solís de Ovando")</f>
        <v>Juan Ignacio Solís de Ovando</v>
      </c>
      <c r="E644" s="495"/>
      <c r="F644" s="496" t="str">
        <f>IFERROR(__xludf.DUMMYFUNCTION("""COMPUTED_VALUE"""),"5901 - 2026")</f>
        <v>5901 - 2026</v>
      </c>
      <c r="G644" s="495"/>
      <c r="H644" s="495"/>
      <c r="I644" s="495"/>
      <c r="J644" s="495" t="str">
        <f>IFERROR(__xludf.DUMMYFUNCTION("""COMPUTED_VALUE"""),"Campus Dr. Luis Rivas del Canto - CRC")</f>
        <v>Campus Dr. Luis Rivas del Canto - CRC</v>
      </c>
      <c r="K644" s="495">
        <f>IFERROR(__xludf.DUMMYFUNCTION("""COMPUTED_VALUE"""),11.0)</f>
        <v>11</v>
      </c>
      <c r="L644" s="495" t="str">
        <f>IFERROR(__xludf.DUMMYFUNCTION("""COMPUTED_VALUE"""),"Sociedad Comercial Espacio Muebles Ltda")</f>
        <v>Sociedad Comercial Espacio Muebles Ltda</v>
      </c>
      <c r="M644" s="495" t="str">
        <f>IFERROR(__xludf.DUMMYFUNCTION("""COMPUTED_VALUE"""),"77.544.225-5")</f>
        <v>77.544.225-5</v>
      </c>
      <c r="N644" s="495" t="str">
        <f>IFERROR(__xludf.DUMMYFUNCTION("""COMPUTED_VALUE"""),"Emilio Aburto - director de Operaciones")</f>
        <v>Emilio Aburto - director de Operaciones</v>
      </c>
      <c r="O644" s="495" t="str">
        <f>IFERROR(__xludf.DUMMYFUNCTION("""COMPUTED_VALUE"""),"Obras y Especialidades")</f>
        <v>Obras y Especialidades</v>
      </c>
      <c r="P644" s="495"/>
      <c r="Q644" s="495"/>
      <c r="R644" s="495" t="str">
        <f>IFERROR(__xludf.DUMMYFUNCTION("""COMPUTED_VALUE"""),"Alhajamiento")</f>
        <v>Alhajamiento</v>
      </c>
      <c r="S644" s="495" t="str">
        <f>IFERROR(__xludf.DUMMYFUNCTION("""COMPUTED_VALUE"""),"Estado de Pago - EP")</f>
        <v>Estado de Pago - EP</v>
      </c>
      <c r="T644" s="495" t="str">
        <f>IFERROR(__xludf.DUMMYFUNCTION("""COMPUTED_VALUE"""),"0 (Anticipo)")</f>
        <v>0 (Anticipo)</v>
      </c>
      <c r="U644" s="498">
        <f>IFERROR(__xludf.DUMMYFUNCTION("""COMPUTED_VALUE"""),2.9420727E7)</f>
        <v>29420727</v>
      </c>
      <c r="V644" s="495" t="str">
        <f>IFERROR(__xludf.DUMMYFUNCTION("""COMPUTED_VALUE"""),"Implementación de mobiliario y equipamiento")</f>
        <v>Implementación de mobiliario y equipamiento</v>
      </c>
      <c r="W644" s="495"/>
      <c r="X644" s="499" t="str">
        <f>IFERROR(__xludf.DUMMYFUNCTION("""COMPUTED_VALUE"""),"https://drive.google.com/open?id=1LXvo8av8LcLmcs_rb810Be4dPf-s4uPO")</f>
        <v>https://drive.google.com/open?id=1LXvo8av8LcLmcs_rb810Be4dPf-s4uPO</v>
      </c>
      <c r="Y644" s="495" t="str">
        <f>IFERROR(__xludf.DUMMYFUNCTION("""COMPUTED_VALUE"""),"contacto.espaciomuebles@gmail.com")</f>
        <v>contacto.espaciomuebles@gmail.com</v>
      </c>
      <c r="Z644" s="498">
        <f>IFERROR(__xludf.DUMMYFUNCTION("""COMPUTED_VALUE"""),9.806909E7)</f>
        <v>98069090</v>
      </c>
      <c r="AA644" s="495"/>
      <c r="AB644" s="495"/>
      <c r="AC644" s="495"/>
      <c r="AD644" s="495" t="str">
        <f>IFERROR(__xludf.DUMMYFUNCTION("""COMPUTED_VALUE"""),"RC-322_26")</f>
        <v>RC-322_26</v>
      </c>
    </row>
    <row r="645">
      <c r="A645" s="495" t="str">
        <f t="shared" si="1"/>
        <v>RC-323_26</v>
      </c>
      <c r="B645" s="497">
        <f>IFERROR(__xludf.DUMMYFUNCTION("""COMPUTED_VALUE"""),46218.622825162034)</f>
        <v>46218.62283</v>
      </c>
      <c r="C645" s="495" t="str">
        <f>IFERROR(__xludf.DUMMYFUNCTION("""COMPUTED_VALUE"""),"")</f>
        <v/>
      </c>
      <c r="D645" s="495" t="str">
        <f>IFERROR(__xludf.DUMMYFUNCTION("""COMPUTED_VALUE"""),"Carol Huenchual Chañilao")</f>
        <v>Carol Huenchual Chañilao</v>
      </c>
      <c r="E645" s="495"/>
      <c r="F645" s="496" t="str">
        <f>IFERROR(__xludf.DUMMYFUNCTION("""COMPUTED_VALUE"""),"5806-2026")</f>
        <v>5806-2026</v>
      </c>
      <c r="G645" s="495"/>
      <c r="H645" s="495"/>
      <c r="I645" s="495"/>
      <c r="J645" s="495" t="str">
        <f>IFERROR(__xludf.DUMMYFUNCTION("""COMPUTED_VALUE"""),"Campus Monseñor Sergio Contreras Navia - CSC")</f>
        <v>Campus Monseñor Sergio Contreras Navia - CSC</v>
      </c>
      <c r="K645" s="495" t="str">
        <f>IFERROR(__xludf.DUMMYFUNCTION("""COMPUTED_VALUE"""),"01")</f>
        <v>01</v>
      </c>
      <c r="L645" s="495" t="str">
        <f>IFERROR(__xludf.DUMMYFUNCTION("""COMPUTED_VALUE"""),"MR ELECTROCLIMA SPA")</f>
        <v>MR ELECTROCLIMA SPA</v>
      </c>
      <c r="M645" s="495" t="str">
        <f>IFERROR(__xludf.DUMMYFUNCTION("""COMPUTED_VALUE"""),"77.773.634-5")</f>
        <v>77.773.634-5</v>
      </c>
      <c r="N645" s="495" t="str">
        <f>IFERROR(__xludf.DUMMYFUNCTION("""COMPUTED_VALUE"""),"Patricio Manriquez")</f>
        <v>Patricio Manriquez</v>
      </c>
      <c r="O645" s="495" t="str">
        <f>IFERROR(__xludf.DUMMYFUNCTION("""COMPUTED_VALUE"""),"Obras y Especialidades")</f>
        <v>Obras y Especialidades</v>
      </c>
      <c r="P645" s="495"/>
      <c r="Q645" s="495"/>
      <c r="R645" s="495" t="str">
        <f>IFERROR(__xludf.DUMMYFUNCTION("""COMPUTED_VALUE"""),"Especialidades")</f>
        <v>Especialidades</v>
      </c>
      <c r="S645" s="495" t="str">
        <f>IFERROR(__xludf.DUMMYFUNCTION("""COMPUTED_VALUE"""),"Estado de Pago - EP")</f>
        <v>Estado de Pago - EP</v>
      </c>
      <c r="T645" s="495">
        <f>IFERROR(__xludf.DUMMYFUNCTION("""COMPUTED_VALUE"""),1.0)</f>
        <v>1</v>
      </c>
      <c r="U645" s="498">
        <f>IFERROR(__xludf.DUMMYFUNCTION("""COMPUTED_VALUE"""),4760000.0)</f>
        <v>4760000</v>
      </c>
      <c r="V645" s="495" t="str">
        <f>IFERROR(__xludf.DUMMYFUNCTION("""COMPUTED_VALUE"""),"Mantenimiento Anual equipos Climatización todos los recintos: Limpieza, desinfección, medición de parámetros refrigeración y eléctricos.")</f>
        <v>Mantenimiento Anual equipos Climatización todos los recintos: Limpieza, desinfección, medición de parámetros refrigeración y eléctricos.</v>
      </c>
      <c r="W645" s="495" t="str">
        <f>IFERROR(__xludf.DUMMYFUNCTION("""COMPUTED_VALUE"""),"Sin Observaciones")</f>
        <v>Sin Observaciones</v>
      </c>
      <c r="X645" s="495" t="str">
        <f>IFERROR(__xludf.DUMMYFUNCTION("""COMPUTED_VALUE"""),"https://drive.google.com/open?id=1H2rPWMBTE0-xlRGQh216EXUBnMWCapxo, https://drive.google.com/open?id=1S4GSKBkCKYXYe9KaL0Lhl0KaQANFVDUV, https://drive.google.com/open?id=1XmEUloPGjV0ePbOiwLH3_sfuLKPWU31M, https://drive.google.com/open?id=1nCRJL9QSXjUIDgfk3"&amp;"3h9lKazOK2KInnd, https://drive.google.com/open?id=1AncBYbxDcgdZshyMUU7cfxNox3UhwXf_")</f>
        <v>https://drive.google.com/open?id=1H2rPWMBTE0-xlRGQh216EXUBnMWCapxo, https://drive.google.com/open?id=1S4GSKBkCKYXYe9KaL0Lhl0KaQANFVDUV, https://drive.google.com/open?id=1XmEUloPGjV0ePbOiwLH3_sfuLKPWU31M, https://drive.google.com/open?id=1nCRJL9QSXjUIDgfk33h9lKazOK2KInnd, https://drive.google.com/open?id=1AncBYbxDcgdZshyMUU7cfxNox3UhwXf_</v>
      </c>
      <c r="Y645" s="495" t="str">
        <f>IFERROR(__xludf.DUMMYFUNCTION("""COMPUTED_VALUE"""),"luismanriquez555@gmail.com")</f>
        <v>luismanriquez555@gmail.com</v>
      </c>
      <c r="Z645" s="498">
        <f>IFERROR(__xludf.DUMMYFUNCTION("""COMPUTED_VALUE"""),4760000.0)</f>
        <v>4760000</v>
      </c>
      <c r="AA645" s="495"/>
      <c r="AB645" s="495"/>
      <c r="AC645" s="495"/>
      <c r="AD645" s="495" t="str">
        <f>IFERROR(__xludf.DUMMYFUNCTION("""COMPUTED_VALUE"""),"RC-323_26")</f>
        <v>RC-323_26</v>
      </c>
    </row>
    <row r="646">
      <c r="A646" s="495" t="str">
        <f t="shared" si="1"/>
        <v>RC-045</v>
      </c>
      <c r="B646" s="497">
        <f>IFERROR(__xludf.DUMMYFUNCTION("""COMPUTED_VALUE"""),45944.73186460648)</f>
        <v>45944.73186</v>
      </c>
      <c r="C646" s="495" t="str">
        <f>IFERROR(__xludf.DUMMYFUNCTION("""COMPUTED_VALUE"""),"")</f>
        <v/>
      </c>
      <c r="D646" s="495" t="str">
        <f>IFERROR(__xludf.DUMMYFUNCTION("""COMPUTED_VALUE"""),"Carol Huenchual Chañilao")</f>
        <v>Carol Huenchual Chañilao</v>
      </c>
      <c r="E646" s="495"/>
      <c r="F646" s="496" t="str">
        <f>IFERROR(__xludf.DUMMYFUNCTION("""COMPUTED_VALUE"""),"9549 - 2025")</f>
        <v>9549 - 2025</v>
      </c>
      <c r="G646" s="495"/>
      <c r="H646" s="495"/>
      <c r="I646" s="495"/>
      <c r="J646" s="495" t="str">
        <f>IFERROR(__xludf.DUMMYFUNCTION("""COMPUTED_VALUE"""),"Campus San Francisco - CSF")</f>
        <v>Campus San Francisco - CSF</v>
      </c>
      <c r="K646" s="495">
        <f>IFERROR(__xludf.DUMMYFUNCTION("""COMPUTED_VALUE"""),13.0)</f>
        <v>13</v>
      </c>
      <c r="L646" s="495" t="str">
        <f>IFERROR(__xludf.DUMMYFUNCTION("""COMPUTED_VALUE"""),"Marcelo Javier Jacobi Siegmund")</f>
        <v>Marcelo Javier Jacobi Siegmund</v>
      </c>
      <c r="M646" s="495" t="str">
        <f>IFERROR(__xludf.DUMMYFUNCTION("""COMPUTED_VALUE"""),"9.087.185-4")</f>
        <v>9.087.185-4</v>
      </c>
      <c r="N646" s="495" t="str">
        <f>IFERROR(__xludf.DUMMYFUNCTION("""COMPUTED_VALUE"""),"Patricio Manriquez Riffo  Jefe de Operaciones")</f>
        <v>Patricio Manriquez Riffo  Jefe de Operaciones</v>
      </c>
      <c r="O646" s="495" t="str">
        <f>IFERROR(__xludf.DUMMYFUNCTION("""COMPUTED_VALUE"""),"Mantenciones")</f>
        <v>Mantenciones</v>
      </c>
      <c r="P646" s="495" t="str">
        <f>IFERROR(__xludf.DUMMYFUNCTION("""COMPUTED_VALUE"""),"Requerimientos Emergentes e Imprevistos")</f>
        <v>Requerimientos Emergentes e Imprevistos</v>
      </c>
      <c r="Q646" s="495"/>
      <c r="R646" s="495"/>
      <c r="S646" s="495"/>
      <c r="T646" s="495"/>
      <c r="U646" s="495"/>
      <c r="V646" s="495" t="str">
        <f>IFERROR(__xludf.DUMMYFUNCTION("""COMPUTED_VALUE"""),"Reparación de conexiones eléctricas que alimentan la Tarjeta Electrónica de un equipo de aire acondicionado tipo MultiSplit que alimenta 4 unidades evaporadoras repartidas en 4 oficnas del 5° piso de dicho edificio.")</f>
        <v>Reparación de conexiones eléctricas que alimentan la Tarjeta Electrónica de un equipo de aire acondicionado tipo MultiSplit que alimenta 4 unidades evaporadoras repartidas en 4 oficnas del 5° piso de dicho edificio.</v>
      </c>
      <c r="W646" s="495" t="str">
        <f>IFERROR(__xludf.DUMMYFUNCTION("""COMPUTED_VALUE"""),"Funcionamiento óptimo, no requiere cuidados especiales. Se sugiere seguimiento.")</f>
        <v>Funcionamiento óptimo, no requiere cuidados especiales. Se sugiere seguimiento.</v>
      </c>
      <c r="X646" s="495" t="str">
        <f>IFERROR(__xludf.DUMMYFUNCTION("""COMPUTED_VALUE"""),"https://drive.google.com/open?id=1lItM698JDNMs5-Dlz159ZqwrHHFH7va6, https://drive.google.com/open?id=1vYAha0qFf_yX0ZZgsDGK5X9NYW6zkXIU")</f>
        <v>https://drive.google.com/open?id=1lItM698JDNMs5-Dlz159ZqwrHHFH7va6, https://drive.google.com/open?id=1vYAha0qFf_yX0ZZgsDGK5X9NYW6zkXIU</v>
      </c>
      <c r="Y646" s="495" t="str">
        <f>IFERROR(__xludf.DUMMYFUNCTION("""COMPUTED_VALUE"""),"mjacobisiegmund@gmail.com")</f>
        <v>mjacobisiegmund@gmail.com</v>
      </c>
      <c r="Z646" s="495"/>
      <c r="AA646" s="495"/>
      <c r="AB646" s="495"/>
      <c r="AC646" s="495"/>
      <c r="AD646" s="495" t="str">
        <f>IFERROR(__xludf.DUMMYFUNCTION("""COMPUTED_VALUE"""),"RC-045")</f>
        <v>RC-045</v>
      </c>
    </row>
    <row r="647">
      <c r="A647" s="495" t="str">
        <f t="shared" si="1"/>
        <v>RC-044</v>
      </c>
      <c r="B647" s="497">
        <f>IFERROR(__xludf.DUMMYFUNCTION("""COMPUTED_VALUE"""),45944.42892160879)</f>
        <v>45944.42892</v>
      </c>
      <c r="C647" s="495" t="str">
        <f>IFERROR(__xludf.DUMMYFUNCTION("""COMPUTED_VALUE"""),"")</f>
        <v/>
      </c>
      <c r="D647" s="495" t="str">
        <f>IFERROR(__xludf.DUMMYFUNCTION("""COMPUTED_VALUE"""),"Mauricio Matus Belmar")</f>
        <v>Mauricio Matus Belmar</v>
      </c>
      <c r="E647" s="495"/>
      <c r="F647" s="496">
        <f>IFERROR(__xludf.DUMMYFUNCTION("""COMPUTED_VALUE"""),9239.0)</f>
        <v>9239</v>
      </c>
      <c r="G647" s="495"/>
      <c r="H647" s="495"/>
      <c r="I647" s="495"/>
      <c r="J647" s="495" t="str">
        <f>IFERROR(__xludf.DUMMYFUNCTION("""COMPUTED_VALUE"""),"Campus Pillanlelbun - CPL")</f>
        <v>Campus Pillanlelbun - CPL</v>
      </c>
      <c r="K647" s="495" t="str">
        <f>IFERROR(__xludf.DUMMYFUNCTION("""COMPUTED_VALUE"""),"Sin número")</f>
        <v>Sin número</v>
      </c>
      <c r="L647" s="495" t="str">
        <f>IFERROR(__xludf.DUMMYFUNCTION("""COMPUTED_VALUE"""),"Flavia Oyarzun Soto")</f>
        <v>Flavia Oyarzun Soto</v>
      </c>
      <c r="M647" s="495" t="str">
        <f>IFERROR(__xludf.DUMMYFUNCTION("""COMPUTED_VALUE"""),"5.503.590-3")</f>
        <v>5.503.590-3</v>
      </c>
      <c r="N647" s="495" t="str">
        <f>IFERROR(__xludf.DUMMYFUNCTION("""COMPUTED_VALUE"""),"Roberto Lassalle ")</f>
        <v>Roberto Lassalle </v>
      </c>
      <c r="O647" s="495" t="str">
        <f>IFERROR(__xludf.DUMMYFUNCTION("""COMPUTED_VALUE"""),"Mantenciones")</f>
        <v>Mantenciones</v>
      </c>
      <c r="P647" s="495" t="str">
        <f>IFERROR(__xludf.DUMMYFUNCTION("""COMPUTED_VALUE"""),"Terminaciones Interiores")</f>
        <v>Terminaciones Interiores</v>
      </c>
      <c r="Q647" s="495"/>
      <c r="R647" s="495"/>
      <c r="S647" s="495"/>
      <c r="T647" s="495"/>
      <c r="U647" s="495"/>
      <c r="V647" s="495" t="str">
        <f>IFERROR(__xludf.DUMMYFUNCTION("""COMPUTED_VALUE"""),"Fabricación de estructuras metálicas, y fabricación de repisas en bodega agroquimico. ")</f>
        <v>Fabricación de estructuras metálicas, y fabricación de repisas en bodega agroquimico. </v>
      </c>
      <c r="W647" s="495" t="str">
        <f>IFERROR(__xludf.DUMMYFUNCTION("""COMPUTED_VALUE"""),"No aplica")</f>
        <v>No aplica</v>
      </c>
      <c r="X647" s="499" t="str">
        <f>IFERROR(__xludf.DUMMYFUNCTION("""COMPUTED_VALUE"""),"https://drive.google.com/open?id=1osANou3qsPo9Oc83fccnZ70-v4TtFX9Z, https://drive.google.com/open?id=1QdoB-heJGyV5uvDncRh1PcgjiAeF18Y4, https://drive.google.com/open?id=1VqObRmKzqexisUU3-hUrerGiux5ssyg4, https://drive.google.com/open?id=1cK2luqjz33LWoIiO7"&amp;"3tkGdilD1S8soO1, https://drive.google.com/open?id=1jD25-L3RMlMiDNkiksoJMm0X0Cy1YTd0")</f>
        <v>https://drive.google.com/open?id=1osANou3qsPo9Oc83fccnZ70-v4TtFX9Z, https://drive.google.com/open?id=1QdoB-heJGyV5uvDncRh1PcgjiAeF18Y4, https://drive.google.com/open?id=1VqObRmKzqexisUU3-hUrerGiux5ssyg4, https://drive.google.com/open?id=1cK2luqjz33LWoIiO73tkGdilD1S8soO1, https://drive.google.com/open?id=1jD25-L3RMlMiDNkiksoJMm0X0Cy1YTd0</v>
      </c>
      <c r="Y647" s="495" t="str">
        <f>IFERROR(__xludf.DUMMYFUNCTION("""COMPUTED_VALUE"""),"roberto.lassalle@gmail.com")</f>
        <v>roberto.lassalle@gmail.com</v>
      </c>
      <c r="Z647" s="495"/>
      <c r="AA647" s="495"/>
      <c r="AB647" s="495"/>
      <c r="AC647" s="495"/>
      <c r="AD647" s="495" t="str">
        <f>IFERROR(__xludf.DUMMYFUNCTION("""COMPUTED_VALUE"""),"RC-044")</f>
        <v>RC-044</v>
      </c>
    </row>
    <row r="648">
      <c r="A648" s="495" t="str">
        <f t="shared" si="1"/>
        <v>RC-326_26</v>
      </c>
      <c r="B648" s="497">
        <f>IFERROR(__xludf.DUMMYFUNCTION("""COMPUTED_VALUE"""),46224.52891170139)</f>
        <v>46224.52891</v>
      </c>
      <c r="C648" s="495" t="str">
        <f>IFERROR(__xludf.DUMMYFUNCTION("""COMPUTED_VALUE"""),"")</f>
        <v/>
      </c>
      <c r="D648" s="495" t="str">
        <f>IFERROR(__xludf.DUMMYFUNCTION("""COMPUTED_VALUE"""),"Leonor Ríos Morales")</f>
        <v>Leonor Ríos Morales</v>
      </c>
      <c r="E648" s="495"/>
      <c r="F648" s="496">
        <f>IFERROR(__xludf.DUMMYFUNCTION("""COMPUTED_VALUE"""),5639.0)</f>
        <v>5639</v>
      </c>
      <c r="G648" s="495"/>
      <c r="H648" s="495"/>
      <c r="I648" s="495"/>
      <c r="J648" s="495" t="str">
        <f>IFERROR(__xludf.DUMMYFUNCTION("""COMPUTED_VALUE"""),"Campus Dr. Luis Rivas del Canto - CRC")</f>
        <v>Campus Dr. Luis Rivas del Canto - CRC</v>
      </c>
      <c r="K648" s="495" t="str">
        <f>IFERROR(__xludf.DUMMYFUNCTION("""COMPUTED_VALUE"""),"01")</f>
        <v>01</v>
      </c>
      <c r="L648" s="495" t="str">
        <f>IFERROR(__xludf.DUMMYFUNCTION("""COMPUTED_VALUE"""),"comercializadora Daniela Arriagada EIRL")</f>
        <v>comercializadora Daniela Arriagada EIRL</v>
      </c>
      <c r="M648" s="495" t="str">
        <f>IFERROR(__xludf.DUMMYFUNCTION("""COMPUTED_VALUE"""),"76.707.485-9")</f>
        <v>76.707.485-9</v>
      </c>
      <c r="N648" s="495" t="str">
        <f>IFERROR(__xludf.DUMMYFUNCTION("""COMPUTED_VALUE"""),"Leonor Rios")</f>
        <v>Leonor Rios</v>
      </c>
      <c r="O648" s="495" t="str">
        <f>IFERROR(__xludf.DUMMYFUNCTION("""COMPUTED_VALUE"""),"Obras y Especialidades")</f>
        <v>Obras y Especialidades</v>
      </c>
      <c r="P648" s="495"/>
      <c r="Q648" s="495"/>
      <c r="R648" s="495" t="str">
        <f>IFERROR(__xludf.DUMMYFUNCTION("""COMPUTED_VALUE"""),"Especialidades")</f>
        <v>Especialidades</v>
      </c>
      <c r="S648" s="495" t="str">
        <f>IFERROR(__xludf.DUMMYFUNCTION("""COMPUTED_VALUE"""),"Estado de Pago - EP")</f>
        <v>Estado de Pago - EP</v>
      </c>
      <c r="T648" s="495">
        <f>IFERROR(__xludf.DUMMYFUNCTION("""COMPUTED_VALUE"""),1.0)</f>
        <v>1</v>
      </c>
      <c r="U648" s="498">
        <f>IFERROR(__xludf.DUMMYFUNCTION("""COMPUTED_VALUE"""),45000.0)</f>
        <v>45000</v>
      </c>
      <c r="V648" s="495" t="str">
        <f>IFERROR(__xludf.DUMMYFUNCTION("""COMPUTED_VALUE"""),"señaletica exterior")</f>
        <v>señaletica exterior</v>
      </c>
      <c r="W648" s="495"/>
      <c r="X648" s="499" t="str">
        <f>IFERROR(__xludf.DUMMYFUNCTION("""COMPUTED_VALUE"""),"https://drive.google.com/open?id=1gnUajcafD3wcj2hvwZn9LEpvuTP_ZkjZ")</f>
        <v>https://drive.google.com/open?id=1gnUajcafD3wcj2hvwZn9LEpvuTP_ZkjZ</v>
      </c>
      <c r="Y648" s="495" t="str">
        <f>IFERROR(__xludf.DUMMYFUNCTION("""COMPUTED_VALUE"""),"danielapatriciaarriagadacaba@gmail.com")</f>
        <v>danielapatriciaarriagadacaba@gmail.com</v>
      </c>
      <c r="Z648" s="498">
        <f>IFERROR(__xludf.DUMMYFUNCTION("""COMPUTED_VALUE"""),45000.0)</f>
        <v>45000</v>
      </c>
      <c r="AA648" s="495"/>
      <c r="AB648" s="495"/>
      <c r="AC648" s="495"/>
      <c r="AD648" s="495" t="str">
        <f>IFERROR(__xludf.DUMMYFUNCTION("""COMPUTED_VALUE"""),"RC-326_26")</f>
        <v>RC-326_26</v>
      </c>
    </row>
    <row r="649">
      <c r="A649" s="495" t="str">
        <f t="shared" si="1"/>
        <v>RC-041</v>
      </c>
      <c r="B649" s="497">
        <f>IFERROR(__xludf.DUMMYFUNCTION("""COMPUTED_VALUE"""),45941.8880494676)</f>
        <v>45941.88805</v>
      </c>
      <c r="C649" s="495" t="str">
        <f>IFERROR(__xludf.DUMMYFUNCTION("""COMPUTED_VALUE"""),"")</f>
        <v/>
      </c>
      <c r="D649" s="495" t="str">
        <f>IFERROR(__xludf.DUMMYFUNCTION("""COMPUTED_VALUE"""),"Carol Huenchual Chañilao")</f>
        <v>Carol Huenchual Chañilao</v>
      </c>
      <c r="E649" s="495"/>
      <c r="F649" s="496" t="str">
        <f>IFERROR(__xludf.DUMMYFUNCTION("""COMPUTED_VALUE"""),"9248-2025")</f>
        <v>9248-2025</v>
      </c>
      <c r="G649" s="495"/>
      <c r="H649" s="495"/>
      <c r="I649" s="495"/>
      <c r="J649" s="495" t="str">
        <f>IFERROR(__xludf.DUMMYFUNCTION("""COMPUTED_VALUE"""),"Campus San Francisco - CSF")</f>
        <v>Campus San Francisco - CSF</v>
      </c>
      <c r="K649" s="495" t="str">
        <f>IFERROR(__xludf.DUMMYFUNCTION("""COMPUTED_VALUE"""),"08")</f>
        <v>08</v>
      </c>
      <c r="L649" s="495" t="str">
        <f>IFERROR(__xludf.DUMMYFUNCTION("""COMPUTED_VALUE"""),"Kume Ruka SpA")</f>
        <v>Kume Ruka SpA</v>
      </c>
      <c r="M649" s="495" t="str">
        <f>IFERROR(__xludf.DUMMYFUNCTION("""COMPUTED_VALUE"""),"77.929.977-5")</f>
        <v>77.929.977-5</v>
      </c>
      <c r="N649" s="495" t="str">
        <f>IFERROR(__xludf.DUMMYFUNCTION("""COMPUTED_VALUE"""),"Hector Zambrano - Supervisor")</f>
        <v>Hector Zambrano - Supervisor</v>
      </c>
      <c r="O649" s="495" t="str">
        <f>IFERROR(__xludf.DUMMYFUNCTION("""COMPUTED_VALUE"""),"Mantenciones")</f>
        <v>Mantenciones</v>
      </c>
      <c r="P649" s="495" t="str">
        <f>IFERROR(__xludf.DUMMYFUNCTION("""COMPUTED_VALUE"""),"Requerimientos Emergentes e Imprevistos")</f>
        <v>Requerimientos Emergentes e Imprevistos</v>
      </c>
      <c r="Q649" s="495"/>
      <c r="R649" s="495"/>
      <c r="S649" s="495"/>
      <c r="T649" s="495"/>
      <c r="U649" s="495"/>
      <c r="V649" s="495" t="str">
        <f>IFERROR(__xludf.DUMMYFUNCTION("""COMPUTED_VALUE"""),"Fabricación de mueble a medida e instalación en oficina CSF08_103")</f>
        <v>Fabricación de mueble a medida e instalación en oficina CSF08_103</v>
      </c>
      <c r="W649" s="495"/>
      <c r="X649" s="499" t="str">
        <f>IFERROR(__xludf.DUMMYFUNCTION("""COMPUTED_VALUE"""),"https://drive.google.com/open?id=1phav2ZczOqoFv-atJaIlIFhV2FWqE-Os")</f>
        <v>https://drive.google.com/open?id=1phav2ZczOqoFv-atJaIlIFhV2FWqE-Os</v>
      </c>
      <c r="Y649" s="495" t="str">
        <f>IFERROR(__xludf.DUMMYFUNCTION("""COMPUTED_VALUE"""),"Hzambranoleal@gmail.com")</f>
        <v>Hzambranoleal@gmail.com</v>
      </c>
      <c r="Z649" s="495"/>
      <c r="AA649" s="495"/>
      <c r="AB649" s="495"/>
      <c r="AC649" s="495"/>
      <c r="AD649" s="495" t="str">
        <f>IFERROR(__xludf.DUMMYFUNCTION("""COMPUTED_VALUE"""),"RC-041")</f>
        <v>RC-041</v>
      </c>
    </row>
    <row r="650">
      <c r="A650" s="495" t="str">
        <f t="shared" si="1"/>
        <v>RC-040</v>
      </c>
      <c r="B650" s="497">
        <f>IFERROR(__xludf.DUMMYFUNCTION("""COMPUTED_VALUE"""),45939.6754481713)</f>
        <v>45939.67545</v>
      </c>
      <c r="C650" s="495" t="str">
        <f>IFERROR(__xludf.DUMMYFUNCTION("""COMPUTED_VALUE"""),"")</f>
        <v/>
      </c>
      <c r="D650" s="495" t="str">
        <f>IFERROR(__xludf.DUMMYFUNCTION("""COMPUTED_VALUE"""),"Mauricio Zurita Aldea")</f>
        <v>Mauricio Zurita Aldea</v>
      </c>
      <c r="E650" s="495"/>
      <c r="F650" s="496">
        <f>IFERROR(__xludf.DUMMYFUNCTION("""COMPUTED_VALUE"""),9229.0)</f>
        <v>9229</v>
      </c>
      <c r="G650" s="495"/>
      <c r="H650" s="495"/>
      <c r="I650" s="495"/>
      <c r="J650" s="495" t="str">
        <f>IFERROR(__xludf.DUMMYFUNCTION("""COMPUTED_VALUE"""),"Campus San Juan Pablo II - CJP")</f>
        <v>Campus San Juan Pablo II - CJP</v>
      </c>
      <c r="K650" s="495" t="str">
        <f>IFERROR(__xludf.DUMMYFUNCTION("""COMPUTED_VALUE"""),"Sin número")</f>
        <v>Sin número</v>
      </c>
      <c r="L650" s="495" t="str">
        <f>IFERROR(__xludf.DUMMYFUNCTION("""COMPUTED_VALUE"""),"MR Electroclima SPA")</f>
        <v>MR Electroclima SPA</v>
      </c>
      <c r="M650" s="495" t="str">
        <f>IFERROR(__xludf.DUMMYFUNCTION("""COMPUTED_VALUE"""),"77773634-5")</f>
        <v>77773634-5</v>
      </c>
      <c r="N650" s="495" t="str">
        <f>IFERROR(__xludf.DUMMYFUNCTION("""COMPUTED_VALUE"""),"Luis Manriquez Riffo Supervisor")</f>
        <v>Luis Manriquez Riffo Supervisor</v>
      </c>
      <c r="O650" s="495" t="str">
        <f>IFERROR(__xludf.DUMMYFUNCTION("""COMPUTED_VALUE"""),"Mantenciones")</f>
        <v>Mantenciones</v>
      </c>
      <c r="P650" s="495" t="str">
        <f>IFERROR(__xludf.DUMMYFUNCTION("""COMPUTED_VALUE"""),"Instalaciones Eléctricas")</f>
        <v>Instalaciones Eléctricas</v>
      </c>
      <c r="Q650" s="495"/>
      <c r="R650" s="495"/>
      <c r="S650" s="495"/>
      <c r="T650" s="495"/>
      <c r="U650" s="495"/>
      <c r="V650" s="495" t="str">
        <f>IFERROR(__xludf.DUMMYFUNCTION("""COMPUTED_VALUE"""),"Reemplazo de iluminación Pasillo casino primer piso, por iluminación Led.")</f>
        <v>Reemplazo de iluminación Pasillo casino primer piso, por iluminación Led.</v>
      </c>
      <c r="W650" s="495" t="str">
        <f>IFERROR(__xludf.DUMMYFUNCTION("""COMPUTED_VALUE"""),"Mantener iluminación apagada en caso de no usar, interruptor se encuentra en zona poco visible por ende personal no apaga iluminación.")</f>
        <v>Mantener iluminación apagada en caso de no usar, interruptor se encuentra en zona poco visible por ende personal no apaga iluminación.</v>
      </c>
      <c r="X650" s="495" t="str">
        <f>IFERROR(__xludf.DUMMYFUNCTION("""COMPUTED_VALUE"""),"https://drive.google.com/open?id=1KaMbAf71b3ZLqvxL_jThdobuGDayGONc, https://drive.google.com/open?id=1y_FtbRPnr84ZRF99dOq9hvU5QEP5zUca, https://drive.google.com/open?id=138V64rch2Jaw0W7XcH9qEZ1MV2HOHkRz, https://drive.google.com/open?id=1nrbVxritSdU6O3TEG"&amp;"3VNUnB08Gpgb4CS")</f>
        <v>https://drive.google.com/open?id=1KaMbAf71b3ZLqvxL_jThdobuGDayGONc, https://drive.google.com/open?id=1y_FtbRPnr84ZRF99dOq9hvU5QEP5zUca, https://drive.google.com/open?id=138V64rch2Jaw0W7XcH9qEZ1MV2HOHkRz, https://drive.google.com/open?id=1nrbVxritSdU6O3TEG3VNUnB08Gpgb4CS</v>
      </c>
      <c r="Y650" s="495" t="str">
        <f>IFERROR(__xludf.DUMMYFUNCTION("""COMPUTED_VALUE"""),"luismanriquez555@gmail.com")</f>
        <v>luismanriquez555@gmail.com</v>
      </c>
      <c r="Z650" s="495"/>
      <c r="AA650" s="495"/>
      <c r="AB650" s="495"/>
      <c r="AC650" s="495"/>
      <c r="AD650" s="495" t="str">
        <f>IFERROR(__xludf.DUMMYFUNCTION("""COMPUTED_VALUE"""),"RC-040")</f>
        <v>RC-040</v>
      </c>
    </row>
    <row r="651">
      <c r="A651" s="495" t="str">
        <f t="shared" si="1"/>
        <v>RC-039</v>
      </c>
      <c r="B651" s="497">
        <f>IFERROR(__xludf.DUMMYFUNCTION("""COMPUTED_VALUE"""),45939.615463553244)</f>
        <v>45939.61546</v>
      </c>
      <c r="C651" s="495" t="str">
        <f>IFERROR(__xludf.DUMMYFUNCTION("""COMPUTED_VALUE"""),"")</f>
        <v/>
      </c>
      <c r="D651" s="495" t="str">
        <f>IFERROR(__xludf.DUMMYFUNCTION("""COMPUTED_VALUE"""),"Carol Huenchual Chañilao")</f>
        <v>Carol Huenchual Chañilao</v>
      </c>
      <c r="E651" s="495"/>
      <c r="F651" s="496" t="str">
        <f>IFERROR(__xludf.DUMMYFUNCTION("""COMPUTED_VALUE"""),"9301-2025")</f>
        <v>9301-2025</v>
      </c>
      <c r="G651" s="495"/>
      <c r="H651" s="495"/>
      <c r="I651" s="495"/>
      <c r="J651" s="495" t="str">
        <f>IFERROR(__xludf.DUMMYFUNCTION("""COMPUTED_VALUE"""),"Campus San Francisco - CSF")</f>
        <v>Campus San Francisco - CSF</v>
      </c>
      <c r="K651" s="495">
        <f>IFERROR(__xludf.DUMMYFUNCTION("""COMPUTED_VALUE"""),11.0)</f>
        <v>11</v>
      </c>
      <c r="L651" s="495" t="str">
        <f>IFERROR(__xludf.DUMMYFUNCTION("""COMPUTED_VALUE"""),"gaticar spa")</f>
        <v>gaticar spa</v>
      </c>
      <c r="M651" s="495" t="str">
        <f>IFERROR(__xludf.DUMMYFUNCTION("""COMPUTED_VALUE"""),"77.578.487-3")</f>
        <v>77.578.487-3</v>
      </c>
      <c r="N651" s="495" t="str">
        <f>IFERROR(__xludf.DUMMYFUNCTION("""COMPUTED_VALUE"""),"hector gatica contratista")</f>
        <v>hector gatica contratista</v>
      </c>
      <c r="O651" s="495" t="str">
        <f>IFERROR(__xludf.DUMMYFUNCTION("""COMPUTED_VALUE"""),"Mantenciones")</f>
        <v>Mantenciones</v>
      </c>
      <c r="P651" s="495" t="str">
        <f>IFERROR(__xludf.DUMMYFUNCTION("""COMPUTED_VALUE"""),"Alcantarillado")</f>
        <v>Alcantarillado</v>
      </c>
      <c r="Q651" s="495"/>
      <c r="R651" s="495"/>
      <c r="S651" s="495"/>
      <c r="T651" s="495"/>
      <c r="U651" s="495"/>
      <c r="V651" s="495" t="str">
        <f>IFERROR(__xludf.DUMMYFUNCTION("""COMPUTED_VALUE"""),"cambio tubería alcantarillado en subterrano ")</f>
        <v>cambio tubería alcantarillado en subterrano </v>
      </c>
      <c r="W651" s="495"/>
      <c r="X651" s="495" t="str">
        <f>IFERROR(__xludf.DUMMYFUNCTION("""COMPUTED_VALUE"""),"https://drive.google.com/open?id=1I9Yq2JXv4ZplfXF8C9y2bTyPQmOOJtAI, https://drive.google.com/open?id=1-CZFpBWj2C6h09fEkP4ebe-yRaJx_GeW")</f>
        <v>https://drive.google.com/open?id=1I9Yq2JXv4ZplfXF8C9y2bTyPQmOOJtAI, https://drive.google.com/open?id=1-CZFpBWj2C6h09fEkP4ebe-yRaJx_GeW</v>
      </c>
      <c r="Y651" s="495" t="str">
        <f>IFERROR(__xludf.DUMMYFUNCTION("""COMPUTED_VALUE"""),"serviciogaticar@gmail.com")</f>
        <v>serviciogaticar@gmail.com</v>
      </c>
      <c r="Z651" s="495"/>
      <c r="AA651" s="495"/>
      <c r="AB651" s="495"/>
      <c r="AC651" s="495"/>
      <c r="AD651" s="495" t="str">
        <f>IFERROR(__xludf.DUMMYFUNCTION("""COMPUTED_VALUE"""),"RC-039")</f>
        <v>RC-039</v>
      </c>
    </row>
    <row r="652">
      <c r="A652" s="495" t="str">
        <f t="shared" si="1"/>
        <v>RC-037</v>
      </c>
      <c r="B652" s="497">
        <f>IFERROR(__xludf.DUMMYFUNCTION("""COMPUTED_VALUE"""),45933.61257708333)</f>
        <v>45933.61258</v>
      </c>
      <c r="C652" s="495" t="str">
        <f>IFERROR(__xludf.DUMMYFUNCTION("""COMPUTED_VALUE"""),"")</f>
        <v/>
      </c>
      <c r="D652" s="495" t="str">
        <f>IFERROR(__xludf.DUMMYFUNCTION("""COMPUTED_VALUE"""),"Mauricio Matus Belmar")</f>
        <v>Mauricio Matus Belmar</v>
      </c>
      <c r="E652" s="495"/>
      <c r="F652" s="496">
        <f>IFERROR(__xludf.DUMMYFUNCTION("""COMPUTED_VALUE"""),9036.0)</f>
        <v>9036</v>
      </c>
      <c r="G652" s="495"/>
      <c r="H652" s="495"/>
      <c r="I652" s="495"/>
      <c r="J652" s="495" t="str">
        <f>IFERROR(__xludf.DUMMYFUNCTION("""COMPUTED_VALUE"""),"Campus Pillanlelbun - CPL")</f>
        <v>Campus Pillanlelbun - CPL</v>
      </c>
      <c r="K652" s="495" t="str">
        <f>IFERROR(__xludf.DUMMYFUNCTION("""COMPUTED_VALUE"""),"Exterior")</f>
        <v>Exterior</v>
      </c>
      <c r="L652" s="495" t="str">
        <f>IFERROR(__xludf.DUMMYFUNCTION("""COMPUTED_VALUE"""),"Flavia Oyarzun Soto")</f>
        <v>Flavia Oyarzun Soto</v>
      </c>
      <c r="M652" s="495" t="str">
        <f>IFERROR(__xludf.DUMMYFUNCTION("""COMPUTED_VALUE"""),"5.503.590-3")</f>
        <v>5.503.590-3</v>
      </c>
      <c r="N652" s="495" t="str">
        <f>IFERROR(__xludf.DUMMYFUNCTION("""COMPUTED_VALUE"""),"Roberto Lassalle (supervisor)")</f>
        <v>Roberto Lassalle (supervisor)</v>
      </c>
      <c r="O652" s="495" t="str">
        <f>IFERROR(__xludf.DUMMYFUNCTION("""COMPUTED_VALUE"""),"Mantenciones")</f>
        <v>Mantenciones</v>
      </c>
      <c r="P652" s="495" t="str">
        <f>IFERROR(__xludf.DUMMYFUNCTION("""COMPUTED_VALUE"""),"Requerimientos Emergentes e Imprevistos")</f>
        <v>Requerimientos Emergentes e Imprevistos</v>
      </c>
      <c r="Q652" s="495"/>
      <c r="R652" s="495"/>
      <c r="S652" s="495"/>
      <c r="T652" s="495"/>
      <c r="U652" s="495"/>
      <c r="V652" s="495" t="str">
        <f>IFERROR(__xludf.DUMMYFUNCTION("""COMPUTED_VALUE"""),"Reparación cerco camino a lechera predio Pillanlelbun.")</f>
        <v>Reparación cerco camino a lechera predio Pillanlelbun.</v>
      </c>
      <c r="W652" s="495"/>
      <c r="X652" s="499" t="str">
        <f>IFERROR(__xludf.DUMMYFUNCTION("""COMPUTED_VALUE"""),"https://drive.google.com/open?id=1hoJ8NrC6NzAYyBFS_4CQqdb-axQPx07-, https://drive.google.com/open?id=1stCmp93yPY_WW2w2bpWJUbYAlcZ-H8MB")</f>
        <v>https://drive.google.com/open?id=1hoJ8NrC6NzAYyBFS_4CQqdb-axQPx07-, https://drive.google.com/open?id=1stCmp93yPY_WW2w2bpWJUbYAlcZ-H8MB</v>
      </c>
      <c r="Y652" s="495" t="str">
        <f>IFERROR(__xludf.DUMMYFUNCTION("""COMPUTED_VALUE"""),"roberto.lassalle@gmail.com")</f>
        <v>roberto.lassalle@gmail.com</v>
      </c>
      <c r="Z652" s="495"/>
      <c r="AA652" s="495"/>
      <c r="AB652" s="495"/>
      <c r="AC652" s="495"/>
      <c r="AD652" s="495" t="str">
        <f>IFERROR(__xludf.DUMMYFUNCTION("""COMPUTED_VALUE"""),"RC-037")</f>
        <v>RC-037</v>
      </c>
    </row>
    <row r="653">
      <c r="A653" s="495" t="str">
        <f t="shared" si="1"/>
        <v>RC-036</v>
      </c>
      <c r="B653" s="497">
        <f>IFERROR(__xludf.DUMMYFUNCTION("""COMPUTED_VALUE"""),45933.420010092595)</f>
        <v>45933.42001</v>
      </c>
      <c r="C653" s="495" t="str">
        <f>IFERROR(__xludf.DUMMYFUNCTION("""COMPUTED_VALUE"""),"")</f>
        <v/>
      </c>
      <c r="D653" s="495" t="str">
        <f>IFERROR(__xludf.DUMMYFUNCTION("""COMPUTED_VALUE"""),"Mauricio Matus Belmar")</f>
        <v>Mauricio Matus Belmar</v>
      </c>
      <c r="E653" s="495"/>
      <c r="F653" s="496">
        <f>IFERROR(__xludf.DUMMYFUNCTION("""COMPUTED_VALUE"""),9043.0)</f>
        <v>9043</v>
      </c>
      <c r="G653" s="495"/>
      <c r="H653" s="495"/>
      <c r="I653" s="495"/>
      <c r="J653" s="495" t="str">
        <f>IFERROR(__xludf.DUMMYFUNCTION("""COMPUTED_VALUE"""),"Campus San Juan Pablo II - CJP")</f>
        <v>Campus San Juan Pablo II - CJP</v>
      </c>
      <c r="K653" s="495" t="str">
        <f>IFERROR(__xludf.DUMMYFUNCTION("""COMPUTED_VALUE"""),"Exterior")</f>
        <v>Exterior</v>
      </c>
      <c r="L653" s="495" t="str">
        <f>IFERROR(__xludf.DUMMYFUNCTION("""COMPUTED_VALUE"""),"Flavia Oyarzun Soto")</f>
        <v>Flavia Oyarzun Soto</v>
      </c>
      <c r="M653" s="495" t="str">
        <f>IFERROR(__xludf.DUMMYFUNCTION("""COMPUTED_VALUE"""),"5.503.590-3")</f>
        <v>5.503.590-3</v>
      </c>
      <c r="N653" s="495" t="str">
        <f>IFERROR(__xludf.DUMMYFUNCTION("""COMPUTED_VALUE"""),"Roberto Lassalle (supervisor)")</f>
        <v>Roberto Lassalle (supervisor)</v>
      </c>
      <c r="O653" s="495" t="str">
        <f>IFERROR(__xludf.DUMMYFUNCTION("""COMPUTED_VALUE"""),"Mantenciones")</f>
        <v>Mantenciones</v>
      </c>
      <c r="P653" s="495" t="str">
        <f>IFERROR(__xludf.DUMMYFUNCTION("""COMPUTED_VALUE"""),"Cerramientos Verticales")</f>
        <v>Cerramientos Verticales</v>
      </c>
      <c r="Q653" s="495"/>
      <c r="R653" s="495"/>
      <c r="S653" s="495"/>
      <c r="T653" s="495"/>
      <c r="U653" s="495"/>
      <c r="V653" s="495" t="str">
        <f>IFERROR(__xludf.DUMMYFUNCTION("""COMPUTED_VALUE"""),"Reparación de quincho ")</f>
        <v>Reparación de quincho </v>
      </c>
      <c r="W653" s="495"/>
      <c r="X653" s="499" t="str">
        <f>IFERROR(__xludf.DUMMYFUNCTION("""COMPUTED_VALUE"""),"https://drive.google.com/open?id=1fCtkyaMjjnCAJCLkCiw2D9LrrrtVo0XL, https://drive.google.com/open?id=1BYmbf5A66nCOA9eWshczidFeSCJrWGmm, https://drive.google.com/open?id=1DHu08gij9BPk-QVG9jOQ3KHKueNSPVoc, https://drive.google.com/open?id=1JAT57xvtzxeROVb9J"&amp;"FRM4C7aoQLsRnji, https://drive.google.com/open?id=1x8MHbJjrPlDgbpJkL8hd4pLvdOFADqTz")</f>
        <v>https://drive.google.com/open?id=1fCtkyaMjjnCAJCLkCiw2D9LrrrtVo0XL, https://drive.google.com/open?id=1BYmbf5A66nCOA9eWshczidFeSCJrWGmm, https://drive.google.com/open?id=1DHu08gij9BPk-QVG9jOQ3KHKueNSPVoc, https://drive.google.com/open?id=1JAT57xvtzxeROVb9JFRM4C7aoQLsRnji, https://drive.google.com/open?id=1x8MHbJjrPlDgbpJkL8hd4pLvdOFADqTz</v>
      </c>
      <c r="Y653" s="495" t="str">
        <f>IFERROR(__xludf.DUMMYFUNCTION("""COMPUTED_VALUE"""),"roberto.lassalle@gmail.com")</f>
        <v>roberto.lassalle@gmail.com</v>
      </c>
      <c r="Z653" s="495"/>
      <c r="AA653" s="495"/>
      <c r="AB653" s="495"/>
      <c r="AC653" s="495"/>
      <c r="AD653" s="495" t="str">
        <f>IFERROR(__xludf.DUMMYFUNCTION("""COMPUTED_VALUE"""),"RC-036")</f>
        <v>RC-036</v>
      </c>
    </row>
    <row r="654">
      <c r="A654" s="495" t="str">
        <f t="shared" si="1"/>
        <v>RC-035</v>
      </c>
      <c r="B654" s="497">
        <f>IFERROR(__xludf.DUMMYFUNCTION("""COMPUTED_VALUE"""),45933.41812420139)</f>
        <v>45933.41812</v>
      </c>
      <c r="C654" s="495" t="str">
        <f>IFERROR(__xludf.DUMMYFUNCTION("""COMPUTED_VALUE"""),"")</f>
        <v/>
      </c>
      <c r="D654" s="495" t="str">
        <f>IFERROR(__xludf.DUMMYFUNCTION("""COMPUTED_VALUE"""),"Leonor Ríos Morales")</f>
        <v>Leonor Ríos Morales</v>
      </c>
      <c r="E654" s="495"/>
      <c r="F654" s="496">
        <f>IFERROR(__xludf.DUMMYFUNCTION("""COMPUTED_VALUE"""),8028.0)</f>
        <v>8028</v>
      </c>
      <c r="G654" s="495"/>
      <c r="H654" s="495"/>
      <c r="I654" s="495"/>
      <c r="J654" s="495" t="str">
        <f>IFERROR(__xludf.DUMMYFUNCTION("""COMPUTED_VALUE"""),"Campus San Francisco - CSF")</f>
        <v>Campus San Francisco - CSF</v>
      </c>
      <c r="K654" s="495">
        <f>IFERROR(__xludf.DUMMYFUNCTION("""COMPUTED_VALUE"""),12.0)</f>
        <v>12</v>
      </c>
      <c r="L654" s="495" t="str">
        <f>IFERROR(__xludf.DUMMYFUNCTION("""COMPUTED_VALUE"""),"Flavia Oyarzun Soto ")</f>
        <v>Flavia Oyarzun Soto </v>
      </c>
      <c r="M654" s="495" t="str">
        <f>IFERROR(__xludf.DUMMYFUNCTION("""COMPUTED_VALUE"""),"5.503.590-3")</f>
        <v>5.503.590-3</v>
      </c>
      <c r="N654" s="495" t="str">
        <f>IFERROR(__xludf.DUMMYFUNCTION("""COMPUTED_VALUE"""),"Roberto Lassalle (supervisor)")</f>
        <v>Roberto Lassalle (supervisor)</v>
      </c>
      <c r="O654" s="495" t="str">
        <f>IFERROR(__xludf.DUMMYFUNCTION("""COMPUTED_VALUE"""),"Mantenciones")</f>
        <v>Mantenciones</v>
      </c>
      <c r="P654" s="495" t="str">
        <f>IFERROR(__xludf.DUMMYFUNCTION("""COMPUTED_VALUE"""),"Requerimientos Emergentes e Imprevistos")</f>
        <v>Requerimientos Emergentes e Imprevistos</v>
      </c>
      <c r="Q654" s="495"/>
      <c r="R654" s="495"/>
      <c r="S654" s="495"/>
      <c r="T654" s="495"/>
      <c r="U654" s="495"/>
      <c r="V654" s="495" t="str">
        <f>IFERROR(__xludf.DUMMYFUNCTION("""COMPUTED_VALUE"""),"Mobiliario estanterías para bodega de químicos en recinto CSF104 posterior al CSF12.  ")</f>
        <v>Mobiliario estanterías para bodega de químicos en recinto CSF104 posterior al CSF12.  </v>
      </c>
      <c r="W654" s="495" t="str">
        <f>IFERROR(__xludf.DUMMYFUNCTION("""COMPUTED_VALUE"""),"Mobiliarios nuevos")</f>
        <v>Mobiliarios nuevos</v>
      </c>
      <c r="X654" s="495" t="str">
        <f>IFERROR(__xludf.DUMMYFUNCTION("""COMPUTED_VALUE"""),"https://drive.google.com/open?id=1Ejd9raMRQNl9vQi4BT1Xlrib-WbN5aUe, https://drive.google.com/open?id=1KSIj9czNRNnvjTsCpjeVgjz3yf3IViwF, https://drive.google.com/open?id=1X3a3O65G8prXRr4SNGtyjtrRI4j9AL9J, https://drive.google.com/open?id=1B2Ed3euEjs-utLxZo"&amp;"enmIgHZyaNL2mhC")</f>
        <v>https://drive.google.com/open?id=1Ejd9raMRQNl9vQi4BT1Xlrib-WbN5aUe, https://drive.google.com/open?id=1KSIj9czNRNnvjTsCpjeVgjz3yf3IViwF, https://drive.google.com/open?id=1X3a3O65G8prXRr4SNGtyjtrRI4j9AL9J, https://drive.google.com/open?id=1B2Ed3euEjs-utLxZoenmIgHZyaNL2mhC</v>
      </c>
      <c r="Y654" s="495" t="str">
        <f>IFERROR(__xludf.DUMMYFUNCTION("""COMPUTED_VALUE"""),"roberto.lassalle@gmail.com")</f>
        <v>roberto.lassalle@gmail.com</v>
      </c>
      <c r="Z654" s="495"/>
      <c r="AA654" s="495"/>
      <c r="AB654" s="495"/>
      <c r="AC654" s="495"/>
      <c r="AD654" s="495" t="str">
        <f>IFERROR(__xludf.DUMMYFUNCTION("""COMPUTED_VALUE"""),"RC-035")</f>
        <v>RC-035</v>
      </c>
    </row>
    <row r="655">
      <c r="A655" s="495" t="str">
        <f t="shared" si="1"/>
        <v>RC-034</v>
      </c>
      <c r="B655" s="497">
        <f>IFERROR(__xludf.DUMMYFUNCTION("""COMPUTED_VALUE"""),45931.5531796412)</f>
        <v>45931.55318</v>
      </c>
      <c r="C655" s="495" t="str">
        <f>IFERROR(__xludf.DUMMYFUNCTION("""COMPUTED_VALUE"""),"")</f>
        <v/>
      </c>
      <c r="D655" s="495" t="str">
        <f>IFERROR(__xludf.DUMMYFUNCTION("""COMPUTED_VALUE"""),"Mauricio Matus Belmar")</f>
        <v>Mauricio Matus Belmar</v>
      </c>
      <c r="E655" s="495"/>
      <c r="F655" s="496" t="str">
        <f>IFERROR(__xludf.DUMMYFUNCTION("""COMPUTED_VALUE"""),"8967 - 2025")</f>
        <v>8967 - 2025</v>
      </c>
      <c r="G655" s="495"/>
      <c r="H655" s="495"/>
      <c r="I655" s="495"/>
      <c r="J655" s="495" t="str">
        <f>IFERROR(__xludf.DUMMYFUNCTION("""COMPUTED_VALUE"""),"Campus San Juan Pablo II - CJP")</f>
        <v>Campus San Juan Pablo II - CJP</v>
      </c>
      <c r="K655" s="495">
        <f>IFERROR(__xludf.DUMMYFUNCTION("""COMPUTED_VALUE"""),10.0)</f>
        <v>10</v>
      </c>
      <c r="L655" s="495" t="str">
        <f>IFERROR(__xludf.DUMMYFUNCTION("""COMPUTED_VALUE"""),"gaticar spa")</f>
        <v>gaticar spa</v>
      </c>
      <c r="M655" s="495" t="str">
        <f>IFERROR(__xludf.DUMMYFUNCTION("""COMPUTED_VALUE"""),"77.578.487-3")</f>
        <v>77.578.487-3</v>
      </c>
      <c r="N655" s="495" t="str">
        <f>IFERROR(__xludf.DUMMYFUNCTION("""COMPUTED_VALUE"""),"Héctor gatica represéntate")</f>
        <v>Héctor gatica represéntate</v>
      </c>
      <c r="O655" s="495" t="str">
        <f>IFERROR(__xludf.DUMMYFUNCTION("""COMPUTED_VALUE"""),"Mantenciones")</f>
        <v>Mantenciones</v>
      </c>
      <c r="P655" s="495" t="str">
        <f>IFERROR(__xludf.DUMMYFUNCTION("""COMPUTED_VALUE"""),"Requerimientos Emergentes e Imprevistos")</f>
        <v>Requerimientos Emergentes e Imprevistos</v>
      </c>
      <c r="Q655" s="495"/>
      <c r="R655" s="495"/>
      <c r="S655" s="495"/>
      <c r="T655" s="495"/>
      <c r="U655" s="495"/>
      <c r="V655" s="495" t="str">
        <f>IFERROR(__xludf.DUMMYFUNCTION("""COMPUTED_VALUE"""),"cambio de abtrazaderas y llaves en red humeda y reparacion fuga de agua en casino")</f>
        <v>cambio de abtrazaderas y llaves en red humeda y reparacion fuga de agua en casino</v>
      </c>
      <c r="W655" s="495"/>
      <c r="X655" s="495" t="str">
        <f>IFERROR(__xludf.DUMMYFUNCTION("""COMPUTED_VALUE"""),"https://drive.google.com/open?id=1p8EP5C0HTn9ymXIG-YQHQgW1vrioah2p, https://drive.google.com/open?id=1Tz_vVVI-tLzaJlMtxkijhkfhWO0jYKab, https://drive.google.com/open?id=1K7RwfLRU1eFROcQd1Q2ZA6dc8xbirmt-, https://drive.google.com/open?id=1lAw08MyHCx5DGSWWW"&amp;"dSYabvSzA-baS4l")</f>
        <v>https://drive.google.com/open?id=1p8EP5C0HTn9ymXIG-YQHQgW1vrioah2p, https://drive.google.com/open?id=1Tz_vVVI-tLzaJlMtxkijhkfhWO0jYKab, https://drive.google.com/open?id=1K7RwfLRU1eFROcQd1Q2ZA6dc8xbirmt-, https://drive.google.com/open?id=1lAw08MyHCx5DGSWWWdSYabvSzA-baS4l</v>
      </c>
      <c r="Y655" s="495" t="str">
        <f>IFERROR(__xludf.DUMMYFUNCTION("""COMPUTED_VALUE"""),"serviciogaticar@gmai.com")</f>
        <v>serviciogaticar@gmai.com</v>
      </c>
      <c r="Z655" s="495"/>
      <c r="AA655" s="495"/>
      <c r="AB655" s="495"/>
      <c r="AC655" s="495"/>
      <c r="AD655" s="495" t="str">
        <f>IFERROR(__xludf.DUMMYFUNCTION("""COMPUTED_VALUE"""),"RC-034")</f>
        <v>RC-034</v>
      </c>
    </row>
    <row r="656">
      <c r="A656" s="495" t="str">
        <f t="shared" si="1"/>
        <v>RC-033</v>
      </c>
      <c r="B656" s="497">
        <f>IFERROR(__xludf.DUMMYFUNCTION("""COMPUTED_VALUE"""),45925.66451270833)</f>
        <v>45925.66451</v>
      </c>
      <c r="C656" s="495" t="str">
        <f>IFERROR(__xludf.DUMMYFUNCTION("""COMPUTED_VALUE"""),"")</f>
        <v/>
      </c>
      <c r="D656" s="495" t="str">
        <f>IFERROR(__xludf.DUMMYFUNCTION("""COMPUTED_VALUE"""),"Leonor Ríos Morales")</f>
        <v>Leonor Ríos Morales</v>
      </c>
      <c r="E656" s="495"/>
      <c r="F656" s="496" t="str">
        <f>IFERROR(__xludf.DUMMYFUNCTION("""COMPUTED_VALUE"""),"7389 -2025")</f>
        <v>7389 -2025</v>
      </c>
      <c r="G656" s="495"/>
      <c r="H656" s="495"/>
      <c r="I656" s="495"/>
      <c r="J656" s="495" t="str">
        <f>IFERROR(__xludf.DUMMYFUNCTION("""COMPUTED_VALUE"""),"Campus San Francisco - CSF")</f>
        <v>Campus San Francisco - CSF</v>
      </c>
      <c r="K656" s="495" t="str">
        <f>IFERROR(__xludf.DUMMYFUNCTION("""COMPUTED_VALUE"""),"02")</f>
        <v>02</v>
      </c>
      <c r="L656" s="495" t="str">
        <f>IFERROR(__xludf.DUMMYFUNCTION("""COMPUTED_VALUE"""),"COMERCIALIZADORA DANIELA PATRICIA ARRIAGADA")</f>
        <v>COMERCIALIZADORA DANIELA PATRICIA ARRIAGADA</v>
      </c>
      <c r="M656" s="495" t="str">
        <f>IFERROR(__xludf.DUMMYFUNCTION("""COMPUTED_VALUE"""),"76.707.485-9")</f>
        <v>76.707.485-9</v>
      </c>
      <c r="N656" s="495" t="str">
        <f>IFERROR(__xludf.DUMMYFUNCTION("""COMPUTED_VALUE"""),"Daniela Arriagada")</f>
        <v>Daniela Arriagada</v>
      </c>
      <c r="O656" s="495" t="str">
        <f>IFERROR(__xludf.DUMMYFUNCTION("""COMPUTED_VALUE"""),"Mantenciones")</f>
        <v>Mantenciones</v>
      </c>
      <c r="P656" s="495" t="str">
        <f>IFERROR(__xludf.DUMMYFUNCTION("""COMPUTED_VALUE"""),"Terminaciones Interiores")</f>
        <v>Terminaciones Interiores</v>
      </c>
      <c r="Q656" s="495"/>
      <c r="R656" s="495"/>
      <c r="S656" s="495"/>
      <c r="T656" s="495"/>
      <c r="U656" s="495"/>
      <c r="V656" s="495" t="str">
        <f>IFERROR(__xludf.DUMMYFUNCTION("""COMPUTED_VALUE"""),"instalación empavonado en tabique vidriado")</f>
        <v>instalación empavonado en tabique vidriado</v>
      </c>
      <c r="W656" s="495" t="str">
        <f>IFERROR(__xludf.DUMMYFUNCTION("""COMPUTED_VALUE"""),"NA")</f>
        <v>NA</v>
      </c>
      <c r="X656" s="499" t="str">
        <f>IFERROR(__xludf.DUMMYFUNCTION("""COMPUTED_VALUE"""),"https://drive.google.com/open?id=1-nFxrXvrplUMSIO28FqqTpuKl4CL4pxo")</f>
        <v>https://drive.google.com/open?id=1-nFxrXvrplUMSIO28FqqTpuKl4CL4pxo</v>
      </c>
      <c r="Y656" s="495" t="str">
        <f>IFERROR(__xludf.DUMMYFUNCTION("""COMPUTED_VALUE"""),"lrios@uct.cl")</f>
        <v>lrios@uct.cl</v>
      </c>
      <c r="Z656" s="495"/>
      <c r="AA656" s="495"/>
      <c r="AB656" s="495"/>
      <c r="AC656" s="495"/>
      <c r="AD656" s="495" t="str">
        <f>IFERROR(__xludf.DUMMYFUNCTION("""COMPUTED_VALUE"""),"RC-033")</f>
        <v>RC-033</v>
      </c>
    </row>
    <row r="657">
      <c r="A657" s="495" t="str">
        <f t="shared" si="1"/>
        <v>RC-032</v>
      </c>
      <c r="B657" s="497">
        <f>IFERROR(__xludf.DUMMYFUNCTION("""COMPUTED_VALUE"""),45925.50845454861)</f>
        <v>45925.50845</v>
      </c>
      <c r="C657" s="495" t="str">
        <f>IFERROR(__xludf.DUMMYFUNCTION("""COMPUTED_VALUE"""),"")</f>
        <v/>
      </c>
      <c r="D657" s="495" t="str">
        <f>IFERROR(__xludf.DUMMYFUNCTION("""COMPUTED_VALUE"""),"Leonor Ríos Morales")</f>
        <v>Leonor Ríos Morales</v>
      </c>
      <c r="E657" s="495"/>
      <c r="F657" s="496" t="str">
        <f>IFERROR(__xludf.DUMMYFUNCTION("""COMPUTED_VALUE"""),"8468 - 2025")</f>
        <v>8468 - 2025</v>
      </c>
      <c r="G657" s="495"/>
      <c r="H657" s="495"/>
      <c r="I657" s="495"/>
      <c r="J657" s="495" t="str">
        <f>IFERROR(__xludf.DUMMYFUNCTION("""COMPUTED_VALUE"""),"Campus San Juan Pablo II - CJP")</f>
        <v>Campus San Juan Pablo II - CJP</v>
      </c>
      <c r="K657" s="495" t="str">
        <f>IFERROR(__xludf.DUMMYFUNCTION("""COMPUTED_VALUE"""),"05")</f>
        <v>05</v>
      </c>
      <c r="L657" s="495" t="str">
        <f>IFERROR(__xludf.DUMMYFUNCTION("""COMPUTED_VALUE"""),"CONSTRUCCIONES LUIS EXEQUIEL SOLIS
CATALAN E.I.R.L.")</f>
        <v>CONSTRUCCIONES LUIS EXEQUIEL SOLIS
CATALAN E.I.R.L.</v>
      </c>
      <c r="M657" s="495" t="str">
        <f>IFERROR(__xludf.DUMMYFUNCTION("""COMPUTED_VALUE"""),"77.280.635- 3")</f>
        <v>77.280.635- 3</v>
      </c>
      <c r="N657" s="495" t="str">
        <f>IFERROR(__xludf.DUMMYFUNCTION("""COMPUTED_VALUE"""),"Luis Solis")</f>
        <v>Luis Solis</v>
      </c>
      <c r="O657" s="495" t="str">
        <f>IFERROR(__xludf.DUMMYFUNCTION("""COMPUTED_VALUE"""),"Mantenciones")</f>
        <v>Mantenciones</v>
      </c>
      <c r="P657" s="495" t="str">
        <f>IFERROR(__xludf.DUMMYFUNCTION("""COMPUTED_VALUE"""),"Requerimientos Emergentes e Imprevistos")</f>
        <v>Requerimientos Emergentes e Imprevistos</v>
      </c>
      <c r="Q657" s="495"/>
      <c r="R657" s="495"/>
      <c r="S657" s="495"/>
      <c r="T657" s="495"/>
      <c r="U657" s="495"/>
      <c r="V657" s="495" t="str">
        <f>IFERROR(__xludf.DUMMYFUNCTION("""COMPUTED_VALUE"""),"retiro de soporte mesa de información obsoleto y pintura en señalética nueva por estética.")</f>
        <v>retiro de soporte mesa de información obsoleto y pintura en señalética nueva por estética.</v>
      </c>
      <c r="W657" s="495" t="str">
        <f>IFERROR(__xludf.DUMMYFUNCTION("""COMPUTED_VALUE"""),"NA")</f>
        <v>NA</v>
      </c>
      <c r="X657" s="495" t="str">
        <f>IFERROR(__xludf.DUMMYFUNCTION("""COMPUTED_VALUE"""),"https://drive.google.com/open?id=17mC-JoAk0swxazsJa-95JjCoXkMDlvX1, https://drive.google.com/open?id=1oCEvS0YbSFg0bLyRJdJFu3BQnAc-6Pnp")</f>
        <v>https://drive.google.com/open?id=17mC-JoAk0swxazsJa-95JjCoXkMDlvX1, https://drive.google.com/open?id=1oCEvS0YbSFg0bLyRJdJFu3BQnAc-6Pnp</v>
      </c>
      <c r="Y657" s="495" t="str">
        <f>IFERROR(__xludf.DUMMYFUNCTION("""COMPUTED_VALUE"""),"lrios@uct.cl")</f>
        <v>lrios@uct.cl</v>
      </c>
      <c r="Z657" s="495"/>
      <c r="AA657" s="495"/>
      <c r="AB657" s="495"/>
      <c r="AC657" s="495"/>
      <c r="AD657" s="495" t="str">
        <f>IFERROR(__xludf.DUMMYFUNCTION("""COMPUTED_VALUE"""),"RC-032")</f>
        <v>RC-032</v>
      </c>
    </row>
    <row r="658">
      <c r="A658" s="495" t="str">
        <f t="shared" si="1"/>
        <v>RC-031</v>
      </c>
      <c r="B658" s="497">
        <f>IFERROR(__xludf.DUMMYFUNCTION("""COMPUTED_VALUE"""),45924.57593723379)</f>
        <v>45924.57594</v>
      </c>
      <c r="C658" s="495" t="str">
        <f>IFERROR(__xludf.DUMMYFUNCTION("""COMPUTED_VALUE"""),"")</f>
        <v/>
      </c>
      <c r="D658" s="495" t="str">
        <f>IFERROR(__xludf.DUMMYFUNCTION("""COMPUTED_VALUE"""),"Mauricio Matus Belmar")</f>
        <v>Mauricio Matus Belmar</v>
      </c>
      <c r="E658" s="495"/>
      <c r="F658" s="496" t="str">
        <f>IFERROR(__xludf.DUMMYFUNCTION("""COMPUTED_VALUE"""),"8604-2025")</f>
        <v>8604-2025</v>
      </c>
      <c r="G658" s="495"/>
      <c r="H658" s="495"/>
      <c r="I658" s="495"/>
      <c r="J658" s="495" t="str">
        <f>IFERROR(__xludf.DUMMYFUNCTION("""COMPUTED_VALUE"""),"Campus San Juan Pablo II - CJP")</f>
        <v>Campus San Juan Pablo II - CJP</v>
      </c>
      <c r="K658" s="495" t="str">
        <f>IFERROR(__xludf.DUMMYFUNCTION("""COMPUTED_VALUE"""),"08")</f>
        <v>08</v>
      </c>
      <c r="L658" s="495" t="str">
        <f>IFERROR(__xludf.DUMMYFUNCTION("""COMPUTED_VALUE"""),"gaticar spa")</f>
        <v>gaticar spa</v>
      </c>
      <c r="M658" s="495" t="str">
        <f>IFERROR(__xludf.DUMMYFUNCTION("""COMPUTED_VALUE"""),"77.578.487-3")</f>
        <v>77.578.487-3</v>
      </c>
      <c r="N658" s="495" t="str">
        <f>IFERROR(__xludf.DUMMYFUNCTION("""COMPUTED_VALUE"""),"hector gatica")</f>
        <v>hector gatica</v>
      </c>
      <c r="O658" s="495" t="str">
        <f>IFERROR(__xludf.DUMMYFUNCTION("""COMPUTED_VALUE"""),"Mantenciones")</f>
        <v>Mantenciones</v>
      </c>
      <c r="P658" s="495" t="str">
        <f>IFERROR(__xludf.DUMMYFUNCTION("""COMPUTED_VALUE"""),"Requerimientos Emergentes e Imprevistos")</f>
        <v>Requerimientos Emergentes e Imprevistos</v>
      </c>
      <c r="Q658" s="495"/>
      <c r="R658" s="495"/>
      <c r="S658" s="495"/>
      <c r="T658" s="495"/>
      <c r="U658" s="495"/>
      <c r="V658" s="495" t="str">
        <f>IFERROR(__xludf.DUMMYFUNCTION("""COMPUTED_VALUE"""),"reparación de cambio de llave de corte en segundo  piso y cuarto piso ")</f>
        <v>reparación de cambio de llave de corte en segundo  piso y cuarto piso </v>
      </c>
      <c r="W658" s="495"/>
      <c r="X658" s="495" t="str">
        <f>IFERROR(__xludf.DUMMYFUNCTION("""COMPUTED_VALUE"""),"https://drive.google.com/open?id=1oOKAyye-djdImGV3W-IbexwEZU9MOu7a, https://drive.google.com/open?id=1X2Pm8adY0Vk3L77Nu9pq5lxfCQCiT7AW, https://drive.google.com/open?id=1GQC4cpL7_739t9_U4Pia58B4rPz1YeC4")</f>
        <v>https://drive.google.com/open?id=1oOKAyye-djdImGV3W-IbexwEZU9MOu7a, https://drive.google.com/open?id=1X2Pm8adY0Vk3L77Nu9pq5lxfCQCiT7AW, https://drive.google.com/open?id=1GQC4cpL7_739t9_U4Pia58B4rPz1YeC4</v>
      </c>
      <c r="Y658" s="495" t="str">
        <f>IFERROR(__xludf.DUMMYFUNCTION("""COMPUTED_VALUE"""),"serviciogaticar@gmail.com")</f>
        <v>serviciogaticar@gmail.com</v>
      </c>
      <c r="Z658" s="495"/>
      <c r="AA658" s="495"/>
      <c r="AB658" s="495"/>
      <c r="AC658" s="495"/>
      <c r="AD658" s="495" t="str">
        <f>IFERROR(__xludf.DUMMYFUNCTION("""COMPUTED_VALUE"""),"RC-031")</f>
        <v>RC-031</v>
      </c>
    </row>
    <row r="659">
      <c r="A659" s="495" t="str">
        <f t="shared" si="1"/>
        <v>RC-030</v>
      </c>
      <c r="B659" s="497">
        <f>IFERROR(__xludf.DUMMYFUNCTION("""COMPUTED_VALUE"""),45923.4186240625)</f>
        <v>45923.41862</v>
      </c>
      <c r="C659" s="495" t="str">
        <f>IFERROR(__xludf.DUMMYFUNCTION("""COMPUTED_VALUE"""),"")</f>
        <v/>
      </c>
      <c r="D659" s="495" t="str">
        <f>IFERROR(__xludf.DUMMYFUNCTION("""COMPUTED_VALUE"""),"Mauricio Matus Belmar")</f>
        <v>Mauricio Matus Belmar</v>
      </c>
      <c r="E659" s="495"/>
      <c r="F659" s="496">
        <f>IFERROR(__xludf.DUMMYFUNCTION("""COMPUTED_VALUE"""),8177.0)</f>
        <v>8177</v>
      </c>
      <c r="G659" s="495"/>
      <c r="H659" s="495"/>
      <c r="I659" s="495"/>
      <c r="J659" s="495" t="str">
        <f>IFERROR(__xludf.DUMMYFUNCTION("""COMPUTED_VALUE"""),"Campus San Juan Pablo II - CJP")</f>
        <v>Campus San Juan Pablo II - CJP</v>
      </c>
      <c r="K659" s="495" t="str">
        <f>IFERROR(__xludf.DUMMYFUNCTION("""COMPUTED_VALUE"""),"Sin número")</f>
        <v>Sin número</v>
      </c>
      <c r="L659" s="495" t="str">
        <f>IFERROR(__xludf.DUMMYFUNCTION("""COMPUTED_VALUE"""),"MR Electroclima SPA")</f>
        <v>MR Electroclima SPA</v>
      </c>
      <c r="M659" s="495" t="str">
        <f>IFERROR(__xludf.DUMMYFUNCTION("""COMPUTED_VALUE"""),"77.773.634-5")</f>
        <v>77.773.634-5</v>
      </c>
      <c r="N659" s="495" t="str">
        <f>IFERROR(__xludf.DUMMYFUNCTION("""COMPUTED_VALUE"""),"Patricio Manriquez Riffo")</f>
        <v>Patricio Manriquez Riffo</v>
      </c>
      <c r="O659" s="495" t="str">
        <f>IFERROR(__xludf.DUMMYFUNCTION("""COMPUTED_VALUE"""),"Mantenciones")</f>
        <v>Mantenciones</v>
      </c>
      <c r="P659" s="495" t="str">
        <f>IFERROR(__xludf.DUMMYFUNCTION("""COMPUTED_VALUE"""),"Ventilacion")</f>
        <v>Ventilacion</v>
      </c>
      <c r="Q659" s="495"/>
      <c r="R659" s="495"/>
      <c r="S659" s="495"/>
      <c r="T659" s="495"/>
      <c r="U659" s="495"/>
      <c r="V659" s="495" t="str">
        <f>IFERROR(__xludf.DUMMYFUNCTION("""COMPUTED_VALUE"""),"Mantenimiento a 4 unidades Fan Coil primer piso entretecho casino. Limpieza de turbina, filtros, celocias, prueba termostatos, etc.")</f>
        <v>Mantenimiento a 4 unidades Fan Coil primer piso entretecho casino. Limpieza de turbina, filtros, celocias, prueba termostatos, etc.</v>
      </c>
      <c r="W659" s="495" t="str">
        <f>IFERROR(__xludf.DUMMYFUNCTION("""COMPUTED_VALUE"""),"Aumentar periodo de mantenimiento a cada 6 meses.")</f>
        <v>Aumentar periodo de mantenimiento a cada 6 meses.</v>
      </c>
      <c r="X659" s="495" t="str">
        <f>IFERROR(__xludf.DUMMYFUNCTION("""COMPUTED_VALUE"""),"https://drive.google.com/open?id=1r9YzGwOhLhQ6dwLoj2B_5gu_VBOHlcrr, https://drive.google.com/open?id=1aw2hhC9tVk-3scsZH1MO-bgKuKEoAAXK, https://drive.google.com/open?id=1DRJdfeA0xUZKCMPd4NRB5lsFQLFj2v9E, https://drive.google.com/open?id=1BNLaw-wtCmCFGx-9r"&amp;"vJ5hPH50gIpavZR, https://drive.google.com/open?id=1bFGJ0piXDODHbcuOkcX9MJ3qzURPKVFQ")</f>
        <v>https://drive.google.com/open?id=1r9YzGwOhLhQ6dwLoj2B_5gu_VBOHlcrr, https://drive.google.com/open?id=1aw2hhC9tVk-3scsZH1MO-bgKuKEoAAXK, https://drive.google.com/open?id=1DRJdfeA0xUZKCMPd4NRB5lsFQLFj2v9E, https://drive.google.com/open?id=1BNLaw-wtCmCFGx-9rvJ5hPH50gIpavZR, https://drive.google.com/open?id=1bFGJ0piXDODHbcuOkcX9MJ3qzURPKVFQ</v>
      </c>
      <c r="Y659" s="495" t="str">
        <f>IFERROR(__xludf.DUMMYFUNCTION("""COMPUTED_VALUE"""),"luismanriquez555@gmail.com")</f>
        <v>luismanriquez555@gmail.com</v>
      </c>
      <c r="Z659" s="495"/>
      <c r="AA659" s="495"/>
      <c r="AB659" s="495"/>
      <c r="AC659" s="495"/>
      <c r="AD659" s="495" t="str">
        <f>IFERROR(__xludf.DUMMYFUNCTION("""COMPUTED_VALUE"""),"RC-030")</f>
        <v>RC-030</v>
      </c>
    </row>
    <row r="660">
      <c r="A660" s="495" t="str">
        <f t="shared" si="1"/>
        <v>RC-029</v>
      </c>
      <c r="B660" s="497">
        <f>IFERROR(__xludf.DUMMYFUNCTION("""COMPUTED_VALUE"""),45916.677717997685)</f>
        <v>45916.67772</v>
      </c>
      <c r="C660" s="495" t="str">
        <f>IFERROR(__xludf.DUMMYFUNCTION("""COMPUTED_VALUE"""),"")</f>
        <v/>
      </c>
      <c r="D660" s="495" t="str">
        <f>IFERROR(__xludf.DUMMYFUNCTION("""COMPUTED_VALUE"""),"Cristóbal Correa del Río")</f>
        <v>Cristóbal Correa del Río</v>
      </c>
      <c r="E660" s="495"/>
      <c r="F660" s="496">
        <f>IFERROR(__xludf.DUMMYFUNCTION("""COMPUTED_VALUE"""),8188.0)</f>
        <v>8188</v>
      </c>
      <c r="G660" s="495"/>
      <c r="H660" s="495"/>
      <c r="I660" s="495"/>
      <c r="J660" s="495" t="str">
        <f>IFERROR(__xludf.DUMMYFUNCTION("""COMPUTED_VALUE"""),"Campus San Francisco - CSF")</f>
        <v>Campus San Francisco - CSF</v>
      </c>
      <c r="K660" s="495" t="str">
        <f>IFERROR(__xludf.DUMMYFUNCTION("""COMPUTED_VALUE"""),"05")</f>
        <v>05</v>
      </c>
      <c r="L660" s="495" t="str">
        <f>IFERROR(__xludf.DUMMYFUNCTION("""COMPUTED_VALUE"""),"Flavia Oyarzun Soto")</f>
        <v>Flavia Oyarzun Soto</v>
      </c>
      <c r="M660" s="495" t="str">
        <f>IFERROR(__xludf.DUMMYFUNCTION("""COMPUTED_VALUE"""),"5.503.590-3")</f>
        <v>5.503.590-3</v>
      </c>
      <c r="N660" s="495" t="str">
        <f>IFERROR(__xludf.DUMMYFUNCTION("""COMPUTED_VALUE"""),"Roberto Lassalle ")</f>
        <v>Roberto Lassalle </v>
      </c>
      <c r="O660" s="495" t="str">
        <f>IFERROR(__xludf.DUMMYFUNCTION("""COMPUTED_VALUE"""),"Mantenciones")</f>
        <v>Mantenciones</v>
      </c>
      <c r="P660" s="495" t="str">
        <f>IFERROR(__xludf.DUMMYFUNCTION("""COMPUTED_VALUE"""),"Terminaciones Interiores")</f>
        <v>Terminaciones Interiores</v>
      </c>
      <c r="Q660" s="495"/>
      <c r="R660" s="495"/>
      <c r="S660" s="495"/>
      <c r="T660" s="495"/>
      <c r="U660" s="495"/>
      <c r="V660" s="495" t="str">
        <f>IFERROR(__xludf.DUMMYFUNCTION("""COMPUTED_VALUE"""),"Pintura en muro y cielo de casa docencia oficina 302. ")</f>
        <v>Pintura en muro y cielo de casa docencia oficina 302. </v>
      </c>
      <c r="W660" s="495" t="str">
        <f>IFERROR(__xludf.DUMMYFUNCTION("""COMPUTED_VALUE"""),"No Aplica ")</f>
        <v>No Aplica </v>
      </c>
      <c r="X660" s="495" t="str">
        <f>IFERROR(__xludf.DUMMYFUNCTION("""COMPUTED_VALUE"""),"https://drive.google.com/open?id=1vpMDqPzKCejwy4RuKv_MmdzJMtJmWvwO, https://drive.google.com/open?id=1I1kLxvKjE2u56SzNTp4mt7QJ4PdOF2zV, https://drive.google.com/open?id=1m9Pa1mgBOz3kvncpo4oIqV61OanA_xJF")</f>
        <v>https://drive.google.com/open?id=1vpMDqPzKCejwy4RuKv_MmdzJMtJmWvwO, https://drive.google.com/open?id=1I1kLxvKjE2u56SzNTp4mt7QJ4PdOF2zV, https://drive.google.com/open?id=1m9Pa1mgBOz3kvncpo4oIqV61OanA_xJF</v>
      </c>
      <c r="Y660" s="495" t="str">
        <f>IFERROR(__xludf.DUMMYFUNCTION("""COMPUTED_VALUE"""),"roberto.lassalle@gmail.com")</f>
        <v>roberto.lassalle@gmail.com</v>
      </c>
      <c r="Z660" s="495"/>
      <c r="AA660" s="495"/>
      <c r="AB660" s="495"/>
      <c r="AC660" s="495"/>
      <c r="AD660" s="495" t="str">
        <f>IFERROR(__xludf.DUMMYFUNCTION("""COMPUTED_VALUE"""),"RC-029")</f>
        <v>RC-029</v>
      </c>
    </row>
    <row r="661">
      <c r="A661" s="495" t="str">
        <f t="shared" si="1"/>
        <v>RC-028</v>
      </c>
      <c r="B661" s="497">
        <f>IFERROR(__xludf.DUMMYFUNCTION("""COMPUTED_VALUE"""),45915.72522201389)</f>
        <v>45915.72522</v>
      </c>
      <c r="C661" s="495" t="str">
        <f>IFERROR(__xludf.DUMMYFUNCTION("""COMPUTED_VALUE"""),"")</f>
        <v/>
      </c>
      <c r="D661" s="495" t="str">
        <f>IFERROR(__xludf.DUMMYFUNCTION("""COMPUTED_VALUE"""),"Mauricio Matus Belmar")</f>
        <v>Mauricio Matus Belmar</v>
      </c>
      <c r="E661" s="495"/>
      <c r="F661" s="496" t="str">
        <f>IFERROR(__xludf.DUMMYFUNCTION("""COMPUTED_VALUE"""),"8396-2025")</f>
        <v>8396-2025</v>
      </c>
      <c r="G661" s="495"/>
      <c r="H661" s="495"/>
      <c r="I661" s="495"/>
      <c r="J661" s="495" t="str">
        <f>IFERROR(__xludf.DUMMYFUNCTION("""COMPUTED_VALUE"""),"Campus San Juan Pablo II - CJP")</f>
        <v>Campus San Juan Pablo II - CJP</v>
      </c>
      <c r="K661" s="495" t="str">
        <f>IFERROR(__xludf.DUMMYFUNCTION("""COMPUTED_VALUE"""),"05")</f>
        <v>05</v>
      </c>
      <c r="L661" s="495" t="str">
        <f>IFERROR(__xludf.DUMMYFUNCTION("""COMPUTED_VALUE"""),"Gaticar spa")</f>
        <v>Gaticar spa</v>
      </c>
      <c r="M661" s="495" t="str">
        <f>IFERROR(__xludf.DUMMYFUNCTION("""COMPUTED_VALUE"""),"77578487-3")</f>
        <v>77578487-3</v>
      </c>
      <c r="N661" s="495" t="str">
        <f>IFERROR(__xludf.DUMMYFUNCTION("""COMPUTED_VALUE"""),"Hector Gatica ")</f>
        <v>Hector Gatica </v>
      </c>
      <c r="O661" s="495" t="str">
        <f>IFERROR(__xludf.DUMMYFUNCTION("""COMPUTED_VALUE"""),"Mantenciones")</f>
        <v>Mantenciones</v>
      </c>
      <c r="P661" s="495" t="str">
        <f>IFERROR(__xludf.DUMMYFUNCTION("""COMPUTED_VALUE"""),"Requerimientos Emergentes e Imprevistos")</f>
        <v>Requerimientos Emergentes e Imprevistos</v>
      </c>
      <c r="Q661" s="495"/>
      <c r="R661" s="495"/>
      <c r="S661" s="495"/>
      <c r="T661" s="495"/>
      <c r="U661" s="495"/>
      <c r="V661" s="495" t="str">
        <f>IFERROR(__xludf.DUMMYFUNCTION("""COMPUTED_VALUE"""),"Cambio de dos calefón por encontrarse fundidos ")</f>
        <v>Cambio de dos calefón por encontrarse fundidos </v>
      </c>
      <c r="W661" s="495" t="str">
        <f>IFERROR(__xludf.DUMMYFUNCTION("""COMPUTED_VALUE"""),"se recomienda realizar mantención 1 vez por año ")</f>
        <v>se recomienda realizar mantención 1 vez por año </v>
      </c>
      <c r="X661" s="495" t="str">
        <f>IFERROR(__xludf.DUMMYFUNCTION("""COMPUTED_VALUE"""),"https://drive.google.com/open?id=18CfJozOjvoJCcDBJ-hUZZcCKbwkzGDR8, https://drive.google.com/open?id=1vG_Bvo-B1rGSaJ1v3Za8PUsb_5QquJzb, https://drive.google.com/open?id=1Y7_tzBHXaBdy-1JV4j2H6Qm4k2gAOqDM")</f>
        <v>https://drive.google.com/open?id=18CfJozOjvoJCcDBJ-hUZZcCKbwkzGDR8, https://drive.google.com/open?id=1vG_Bvo-B1rGSaJ1v3Za8PUsb_5QquJzb, https://drive.google.com/open?id=1Y7_tzBHXaBdy-1JV4j2H6Qm4k2gAOqDM</v>
      </c>
      <c r="Y661" s="495" t="str">
        <f>IFERROR(__xludf.DUMMYFUNCTION("""COMPUTED_VALUE"""),"serviciogaticar@gmail.com")</f>
        <v>serviciogaticar@gmail.com</v>
      </c>
      <c r="Z661" s="495"/>
      <c r="AA661" s="495"/>
      <c r="AB661" s="495"/>
      <c r="AC661" s="495"/>
      <c r="AD661" s="495" t="str">
        <f>IFERROR(__xludf.DUMMYFUNCTION("""COMPUTED_VALUE"""),"RC-028")</f>
        <v>RC-028</v>
      </c>
    </row>
    <row r="662">
      <c r="A662" s="495" t="str">
        <f t="shared" si="1"/>
        <v>RC-027</v>
      </c>
      <c r="B662" s="497">
        <f>IFERROR(__xludf.DUMMYFUNCTION("""COMPUTED_VALUE"""),45915.48830412037)</f>
        <v>45915.4883</v>
      </c>
      <c r="C662" s="495" t="str">
        <f>IFERROR(__xludf.DUMMYFUNCTION("""COMPUTED_VALUE"""),"")</f>
        <v/>
      </c>
      <c r="D662" s="495" t="str">
        <f>IFERROR(__xludf.DUMMYFUNCTION("""COMPUTED_VALUE"""),"Mauricio Matus Belmar")</f>
        <v>Mauricio Matus Belmar</v>
      </c>
      <c r="E662" s="495"/>
      <c r="F662" s="496">
        <f>IFERROR(__xludf.DUMMYFUNCTION("""COMPUTED_VALUE"""),8182.0)</f>
        <v>8182</v>
      </c>
      <c r="G662" s="495"/>
      <c r="H662" s="495"/>
      <c r="I662" s="495"/>
      <c r="J662" s="495" t="str">
        <f>IFERROR(__xludf.DUMMYFUNCTION("""COMPUTED_VALUE"""),"Campus Pillanlelbun - CPL")</f>
        <v>Campus Pillanlelbun - CPL</v>
      </c>
      <c r="K662" s="495" t="str">
        <f>IFERROR(__xludf.DUMMYFUNCTION("""COMPUTED_VALUE"""),"Exterior")</f>
        <v>Exterior</v>
      </c>
      <c r="L662" s="495" t="str">
        <f>IFERROR(__xludf.DUMMYFUNCTION("""COMPUTED_VALUE"""),"Flavia oyarzun soto")</f>
        <v>Flavia oyarzun soto</v>
      </c>
      <c r="M662" s="495" t="str">
        <f>IFERROR(__xludf.DUMMYFUNCTION("""COMPUTED_VALUE"""),"5503590-3")</f>
        <v>5503590-3</v>
      </c>
      <c r="N662" s="495" t="str">
        <f>IFERROR(__xludf.DUMMYFUNCTION("""COMPUTED_VALUE"""),"Roberto lassalle")</f>
        <v>Roberto lassalle</v>
      </c>
      <c r="O662" s="495" t="str">
        <f>IFERROR(__xludf.DUMMYFUNCTION("""COMPUTED_VALUE"""),"Mantenciones")</f>
        <v>Mantenciones</v>
      </c>
      <c r="P662" s="495" t="str">
        <f>IFERROR(__xludf.DUMMYFUNCTION("""COMPUTED_VALUE"""),"Terminaciones Interiores")</f>
        <v>Terminaciones Interiores</v>
      </c>
      <c r="Q662" s="495"/>
      <c r="R662" s="495"/>
      <c r="S662" s="495"/>
      <c r="T662" s="495"/>
      <c r="U662" s="495"/>
      <c r="V662" s="495" t="str">
        <f>IFERROR(__xludf.DUMMYFUNCTION("""COMPUTED_VALUE"""),"Reparacion cielo raso baños cafeteria casino")</f>
        <v>Reparacion cielo raso baños cafeteria casino</v>
      </c>
      <c r="W662" s="495"/>
      <c r="X662" s="495" t="str">
        <f>IFERROR(__xludf.DUMMYFUNCTION("""COMPUTED_VALUE"""),"https://drive.google.com/open?id=1ieQ0aPO_3vnLliVsRtwtym2Dj2Gn61oi, https://drive.google.com/open?id=1_1D4PyNbFvv5JJ_2SQlbhBYyI2i6NNfo")</f>
        <v>https://drive.google.com/open?id=1ieQ0aPO_3vnLliVsRtwtym2Dj2Gn61oi, https://drive.google.com/open?id=1_1D4PyNbFvv5JJ_2SQlbhBYyI2i6NNfo</v>
      </c>
      <c r="Y662" s="495" t="str">
        <f>IFERROR(__xludf.DUMMYFUNCTION("""COMPUTED_VALUE"""),"roberto.lassalle@gmail.com")</f>
        <v>roberto.lassalle@gmail.com</v>
      </c>
      <c r="Z662" s="495"/>
      <c r="AA662" s="495"/>
      <c r="AB662" s="495"/>
      <c r="AC662" s="495"/>
      <c r="AD662" s="495" t="str">
        <f>IFERROR(__xludf.DUMMYFUNCTION("""COMPUTED_VALUE"""),"RC-027")</f>
        <v>RC-027</v>
      </c>
    </row>
    <row r="663">
      <c r="A663" s="495" t="str">
        <f t="shared" si="1"/>
        <v>RC-341_26</v>
      </c>
      <c r="B663" s="497">
        <f>IFERROR(__xludf.DUMMYFUNCTION("""COMPUTED_VALUE"""),46230.87181537037)</f>
        <v>46230.87182</v>
      </c>
      <c r="C663" s="495" t="str">
        <f>IFERROR(__xludf.DUMMYFUNCTION("""COMPUTED_VALUE"""),"")</f>
        <v/>
      </c>
      <c r="D663" s="495" t="str">
        <f>IFERROR(__xludf.DUMMYFUNCTION("""COMPUTED_VALUE"""),"Mauricio Zurita Aldea")</f>
        <v>Mauricio Zurita Aldea</v>
      </c>
      <c r="E663" s="495"/>
      <c r="F663" s="496" t="str">
        <f>IFERROR(__xludf.DUMMYFUNCTION("""COMPUTED_VALUE"""),"4144-2026")</f>
        <v>4144-2026</v>
      </c>
      <c r="G663" s="495"/>
      <c r="H663" s="495"/>
      <c r="I663" s="495"/>
      <c r="J663" s="495" t="str">
        <f>IFERROR(__xludf.DUMMYFUNCTION("""COMPUTED_VALUE"""),"Campus Educación Continua - CEC")</f>
        <v>Campus Educación Continua - CEC</v>
      </c>
      <c r="K663" s="495" t="str">
        <f>IFERROR(__xludf.DUMMYFUNCTION("""COMPUTED_VALUE"""),"Exterior")</f>
        <v>Exterior</v>
      </c>
      <c r="L663" s="495" t="str">
        <f>IFERROR(__xludf.DUMMYFUNCTION("""COMPUTED_VALUE"""),"InnovaclimaMQ SPA")</f>
        <v>InnovaclimaMQ SPA</v>
      </c>
      <c r="M663" s="495" t="str">
        <f>IFERROR(__xludf.DUMMYFUNCTION("""COMPUTED_VALUE"""),"76.464.159-0")</f>
        <v>76.464.159-0</v>
      </c>
      <c r="N663" s="495" t="str">
        <f>IFERROR(__xludf.DUMMYFUNCTION("""COMPUTED_VALUE"""),"Miguel Quezada Dueño")</f>
        <v>Miguel Quezada Dueño</v>
      </c>
      <c r="O663" s="495" t="str">
        <f>IFERROR(__xludf.DUMMYFUNCTION("""COMPUTED_VALUE"""),"Obras y Especialidades")</f>
        <v>Obras y Especialidades</v>
      </c>
      <c r="P663" s="495"/>
      <c r="Q663" s="495"/>
      <c r="R663" s="495" t="str">
        <f>IFERROR(__xludf.DUMMYFUNCTION("""COMPUTED_VALUE"""),"Especialidades")</f>
        <v>Especialidades</v>
      </c>
      <c r="S663" s="495" t="str">
        <f>IFERROR(__xludf.DUMMYFUNCTION("""COMPUTED_VALUE"""),"Recepción de Obra - RC")</f>
        <v>Recepción de Obra - RC</v>
      </c>
      <c r="T663" s="495"/>
      <c r="U663" s="495"/>
      <c r="V663" s="495" t="str">
        <f>IFERROR(__xludf.DUMMYFUNCTION("""COMPUTED_VALUE"""),"Cambio de pistón de presión de combustión  ")</f>
        <v>Cambio de pistón de presión de combustión  </v>
      </c>
      <c r="W663" s="495"/>
      <c r="X663" s="495" t="str">
        <f>IFERROR(__xludf.DUMMYFUNCTION("""COMPUTED_VALUE"""),"https://drive.google.com/open?id=1P9iXKovblqjWx17TFNwbC-3lPAtstauM, https://drive.google.com/open?id=1kieHYZmPZxyn_S2SY30hRSCjCuIs7FnH")</f>
        <v>https://drive.google.com/open?id=1P9iXKovblqjWx17TFNwbC-3lPAtstauM, https://drive.google.com/open?id=1kieHYZmPZxyn_S2SY30hRSCjCuIs7FnH</v>
      </c>
      <c r="Y663" s="495" t="str">
        <f>IFERROR(__xludf.DUMMYFUNCTION("""COMPUTED_VALUE"""),"mquezaday@gmail.com")</f>
        <v>mquezaday@gmail.com</v>
      </c>
      <c r="Z663" s="498">
        <f>IFERROR(__xludf.DUMMYFUNCTION("""COMPUTED_VALUE"""),231336.0)</f>
        <v>231336</v>
      </c>
      <c r="AA663" s="495"/>
      <c r="AB663" s="495"/>
      <c r="AC663" s="495"/>
      <c r="AD663" s="495" t="str">
        <f>IFERROR(__xludf.DUMMYFUNCTION("""COMPUTED_VALUE"""),"RC-341_26")</f>
        <v>RC-341_26</v>
      </c>
    </row>
    <row r="664">
      <c r="A664" s="495" t="str">
        <f t="shared" si="1"/>
        <v>RC-026</v>
      </c>
      <c r="B664" s="497">
        <f>IFERROR(__xludf.DUMMYFUNCTION("""COMPUTED_VALUE"""),45910.749117604166)</f>
        <v>45910.74912</v>
      </c>
      <c r="C664" s="495" t="str">
        <f>IFERROR(__xludf.DUMMYFUNCTION("""COMPUTED_VALUE"""),"")</f>
        <v/>
      </c>
      <c r="D664" s="495" t="str">
        <f>IFERROR(__xludf.DUMMYFUNCTION("""COMPUTED_VALUE"""),"Mauricio Matus Belmar")</f>
        <v>Mauricio Matus Belmar</v>
      </c>
      <c r="E664" s="495"/>
      <c r="F664" s="496" t="str">
        <f>IFERROR(__xludf.DUMMYFUNCTION("""COMPUTED_VALUE"""),"7667 - 2025")</f>
        <v>7667 - 2025</v>
      </c>
      <c r="G664" s="495"/>
      <c r="H664" s="495"/>
      <c r="I664" s="495"/>
      <c r="J664" s="495" t="str">
        <f>IFERROR(__xludf.DUMMYFUNCTION("""COMPUTED_VALUE"""),"Campus San Juan Pablo II - CJP")</f>
        <v>Campus San Juan Pablo II - CJP</v>
      </c>
      <c r="K664" s="495" t="str">
        <f>IFERROR(__xludf.DUMMYFUNCTION("""COMPUTED_VALUE"""),"07")</f>
        <v>07</v>
      </c>
      <c r="L664" s="495" t="str">
        <f>IFERROR(__xludf.DUMMYFUNCTION("""COMPUTED_VALUE"""),"Gaticar spa")</f>
        <v>Gaticar spa</v>
      </c>
      <c r="M664" s="495" t="str">
        <f>IFERROR(__xludf.DUMMYFUNCTION("""COMPUTED_VALUE"""),"77.578.487-3")</f>
        <v>77.578.487-3</v>
      </c>
      <c r="N664" s="495" t="str">
        <f>IFERROR(__xludf.DUMMYFUNCTION("""COMPUTED_VALUE"""),"Hector Gatica, Contratista")</f>
        <v>Hector Gatica, Contratista</v>
      </c>
      <c r="O664" s="495" t="str">
        <f>IFERROR(__xludf.DUMMYFUNCTION("""COMPUTED_VALUE"""),"Mantenciones")</f>
        <v>Mantenciones</v>
      </c>
      <c r="P664" s="495" t="str">
        <f>IFERROR(__xludf.DUMMYFUNCTION("""COMPUTED_VALUE"""),"Requerimientos Emergentes e Imprevistos")</f>
        <v>Requerimientos Emergentes e Imprevistos</v>
      </c>
      <c r="Q664" s="495"/>
      <c r="R664" s="495"/>
      <c r="S664" s="495"/>
      <c r="T664" s="495"/>
      <c r="U664" s="495"/>
      <c r="V664" s="495" t="str">
        <f>IFERROR(__xludf.DUMMYFUNCTION("""COMPUTED_VALUE"""),"cambio llave de corte en pared de hormigón por fuga y destape de desagüe en lavamanos")</f>
        <v>cambio llave de corte en pared de hormigón por fuga y destape de desagüe en lavamanos</v>
      </c>
      <c r="W664" s="495"/>
      <c r="X664" s="495" t="str">
        <f>IFERROR(__xludf.DUMMYFUNCTION("""COMPUTED_VALUE"""),"https://drive.google.com/open?id=1Sx3GzYKFTzgM43t90zK2dwVaDHjUJG-B, https://drive.google.com/open?id=1Q1rfCNv6cy0QHZLGlR3pmYwjGoLzxJ20, https://drive.google.com/open?id=1GtnSIlmd4Xd1yDStk9dRKIPVWShx4Xcu")</f>
        <v>https://drive.google.com/open?id=1Sx3GzYKFTzgM43t90zK2dwVaDHjUJG-B, https://drive.google.com/open?id=1Q1rfCNv6cy0QHZLGlR3pmYwjGoLzxJ20, https://drive.google.com/open?id=1GtnSIlmd4Xd1yDStk9dRKIPVWShx4Xcu</v>
      </c>
      <c r="Y664" s="495" t="str">
        <f>IFERROR(__xludf.DUMMYFUNCTION("""COMPUTED_VALUE"""),"serviciogaticar@gmail.com")</f>
        <v>serviciogaticar@gmail.com</v>
      </c>
      <c r="Z664" s="495"/>
      <c r="AA664" s="495"/>
      <c r="AB664" s="495"/>
      <c r="AC664" s="495"/>
      <c r="AD664" s="495" t="str">
        <f>IFERROR(__xludf.DUMMYFUNCTION("""COMPUTED_VALUE"""),"RC-026")</f>
        <v>RC-026</v>
      </c>
    </row>
    <row r="665">
      <c r="A665" s="495" t="str">
        <f t="shared" si="1"/>
        <v>RC-025</v>
      </c>
      <c r="B665" s="497">
        <f>IFERROR(__xludf.DUMMYFUNCTION("""COMPUTED_VALUE"""),45909.628911782405)</f>
        <v>45909.62891</v>
      </c>
      <c r="C665" s="495" t="str">
        <f>IFERROR(__xludf.DUMMYFUNCTION("""COMPUTED_VALUE"""),"")</f>
        <v/>
      </c>
      <c r="D665" s="495" t="str">
        <f>IFERROR(__xludf.DUMMYFUNCTION("""COMPUTED_VALUE"""),"Mauricio Zurita Aldea")</f>
        <v>Mauricio Zurita Aldea</v>
      </c>
      <c r="E665" s="495"/>
      <c r="F665" s="496">
        <f>IFERROR(__xludf.DUMMYFUNCTION("""COMPUTED_VALUE"""),7208.0)</f>
        <v>7208</v>
      </c>
      <c r="G665" s="495"/>
      <c r="H665" s="495"/>
      <c r="I665" s="495"/>
      <c r="J665" s="495" t="str">
        <f>IFERROR(__xludf.DUMMYFUNCTION("""COMPUTED_VALUE"""),"Campus San Francisco - CSF")</f>
        <v>Campus San Francisco - CSF</v>
      </c>
      <c r="K665" s="495" t="str">
        <f>IFERROR(__xludf.DUMMYFUNCTION("""COMPUTED_VALUE"""),"Sin número")</f>
        <v>Sin número</v>
      </c>
      <c r="L665" s="495" t="str">
        <f>IFERROR(__xludf.DUMMYFUNCTION("""COMPUTED_VALUE"""),"MR Electroclima SPA")</f>
        <v>MR Electroclima SPA</v>
      </c>
      <c r="M665" s="495" t="str">
        <f>IFERROR(__xludf.DUMMYFUNCTION("""COMPUTED_VALUE"""),"77.776.334-5")</f>
        <v>77.776.334-5</v>
      </c>
      <c r="N665" s="495" t="str">
        <f>IFERROR(__xludf.DUMMYFUNCTION("""COMPUTED_VALUE"""),"Luis Manriquez Riffo")</f>
        <v>Luis Manriquez Riffo</v>
      </c>
      <c r="O665" s="495" t="str">
        <f>IFERROR(__xludf.DUMMYFUNCTION("""COMPUTED_VALUE"""),"Mantenciones")</f>
        <v>Mantenciones</v>
      </c>
      <c r="P665" s="495" t="str">
        <f>IFERROR(__xludf.DUMMYFUNCTION("""COMPUTED_VALUE"""),"Instalaciones Eléctricas")</f>
        <v>Instalaciones Eléctricas</v>
      </c>
      <c r="Q665" s="495"/>
      <c r="R665" s="495"/>
      <c r="S665" s="495"/>
      <c r="T665" s="495"/>
      <c r="U665" s="495"/>
      <c r="V665" s="495" t="str">
        <f>IFERROR(__xludf.DUMMYFUNCTION("""COMPUTED_VALUE"""),"Instalación 4 Puntos eléctricos monofásicos con circuitos separados por protecciones diferenciales y automáticos según capacidad. Sistema considera la conexión de microondas y planchas electricas, por ende se separan en 3 circuitos por diferenciales 2x25 "&amp;"A y protección automatico 16 A cada uno.")</f>
        <v>Instalación 4 Puntos eléctricos monofásicos con circuitos separados por protecciones diferenciales y automáticos según capacidad. Sistema considera la conexión de microondas y planchas electricas, por ende se separan en 3 circuitos por diferenciales 2x25 A y protección automatico 16 A cada uno.</v>
      </c>
      <c r="W665" s="495" t="str">
        <f>IFERROR(__xludf.DUMMYFUNCTION("""COMPUTED_VALUE"""),"Conexión de equipos distribuidos en enchufes, no sobrecargando enchufe con consumos muy altos.")</f>
        <v>Conexión de equipos distribuidos en enchufes, no sobrecargando enchufe con consumos muy altos.</v>
      </c>
      <c r="X665" s="495" t="str">
        <f>IFERROR(__xludf.DUMMYFUNCTION("""COMPUTED_VALUE"""),"https://drive.google.com/open?id=1hZptT3l6ZXRu2KLSY2603hF-H4zVIqQv, https://drive.google.com/open?id=1K67w_h31juoapxQAcQoYm6BoITFzCek4, https://drive.google.com/open?id=1DzflFYnifGipnWVwHLnEGLEiyamCoPBV, https://drive.google.com/open?id=1P_bAhZcNZp_W1kxdq"&amp;"kDXVAlAnXuvjI3G, https://drive.google.com/open?id=1WY-t9TBdKHx-8I_NMXk-BiuhXnA4G2bG")</f>
        <v>https://drive.google.com/open?id=1hZptT3l6ZXRu2KLSY2603hF-H4zVIqQv, https://drive.google.com/open?id=1K67w_h31juoapxQAcQoYm6BoITFzCek4, https://drive.google.com/open?id=1DzflFYnifGipnWVwHLnEGLEiyamCoPBV, https://drive.google.com/open?id=1P_bAhZcNZp_W1kxdqkDXVAlAnXuvjI3G, https://drive.google.com/open?id=1WY-t9TBdKHx-8I_NMXk-BiuhXnA4G2bG</v>
      </c>
      <c r="Y665" s="495" t="str">
        <f>IFERROR(__xludf.DUMMYFUNCTION("""COMPUTED_VALUE"""),"luismanriquez555@gmail.com")</f>
        <v>luismanriquez555@gmail.com</v>
      </c>
      <c r="Z665" s="495"/>
      <c r="AA665" s="495"/>
      <c r="AB665" s="495"/>
      <c r="AC665" s="495"/>
      <c r="AD665" s="495" t="str">
        <f>IFERROR(__xludf.DUMMYFUNCTION("""COMPUTED_VALUE"""),"RC-025")</f>
        <v>RC-025</v>
      </c>
    </row>
    <row r="666">
      <c r="A666" s="495" t="str">
        <f t="shared" si="1"/>
        <v>RC-024</v>
      </c>
      <c r="B666" s="497">
        <f>IFERROR(__xludf.DUMMYFUNCTION("""COMPUTED_VALUE"""),45907.670899942124)</f>
        <v>45907.6709</v>
      </c>
      <c r="C666" s="495" t="str">
        <f>IFERROR(__xludf.DUMMYFUNCTION("""COMPUTED_VALUE"""),"")</f>
        <v/>
      </c>
      <c r="D666" s="495" t="str">
        <f>IFERROR(__xludf.DUMMYFUNCTION("""COMPUTED_VALUE"""),"Leonor Ríos Morales")</f>
        <v>Leonor Ríos Morales</v>
      </c>
      <c r="E666" s="495"/>
      <c r="F666" s="496" t="str">
        <f>IFERROR(__xludf.DUMMYFUNCTION("""COMPUTED_VALUE"""),"7982 - 2025")</f>
        <v>7982 - 2025</v>
      </c>
      <c r="G666" s="495"/>
      <c r="H666" s="495"/>
      <c r="I666" s="495"/>
      <c r="J666" s="495" t="str">
        <f>IFERROR(__xludf.DUMMYFUNCTION("""COMPUTED_VALUE"""),"Campus San Francisco - CSF")</f>
        <v>Campus San Francisco - CSF</v>
      </c>
      <c r="K666" s="495">
        <f>IFERROR(__xludf.DUMMYFUNCTION("""COMPUTED_VALUE"""),11.0)</f>
        <v>11</v>
      </c>
      <c r="L666" s="495" t="str">
        <f>IFERROR(__xludf.DUMMYFUNCTION("""COMPUTED_VALUE"""),"Constructora y Servicios S-tec SPA")</f>
        <v>Constructora y Servicios S-tec SPA</v>
      </c>
      <c r="M666" s="495" t="str">
        <f>IFERROR(__xludf.DUMMYFUNCTION("""COMPUTED_VALUE"""),"77.781.356-0")</f>
        <v>77.781.356-0</v>
      </c>
      <c r="N666" s="495" t="str">
        <f>IFERROR(__xludf.DUMMYFUNCTION("""COMPUTED_VALUE"""),"Miguel Pino - Representante Legal")</f>
        <v>Miguel Pino - Representante Legal</v>
      </c>
      <c r="O666" s="495" t="str">
        <f>IFERROR(__xludf.DUMMYFUNCTION("""COMPUTED_VALUE"""),"Mantenciones")</f>
        <v>Mantenciones</v>
      </c>
      <c r="P666" s="495" t="str">
        <f>IFERROR(__xludf.DUMMYFUNCTION("""COMPUTED_VALUE"""),"Requerimientos Emergentes e Imprevistos")</f>
        <v>Requerimientos Emergentes e Imprevistos</v>
      </c>
      <c r="Q666" s="495"/>
      <c r="R666" s="495"/>
      <c r="S666" s="495"/>
      <c r="T666" s="495"/>
      <c r="U666" s="495"/>
      <c r="V666" s="495" t="str">
        <f>IFERROR(__xludf.DUMMYFUNCTION("""COMPUTED_VALUE"""),"Cambio de manilla para cerradura, de ventana termopanel de PVC blanco de exterior del laboratorio.")</f>
        <v>Cambio de manilla para cerradura, de ventana termopanel de PVC blanco de exterior del laboratorio.</v>
      </c>
      <c r="W666" s="495"/>
      <c r="X666" s="495" t="str">
        <f>IFERROR(__xludf.DUMMYFUNCTION("""COMPUTED_VALUE"""),"https://drive.google.com/open?id=1-LG8q5RHDUm5wg41cjL4uzl6d2TdirCP, https://drive.google.com/open?id=1xC3ZQg56ref_oTUUkDGgEqcyLrJeHaBf, https://drive.google.com/open?id=14CQFI-2gV_u8295vn7BijCrYW9cCI5TU")</f>
        <v>https://drive.google.com/open?id=1-LG8q5RHDUm5wg41cjL4uzl6d2TdirCP, https://drive.google.com/open?id=1xC3ZQg56ref_oTUUkDGgEqcyLrJeHaBf, https://drive.google.com/open?id=14CQFI-2gV_u8295vn7BijCrYW9cCI5TU</v>
      </c>
      <c r="Y666" s="495" t="str">
        <f>IFERROR(__xludf.DUMMYFUNCTION("""COMPUTED_VALUE"""),"miguelptorres@gmail.com")</f>
        <v>miguelptorres@gmail.com</v>
      </c>
      <c r="Z666" s="495"/>
      <c r="AA666" s="495"/>
      <c r="AB666" s="495"/>
      <c r="AC666" s="495"/>
      <c r="AD666" s="495" t="str">
        <f>IFERROR(__xludf.DUMMYFUNCTION("""COMPUTED_VALUE"""),"RC-024")</f>
        <v>RC-024</v>
      </c>
    </row>
    <row r="667">
      <c r="A667" s="495" t="str">
        <f t="shared" si="1"/>
        <v>RC-022</v>
      </c>
      <c r="B667" s="497">
        <f>IFERROR(__xludf.DUMMYFUNCTION("""COMPUTED_VALUE"""),45904.56644650463)</f>
        <v>45904.56645</v>
      </c>
      <c r="C667" s="495" t="str">
        <f>IFERROR(__xludf.DUMMYFUNCTION("""COMPUTED_VALUE"""),"")</f>
        <v/>
      </c>
      <c r="D667" s="495" t="str">
        <f>IFERROR(__xludf.DUMMYFUNCTION("""COMPUTED_VALUE"""),"Leonor Ríos Morales")</f>
        <v>Leonor Ríos Morales</v>
      </c>
      <c r="E667" s="495"/>
      <c r="F667" s="496" t="str">
        <f>IFERROR(__xludf.DUMMYFUNCTION("""COMPUTED_VALUE"""),"7613-2025")</f>
        <v>7613-2025</v>
      </c>
      <c r="G667" s="495"/>
      <c r="H667" s="495"/>
      <c r="I667" s="495"/>
      <c r="J667" s="495" t="str">
        <f>IFERROR(__xludf.DUMMYFUNCTION("""COMPUTED_VALUE"""),"Campus San Juan Pablo II - CJP")</f>
        <v>Campus San Juan Pablo II - CJP</v>
      </c>
      <c r="K667" s="495" t="str">
        <f>IFERROR(__xludf.DUMMYFUNCTION("""COMPUTED_VALUE"""),"01")</f>
        <v>01</v>
      </c>
      <c r="L667" s="495" t="str">
        <f>IFERROR(__xludf.DUMMYFUNCTION("""COMPUTED_VALUE"""),"Alejandro Barría Mateluna ")</f>
        <v>Alejandro Barría Mateluna </v>
      </c>
      <c r="M667" s="495" t="str">
        <f>IFERROR(__xludf.DUMMYFUNCTION("""COMPUTED_VALUE"""),"11.662.472-9")</f>
        <v>11.662.472-9</v>
      </c>
      <c r="N667" s="495" t="str">
        <f>IFERROR(__xludf.DUMMYFUNCTION("""COMPUTED_VALUE"""),"Alejandro Barría Mateluna ")</f>
        <v>Alejandro Barría Mateluna </v>
      </c>
      <c r="O667" s="495" t="str">
        <f>IFERROR(__xludf.DUMMYFUNCTION("""COMPUTED_VALUE"""),"Mantenciones")</f>
        <v>Mantenciones</v>
      </c>
      <c r="P667" s="495" t="str">
        <f>IFERROR(__xludf.DUMMYFUNCTION("""COMPUTED_VALUE"""),"Requerimientos Emergentes e Imprevistos")</f>
        <v>Requerimientos Emergentes e Imprevistos</v>
      </c>
      <c r="Q667" s="495"/>
      <c r="R667" s="495"/>
      <c r="S667" s="495"/>
      <c r="T667" s="495"/>
      <c r="U667" s="495"/>
      <c r="V667" s="495" t="str">
        <f>IFERROR(__xludf.DUMMYFUNCTION("""COMPUTED_VALUE"""),"Cambió de cristal puerta acceso ")</f>
        <v>Cambió de cristal puerta acceso </v>
      </c>
      <c r="W667" s="495"/>
      <c r="X667" s="499" t="str">
        <f>IFERROR(__xludf.DUMMYFUNCTION("""COMPUTED_VALUE"""),"https://drive.google.com/open?id=1Wk50fnd98UZhpcCOjYiSP8tL1DpZdM6y")</f>
        <v>https://drive.google.com/open?id=1Wk50fnd98UZhpcCOjYiSP8tL1DpZdM6y</v>
      </c>
      <c r="Y667" s="495" t="str">
        <f>IFERROR(__xludf.DUMMYFUNCTION("""COMPUTED_VALUE"""),"aabarriam@gmail.com")</f>
        <v>aabarriam@gmail.com</v>
      </c>
      <c r="Z667" s="495"/>
      <c r="AA667" s="495"/>
      <c r="AB667" s="495"/>
      <c r="AC667" s="495"/>
      <c r="AD667" s="495" t="str">
        <f>IFERROR(__xludf.DUMMYFUNCTION("""COMPUTED_VALUE"""),"RC-022")</f>
        <v>RC-022</v>
      </c>
    </row>
    <row r="668">
      <c r="A668" s="495" t="str">
        <f t="shared" si="1"/>
        <v>RC-346_26</v>
      </c>
      <c r="B668" s="497">
        <f>IFERROR(__xludf.DUMMYFUNCTION("""COMPUTED_VALUE"""),46237.46386015046)</f>
        <v>46237.46386</v>
      </c>
      <c r="C668" s="495" t="str">
        <f>IFERROR(__xludf.DUMMYFUNCTION("""COMPUTED_VALUE"""),"")</f>
        <v/>
      </c>
      <c r="D668" s="495" t="str">
        <f>IFERROR(__xludf.DUMMYFUNCTION("""COMPUTED_VALUE"""),"Juan Ignacio Solís de Ovando")</f>
        <v>Juan Ignacio Solís de Ovando</v>
      </c>
      <c r="E668" s="495"/>
      <c r="F668" s="496" t="str">
        <f>IFERROR(__xludf.DUMMYFUNCTION("""COMPUTED_VALUE"""),"1426-2026")</f>
        <v>1426-2026</v>
      </c>
      <c r="G668" s="495"/>
      <c r="H668" s="495"/>
      <c r="I668" s="495"/>
      <c r="J668" s="495" t="str">
        <f>IFERROR(__xludf.DUMMYFUNCTION("""COMPUTED_VALUE"""),"Campus Dr. Luis Rivas del Canto - CRC")</f>
        <v>Campus Dr. Luis Rivas del Canto - CRC</v>
      </c>
      <c r="K668" s="495" t="str">
        <f>IFERROR(__xludf.DUMMYFUNCTION("""COMPUTED_VALUE"""),"Sin número")</f>
        <v>Sin número</v>
      </c>
      <c r="L668" s="495" t="str">
        <f>IFERROR(__xludf.DUMMYFUNCTION("""COMPUTED_VALUE"""),"LSA INGENIERIA Y CONSTRUCCION EIRL")</f>
        <v>LSA INGENIERIA Y CONSTRUCCION EIRL</v>
      </c>
      <c r="M668" s="495" t="str">
        <f>IFERROR(__xludf.DUMMYFUNCTION("""COMPUTED_VALUE"""),"76.219.281-0")</f>
        <v>76.219.281-0</v>
      </c>
      <c r="N668" s="495" t="str">
        <f>IFERROR(__xludf.DUMMYFUNCTION("""COMPUTED_VALUE"""),"CLAUDIA SANZANA SAEZ, ADMINISTRADOR DE OBRA")</f>
        <v>CLAUDIA SANZANA SAEZ, ADMINISTRADOR DE OBRA</v>
      </c>
      <c r="O668" s="495" t="str">
        <f>IFERROR(__xludf.DUMMYFUNCTION("""COMPUTED_VALUE"""),"Obras y Especialidades")</f>
        <v>Obras y Especialidades</v>
      </c>
      <c r="P668" s="495"/>
      <c r="Q668" s="495"/>
      <c r="R668" s="495" t="str">
        <f>IFERROR(__xludf.DUMMYFUNCTION("""COMPUTED_VALUE"""),"Nuevo Edificio")</f>
        <v>Nuevo Edificio</v>
      </c>
      <c r="S668" s="495" t="str">
        <f>IFERROR(__xludf.DUMMYFUNCTION("""COMPUTED_VALUE"""),"Estado de Pago - EP")</f>
        <v>Estado de Pago - EP</v>
      </c>
      <c r="T668" s="495">
        <f>IFERROR(__xludf.DUMMYFUNCTION("""COMPUTED_VALUE"""),5.0)</f>
        <v>5</v>
      </c>
      <c r="U668" s="498">
        <f>IFERROR(__xludf.DUMMYFUNCTION("""COMPUTED_VALUE"""),1.08851059E8)</f>
        <v>108851059</v>
      </c>
      <c r="V668" s="495" t="str">
        <f>IFERROR(__xludf.DUMMYFUNCTION("""COMPUTED_VALUE"""),"CONSTRUCCION DE EDIFICIO CASINO")</f>
        <v>CONSTRUCCION DE EDIFICIO CASINO</v>
      </c>
      <c r="W668" s="495"/>
      <c r="X668" s="495" t="str">
        <f>IFERROR(__xludf.DUMMYFUNCTION("""COMPUTED_VALUE"""),"https://drive.google.com/open?id=1OyqvL5cRomn4qZiNOxtYnbBzfAZu6tNY, https://drive.google.com/open?id=18UjkDGdOSNlL78PoTf4U0lP_xF-Aum0R, https://drive.google.com/open?id=1qVsu105n4jxbwSpcYPSIP_MtbeROfHXH, https://drive.google.com/open?id=1e0ixsRbN6_7jekwz-"&amp;"TDyq8gfEPhkIJQ8, https://drive.google.com/open?id=1q_LiCvHJeovf4sY-ngbDvwJHVn2_wv9e, https://drive.google.com/open?id=1aKx-ZNVLIy-x53iZRRzoxY2mb0Tl0PZJ, https://drive.google.com/open?id=1LwiZb6Tn06F0mIpK2zhIw7QQ4hmLB49v, https://drive.google.com/open?id=1"&amp;"N_XWIxA50cym28VNlAP2ZQ9If-qrTem8, https://drive.google.com/open?id=1uCQcJXJJtx9YiYQqoZymmox_eL0E479p")</f>
        <v>https://drive.google.com/open?id=1OyqvL5cRomn4qZiNOxtYnbBzfAZu6tNY, https://drive.google.com/open?id=18UjkDGdOSNlL78PoTf4U0lP_xF-Aum0R, https://drive.google.com/open?id=1qVsu105n4jxbwSpcYPSIP_MtbeROfHXH, https://drive.google.com/open?id=1e0ixsRbN6_7jekwz-TDyq8gfEPhkIJQ8, https://drive.google.com/open?id=1q_LiCvHJeovf4sY-ngbDvwJHVn2_wv9e, https://drive.google.com/open?id=1aKx-ZNVLIy-x53iZRRzoxY2mb0Tl0PZJ, https://drive.google.com/open?id=1LwiZb6Tn06F0mIpK2zhIw7QQ4hmLB49v, https://drive.google.com/open?id=1N_XWIxA50cym28VNlAP2ZQ9If-qrTem8, https://drive.google.com/open?id=1uCQcJXJJtx9YiYQqoZymmox_eL0E479p</v>
      </c>
      <c r="Y668" s="495" t="str">
        <f>IFERROR(__xludf.DUMMYFUNCTION("""COMPUTED_VALUE"""),"claudiasanzana@lsaingenieria.cl")</f>
        <v>claudiasanzana@lsaingenieria.cl</v>
      </c>
      <c r="Z668" s="498">
        <f>IFERROR(__xludf.DUMMYFUNCTION("""COMPUTED_VALUE"""),8.55200912E8)</f>
        <v>855200912</v>
      </c>
      <c r="AA668" s="495"/>
      <c r="AB668" s="495"/>
      <c r="AC668" s="495"/>
      <c r="AD668" s="495" t="str">
        <f>IFERROR(__xludf.DUMMYFUNCTION("""COMPUTED_VALUE"""),"RC-346_26")</f>
        <v>RC-346_26</v>
      </c>
    </row>
    <row r="669">
      <c r="A669" s="495" t="str">
        <f t="shared" si="1"/>
        <v>RC-021</v>
      </c>
      <c r="B669" s="497">
        <f>IFERROR(__xludf.DUMMYFUNCTION("""COMPUTED_VALUE"""),45904.40817729167)</f>
        <v>45904.40818</v>
      </c>
      <c r="C669" s="495" t="str">
        <f>IFERROR(__xludf.DUMMYFUNCTION("""COMPUTED_VALUE"""),"")</f>
        <v/>
      </c>
      <c r="D669" s="495" t="str">
        <f>IFERROR(__xludf.DUMMYFUNCTION("""COMPUTED_VALUE"""),"Carol Huenchual Chañilao")</f>
        <v>Carol Huenchual Chañilao</v>
      </c>
      <c r="E669" s="495"/>
      <c r="F669" s="496" t="str">
        <f>IFERROR(__xludf.DUMMYFUNCTION("""COMPUTED_VALUE"""),"7709 -2025")</f>
        <v>7709 -2025</v>
      </c>
      <c r="G669" s="495"/>
      <c r="H669" s="495"/>
      <c r="I669" s="495"/>
      <c r="J669" s="495" t="str">
        <f>IFERROR(__xludf.DUMMYFUNCTION("""COMPUTED_VALUE"""),"Campus San Francisco - CSF")</f>
        <v>Campus San Francisco - CSF</v>
      </c>
      <c r="K669" s="495" t="str">
        <f>IFERROR(__xludf.DUMMYFUNCTION("""COMPUTED_VALUE"""),"01")</f>
        <v>01</v>
      </c>
      <c r="L669" s="495" t="str">
        <f>IFERROR(__xludf.DUMMYFUNCTION("""COMPUTED_VALUE"""),"Flavia Oyarzun Soto")</f>
        <v>Flavia Oyarzun Soto</v>
      </c>
      <c r="M669" s="495" t="str">
        <f>IFERROR(__xludf.DUMMYFUNCTION("""COMPUTED_VALUE"""),"5.503.590-3")</f>
        <v>5.503.590-3</v>
      </c>
      <c r="N669" s="495" t="str">
        <f>IFERROR(__xludf.DUMMYFUNCTION("""COMPUTED_VALUE"""),"Roberto Lassalle (supervisor)")</f>
        <v>Roberto Lassalle (supervisor)</v>
      </c>
      <c r="O669" s="495" t="str">
        <f>IFERROR(__xludf.DUMMYFUNCTION("""COMPUTED_VALUE"""),"Mantenciones")</f>
        <v>Mantenciones</v>
      </c>
      <c r="P669" s="495" t="str">
        <f>IFERROR(__xludf.DUMMYFUNCTION("""COMPUTED_VALUE"""),"Terminaciones Interiores")</f>
        <v>Terminaciones Interiores</v>
      </c>
      <c r="Q669" s="495"/>
      <c r="R669" s="495"/>
      <c r="S669" s="495"/>
      <c r="T669" s="495"/>
      <c r="U669" s="495"/>
      <c r="V669" s="495" t="str">
        <f>IFERROR(__xludf.DUMMYFUNCTION("""COMPUTED_VALUE"""),"Aplicación de pintura, y reparación filtración por aislacion térmica. ")</f>
        <v>Aplicación de pintura, y reparación filtración por aislacion térmica. </v>
      </c>
      <c r="W669" s="495" t="str">
        <f>IFERROR(__xludf.DUMMYFUNCTION("""COMPUTED_VALUE"""),"No requiere")</f>
        <v>No requiere</v>
      </c>
      <c r="X669" s="495" t="str">
        <f>IFERROR(__xludf.DUMMYFUNCTION("""COMPUTED_VALUE"""),"https://drive.google.com/open?id=1nR9nn2JCqAqQbc76YjsuI1dP7JouMB-H, https://drive.google.com/open?id=195Z7LL_YENZibDjiRLxxsDDaT-sSVi_F")</f>
        <v>https://drive.google.com/open?id=1nR9nn2JCqAqQbc76YjsuI1dP7JouMB-H, https://drive.google.com/open?id=195Z7LL_YENZibDjiRLxxsDDaT-sSVi_F</v>
      </c>
      <c r="Y669" s="495" t="str">
        <f>IFERROR(__xludf.DUMMYFUNCTION("""COMPUTED_VALUE"""),"roberto.lassalle@gmail.com")</f>
        <v>roberto.lassalle@gmail.com</v>
      </c>
      <c r="Z669" s="495"/>
      <c r="AA669" s="495"/>
      <c r="AB669" s="495"/>
      <c r="AC669" s="495"/>
      <c r="AD669" s="495" t="str">
        <f>IFERROR(__xludf.DUMMYFUNCTION("""COMPUTED_VALUE"""),"RC-021")</f>
        <v>RC-021</v>
      </c>
    </row>
    <row r="670">
      <c r="A670" s="495" t="str">
        <f t="shared" si="1"/>
        <v>RC-020</v>
      </c>
      <c r="B670" s="497">
        <f>IFERROR(__xludf.DUMMYFUNCTION("""COMPUTED_VALUE"""),45904.4062666088)</f>
        <v>45904.40627</v>
      </c>
      <c r="C670" s="495" t="str">
        <f>IFERROR(__xludf.DUMMYFUNCTION("""COMPUTED_VALUE"""),"")</f>
        <v/>
      </c>
      <c r="D670" s="495" t="str">
        <f>IFERROR(__xludf.DUMMYFUNCTION("""COMPUTED_VALUE"""),"Carol Huenchual Chañilao")</f>
        <v>Carol Huenchual Chañilao</v>
      </c>
      <c r="E670" s="495"/>
      <c r="F670" s="496" t="str">
        <f>IFERROR(__xludf.DUMMYFUNCTION("""COMPUTED_VALUE"""),"7817 -2025")</f>
        <v>7817 -2025</v>
      </c>
      <c r="G670" s="495"/>
      <c r="H670" s="495"/>
      <c r="I670" s="495"/>
      <c r="J670" s="495" t="str">
        <f>IFERROR(__xludf.DUMMYFUNCTION("""COMPUTED_VALUE"""),"Campus Monseñor Alejandro Menchaca Lira - CML")</f>
        <v>Campus Monseñor Alejandro Menchaca Lira - CML</v>
      </c>
      <c r="K670" s="495" t="str">
        <f>IFERROR(__xludf.DUMMYFUNCTION("""COMPUTED_VALUE"""),"03")</f>
        <v>03</v>
      </c>
      <c r="L670" s="495" t="str">
        <f>IFERROR(__xludf.DUMMYFUNCTION("""COMPUTED_VALUE"""),"Flavia Oyarzun Soto")</f>
        <v>Flavia Oyarzun Soto</v>
      </c>
      <c r="M670" s="495" t="str">
        <f>IFERROR(__xludf.DUMMYFUNCTION("""COMPUTED_VALUE"""),"5.503.590-3")</f>
        <v>5.503.590-3</v>
      </c>
      <c r="N670" s="495" t="str">
        <f>IFERROR(__xludf.DUMMYFUNCTION("""COMPUTED_VALUE"""),"Roberto Lassalle (supervisor)")</f>
        <v>Roberto Lassalle (supervisor)</v>
      </c>
      <c r="O670" s="495" t="str">
        <f>IFERROR(__xludf.DUMMYFUNCTION("""COMPUTED_VALUE"""),"Mantenciones")</f>
        <v>Mantenciones</v>
      </c>
      <c r="P670" s="495" t="str">
        <f>IFERROR(__xludf.DUMMYFUNCTION("""COMPUTED_VALUE"""),"Terminaciones Interiores")</f>
        <v>Terminaciones Interiores</v>
      </c>
      <c r="Q670" s="495"/>
      <c r="R670" s="495"/>
      <c r="S670" s="495"/>
      <c r="T670" s="495"/>
      <c r="U670" s="495"/>
      <c r="V670" s="495" t="str">
        <f>IFERROR(__xludf.DUMMYFUNCTION("""COMPUTED_VALUE"""),"Aplicación de pintura en muros y cielo, acceso principal hall académia de artes musicales.")</f>
        <v>Aplicación de pintura en muros y cielo, acceso principal hall académia de artes musicales.</v>
      </c>
      <c r="W670" s="495" t="str">
        <f>IFERROR(__xludf.DUMMYFUNCTION("""COMPUTED_VALUE"""),"No requiere")</f>
        <v>No requiere</v>
      </c>
      <c r="X670" s="495" t="str">
        <f>IFERROR(__xludf.DUMMYFUNCTION("""COMPUTED_VALUE"""),"https://drive.google.com/open?id=1orQk4xA3u0wvw2StYIrnY9gaLEeW-PL3, https://drive.google.com/open?id=1pSbiUkKTOPJ9ITWjqfgbvJL64pnq_df9")</f>
        <v>https://drive.google.com/open?id=1orQk4xA3u0wvw2StYIrnY9gaLEeW-PL3, https://drive.google.com/open?id=1pSbiUkKTOPJ9ITWjqfgbvJL64pnq_df9</v>
      </c>
      <c r="Y670" s="495" t="str">
        <f>IFERROR(__xludf.DUMMYFUNCTION("""COMPUTED_VALUE"""),"roberto.lassalle@gmail.com")</f>
        <v>roberto.lassalle@gmail.com</v>
      </c>
      <c r="Z670" s="495"/>
      <c r="AA670" s="495"/>
      <c r="AB670" s="495"/>
      <c r="AC670" s="495"/>
      <c r="AD670" s="495" t="str">
        <f>IFERROR(__xludf.DUMMYFUNCTION("""COMPUTED_VALUE"""),"RC-020")</f>
        <v>RC-020</v>
      </c>
    </row>
    <row r="671">
      <c r="A671" s="495" t="str">
        <f t="shared" si="1"/>
        <v>RC-349_26</v>
      </c>
      <c r="B671" s="497">
        <f>IFERROR(__xludf.DUMMYFUNCTION("""COMPUTED_VALUE"""),46237.47302706019)</f>
        <v>46237.47303</v>
      </c>
      <c r="C671" s="495" t="str">
        <f>IFERROR(__xludf.DUMMYFUNCTION("""COMPUTED_VALUE"""),"")</f>
        <v/>
      </c>
      <c r="D671" s="495" t="str">
        <f>IFERROR(__xludf.DUMMYFUNCTION("""COMPUTED_VALUE"""),"Leonor Ríos Morales")</f>
        <v>Leonor Ríos Morales</v>
      </c>
      <c r="E671" s="495"/>
      <c r="F671" s="496" t="str">
        <f>IFERROR(__xludf.DUMMYFUNCTION("""COMPUTED_VALUE"""),"5048 - 2026")</f>
        <v>5048 - 2026</v>
      </c>
      <c r="G671" s="495"/>
      <c r="H671" s="495"/>
      <c r="I671" s="495"/>
      <c r="J671" s="495" t="str">
        <f>IFERROR(__xludf.DUMMYFUNCTION("""COMPUTED_VALUE"""),"Campus San Juan Pablo II - CJP")</f>
        <v>Campus San Juan Pablo II - CJP</v>
      </c>
      <c r="K671" s="495" t="str">
        <f>IFERROR(__xludf.DUMMYFUNCTION("""COMPUTED_VALUE"""),"03")</f>
        <v>03</v>
      </c>
      <c r="L671" s="495" t="str">
        <f>IFERROR(__xludf.DUMMYFUNCTION("""COMPUTED_VALUE"""),"Constructora IGECE Ltda.")</f>
        <v>Constructora IGECE Ltda.</v>
      </c>
      <c r="M671" s="495" t="str">
        <f>IFERROR(__xludf.DUMMYFUNCTION("""COMPUTED_VALUE"""),"76.878.824-3")</f>
        <v>76.878.824-3</v>
      </c>
      <c r="N671" s="495" t="str">
        <f>IFERROR(__xludf.DUMMYFUNCTION("""COMPUTED_VALUE"""),"Carlos Troncoso - Gerente General ")</f>
        <v>Carlos Troncoso - Gerente General </v>
      </c>
      <c r="O671" s="495" t="str">
        <f>IFERROR(__xludf.DUMMYFUNCTION("""COMPUTED_VALUE"""),"Obras y Especialidades")</f>
        <v>Obras y Especialidades</v>
      </c>
      <c r="P671" s="495"/>
      <c r="Q671" s="495"/>
      <c r="R671" s="495" t="str">
        <f>IFERROR(__xludf.DUMMYFUNCTION("""COMPUTED_VALUE"""),"Remodelación")</f>
        <v>Remodelación</v>
      </c>
      <c r="S671" s="495" t="str">
        <f>IFERROR(__xludf.DUMMYFUNCTION("""COMPUTED_VALUE"""),"Estado de Pago - EP")</f>
        <v>Estado de Pago - EP</v>
      </c>
      <c r="T671" s="495">
        <f>IFERROR(__xludf.DUMMYFUNCTION("""COMPUTED_VALUE"""),1.0)</f>
        <v>1</v>
      </c>
      <c r="U671" s="498">
        <f>IFERROR(__xludf.DUMMYFUNCTION("""COMPUTED_VALUE"""),1015644.0)</f>
        <v>1015644</v>
      </c>
      <c r="V671" s="495" t="str">
        <f>IFERROR(__xludf.DUMMYFUNCTION("""COMPUTED_VALUE"""),"Fabricación 2 escritorios + Mueble Aéreo:  Fabricación 2 escritorios nuevos, fabricación 2 cajoneras nuevas (3 cajones cada cajonera, incluye rieles, tiradores), 
fabricación mueble aéreo de 1,27x0,7x0,35.
Modificación 2 Escritorios: Modificación según "&amp;"diseño y lo visto en terreno.
Sillas Escritorios: Compra 2 Silla Escritorio Ejecutiva Malla Rio Negro
Pizarra Magnética:  compra 1 Pizarra magnética 120X80 cm Blanco
")</f>
        <v>Fabricación 2 escritorios + Mueble Aéreo:  Fabricación 2 escritorios nuevos, fabricación 2 cajoneras nuevas (3 cajones cada cajonera, incluye rieles, tiradores), 
fabricación mueble aéreo de 1,27x0,7x0,35.
Modificación 2 Escritorios: Modificación según diseño y lo visto en terreno.
Sillas Escritorios: Compra 2 Silla Escritorio Ejecutiva Malla Rio Negro
Pizarra Magnética:  compra 1 Pizarra magnética 120X80 cm Blanco
</v>
      </c>
      <c r="W671" s="495"/>
      <c r="X671" s="495" t="str">
        <f>IFERROR(__xludf.DUMMYFUNCTION("""COMPUTED_VALUE"""),"https://drive.google.com/open?id=1BcblHGwjPx395Q3K9DCu45q_wEMcxX02, https://drive.google.com/open?id=1oGmwibUfvuNfMFsn_r6aH_eSePYw35vz, https://drive.google.com/open?id=1CoZSC8PjnNqCKtz68kLu4IYgJi-a3ANf, https://drive.google.com/open?id=1B2tExZobIff73aAvB"&amp;"JLFxFEsLFNdK7TW, https://drive.google.com/open?id=1ZM2JsEcPJE_YtuZfC-xd0pMjRSakZGOp, https://drive.google.com/open?id=1d2frK1g9goXbOA5HUGgnyvRUN6cbhu8i, https://drive.google.com/open?id=1S0dcnCekT-HHiWt-kzayG2wvol39GPyh, https://drive.google.com/open?id=1"&amp;"sArvhDCh-ViuuA79WVFCZIQOxPnmfDwZ")</f>
        <v>https://drive.google.com/open?id=1BcblHGwjPx395Q3K9DCu45q_wEMcxX02, https://drive.google.com/open?id=1oGmwibUfvuNfMFsn_r6aH_eSePYw35vz, https://drive.google.com/open?id=1CoZSC8PjnNqCKtz68kLu4IYgJi-a3ANf, https://drive.google.com/open?id=1B2tExZobIff73aAvBJLFxFEsLFNdK7TW, https://drive.google.com/open?id=1ZM2JsEcPJE_YtuZfC-xd0pMjRSakZGOp, https://drive.google.com/open?id=1d2frK1g9goXbOA5HUGgnyvRUN6cbhu8i, https://drive.google.com/open?id=1S0dcnCekT-HHiWt-kzayG2wvol39GPyh, https://drive.google.com/open?id=1sArvhDCh-ViuuA79WVFCZIQOxPnmfDwZ</v>
      </c>
      <c r="Y671" s="495" t="str">
        <f>IFERROR(__xludf.DUMMYFUNCTION("""COMPUTED_VALUE"""),"fabian.i.burgos.s@gmail.com")</f>
        <v>fabian.i.burgos.s@gmail.com</v>
      </c>
      <c r="Z671" s="498">
        <f>IFERROR(__xludf.DUMMYFUNCTION("""COMPUTED_VALUE"""),1015644.0)</f>
        <v>1015644</v>
      </c>
      <c r="AA671" s="495"/>
      <c r="AB671" s="495"/>
      <c r="AC671" s="495"/>
      <c r="AD671" s="495" t="str">
        <f>IFERROR(__xludf.DUMMYFUNCTION("""COMPUTED_VALUE"""),"RC-349_26")</f>
        <v>RC-349_26</v>
      </c>
    </row>
    <row r="672">
      <c r="A672" s="495" t="str">
        <f t="shared" si="1"/>
        <v>RC-019</v>
      </c>
      <c r="B672" s="497">
        <f>IFERROR(__xludf.DUMMYFUNCTION("""COMPUTED_VALUE"""),45902.86274585648)</f>
        <v>45902.86275</v>
      </c>
      <c r="C672" s="495" t="str">
        <f>IFERROR(__xludf.DUMMYFUNCTION("""COMPUTED_VALUE"""),"")</f>
        <v/>
      </c>
      <c r="D672" s="495" t="str">
        <f>IFERROR(__xludf.DUMMYFUNCTION("""COMPUTED_VALUE"""),"Mauricio Matus Belmar")</f>
        <v>Mauricio Matus Belmar</v>
      </c>
      <c r="E672" s="495"/>
      <c r="F672" s="496" t="str">
        <f>IFERROR(__xludf.DUMMYFUNCTION("""COMPUTED_VALUE"""),"2025 - 7821")</f>
        <v>2025 - 7821</v>
      </c>
      <c r="G672" s="495"/>
      <c r="H672" s="495"/>
      <c r="I672" s="495"/>
      <c r="J672" s="495" t="str">
        <f>IFERROR(__xludf.DUMMYFUNCTION("""COMPUTED_VALUE"""),"Campus Pillanlelbun - CPL")</f>
        <v>Campus Pillanlelbun - CPL</v>
      </c>
      <c r="K672" s="495" t="str">
        <f>IFERROR(__xludf.DUMMYFUNCTION("""COMPUTED_VALUE"""),"Exterior")</f>
        <v>Exterior</v>
      </c>
      <c r="L672" s="495" t="str">
        <f>IFERROR(__xludf.DUMMYFUNCTION("""COMPUTED_VALUE"""),"Flavia Oyarzun Soto")</f>
        <v>Flavia Oyarzun Soto</v>
      </c>
      <c r="M672" s="495" t="str">
        <f>IFERROR(__xludf.DUMMYFUNCTION("""COMPUTED_VALUE"""),"5.503.590-3")</f>
        <v>5.503.590-3</v>
      </c>
      <c r="N672" s="495" t="str">
        <f>IFERROR(__xludf.DUMMYFUNCTION("""COMPUTED_VALUE"""),"Roberto Lassalle (supervisor)")</f>
        <v>Roberto Lassalle (supervisor)</v>
      </c>
      <c r="O672" s="495" t="str">
        <f>IFERROR(__xludf.DUMMYFUNCTION("""COMPUTED_VALUE"""),"Mantenciones")</f>
        <v>Mantenciones</v>
      </c>
      <c r="P672" s="495" t="str">
        <f>IFERROR(__xludf.DUMMYFUNCTION("""COMPUTED_VALUE"""),"Cerramientos Verticales")</f>
        <v>Cerramientos Verticales</v>
      </c>
      <c r="Q672" s="495"/>
      <c r="R672" s="495"/>
      <c r="S672" s="495"/>
      <c r="T672" s="495"/>
      <c r="U672" s="495"/>
      <c r="V672" s="495" t="str">
        <f>IFERROR(__xludf.DUMMYFUNCTION("""COMPUTED_VALUE"""),"Cierre perimetral predio Campus Pillanlelbun")</f>
        <v>Cierre perimetral predio Campus Pillanlelbun</v>
      </c>
      <c r="W672" s="495" t="str">
        <f>IFERROR(__xludf.DUMMYFUNCTION("""COMPUTED_VALUE"""),"No requiere.")</f>
        <v>No requiere.</v>
      </c>
      <c r="X672" s="499" t="str">
        <f>IFERROR(__xludf.DUMMYFUNCTION("""COMPUTED_VALUE"""),"https://drive.google.com/open?id=1ejpoBujteWfEBq064Byp3qi6X2qb0J_r, https://drive.google.com/open?id=1-xHu7fAqafF_qT22K8QzcAe_ZfJzcMh3")</f>
        <v>https://drive.google.com/open?id=1ejpoBujteWfEBq064Byp3qi6X2qb0J_r, https://drive.google.com/open?id=1-xHu7fAqafF_qT22K8QzcAe_ZfJzcMh3</v>
      </c>
      <c r="Y672" s="495" t="str">
        <f>IFERROR(__xludf.DUMMYFUNCTION("""COMPUTED_VALUE"""),"roberto.lassalle@gmail.com")</f>
        <v>roberto.lassalle@gmail.com</v>
      </c>
      <c r="Z672" s="495"/>
      <c r="AA672" s="495"/>
      <c r="AB672" s="495"/>
      <c r="AC672" s="495"/>
      <c r="AD672" s="495" t="str">
        <f>IFERROR(__xludf.DUMMYFUNCTION("""COMPUTED_VALUE"""),"RC-019")</f>
        <v>RC-019</v>
      </c>
    </row>
    <row r="673">
      <c r="A673" s="495" t="str">
        <f t="shared" si="1"/>
        <v>RC-018</v>
      </c>
      <c r="B673" s="497">
        <f>IFERROR(__xludf.DUMMYFUNCTION("""COMPUTED_VALUE"""),45902.705250706014)</f>
        <v>45902.70525</v>
      </c>
      <c r="C673" s="495" t="str">
        <f>IFERROR(__xludf.DUMMYFUNCTION("""COMPUTED_VALUE"""),"")</f>
        <v/>
      </c>
      <c r="D673" s="495" t="str">
        <f>IFERROR(__xludf.DUMMYFUNCTION("""COMPUTED_VALUE"""),"Mauricio Matus Belmar")</f>
        <v>Mauricio Matus Belmar</v>
      </c>
      <c r="E673" s="495"/>
      <c r="F673" s="496">
        <f>IFERROR(__xludf.DUMMYFUNCTION("""COMPUTED_VALUE"""),7686.0)</f>
        <v>7686</v>
      </c>
      <c r="G673" s="495"/>
      <c r="H673" s="495"/>
      <c r="I673" s="495"/>
      <c r="J673" s="495" t="str">
        <f>IFERROR(__xludf.DUMMYFUNCTION("""COMPUTED_VALUE"""),"Campus San Juan Pablo II - CJP")</f>
        <v>Campus San Juan Pablo II - CJP</v>
      </c>
      <c r="K673" s="495">
        <f>IFERROR(__xludf.DUMMYFUNCTION("""COMPUTED_VALUE"""),11.0)</f>
        <v>11</v>
      </c>
      <c r="L673" s="495" t="str">
        <f>IFERROR(__xludf.DUMMYFUNCTION("""COMPUTED_VALUE"""),"MR ELECTRO CLIMA SPA")</f>
        <v>MR ELECTRO CLIMA SPA</v>
      </c>
      <c r="M673" s="495" t="str">
        <f>IFERROR(__xludf.DUMMYFUNCTION("""COMPUTED_VALUE"""),"77.773.634-5")</f>
        <v>77.773.634-5</v>
      </c>
      <c r="N673" s="495" t="str">
        <f>IFERROR(__xludf.DUMMYFUNCTION("""COMPUTED_VALUE"""),"Patricio Manriquez Riffo")</f>
        <v>Patricio Manriquez Riffo</v>
      </c>
      <c r="O673" s="495" t="str">
        <f>IFERROR(__xludf.DUMMYFUNCTION("""COMPUTED_VALUE"""),"Mantenciones")</f>
        <v>Mantenciones</v>
      </c>
      <c r="P673" s="495" t="str">
        <f>IFERROR(__xludf.DUMMYFUNCTION("""COMPUTED_VALUE"""),"Requerimientos Emergentes e Imprevistos")</f>
        <v>Requerimientos Emergentes e Imprevistos</v>
      </c>
      <c r="Q673" s="495"/>
      <c r="R673" s="495"/>
      <c r="S673" s="495"/>
      <c r="T673" s="495"/>
      <c r="U673" s="495"/>
      <c r="V673" s="495" t="str">
        <f>IFERROR(__xludf.DUMMYFUNCTION("""COMPUTED_VALUE"""),"Mantenimiento a 4 unidades Fan Coil, levantamiento, limpieza general, medición parametros de funcionamiento, cambio de terminal y válvula reguladora presión.")</f>
        <v>Mantenimiento a 4 unidades Fan Coil, levantamiento, limpieza general, medición parametros de funcionamiento, cambio de terminal y válvula reguladora presión.</v>
      </c>
      <c r="W673" s="495" t="str">
        <f>IFERROR(__xludf.DUMMYFUNCTION("""COMPUTED_VALUE"""),"Equipo con obstrucción completa de polución, se recomienda acortar los tiempos de mantenimiento preventivo.")</f>
        <v>Equipo con obstrucción completa de polución, se recomienda acortar los tiempos de mantenimiento preventivo.</v>
      </c>
      <c r="X673" s="499" t="str">
        <f>IFERROR(__xludf.DUMMYFUNCTION("""COMPUTED_VALUE"""),"https://drive.google.com/open?id=193Tz4NmBIpXC_zO3Sajqt5bMUYcnjZ24, https://drive.google.com/open?id=1JGWJft7CKL7CTW0_ZOGVcPbh53Ms2lEV, https://drive.google.com/open?id=1BoVxz5hdtBeR_PXbVzjoccXtoZ_Ara51, https://drive.google.com/open?id=1U0YGpklIq4Slz9C6k"&amp;"7Ra2jfaiMnF9TqD, https://drive.google.com/open?id=1D3uQWdBzDhrvTopPwKim06EEsIdSCc5c")</f>
        <v>https://drive.google.com/open?id=193Tz4NmBIpXC_zO3Sajqt5bMUYcnjZ24, https://drive.google.com/open?id=1JGWJft7CKL7CTW0_ZOGVcPbh53Ms2lEV, https://drive.google.com/open?id=1BoVxz5hdtBeR_PXbVzjoccXtoZ_Ara51, https://drive.google.com/open?id=1U0YGpklIq4Slz9C6k7Ra2jfaiMnF9TqD, https://drive.google.com/open?id=1D3uQWdBzDhrvTopPwKim06EEsIdSCc5c</v>
      </c>
      <c r="Y673" s="495" t="str">
        <f>IFERROR(__xludf.DUMMYFUNCTION("""COMPUTED_VALUE"""),"luismanriquez555@gmail.com")</f>
        <v>luismanriquez555@gmail.com</v>
      </c>
      <c r="Z673" s="495"/>
      <c r="AA673" s="495"/>
      <c r="AB673" s="495"/>
      <c r="AC673" s="495"/>
      <c r="AD673" s="495" t="str">
        <f>IFERROR(__xludf.DUMMYFUNCTION("""COMPUTED_VALUE"""),"RC-018")</f>
        <v>RC-018</v>
      </c>
    </row>
    <row r="674">
      <c r="A674" s="495" t="str">
        <f t="shared" si="1"/>
        <v>RC-017</v>
      </c>
      <c r="B674" s="497">
        <f>IFERROR(__xludf.DUMMYFUNCTION("""COMPUTED_VALUE"""),45898.709801585646)</f>
        <v>45898.7098</v>
      </c>
      <c r="C674" s="495" t="str">
        <f>IFERROR(__xludf.DUMMYFUNCTION("""COMPUTED_VALUE"""),"")</f>
        <v/>
      </c>
      <c r="D674" s="495" t="str">
        <f>IFERROR(__xludf.DUMMYFUNCTION("""COMPUTED_VALUE"""),"Leonor Ríos Morales")</f>
        <v>Leonor Ríos Morales</v>
      </c>
      <c r="E674" s="495"/>
      <c r="F674" s="496">
        <f>IFERROR(__xludf.DUMMYFUNCTION("""COMPUTED_VALUE"""),7422.0)</f>
        <v>7422</v>
      </c>
      <c r="G674" s="495"/>
      <c r="H674" s="495"/>
      <c r="I674" s="495"/>
      <c r="J674" s="495" t="str">
        <f>IFERROR(__xludf.DUMMYFUNCTION("""COMPUTED_VALUE"""),"Campus San Juan Pablo II - CJP")</f>
        <v>Campus San Juan Pablo II - CJP</v>
      </c>
      <c r="K674" s="495" t="str">
        <f>IFERROR(__xludf.DUMMYFUNCTION("""COMPUTED_VALUE"""),"07")</f>
        <v>07</v>
      </c>
      <c r="L674" s="495" t="str">
        <f>IFERROR(__xludf.DUMMYFUNCTION("""COMPUTED_VALUE"""),"Empresa Constructora IGECE Ltda.")</f>
        <v>Empresa Constructora IGECE Ltda.</v>
      </c>
      <c r="M674" s="495" t="str">
        <f>IFERROR(__xludf.DUMMYFUNCTION("""COMPUTED_VALUE"""),"76.878.824-3")</f>
        <v>76.878.824-3</v>
      </c>
      <c r="N674" s="495" t="str">
        <f>IFERROR(__xludf.DUMMYFUNCTION("""COMPUTED_VALUE"""),"Carlos Troncoso - Gerente General ")</f>
        <v>Carlos Troncoso - Gerente General </v>
      </c>
      <c r="O674" s="495" t="str">
        <f>IFERROR(__xludf.DUMMYFUNCTION("""COMPUTED_VALUE"""),"Mantenciones")</f>
        <v>Mantenciones</v>
      </c>
      <c r="P674" s="495" t="str">
        <f>IFERROR(__xludf.DUMMYFUNCTION("""COMPUTED_VALUE"""),"Requerimientos Emergentes e Imprevistos")</f>
        <v>Requerimientos Emergentes e Imprevistos</v>
      </c>
      <c r="Q674" s="495"/>
      <c r="R674" s="495"/>
      <c r="S674" s="495"/>
      <c r="T674" s="495"/>
      <c r="U674" s="495"/>
      <c r="V674" s="495" t="str">
        <f>IFERROR(__xludf.DUMMYFUNCTION("""COMPUTED_VALUE"""),"-Instalación tarugo metálico en fondo canal Ulma.
-Instalación perno fijación de 15 cm, para evitar el movimiento de rejillas.")</f>
        <v>-Instalación tarugo metálico en fondo canal Ulma.
-Instalación perno fijación de 15 cm, para evitar el movimiento de rejillas.</v>
      </c>
      <c r="W674" s="495"/>
      <c r="X674" s="499" t="str">
        <f>IFERROR(__xludf.DUMMYFUNCTION("""COMPUTED_VALUE"""),"https://drive.google.com/open?id=1Mv4Q0722G0PjmEzFmrq3d99sWvSOUjXa, https://drive.google.com/open?id=1azW6Y_F1bH-eUuN7fg8nT0P3lVjPVG1r, https://drive.google.com/open?id=1fCj3XDheiubWvoDu8pj9XfbVoT3dXwr9")</f>
        <v>https://drive.google.com/open?id=1Mv4Q0722G0PjmEzFmrq3d99sWvSOUjXa, https://drive.google.com/open?id=1azW6Y_F1bH-eUuN7fg8nT0P3lVjPVG1r, https://drive.google.com/open?id=1fCj3XDheiubWvoDu8pj9XfbVoT3dXwr9</v>
      </c>
      <c r="Y674" s="495" t="str">
        <f>IFERROR(__xludf.DUMMYFUNCTION("""COMPUTED_VALUE"""),"carlostroncosom@hotmail.com")</f>
        <v>carlostroncosom@hotmail.com</v>
      </c>
      <c r="Z674" s="495"/>
      <c r="AA674" s="495"/>
      <c r="AB674" s="495"/>
      <c r="AC674" s="495"/>
      <c r="AD674" s="495" t="str">
        <f>IFERROR(__xludf.DUMMYFUNCTION("""COMPUTED_VALUE"""),"RC-017")</f>
        <v>RC-017</v>
      </c>
    </row>
    <row r="675">
      <c r="A675" s="495" t="str">
        <f t="shared" si="1"/>
        <v>RC-016</v>
      </c>
      <c r="B675" s="497">
        <f>IFERROR(__xludf.DUMMYFUNCTION("""COMPUTED_VALUE"""),45898.66665557871)</f>
        <v>45898.66666</v>
      </c>
      <c r="C675" s="495" t="str">
        <f>IFERROR(__xludf.DUMMYFUNCTION("""COMPUTED_VALUE"""),"")</f>
        <v/>
      </c>
      <c r="D675" s="495" t="str">
        <f>IFERROR(__xludf.DUMMYFUNCTION("""COMPUTED_VALUE"""),"Mauricio Matus Belmar")</f>
        <v>Mauricio Matus Belmar</v>
      </c>
      <c r="E675" s="495"/>
      <c r="F675" s="496" t="str">
        <f>IFERROR(__xludf.DUMMYFUNCTION("""COMPUTED_VALUE"""),"2025 - 7672")</f>
        <v>2025 - 7672</v>
      </c>
      <c r="G675" s="495"/>
      <c r="H675" s="495"/>
      <c r="I675" s="495"/>
      <c r="J675" s="495" t="str">
        <f>IFERROR(__xludf.DUMMYFUNCTION("""COMPUTED_VALUE"""),"Campus San Juan Pablo II - CJP")</f>
        <v>Campus San Juan Pablo II - CJP</v>
      </c>
      <c r="K675" s="495" t="str">
        <f>IFERROR(__xludf.DUMMYFUNCTION("""COMPUTED_VALUE"""),"Exterior")</f>
        <v>Exterior</v>
      </c>
      <c r="L675" s="495" t="str">
        <f>IFERROR(__xludf.DUMMYFUNCTION("""COMPUTED_VALUE"""),"Flavia Oyarzun")</f>
        <v>Flavia Oyarzun</v>
      </c>
      <c r="M675" s="495" t="str">
        <f>IFERROR(__xludf.DUMMYFUNCTION("""COMPUTED_VALUE"""),"5.503.590-3")</f>
        <v>5.503.590-3</v>
      </c>
      <c r="N675" s="495" t="str">
        <f>IFERROR(__xludf.DUMMYFUNCTION("""COMPUTED_VALUE"""),"Roberto Lassalle (supervisor)")</f>
        <v>Roberto Lassalle (supervisor)</v>
      </c>
      <c r="O675" s="495" t="str">
        <f>IFERROR(__xludf.DUMMYFUNCTION("""COMPUTED_VALUE"""),"Mantenciones")</f>
        <v>Mantenciones</v>
      </c>
      <c r="P675" s="495" t="str">
        <f>IFERROR(__xludf.DUMMYFUNCTION("""COMPUTED_VALUE"""),"Suelos")</f>
        <v>Suelos</v>
      </c>
      <c r="Q675" s="495"/>
      <c r="R675" s="495"/>
      <c r="S675" s="495"/>
      <c r="T675" s="495"/>
      <c r="U675" s="495"/>
      <c r="V675" s="495" t="str">
        <f>IFERROR(__xludf.DUMMYFUNCTION("""COMPUTED_VALUE"""),"Mantencion pintura alto trafico exterior (señaleticas ceda el paso) sector estacionamiento.")</f>
        <v>Mantencion pintura alto trafico exterior (señaleticas ceda el paso) sector estacionamiento.</v>
      </c>
      <c r="W675" s="495" t="str">
        <f>IFERROR(__xludf.DUMMYFUNCTION("""COMPUTED_VALUE"""),"No requiere ")</f>
        <v>No requiere </v>
      </c>
      <c r="X675" s="495" t="str">
        <f>IFERROR(__xludf.DUMMYFUNCTION("""COMPUTED_VALUE"""),"https://drive.google.com/open?id=1W0Cbp14hiYceaQqmvVLxZxUuB5-VseZf, https://drive.google.com/open?id=1b79BZ5AxEBuqHu16hmRUwCzBP2e4ELCi, https://drive.google.com/open?id=19_w5V1iTHTJvJs7DCPGNQ8yILSrNzOBm, https://drive.google.com/open?id=1PXh1CpwQdsANkoLP3"&amp;"QPSDiRF3EuvoK6_, https://drive.google.com/open?id=1-q-8hz92MruX0Tg65kc9DauuCD7vKBah")</f>
        <v>https://drive.google.com/open?id=1W0Cbp14hiYceaQqmvVLxZxUuB5-VseZf, https://drive.google.com/open?id=1b79BZ5AxEBuqHu16hmRUwCzBP2e4ELCi, https://drive.google.com/open?id=19_w5V1iTHTJvJs7DCPGNQ8yILSrNzOBm, https://drive.google.com/open?id=1PXh1CpwQdsANkoLP3QPSDiRF3EuvoK6_, https://drive.google.com/open?id=1-q-8hz92MruX0Tg65kc9DauuCD7vKBah</v>
      </c>
      <c r="Y675" s="495" t="str">
        <f>IFERROR(__xludf.DUMMYFUNCTION("""COMPUTED_VALUE"""),"roberto.lassalle@gmail.com")</f>
        <v>roberto.lassalle@gmail.com</v>
      </c>
      <c r="Z675" s="495"/>
      <c r="AA675" s="495"/>
      <c r="AB675" s="495"/>
      <c r="AC675" s="495"/>
      <c r="AD675" s="495" t="str">
        <f>IFERROR(__xludf.DUMMYFUNCTION("""COMPUTED_VALUE"""),"RC-016")</f>
        <v>RC-016</v>
      </c>
    </row>
    <row r="676">
      <c r="A676" s="495" t="str">
        <f t="shared" si="1"/>
        <v>RC-354_26</v>
      </c>
      <c r="B676" s="497">
        <f>IFERROR(__xludf.DUMMYFUNCTION("""COMPUTED_VALUE"""),46237.58810636574)</f>
        <v>46237.58811</v>
      </c>
      <c r="C676" s="495" t="str">
        <f>IFERROR(__xludf.DUMMYFUNCTION("""COMPUTED_VALUE"""),"")</f>
        <v/>
      </c>
      <c r="D676" s="495" t="str">
        <f>IFERROR(__xludf.DUMMYFUNCTION("""COMPUTED_VALUE"""),"Leonor Ríos Morales")</f>
        <v>Leonor Ríos Morales</v>
      </c>
      <c r="E676" s="495"/>
      <c r="F676" s="496">
        <f>IFERROR(__xludf.DUMMYFUNCTION("""COMPUTED_VALUE"""),3815.0)</f>
        <v>3815</v>
      </c>
      <c r="G676" s="495"/>
      <c r="H676" s="495"/>
      <c r="I676" s="495"/>
      <c r="J676" s="495" t="str">
        <f>IFERROR(__xludf.DUMMYFUNCTION("""COMPUTED_VALUE"""),"Campus San Francisco - CSF")</f>
        <v>Campus San Francisco - CSF</v>
      </c>
      <c r="K676" s="495" t="str">
        <f>IFERROR(__xludf.DUMMYFUNCTION("""COMPUTED_VALUE"""),"Exterior")</f>
        <v>Exterior</v>
      </c>
      <c r="L676" s="495" t="str">
        <f>IFERROR(__xludf.DUMMYFUNCTION("""COMPUTED_VALUE"""),"Dsiete spa ")</f>
        <v>Dsiete spa </v>
      </c>
      <c r="M676" s="495" t="str">
        <f>IFERROR(__xludf.DUMMYFUNCTION("""COMPUTED_VALUE"""),"77.964.311-5")</f>
        <v>77.964.311-5</v>
      </c>
      <c r="N676" s="495" t="str">
        <f>IFERROR(__xludf.DUMMYFUNCTION("""COMPUTED_VALUE"""),"Daniela Vidal  supervisor ")</f>
        <v>Daniela Vidal  supervisor </v>
      </c>
      <c r="O676" s="495" t="str">
        <f>IFERROR(__xludf.DUMMYFUNCTION("""COMPUTED_VALUE"""),"Obras y Especialidades")</f>
        <v>Obras y Especialidades</v>
      </c>
      <c r="P676" s="495"/>
      <c r="Q676" s="495"/>
      <c r="R676" s="495" t="str">
        <f>IFERROR(__xludf.DUMMYFUNCTION("""COMPUTED_VALUE"""),"Exteriores")</f>
        <v>Exteriores</v>
      </c>
      <c r="S676" s="495" t="str">
        <f>IFERROR(__xludf.DUMMYFUNCTION("""COMPUTED_VALUE"""),"Recepción de Obra - RC")</f>
        <v>Recepción de Obra - RC</v>
      </c>
      <c r="T676" s="495"/>
      <c r="U676" s="495"/>
      <c r="V676" s="495" t="str">
        <f>IFERROR(__xludf.DUMMYFUNCTION("""COMPUTED_VALUE"""),"Señaletica ")</f>
        <v>Señaletica </v>
      </c>
      <c r="W676" s="495"/>
      <c r="X676" s="499" t="str">
        <f>IFERROR(__xludf.DUMMYFUNCTION("""COMPUTED_VALUE"""),"https://drive.google.com/open?id=16logP9S22suAYi649fu6DKtP0yUr4xRu")</f>
        <v>https://drive.google.com/open?id=16logP9S22suAYi649fu6DKtP0yUr4xRu</v>
      </c>
      <c r="Y676" s="495" t="str">
        <f>IFERROR(__xludf.DUMMYFUNCTION("""COMPUTED_VALUE"""),"dsiete.design@gmail.com")</f>
        <v>dsiete.design@gmail.com</v>
      </c>
      <c r="Z676" s="498">
        <f>IFERROR(__xludf.DUMMYFUNCTION("""COMPUTED_VALUE"""),85323.0)</f>
        <v>85323</v>
      </c>
      <c r="AA676" s="495"/>
      <c r="AB676" s="495"/>
      <c r="AC676" s="495"/>
      <c r="AD676" s="495" t="str">
        <f>IFERROR(__xludf.DUMMYFUNCTION("""COMPUTED_VALUE"""),"RC-354_26")</f>
        <v>RC-354_26</v>
      </c>
    </row>
    <row r="677">
      <c r="A677" s="495" t="str">
        <f t="shared" si="1"/>
        <v>RC-015</v>
      </c>
      <c r="B677" s="497">
        <f>IFERROR(__xludf.DUMMYFUNCTION("""COMPUTED_VALUE"""),45898.567875312496)</f>
        <v>45898.56788</v>
      </c>
      <c r="C677" s="495" t="str">
        <f>IFERROR(__xludf.DUMMYFUNCTION("""COMPUTED_VALUE"""),"")</f>
        <v/>
      </c>
      <c r="D677" s="495" t="str">
        <f>IFERROR(__xludf.DUMMYFUNCTION("""COMPUTED_VALUE"""),"Mauricio Matus Belmar")</f>
        <v>Mauricio Matus Belmar</v>
      </c>
      <c r="E677" s="495"/>
      <c r="F677" s="496" t="str">
        <f>IFERROR(__xludf.DUMMYFUNCTION("""COMPUTED_VALUE"""),"2025 - 7659")</f>
        <v>2025 - 7659</v>
      </c>
      <c r="G677" s="495"/>
      <c r="H677" s="495"/>
      <c r="I677" s="495"/>
      <c r="J677" s="495" t="str">
        <f>IFERROR(__xludf.DUMMYFUNCTION("""COMPUTED_VALUE"""),"Campus San Juan Pablo II - CJP")</f>
        <v>Campus San Juan Pablo II - CJP</v>
      </c>
      <c r="K677" s="495">
        <f>IFERROR(__xludf.DUMMYFUNCTION("""COMPUTED_VALUE"""),10.0)</f>
        <v>10</v>
      </c>
      <c r="L677" s="495" t="str">
        <f>IFERROR(__xludf.DUMMYFUNCTION("""COMPUTED_VALUE"""),"Flavia Oyarzun Soto")</f>
        <v>Flavia Oyarzun Soto</v>
      </c>
      <c r="M677" s="495" t="str">
        <f>IFERROR(__xludf.DUMMYFUNCTION("""COMPUTED_VALUE"""),"5.503.590-3")</f>
        <v>5.503.590-3</v>
      </c>
      <c r="N677" s="495" t="str">
        <f>IFERROR(__xludf.DUMMYFUNCTION("""COMPUTED_VALUE"""),"Roberto Lassalle (supervisor).")</f>
        <v>Roberto Lassalle (supervisor).</v>
      </c>
      <c r="O677" s="495" t="str">
        <f>IFERROR(__xludf.DUMMYFUNCTION("""COMPUTED_VALUE"""),"Mantenciones")</f>
        <v>Mantenciones</v>
      </c>
      <c r="P677" s="495" t="str">
        <f>IFERROR(__xludf.DUMMYFUNCTION("""COMPUTED_VALUE"""),"Requerimientos Emergentes e Imprevistos")</f>
        <v>Requerimientos Emergentes e Imprevistos</v>
      </c>
      <c r="Q677" s="495"/>
      <c r="R677" s="495"/>
      <c r="S677" s="495"/>
      <c r="T677" s="495"/>
      <c r="U677" s="495"/>
      <c r="V677" s="495" t="str">
        <f>IFERROR(__xludf.DUMMYFUNCTION("""COMPUTED_VALUE"""),"Cambio de cubierta escritorio para docente oficina 164")</f>
        <v>Cambio de cubierta escritorio para docente oficina 164</v>
      </c>
      <c r="W677" s="495" t="str">
        <f>IFERROR(__xludf.DUMMYFUNCTION("""COMPUTED_VALUE"""),"No requiere")</f>
        <v>No requiere</v>
      </c>
      <c r="X677" s="495" t="str">
        <f>IFERROR(__xludf.DUMMYFUNCTION("""COMPUTED_VALUE"""),"https://drive.google.com/open?id=1UknoY50B3Fe76SP2Q-Vh0KipGXjiyZjL, https://drive.google.com/open?id=1qxFPb_DWAzh8nMYIvteYsZSTYbVjEbK2")</f>
        <v>https://drive.google.com/open?id=1UknoY50B3Fe76SP2Q-Vh0KipGXjiyZjL, https://drive.google.com/open?id=1qxFPb_DWAzh8nMYIvteYsZSTYbVjEbK2</v>
      </c>
      <c r="Y677" s="495"/>
      <c r="Z677" s="495"/>
      <c r="AA677" s="495"/>
      <c r="AB677" s="495"/>
      <c r="AC677" s="495"/>
      <c r="AD677" s="495" t="str">
        <f>IFERROR(__xludf.DUMMYFUNCTION("""COMPUTED_VALUE"""),"RC-015")</f>
        <v>RC-015</v>
      </c>
    </row>
    <row r="678">
      <c r="A678" s="495" t="str">
        <f t="shared" si="1"/>
        <v>RC-014</v>
      </c>
      <c r="B678" s="497">
        <f>IFERROR(__xludf.DUMMYFUNCTION("""COMPUTED_VALUE"""),45898.56360459491)</f>
        <v>45898.5636</v>
      </c>
      <c r="C678" s="495" t="str">
        <f>IFERROR(__xludf.DUMMYFUNCTION("""COMPUTED_VALUE"""),"")</f>
        <v/>
      </c>
      <c r="D678" s="495" t="str">
        <f>IFERROR(__xludf.DUMMYFUNCTION("""COMPUTED_VALUE"""),"Leonor Ríos Morales")</f>
        <v>Leonor Ríos Morales</v>
      </c>
      <c r="E678" s="495"/>
      <c r="F678" s="496" t="str">
        <f>IFERROR(__xludf.DUMMYFUNCTION("""COMPUTED_VALUE"""),"2025 - 7684")</f>
        <v>2025 - 7684</v>
      </c>
      <c r="G678" s="495"/>
      <c r="H678" s="495"/>
      <c r="I678" s="495"/>
      <c r="J678" s="495" t="str">
        <f>IFERROR(__xludf.DUMMYFUNCTION("""COMPUTED_VALUE"""),"Campus San Francisco - CSF")</f>
        <v>Campus San Francisco - CSF</v>
      </c>
      <c r="K678" s="495">
        <f>IFERROR(__xludf.DUMMYFUNCTION("""COMPUTED_VALUE"""),12.0)</f>
        <v>12</v>
      </c>
      <c r="L678" s="495" t="str">
        <f>IFERROR(__xludf.DUMMYFUNCTION("""COMPUTED_VALUE"""),"5.503.590-3")</f>
        <v>5.503.590-3</v>
      </c>
      <c r="M678" s="495" t="str">
        <f>IFERROR(__xludf.DUMMYFUNCTION("""COMPUTED_VALUE"""),"Flavia Oyarzun Soto")</f>
        <v>Flavia Oyarzun Soto</v>
      </c>
      <c r="N678" s="495" t="str">
        <f>IFERROR(__xludf.DUMMYFUNCTION("""COMPUTED_VALUE"""),"Roberto Lassalle (supervisor)")</f>
        <v>Roberto Lassalle (supervisor)</v>
      </c>
      <c r="O678" s="495" t="str">
        <f>IFERROR(__xludf.DUMMYFUNCTION("""COMPUTED_VALUE"""),"Mantenciones")</f>
        <v>Mantenciones</v>
      </c>
      <c r="P678" s="495" t="str">
        <f>IFERROR(__xludf.DUMMYFUNCTION("""COMPUTED_VALUE"""),"Cerramientos Verticales")</f>
        <v>Cerramientos Verticales</v>
      </c>
      <c r="Q678" s="495"/>
      <c r="R678" s="495"/>
      <c r="S678" s="495"/>
      <c r="T678" s="495"/>
      <c r="U678" s="495"/>
      <c r="V678" s="495" t="str">
        <f>IFERROR(__xludf.DUMMYFUNCTION("""COMPUTED_VALUE"""),"Habilitación bodega Kinesiologia CSF12")</f>
        <v>Habilitación bodega Kinesiologia CSF12</v>
      </c>
      <c r="W678" s="495" t="str">
        <f>IFERROR(__xludf.DUMMYFUNCTION("""COMPUTED_VALUE"""),"No requiere ")</f>
        <v>No requiere </v>
      </c>
      <c r="X678" s="495" t="str">
        <f>IFERROR(__xludf.DUMMYFUNCTION("""COMPUTED_VALUE"""),"https://drive.google.com/open?id=1WX8ozeqo_AFKqU8IsaflkJMaXNoS1vMt, https://drive.google.com/open?id=1ZvZh-yx_WNtvRYIxyE_b_Mqytz-9jrOZ")</f>
        <v>https://drive.google.com/open?id=1WX8ozeqo_AFKqU8IsaflkJMaXNoS1vMt, https://drive.google.com/open?id=1ZvZh-yx_WNtvRYIxyE_b_Mqytz-9jrOZ</v>
      </c>
      <c r="Y678" s="495" t="str">
        <f>IFERROR(__xludf.DUMMYFUNCTION("""COMPUTED_VALUE"""),"roberto.lassalle@gmail.com")</f>
        <v>roberto.lassalle@gmail.com</v>
      </c>
      <c r="Z678" s="495"/>
      <c r="AA678" s="495"/>
      <c r="AB678" s="495"/>
      <c r="AC678" s="495"/>
      <c r="AD678" s="495" t="str">
        <f>IFERROR(__xludf.DUMMYFUNCTION("""COMPUTED_VALUE"""),"RC-014")</f>
        <v>RC-014</v>
      </c>
    </row>
    <row r="679">
      <c r="A679" s="495" t="str">
        <f t="shared" si="1"/>
        <v>RC-010</v>
      </c>
      <c r="B679" s="497">
        <f>IFERROR(__xludf.DUMMYFUNCTION("""COMPUTED_VALUE"""),45888.91937725694)</f>
        <v>45888.91938</v>
      </c>
      <c r="C679" s="495" t="str">
        <f>IFERROR(__xludf.DUMMYFUNCTION("""COMPUTED_VALUE"""),"")</f>
        <v/>
      </c>
      <c r="D679" s="495" t="str">
        <f>IFERROR(__xludf.DUMMYFUNCTION("""COMPUTED_VALUE"""),"Leonor Ríos Morales")</f>
        <v>Leonor Ríos Morales</v>
      </c>
      <c r="E679" s="495"/>
      <c r="F679" s="496">
        <f>IFERROR(__xludf.DUMMYFUNCTION("""COMPUTED_VALUE"""),6950.0)</f>
        <v>6950</v>
      </c>
      <c r="G679" s="495"/>
      <c r="H679" s="495"/>
      <c r="I679" s="495"/>
      <c r="J679" s="495" t="str">
        <f>IFERROR(__xludf.DUMMYFUNCTION("""COMPUTED_VALUE"""),"Campus San Francisco - CSF")</f>
        <v>Campus San Francisco - CSF</v>
      </c>
      <c r="K679" s="495">
        <f>IFERROR(__xludf.DUMMYFUNCTION("""COMPUTED_VALUE"""),12.0)</f>
        <v>12</v>
      </c>
      <c r="L679" s="495" t="str">
        <f>IFERROR(__xludf.DUMMYFUNCTION("""COMPUTED_VALUE"""),"FLAVIA OYARZUN SOTO")</f>
        <v>FLAVIA OYARZUN SOTO</v>
      </c>
      <c r="M679" s="495" t="str">
        <f>IFERROR(__xludf.DUMMYFUNCTION("""COMPUTED_VALUE"""),"5.503.590-3")</f>
        <v>5.503.590-3</v>
      </c>
      <c r="N679" s="495" t="str">
        <f>IFERROR(__xludf.DUMMYFUNCTION("""COMPUTED_VALUE"""),"Roberto Lassalle Prado  Supervisor ( dueño )")</f>
        <v>Roberto Lassalle Prado  Supervisor ( dueño )</v>
      </c>
      <c r="O679" s="495" t="str">
        <f>IFERROR(__xludf.DUMMYFUNCTION("""COMPUTED_VALUE"""),"Mantenciones")</f>
        <v>Mantenciones</v>
      </c>
      <c r="P679" s="495" t="str">
        <f>IFERROR(__xludf.DUMMYFUNCTION("""COMPUTED_VALUE"""),"Cubiertas")</f>
        <v>Cubiertas</v>
      </c>
      <c r="Q679" s="495"/>
      <c r="R679" s="495"/>
      <c r="S679" s="495"/>
      <c r="T679" s="495"/>
      <c r="U679" s="495"/>
      <c r="V679" s="495" t="str">
        <f>IFERROR(__xludf.DUMMYFUNCTION("""COMPUTED_VALUE"""),"Cambio de cubierta en bodega adjunta al Edificio  12")</f>
        <v>Cambio de cubierta en bodega adjunta al Edificio  12</v>
      </c>
      <c r="W679" s="495" t="str">
        <f>IFERROR(__xludf.DUMMYFUNCTION("""COMPUTED_VALUE"""),"no es necesario")</f>
        <v>no es necesario</v>
      </c>
      <c r="X679" s="495" t="str">
        <f>IFERROR(__xludf.DUMMYFUNCTION("""COMPUTED_VALUE"""),"https://drive.google.com/open?id=1QBWfsI7JI1O7onyk6RgodYshWpo-IMVL, https://drive.google.com/open?id=1_jfGqGoUTFemoh1-vlIWP9_Dctqw9aII")</f>
        <v>https://drive.google.com/open?id=1QBWfsI7JI1O7onyk6RgodYshWpo-IMVL, https://drive.google.com/open?id=1_jfGqGoUTFemoh1-vlIWP9_Dctqw9aII</v>
      </c>
      <c r="Y679" s="495" t="str">
        <f>IFERROR(__xludf.DUMMYFUNCTION("""COMPUTED_VALUE"""),"roberto.lassalle@gmail.com")</f>
        <v>roberto.lassalle@gmail.com</v>
      </c>
      <c r="Z679" s="495"/>
      <c r="AA679" s="495"/>
      <c r="AB679" s="495"/>
      <c r="AC679" s="495"/>
      <c r="AD679" s="495" t="str">
        <f>IFERROR(__xludf.DUMMYFUNCTION("""COMPUTED_VALUE"""),"RC-010")</f>
        <v>RC-010</v>
      </c>
    </row>
    <row r="680">
      <c r="A680" s="495" t="str">
        <f t="shared" si="1"/>
        <v>RC-358_26</v>
      </c>
      <c r="B680" s="497">
        <f>IFERROR(__xludf.DUMMYFUNCTION("""COMPUTED_VALUE"""),46239.60531730324)</f>
        <v>46239.60532</v>
      </c>
      <c r="C680" s="495" t="str">
        <f>IFERROR(__xludf.DUMMYFUNCTION("""COMPUTED_VALUE"""),"")</f>
        <v/>
      </c>
      <c r="D680" s="495" t="str">
        <f>IFERROR(__xludf.DUMMYFUNCTION("""COMPUTED_VALUE"""),"Juan Ignacio Solís de Ovando")</f>
        <v>Juan Ignacio Solís de Ovando</v>
      </c>
      <c r="E680" s="495"/>
      <c r="F680" s="496" t="str">
        <f>IFERROR(__xludf.DUMMYFUNCTION("""COMPUTED_VALUE"""),"6290-2026")</f>
        <v>6290-2026</v>
      </c>
      <c r="G680" s="495"/>
      <c r="H680" s="495"/>
      <c r="I680" s="495"/>
      <c r="J680" s="495" t="str">
        <f>IFERROR(__xludf.DUMMYFUNCTION("""COMPUTED_VALUE"""),"Campus Monseñor Alejandro Menchaca Lira - CML")</f>
        <v>Campus Monseñor Alejandro Menchaca Lira - CML</v>
      </c>
      <c r="K680" s="495" t="str">
        <f>IFERROR(__xludf.DUMMYFUNCTION("""COMPUTED_VALUE"""),"03")</f>
        <v>03</v>
      </c>
      <c r="L680" s="495" t="str">
        <f>IFERROR(__xludf.DUMMYFUNCTION("""COMPUTED_VALUE"""),"constructora alplas spa")</f>
        <v>constructora alplas spa</v>
      </c>
      <c r="M680" s="495" t="str">
        <f>IFERROR(__xludf.DUMMYFUNCTION("""COMPUTED_VALUE"""),"77.190.049-6")</f>
        <v>77.190.049-6</v>
      </c>
      <c r="N680" s="495" t="str">
        <f>IFERROR(__xludf.DUMMYFUNCTION("""COMPUTED_VALUE"""),"maxs jara  gerente comercial")</f>
        <v>maxs jara  gerente comercial</v>
      </c>
      <c r="O680" s="495" t="str">
        <f>IFERROR(__xludf.DUMMYFUNCTION("""COMPUTED_VALUE"""),"Obras y Especialidades")</f>
        <v>Obras y Especialidades</v>
      </c>
      <c r="P680" s="495"/>
      <c r="Q680" s="495"/>
      <c r="R680" s="495" t="str">
        <f>IFERROR(__xludf.DUMMYFUNCTION("""COMPUTED_VALUE"""),"Remodelación")</f>
        <v>Remodelación</v>
      </c>
      <c r="S680" s="495" t="str">
        <f>IFERROR(__xludf.DUMMYFUNCTION("""COMPUTED_VALUE"""),"Recepción de Obra - RC")</f>
        <v>Recepción de Obra - RC</v>
      </c>
      <c r="T680" s="495"/>
      <c r="U680" s="495"/>
      <c r="V680" s="495" t="str">
        <f>IFERROR(__xludf.DUMMYFUNCTION("""COMPUTED_VALUE"""),"REMODELACIÓN INTERIOR OFICINAS 122/123 CONTRALORIA CML03.")</f>
        <v>REMODELACIÓN INTERIOR OFICINAS 122/123 CONTRALORIA CML03.</v>
      </c>
      <c r="W680" s="495"/>
      <c r="X680" s="495" t="str">
        <f>IFERROR(__xludf.DUMMYFUNCTION("""COMPUTED_VALUE"""),"https://drive.google.com/open?id=1mp3GXCVHlOxRrG59JvKnsfSuPVBPccLL, https://drive.google.com/open?id=1gxbYWMnZlKee0bqD4yidoGKJ4rpCDGCs, https://drive.google.com/open?id=1eOnpyo4Y5BS7aL5unkW5QbASa_V04Sby, https://drive.google.com/open?id=1n5Uv8UQ_pB17R7wTc"&amp;"Nx0acH4x-qdPpn4, https://drive.google.com/open?id=14aWQIJpcYVh4oveyD5jreyMsHU6gJNn4")</f>
        <v>https://drive.google.com/open?id=1mp3GXCVHlOxRrG59JvKnsfSuPVBPccLL, https://drive.google.com/open?id=1gxbYWMnZlKee0bqD4yidoGKJ4rpCDGCs, https://drive.google.com/open?id=1eOnpyo4Y5BS7aL5unkW5QbASa_V04Sby, https://drive.google.com/open?id=1n5Uv8UQ_pB17R7wTcNx0acH4x-qdPpn4, https://drive.google.com/open?id=14aWQIJpcYVh4oveyD5jreyMsHU6gJNn4</v>
      </c>
      <c r="Y680" s="495" t="str">
        <f>IFERROR(__xludf.DUMMYFUNCTION("""COMPUTED_VALUE"""),"maxsj@alplas.cl")</f>
        <v>maxsj@alplas.cl</v>
      </c>
      <c r="Z680" s="498">
        <f>IFERROR(__xludf.DUMMYFUNCTION("""COMPUTED_VALUE"""),2228221.0)</f>
        <v>2228221</v>
      </c>
      <c r="AA680" s="495"/>
      <c r="AB680" s="495"/>
      <c r="AC680" s="495"/>
      <c r="AD680" s="495" t="str">
        <f>IFERROR(__xludf.DUMMYFUNCTION("""COMPUTED_VALUE"""),"RC-358_26")</f>
        <v>RC-358_26</v>
      </c>
    </row>
    <row r="681">
      <c r="A681" s="495" t="str">
        <f t="shared" si="1"/>
        <v/>
      </c>
      <c r="B681" s="495"/>
      <c r="C681" s="495"/>
      <c r="D681" s="495"/>
      <c r="E681" s="495"/>
      <c r="F681" s="496"/>
      <c r="G681" s="495"/>
      <c r="H681" s="495"/>
      <c r="I681" s="495"/>
      <c r="J681" s="495"/>
      <c r="K681" s="495"/>
      <c r="L681" s="495"/>
      <c r="M681" s="495"/>
      <c r="N681" s="495"/>
      <c r="O681" s="495"/>
      <c r="P681" s="495"/>
      <c r="Q681" s="495"/>
      <c r="R681" s="495"/>
      <c r="S681" s="495"/>
      <c r="T681" s="495"/>
      <c r="U681" s="495"/>
      <c r="V681" s="495"/>
      <c r="W681" s="495"/>
      <c r="X681" s="495"/>
      <c r="Y681" s="495"/>
      <c r="Z681" s="495"/>
      <c r="AA681" s="495"/>
      <c r="AB681" s="495"/>
      <c r="AC681" s="495"/>
      <c r="AD681" s="495"/>
    </row>
    <row r="682">
      <c r="A682" s="495" t="str">
        <f t="shared" si="1"/>
        <v/>
      </c>
      <c r="B682" s="495"/>
      <c r="C682" s="495"/>
      <c r="D682" s="495"/>
      <c r="E682" s="495"/>
      <c r="F682" s="496"/>
      <c r="G682" s="495"/>
      <c r="H682" s="495"/>
      <c r="I682" s="495"/>
      <c r="J682" s="495"/>
      <c r="K682" s="495"/>
      <c r="L682" s="495"/>
      <c r="M682" s="495"/>
      <c r="N682" s="495"/>
      <c r="O682" s="495"/>
      <c r="P682" s="495"/>
      <c r="Q682" s="495"/>
      <c r="R682" s="495"/>
      <c r="S682" s="495"/>
      <c r="T682" s="495"/>
      <c r="U682" s="495"/>
      <c r="V682" s="495"/>
      <c r="W682" s="495"/>
      <c r="X682" s="495"/>
      <c r="Y682" s="495"/>
      <c r="Z682" s="495"/>
      <c r="AA682" s="495"/>
      <c r="AB682" s="495"/>
      <c r="AC682" s="495"/>
      <c r="AD682" s="495"/>
    </row>
    <row r="683">
      <c r="A683" s="495" t="str">
        <f t="shared" si="1"/>
        <v>RC-361_26</v>
      </c>
      <c r="B683" s="497">
        <f>IFERROR(__xludf.DUMMYFUNCTION("""COMPUTED_VALUE"""),46240.42910982639)</f>
        <v>46240.42911</v>
      </c>
      <c r="C683" s="495" t="str">
        <f>IFERROR(__xludf.DUMMYFUNCTION("""COMPUTED_VALUE"""),"")</f>
        <v/>
      </c>
      <c r="D683" s="495" t="str">
        <f>IFERROR(__xludf.DUMMYFUNCTION("""COMPUTED_VALUE"""),"Arturo Meza Vega")</f>
        <v>Arturo Meza Vega</v>
      </c>
      <c r="E683" s="495"/>
      <c r="F683" s="496" t="str">
        <f>IFERROR(__xludf.DUMMYFUNCTION("""COMPUTED_VALUE"""),"5559 - 2026")</f>
        <v>5559 - 2026</v>
      </c>
      <c r="G683" s="495"/>
      <c r="H683" s="495"/>
      <c r="I683" s="495"/>
      <c r="J683" s="495" t="str">
        <f>IFERROR(__xludf.DUMMYFUNCTION("""COMPUTED_VALUE"""),"Campus San Juan Pablo II - CJP")</f>
        <v>Campus San Juan Pablo II - CJP</v>
      </c>
      <c r="K683" s="495" t="str">
        <f>IFERROR(__xludf.DUMMYFUNCTION("""COMPUTED_VALUE"""),"01")</f>
        <v>01</v>
      </c>
      <c r="L683" s="495" t="str">
        <f>IFERROR(__xludf.DUMMYFUNCTION("""COMPUTED_VALUE"""),"Gyg servicios spa")</f>
        <v>Gyg servicios spa</v>
      </c>
      <c r="M683" s="495" t="str">
        <f>IFERROR(__xludf.DUMMYFUNCTION("""COMPUTED_VALUE"""),"77.215.624-3")</f>
        <v>77.215.624-3</v>
      </c>
      <c r="N683" s="495" t="str">
        <f>IFERROR(__xludf.DUMMYFUNCTION("""COMPUTED_VALUE"""),"Gustavo Fuentes - Supervisor Técnico")</f>
        <v>Gustavo Fuentes - Supervisor Técnico</v>
      </c>
      <c r="O683" s="495" t="str">
        <f>IFERROR(__xludf.DUMMYFUNCTION("""COMPUTED_VALUE"""),"Mantenciones")</f>
        <v>Mantenciones</v>
      </c>
      <c r="P683" s="495" t="str">
        <f>IFERROR(__xludf.DUMMYFUNCTION("""COMPUTED_VALUE"""),"Instalaciones Eléctricas")</f>
        <v>Instalaciones Eléctricas</v>
      </c>
      <c r="Q683" s="495"/>
      <c r="R683" s="495"/>
      <c r="S683" s="495"/>
      <c r="T683" s="495"/>
      <c r="U683" s="495"/>
      <c r="V683" s="495" t="str">
        <f>IFERROR(__xludf.DUMMYFUNCTION("""COMPUTED_VALUE"""),"Traslado de tablero eléctrico")</f>
        <v>Traslado de tablero eléctrico</v>
      </c>
      <c r="W683" s="495"/>
      <c r="X683" s="499" t="str">
        <f>IFERROR(__xludf.DUMMYFUNCTION("""COMPUTED_VALUE"""),"https://drive.google.com/open?id=1SaeKFlDM1ejBrtf0Bqu-k-1AkR3YVKGm")</f>
        <v>https://drive.google.com/open?id=1SaeKFlDM1ejBrtf0Bqu-k-1AkR3YVKGm</v>
      </c>
      <c r="Y683" s="495" t="str">
        <f>IFERROR(__xludf.DUMMYFUNCTION("""COMPUTED_VALUE"""),"contacto@gygtecnologias.com")</f>
        <v>contacto@gygtecnologias.com</v>
      </c>
      <c r="Z683" s="498">
        <f>IFERROR(__xludf.DUMMYFUNCTION("""COMPUTED_VALUE"""),249900.0)</f>
        <v>249900</v>
      </c>
      <c r="AA683" s="495"/>
      <c r="AB683" s="495"/>
      <c r="AC683" s="495"/>
      <c r="AD683" s="495" t="str">
        <f>IFERROR(__xludf.DUMMYFUNCTION("""COMPUTED_VALUE"""),"RC-361_26")</f>
        <v>RC-361_26</v>
      </c>
    </row>
    <row r="684">
      <c r="A684" s="495" t="str">
        <f t="shared" si="1"/>
        <v>RC-362_26</v>
      </c>
      <c r="B684" s="497">
        <f>IFERROR(__xludf.DUMMYFUNCTION("""COMPUTED_VALUE"""),46240.66114420139)</f>
        <v>46240.66114</v>
      </c>
      <c r="C684" s="495" t="str">
        <f>IFERROR(__xludf.DUMMYFUNCTION("""COMPUTED_VALUE"""),"")</f>
        <v/>
      </c>
      <c r="D684" s="495" t="str">
        <f>IFERROR(__xludf.DUMMYFUNCTION("""COMPUTED_VALUE"""),"Felipe Anselme Grandón")</f>
        <v>Felipe Anselme Grandón</v>
      </c>
      <c r="E684" s="495"/>
      <c r="F684" s="496" t="str">
        <f>IFERROR(__xludf.DUMMYFUNCTION("""COMPUTED_VALUE"""),"5920-2026")</f>
        <v>5920-2026</v>
      </c>
      <c r="G684" s="495"/>
      <c r="H684" s="495"/>
      <c r="I684" s="495"/>
      <c r="J684" s="495" t="str">
        <f>IFERROR(__xludf.DUMMYFUNCTION("""COMPUTED_VALUE"""),"Campus San Juan Pablo II - CJP")</f>
        <v>Campus San Juan Pablo II - CJP</v>
      </c>
      <c r="K684" s="495" t="str">
        <f>IFERROR(__xludf.DUMMYFUNCTION("""COMPUTED_VALUE"""),"01")</f>
        <v>01</v>
      </c>
      <c r="L684" s="495" t="str">
        <f>IFERROR(__xludf.DUMMYFUNCTION("""COMPUTED_VALUE"""),"Sociedad Comercial espacio muebles Ltda")</f>
        <v>Sociedad Comercial espacio muebles Ltda</v>
      </c>
      <c r="M684" s="495" t="str">
        <f>IFERROR(__xludf.DUMMYFUNCTION("""COMPUTED_VALUE"""),"77.544.225-5")</f>
        <v>77.544.225-5</v>
      </c>
      <c r="N684" s="495" t="str">
        <f>IFERROR(__xludf.DUMMYFUNCTION("""COMPUTED_VALUE"""),"Emilio Aburto - Director de operaciones")</f>
        <v>Emilio Aburto - Director de operaciones</v>
      </c>
      <c r="O684" s="495" t="str">
        <f>IFERROR(__xludf.DUMMYFUNCTION("""COMPUTED_VALUE"""),"Obras y Especialidades")</f>
        <v>Obras y Especialidades</v>
      </c>
      <c r="P684" s="495"/>
      <c r="Q684" s="495"/>
      <c r="R684" s="495" t="str">
        <f>IFERROR(__xludf.DUMMYFUNCTION("""COMPUTED_VALUE"""),"Especialidades")</f>
        <v>Especialidades</v>
      </c>
      <c r="S684" s="495" t="str">
        <f>IFERROR(__xludf.DUMMYFUNCTION("""COMPUTED_VALUE"""),"Estado de Pago - EP")</f>
        <v>Estado de Pago - EP</v>
      </c>
      <c r="T684" s="495">
        <f>IFERROR(__xludf.DUMMYFUNCTION("""COMPUTED_VALUE"""),1.0)</f>
        <v>1</v>
      </c>
      <c r="U684" s="498">
        <f>IFERROR(__xludf.DUMMYFUNCTION("""COMPUTED_VALUE"""),2438310.0)</f>
        <v>2438310</v>
      </c>
      <c r="V684" s="495" t="str">
        <f>IFERROR(__xludf.DUMMYFUNCTION("""COMPUTED_VALUE"""),"Fabricación de mobiliario Línea edificio FAAD")</f>
        <v>Fabricación de mobiliario Línea edificio FAAD</v>
      </c>
      <c r="W684" s="495"/>
      <c r="X684" s="499" t="str">
        <f>IFERROR(__xludf.DUMMYFUNCTION("""COMPUTED_VALUE"""),"https://drive.google.com/open?id=1g7AxGnDKktz7ddDJIaIw2cUS8Ov0e_2S")</f>
        <v>https://drive.google.com/open?id=1g7AxGnDKktz7ddDJIaIw2cUS8Ov0e_2S</v>
      </c>
      <c r="Y684" s="495" t="str">
        <f>IFERROR(__xludf.DUMMYFUNCTION("""COMPUTED_VALUE"""),"contacto.espaciomuebles@gmail.com")</f>
        <v>contacto.espaciomuebles@gmail.com</v>
      </c>
      <c r="Z684" s="498">
        <f>IFERROR(__xludf.DUMMYFUNCTION("""COMPUTED_VALUE"""),2438310.0)</f>
        <v>2438310</v>
      </c>
      <c r="AA684" s="495"/>
      <c r="AB684" s="495"/>
      <c r="AC684" s="495"/>
      <c r="AD684" s="495" t="str">
        <f>IFERROR(__xludf.DUMMYFUNCTION("""COMPUTED_VALUE"""),"RC-362_26")</f>
        <v>RC-362_26</v>
      </c>
    </row>
    <row r="685">
      <c r="A685" s="495" t="str">
        <f t="shared" si="1"/>
        <v>RC-363_26</v>
      </c>
      <c r="B685" s="497">
        <f>IFERROR(__xludf.DUMMYFUNCTION("""COMPUTED_VALUE"""),46240.669875775464)</f>
        <v>46240.66988</v>
      </c>
      <c r="C685" s="495" t="str">
        <f>IFERROR(__xludf.DUMMYFUNCTION("""COMPUTED_VALUE"""),"")</f>
        <v/>
      </c>
      <c r="D685" s="495" t="str">
        <f>IFERROR(__xludf.DUMMYFUNCTION("""COMPUTED_VALUE"""),"Juan Ignacio Solís de Ovando")</f>
        <v>Juan Ignacio Solís de Ovando</v>
      </c>
      <c r="E685" s="495"/>
      <c r="F685" s="496" t="str">
        <f>IFERROR(__xludf.DUMMYFUNCTION("""COMPUTED_VALUE"""),"6067-2026")</f>
        <v>6067-2026</v>
      </c>
      <c r="G685" s="495"/>
      <c r="H685" s="495"/>
      <c r="I685" s="495"/>
      <c r="J685" s="495" t="str">
        <f>IFERROR(__xludf.DUMMYFUNCTION("""COMPUTED_VALUE"""),"Campus Prieto Norte - CHS")</f>
        <v>Campus Prieto Norte - CHS</v>
      </c>
      <c r="K685" s="495" t="str">
        <f>IFERROR(__xludf.DUMMYFUNCTION("""COMPUTED_VALUE"""),"01")</f>
        <v>01</v>
      </c>
      <c r="L685" s="495" t="str">
        <f>IFERROR(__xludf.DUMMYFUNCTION("""COMPUTED_VALUE"""),"Sociedad Comercial Espacio Muebles Ltda")</f>
        <v>Sociedad Comercial Espacio Muebles Ltda</v>
      </c>
      <c r="M685" s="495" t="str">
        <f>IFERROR(__xludf.DUMMYFUNCTION("""COMPUTED_VALUE"""),"77.544.225-5")</f>
        <v>77.544.225-5</v>
      </c>
      <c r="N685" s="495" t="str">
        <f>IFERROR(__xludf.DUMMYFUNCTION("""COMPUTED_VALUE"""),"Emilio Aburto")</f>
        <v>Emilio Aburto</v>
      </c>
      <c r="O685" s="495" t="str">
        <f>IFERROR(__xludf.DUMMYFUNCTION("""COMPUTED_VALUE"""),"Obras y Especialidades")</f>
        <v>Obras y Especialidades</v>
      </c>
      <c r="P685" s="495"/>
      <c r="Q685" s="495"/>
      <c r="R685" s="495" t="str">
        <f>IFERROR(__xludf.DUMMYFUNCTION("""COMPUTED_VALUE"""),"Especialidades")</f>
        <v>Especialidades</v>
      </c>
      <c r="S685" s="495" t="str">
        <f>IFERROR(__xludf.DUMMYFUNCTION("""COMPUTED_VALUE"""),"Estado de Pago - EP")</f>
        <v>Estado de Pago - EP</v>
      </c>
      <c r="T685" s="495">
        <f>IFERROR(__xludf.DUMMYFUNCTION("""COMPUTED_VALUE"""),1.0)</f>
        <v>1</v>
      </c>
      <c r="U685" s="498">
        <f>IFERROR(__xludf.DUMMYFUNCTION("""COMPUTED_VALUE"""),405671.0)</f>
        <v>405671</v>
      </c>
      <c r="V685" s="495" t="str">
        <f>IFERROR(__xludf.DUMMYFUNCTION("""COMPUTED_VALUE"""),"Reparación sillas operativas HSC")</f>
        <v>Reparación sillas operativas HSC</v>
      </c>
      <c r="W685" s="495"/>
      <c r="X685" s="499" t="str">
        <f>IFERROR(__xludf.DUMMYFUNCTION("""COMPUTED_VALUE"""),"https://drive.google.com/open?id=1ChvXS1MBIEQipZ-vhTByfJhS11-pp8_-")</f>
        <v>https://drive.google.com/open?id=1ChvXS1MBIEQipZ-vhTByfJhS11-pp8_-</v>
      </c>
      <c r="Y685" s="495" t="str">
        <f>IFERROR(__xludf.DUMMYFUNCTION("""COMPUTED_VALUE"""),"contacto.espaciomuebles@gmail.com")</f>
        <v>contacto.espaciomuebles@gmail.com</v>
      </c>
      <c r="Z685" s="498">
        <f>IFERROR(__xludf.DUMMYFUNCTION("""COMPUTED_VALUE"""),405671.0)</f>
        <v>405671</v>
      </c>
      <c r="AA685" s="495"/>
      <c r="AB685" s="495"/>
      <c r="AC685" s="495"/>
      <c r="AD685" s="495" t="str">
        <f>IFERROR(__xludf.DUMMYFUNCTION("""COMPUTED_VALUE"""),"RC-363_26")</f>
        <v>RC-363_26</v>
      </c>
    </row>
    <row r="686">
      <c r="A686" s="495" t="str">
        <f t="shared" si="1"/>
        <v>RC-364_26</v>
      </c>
      <c r="B686" s="497">
        <f>IFERROR(__xludf.DUMMYFUNCTION("""COMPUTED_VALUE"""),46240.804745104164)</f>
        <v>46240.80475</v>
      </c>
      <c r="C686" s="495" t="str">
        <f>IFERROR(__xludf.DUMMYFUNCTION("""COMPUTED_VALUE"""),"")</f>
        <v/>
      </c>
      <c r="D686" s="495" t="str">
        <f>IFERROR(__xludf.DUMMYFUNCTION("""COMPUTED_VALUE"""),"Mauricio Zurita Aldea")</f>
        <v>Mauricio Zurita Aldea</v>
      </c>
      <c r="E686" s="495"/>
      <c r="F686" s="496" t="str">
        <f>IFERROR(__xludf.DUMMYFUNCTION("""COMPUTED_VALUE"""),"4518-2026")</f>
        <v>4518-2026</v>
      </c>
      <c r="G686" s="495"/>
      <c r="H686" s="495"/>
      <c r="I686" s="495"/>
      <c r="J686" s="495" t="str">
        <f>IFERROR(__xludf.DUMMYFUNCTION("""COMPUTED_VALUE"""),"Campus San Juan Pablo II - CJP")</f>
        <v>Campus San Juan Pablo II - CJP</v>
      </c>
      <c r="K686" s="495" t="str">
        <f>IFERROR(__xludf.DUMMYFUNCTION("""COMPUTED_VALUE"""),"Exterior")</f>
        <v>Exterior</v>
      </c>
      <c r="L686" s="495" t="str">
        <f>IFERROR(__xludf.DUMMYFUNCTION("""COMPUTED_VALUE"""),"INGENIERIA Y CONSTRUCCIONES ELEKTRICA SPA")</f>
        <v>INGENIERIA Y CONSTRUCCIONES ELEKTRICA SPA</v>
      </c>
      <c r="M686" s="495" t="str">
        <f>IFERROR(__xludf.DUMMYFUNCTION("""COMPUTED_VALUE"""),"76.884.395-3")</f>
        <v>76.884.395-3</v>
      </c>
      <c r="N686" s="495" t="str">
        <f>IFERROR(__xludf.DUMMYFUNCTION("""COMPUTED_VALUE"""),"Marco Paine Salgado - Gerente")</f>
        <v>Marco Paine Salgado - Gerente</v>
      </c>
      <c r="O686" s="495" t="str">
        <f>IFERROR(__xludf.DUMMYFUNCTION("""COMPUTED_VALUE"""),"Mantenciones")</f>
        <v>Mantenciones</v>
      </c>
      <c r="P686" s="495" t="str">
        <f>IFERROR(__xludf.DUMMYFUNCTION("""COMPUTED_VALUE"""),"Instalaciones Eléctricas")</f>
        <v>Instalaciones Eléctricas</v>
      </c>
      <c r="Q686" s="495"/>
      <c r="R686" s="495"/>
      <c r="S686" s="495"/>
      <c r="T686" s="495"/>
      <c r="U686" s="495"/>
      <c r="V686" s="495" t="str">
        <f>IFERROR(__xludf.DUMMYFUNCTION("""COMPUTED_VALUE"""),"INSTALACIÓN DE CÁMARAS DE CCTV Y MEJORAS DE ILUMINACIÓN EN SECTOR ALREDEDOR DE RUKA CJP, EN POSTES YA EXISTENTES.")</f>
        <v>INSTALACIÓN DE CÁMARAS DE CCTV Y MEJORAS DE ILUMINACIÓN EN SECTOR ALREDEDOR DE RUKA CJP, EN POSTES YA EXISTENTES.</v>
      </c>
      <c r="W686" s="495"/>
      <c r="X686" s="495" t="str">
        <f>IFERROR(__xludf.DUMMYFUNCTION("""COMPUTED_VALUE"""),"https://drive.google.com/open?id=1lin7kV9vYY2HnJn0f3NzRvidkS9DL9Lv, https://drive.google.com/open?id=1nmeQ9QTf0F3lOU7q2RbIgpxSg4v38zBl, https://drive.google.com/open?id=1IBhdQ3YcCEiwcuP8G_B4t2iCkaKwcH_r, https://drive.google.com/open?id=1Qjo5otynA2Z2k3WXL"&amp;"z_GevmiebvcZVLA, https://drive.google.com/open?id=1eIG3TcEHZ2uxOVbodRV3YWRMDg50xG5r")</f>
        <v>https://drive.google.com/open?id=1lin7kV9vYY2HnJn0f3NzRvidkS9DL9Lv, https://drive.google.com/open?id=1nmeQ9QTf0F3lOU7q2RbIgpxSg4v38zBl, https://drive.google.com/open?id=1IBhdQ3YcCEiwcuP8G_B4t2iCkaKwcH_r, https://drive.google.com/open?id=1Qjo5otynA2Z2k3WXLz_GevmiebvcZVLA, https://drive.google.com/open?id=1eIG3TcEHZ2uxOVbodRV3YWRMDg50xG5r</v>
      </c>
      <c r="Y686" s="495" t="str">
        <f>IFERROR(__xludf.DUMMYFUNCTION("""COMPUTED_VALUE"""),"marcopaine@gmail.com")</f>
        <v>marcopaine@gmail.com</v>
      </c>
      <c r="Z686" s="498">
        <f>IFERROR(__xludf.DUMMYFUNCTION("""COMPUTED_VALUE"""),3544464.0)</f>
        <v>3544464</v>
      </c>
      <c r="AA686" s="495"/>
      <c r="AB686" s="495"/>
      <c r="AC686" s="495"/>
      <c r="AD686" s="495" t="str">
        <f>IFERROR(__xludf.DUMMYFUNCTION("""COMPUTED_VALUE"""),"RC-364_26")</f>
        <v>RC-364_26</v>
      </c>
    </row>
    <row r="687">
      <c r="A687" s="495" t="str">
        <f t="shared" si="1"/>
        <v>RC-365_26</v>
      </c>
      <c r="B687" s="497">
        <f>IFERROR(__xludf.DUMMYFUNCTION("""COMPUTED_VALUE"""),46240.928618923615)</f>
        <v>46240.92862</v>
      </c>
      <c r="C687" s="495" t="str">
        <f>IFERROR(__xludf.DUMMYFUNCTION("""COMPUTED_VALUE"""),"")</f>
        <v/>
      </c>
      <c r="D687" s="495" t="str">
        <f>IFERROR(__xludf.DUMMYFUNCTION("""COMPUTED_VALUE"""),"Mauricio Matus Belmar")</f>
        <v>Mauricio Matus Belmar</v>
      </c>
      <c r="E687" s="495"/>
      <c r="F687" s="496" t="str">
        <f>IFERROR(__xludf.DUMMYFUNCTION("""COMPUTED_VALUE"""),"6462-2026")</f>
        <v>6462-2026</v>
      </c>
      <c r="G687" s="495"/>
      <c r="H687" s="495"/>
      <c r="I687" s="495"/>
      <c r="J687" s="495" t="str">
        <f>IFERROR(__xludf.DUMMYFUNCTION("""COMPUTED_VALUE"""),"Campus Dr. Luis Rivas del Canto - CRC")</f>
        <v>Campus Dr. Luis Rivas del Canto - CRC</v>
      </c>
      <c r="K687" s="495" t="str">
        <f>IFERROR(__xludf.DUMMYFUNCTION("""COMPUTED_VALUE"""),"09")</f>
        <v>09</v>
      </c>
      <c r="L687" s="495" t="str">
        <f>IFERROR(__xludf.DUMMYFUNCTION("""COMPUTED_VALUE"""),"Gaticar spa")</f>
        <v>Gaticar spa</v>
      </c>
      <c r="M687" s="495" t="str">
        <f>IFERROR(__xludf.DUMMYFUNCTION("""COMPUTED_VALUE"""),"77.578.487-3")</f>
        <v>77.578.487-3</v>
      </c>
      <c r="N687" s="495" t="str">
        <f>IFERROR(__xludf.DUMMYFUNCTION("""COMPUTED_VALUE"""),"Hector Gatica Badilla ")</f>
        <v>Hector Gatica Badilla </v>
      </c>
      <c r="O687" s="495" t="str">
        <f>IFERROR(__xludf.DUMMYFUNCTION("""COMPUTED_VALUE"""),"Mantenciones")</f>
        <v>Mantenciones</v>
      </c>
      <c r="P687" s="495" t="str">
        <f>IFERROR(__xludf.DUMMYFUNCTION("""COMPUTED_VALUE"""),"Requerimientos Emergentes e Imprevistos")</f>
        <v>Requerimientos Emergentes e Imprevistos</v>
      </c>
      <c r="Q687" s="495"/>
      <c r="R687" s="495"/>
      <c r="S687" s="495"/>
      <c r="T687" s="495"/>
      <c r="U687" s="495"/>
      <c r="V687" s="495" t="str">
        <f>IFERROR(__xludf.DUMMYFUNCTION("""COMPUTED_VALUE"""),"MANTENCION MOTOR DE EXTRACCIÓN CAMPANA CASINO CRC09.")</f>
        <v>MANTENCION MOTOR DE EXTRACCIÓN CAMPANA CASINO CRC09.</v>
      </c>
      <c r="W687" s="495"/>
      <c r="X687" s="495" t="str">
        <f>IFERROR(__xludf.DUMMYFUNCTION("""COMPUTED_VALUE"""),"https://drive.google.com/open?id=1vuGud2tQpJ7jPWQJg88nt7PiORi87sGD, https://drive.google.com/open?id=1hsqWj9pfam8Mh1uyQ335poGWI7DPSgbo, https://drive.google.com/open?id=1T5-8aiz6k8UnyjrwDRTBvawyOnWIxi4d")</f>
        <v>https://drive.google.com/open?id=1vuGud2tQpJ7jPWQJg88nt7PiORi87sGD, https://drive.google.com/open?id=1hsqWj9pfam8Mh1uyQ335poGWI7DPSgbo, https://drive.google.com/open?id=1T5-8aiz6k8UnyjrwDRTBvawyOnWIxi4d</v>
      </c>
      <c r="Y687" s="495" t="str">
        <f>IFERROR(__xludf.DUMMYFUNCTION("""COMPUTED_VALUE"""),"serviciogaticar@gmail.com")</f>
        <v>serviciogaticar@gmail.com</v>
      </c>
      <c r="Z687" s="498">
        <f>IFERROR(__xludf.DUMMYFUNCTION("""COMPUTED_VALUE"""),481950.0)</f>
        <v>481950</v>
      </c>
      <c r="AA687" s="495"/>
      <c r="AB687" s="495"/>
      <c r="AC687" s="495"/>
      <c r="AD687" s="495" t="str">
        <f>IFERROR(__xludf.DUMMYFUNCTION("""COMPUTED_VALUE"""),"RC-365_26")</f>
        <v>RC-365_26</v>
      </c>
    </row>
    <row r="688">
      <c r="A688" s="495" t="str">
        <f t="shared" si="1"/>
        <v>RC-366_26</v>
      </c>
      <c r="B688" s="497">
        <f>IFERROR(__xludf.DUMMYFUNCTION("""COMPUTED_VALUE"""),46241.449472175926)</f>
        <v>46241.44947</v>
      </c>
      <c r="C688" s="495" t="str">
        <f>IFERROR(__xludf.DUMMYFUNCTION("""COMPUTED_VALUE"""),"")</f>
        <v/>
      </c>
      <c r="D688" s="495" t="str">
        <f>IFERROR(__xludf.DUMMYFUNCTION("""COMPUTED_VALUE"""),"Mauricio Matus Belmar")</f>
        <v>Mauricio Matus Belmar</v>
      </c>
      <c r="E688" s="495"/>
      <c r="F688" s="496" t="str">
        <f>IFERROR(__xludf.DUMMYFUNCTION("""COMPUTED_VALUE"""),"935-2026")</f>
        <v>935-2026</v>
      </c>
      <c r="G688" s="495"/>
      <c r="H688" s="495"/>
      <c r="I688" s="495"/>
      <c r="J688" s="495" t="str">
        <f>IFERROR(__xludf.DUMMYFUNCTION("""COMPUTED_VALUE"""),"Campus Educación Continua - CEC")</f>
        <v>Campus Educación Continua - CEC</v>
      </c>
      <c r="K688" s="495" t="str">
        <f>IFERROR(__xludf.DUMMYFUNCTION("""COMPUTED_VALUE"""),"01")</f>
        <v>01</v>
      </c>
      <c r="L688" s="495" t="str">
        <f>IFERROR(__xludf.DUMMYFUNCTION("""COMPUTED_VALUE"""),"SERVICIOS INTEGRALES CRITICOS SPA")</f>
        <v>SERVICIOS INTEGRALES CRITICOS SPA</v>
      </c>
      <c r="M688" s="495" t="str">
        <f>IFERROR(__xludf.DUMMYFUNCTION("""COMPUTED_VALUE"""),"77.248.719-3")</f>
        <v>77.248.719-3</v>
      </c>
      <c r="N688" s="495" t="str">
        <f>IFERROR(__xludf.DUMMYFUNCTION("""COMPUTED_VALUE"""),"ROBERTO FUENTES    - SUPERVISOR")</f>
        <v>ROBERTO FUENTES    - SUPERVISOR</v>
      </c>
      <c r="O688" s="495" t="str">
        <f>IFERROR(__xludf.DUMMYFUNCTION("""COMPUTED_VALUE"""),"Mantenciones")</f>
        <v>Mantenciones</v>
      </c>
      <c r="P688" s="495" t="str">
        <f>IFERROR(__xludf.DUMMYFUNCTION("""COMPUTED_VALUE"""),"Requerimientos Emergentes e Imprevistos")</f>
        <v>Requerimientos Emergentes e Imprevistos</v>
      </c>
      <c r="Q688" s="495"/>
      <c r="R688" s="495"/>
      <c r="S688" s="495"/>
      <c r="T688" s="495"/>
      <c r="U688" s="495"/>
      <c r="V688" s="495" t="str">
        <f>IFERROR(__xludf.DUMMYFUNCTION("""COMPUTED_VALUE"""),"INSTALACION ESTANQUE PETROLEO DE 1.000 LITROS PARA CALDERA")</f>
        <v>INSTALACION ESTANQUE PETROLEO DE 1.000 LITROS PARA CALDERA</v>
      </c>
      <c r="W688" s="495" t="str">
        <f>IFERROR(__xludf.DUMMYFUNCTION("""COMPUTED_VALUE"""),"REVISAR ANUALMENTE")</f>
        <v>REVISAR ANUALMENTE</v>
      </c>
      <c r="X688" s="495" t="str">
        <f>IFERROR(__xludf.DUMMYFUNCTION("""COMPUTED_VALUE"""),"https://drive.google.com/open?id=1y7ObStYkoppN2gkjMZxAyJ-s3IzMM6lB, https://drive.google.com/open?id=1_2LRvEqnApycLKErDBs_xMjjegteaETa, https://drive.google.com/open?id=1av0fuB4AgbopblDcbH0eaLd5h1fGmqQm")</f>
        <v>https://drive.google.com/open?id=1y7ObStYkoppN2gkjMZxAyJ-s3IzMM6lB, https://drive.google.com/open?id=1_2LRvEqnApycLKErDBs_xMjjegteaETa, https://drive.google.com/open?id=1av0fuB4AgbopblDcbH0eaLd5h1fGmqQm</v>
      </c>
      <c r="Y688" s="495" t="str">
        <f>IFERROR(__xludf.DUMMYFUNCTION("""COMPUTED_VALUE"""),"fuentes.roberto1@gmail.com")</f>
        <v>fuentes.roberto1@gmail.com</v>
      </c>
      <c r="Z688" s="498">
        <f>IFERROR(__xludf.DUMMYFUNCTION("""COMPUTED_VALUE"""),5481557.0)</f>
        <v>5481557</v>
      </c>
      <c r="AA688" s="495"/>
      <c r="AB688" s="495"/>
      <c r="AC688" s="495"/>
      <c r="AD688" s="495" t="str">
        <f>IFERROR(__xludf.DUMMYFUNCTION("""COMPUTED_VALUE"""),"RC-366_26")</f>
        <v>RC-366_26</v>
      </c>
    </row>
    <row r="689">
      <c r="A689" s="495" t="str">
        <f t="shared" si="1"/>
        <v>RC-367_26</v>
      </c>
      <c r="B689" s="497">
        <f>IFERROR(__xludf.DUMMYFUNCTION("""COMPUTED_VALUE"""),46241.46523909722)</f>
        <v>46241.46524</v>
      </c>
      <c r="C689" s="495" t="str">
        <f>IFERROR(__xludf.DUMMYFUNCTION("""COMPUTED_VALUE"""),"")</f>
        <v/>
      </c>
      <c r="D689" s="495" t="str">
        <f>IFERROR(__xludf.DUMMYFUNCTION("""COMPUTED_VALUE"""),"Carol Huenchual Chañilao")</f>
        <v>Carol Huenchual Chañilao</v>
      </c>
      <c r="E689" s="495"/>
      <c r="F689" s="496" t="str">
        <f>IFERROR(__xludf.DUMMYFUNCTION("""COMPUTED_VALUE"""),"5479-2026")</f>
        <v>5479-2026</v>
      </c>
      <c r="G689" s="495"/>
      <c r="H689" s="495"/>
      <c r="I689" s="495"/>
      <c r="J689" s="495" t="str">
        <f>IFERROR(__xludf.DUMMYFUNCTION("""COMPUTED_VALUE"""),"Campus San Francisco - CSF")</f>
        <v>Campus San Francisco - CSF</v>
      </c>
      <c r="K689" s="495">
        <f>IFERROR(__xludf.DUMMYFUNCTION("""COMPUTED_VALUE"""),12.0)</f>
        <v>12</v>
      </c>
      <c r="L689" s="495" t="str">
        <f>IFERROR(__xludf.DUMMYFUNCTION("""COMPUTED_VALUE"""),"Sergio Flores Garrido")</f>
        <v>Sergio Flores Garrido</v>
      </c>
      <c r="M689" s="495" t="str">
        <f>IFERROR(__xludf.DUMMYFUNCTION("""COMPUTED_VALUE"""),"12.928.980-5")</f>
        <v>12.928.980-5</v>
      </c>
      <c r="N689" s="495" t="str">
        <f>IFERROR(__xludf.DUMMYFUNCTION("""COMPUTED_VALUE"""),"Sergio Flores Garrido")</f>
        <v>Sergio Flores Garrido</v>
      </c>
      <c r="O689" s="495" t="str">
        <f>IFERROR(__xludf.DUMMYFUNCTION("""COMPUTED_VALUE"""),"Mantenciones")</f>
        <v>Mantenciones</v>
      </c>
      <c r="P689" s="495" t="str">
        <f>IFERROR(__xludf.DUMMYFUNCTION("""COMPUTED_VALUE"""),"Cerramientos Verticales")</f>
        <v>Cerramientos Verticales</v>
      </c>
      <c r="Q689" s="495"/>
      <c r="R689" s="495"/>
      <c r="S689" s="495"/>
      <c r="T689" s="495"/>
      <c r="U689" s="495"/>
      <c r="V689" s="495" t="str">
        <f>IFERROR(__xludf.DUMMYFUNCTION("""COMPUTED_VALUE"""),"Cambio de espejo quebrado en ascensor.")</f>
        <v>Cambio de espejo quebrado en ascensor.</v>
      </c>
      <c r="W689" s="495" t="str">
        <f>IFERROR(__xludf.DUMMYFUNCTION("""COMPUTED_VALUE"""),"No requiere seguimiento.")</f>
        <v>No requiere seguimiento.</v>
      </c>
      <c r="X689" s="495" t="str">
        <f>IFERROR(__xludf.DUMMYFUNCTION("""COMPUTED_VALUE"""),"https://drive.google.com/open?id=1VkO7E5hp29a66LL0rxF5F_OJJA20BmpU, https://drive.google.com/open?id=1EPka5AZFZSZ7b3VpN0jNLfMVjVVQ2uzd")</f>
        <v>https://drive.google.com/open?id=1VkO7E5hp29a66LL0rxF5F_OJJA20BmpU, https://drive.google.com/open?id=1EPka5AZFZSZ7b3VpN0jNLfMVjVVQ2uzd</v>
      </c>
      <c r="Y689" s="495" t="str">
        <f>IFERROR(__xludf.DUMMYFUNCTION("""COMPUTED_VALUE"""),"sergiofloresgarrido19731217@gmail.com")</f>
        <v>sergiofloresgarrido19731217@gmail.com</v>
      </c>
      <c r="Z689" s="498">
        <f>IFERROR(__xludf.DUMMYFUNCTION("""COMPUTED_VALUE"""),107100.0)</f>
        <v>107100</v>
      </c>
      <c r="AA689" s="495"/>
      <c r="AB689" s="495"/>
      <c r="AC689" s="495"/>
      <c r="AD689" s="495" t="str">
        <f>IFERROR(__xludf.DUMMYFUNCTION("""COMPUTED_VALUE"""),"RC-367_26")</f>
        <v>RC-367_26</v>
      </c>
    </row>
    <row r="690">
      <c r="A690" s="495" t="str">
        <f t="shared" si="1"/>
        <v>RC-368_26</v>
      </c>
      <c r="B690" s="497">
        <f>IFERROR(__xludf.DUMMYFUNCTION("""COMPUTED_VALUE"""),46241.47006979167)</f>
        <v>46241.47007</v>
      </c>
      <c r="C690" s="495" t="str">
        <f>IFERROR(__xludf.DUMMYFUNCTION("""COMPUTED_VALUE"""),"")</f>
        <v/>
      </c>
      <c r="D690" s="495" t="str">
        <f>IFERROR(__xludf.DUMMYFUNCTION("""COMPUTED_VALUE"""),"Mauricio Matus Belmar")</f>
        <v>Mauricio Matus Belmar</v>
      </c>
      <c r="E690" s="495"/>
      <c r="F690" s="496" t="str">
        <f>IFERROR(__xludf.DUMMYFUNCTION("""COMPUTED_VALUE"""),"4814-2026")</f>
        <v>4814-2026</v>
      </c>
      <c r="G690" s="495"/>
      <c r="H690" s="495"/>
      <c r="I690" s="495"/>
      <c r="J690" s="495" t="str">
        <f>IFERROR(__xludf.DUMMYFUNCTION("""COMPUTED_VALUE"""),"Campus San Juan Pablo II - CJP")</f>
        <v>Campus San Juan Pablo II - CJP</v>
      </c>
      <c r="K690" s="495">
        <f>IFERROR(__xludf.DUMMYFUNCTION("""COMPUTED_VALUE"""),10.0)</f>
        <v>10</v>
      </c>
      <c r="L690" s="495" t="str">
        <f>IFERROR(__xludf.DUMMYFUNCTION("""COMPUTED_VALUE"""),"Sergio Flores Garrido ")</f>
        <v>Sergio Flores Garrido </v>
      </c>
      <c r="M690" s="495" t="str">
        <f>IFERROR(__xludf.DUMMYFUNCTION("""COMPUTED_VALUE"""),"12.928.980-5")</f>
        <v>12.928.980-5</v>
      </c>
      <c r="N690" s="495" t="str">
        <f>IFERROR(__xludf.DUMMYFUNCTION("""COMPUTED_VALUE"""),"Sergio Flores Garrido.")</f>
        <v>Sergio Flores Garrido.</v>
      </c>
      <c r="O690" s="495" t="str">
        <f>IFERROR(__xludf.DUMMYFUNCTION("""COMPUTED_VALUE"""),"Mantenciones")</f>
        <v>Mantenciones</v>
      </c>
      <c r="P690" s="495" t="str">
        <f>IFERROR(__xludf.DUMMYFUNCTION("""COMPUTED_VALUE"""),"Cerramientos Verticales")</f>
        <v>Cerramientos Verticales</v>
      </c>
      <c r="Q690" s="495"/>
      <c r="R690" s="495"/>
      <c r="S690" s="495"/>
      <c r="T690" s="495"/>
      <c r="U690" s="495"/>
      <c r="V690" s="495" t="str">
        <f>IFERROR(__xludf.DUMMYFUNCTION("""COMPUTED_VALUE"""),"Instalación de limites de distancia en ventanas.")</f>
        <v>Instalación de limites de distancia en ventanas.</v>
      </c>
      <c r="W690" s="495" t="str">
        <f>IFERROR(__xludf.DUMMYFUNCTION("""COMPUTED_VALUE"""),"No requiere seguimiento.")</f>
        <v>No requiere seguimiento.</v>
      </c>
      <c r="X690" s="499" t="str">
        <f>IFERROR(__xludf.DUMMYFUNCTION("""COMPUTED_VALUE"""),"https://drive.google.com/open?id=1dW1gTWJ5JJCIG59WVI4mUDAyfRplv5aD")</f>
        <v>https://drive.google.com/open?id=1dW1gTWJ5JJCIG59WVI4mUDAyfRplv5aD</v>
      </c>
      <c r="Y690" s="495" t="str">
        <f>IFERROR(__xludf.DUMMYFUNCTION("""COMPUTED_VALUE"""),"sergiofloresgarrido19731217@gmail.com")</f>
        <v>sergiofloresgarrido19731217@gmail.com</v>
      </c>
      <c r="Z690" s="498">
        <f>IFERROR(__xludf.DUMMYFUNCTION("""COMPUTED_VALUE"""),113050.0)</f>
        <v>113050</v>
      </c>
      <c r="AA690" s="495"/>
      <c r="AB690" s="495"/>
      <c r="AC690" s="495"/>
      <c r="AD690" s="495" t="str">
        <f>IFERROR(__xludf.DUMMYFUNCTION("""COMPUTED_VALUE"""),"RC-368_26")</f>
        <v>RC-368_26</v>
      </c>
    </row>
    <row r="691">
      <c r="A691" s="495" t="str">
        <f t="shared" si="1"/>
        <v>RC-369_26</v>
      </c>
      <c r="B691" s="497">
        <f>IFERROR(__xludf.DUMMYFUNCTION("""COMPUTED_VALUE"""),46241.50073237269)</f>
        <v>46241.50073</v>
      </c>
      <c r="C691" s="495" t="str">
        <f>IFERROR(__xludf.DUMMYFUNCTION("""COMPUTED_VALUE"""),"")</f>
        <v/>
      </c>
      <c r="D691" s="495" t="str">
        <f>IFERROR(__xludf.DUMMYFUNCTION("""COMPUTED_VALUE"""),"Mauricio Matus Belmar")</f>
        <v>Mauricio Matus Belmar</v>
      </c>
      <c r="E691" s="495"/>
      <c r="F691" s="496" t="str">
        <f>IFERROR(__xludf.DUMMYFUNCTION("""COMPUTED_VALUE"""),"6464 - 2026")</f>
        <v>6464 - 2026</v>
      </c>
      <c r="G691" s="495"/>
      <c r="H691" s="495"/>
      <c r="I691" s="495"/>
      <c r="J691" s="495" t="str">
        <f>IFERROR(__xludf.DUMMYFUNCTION("""COMPUTED_VALUE"""),"Campus Dr. Luis Rivas del Canto - CRC")</f>
        <v>Campus Dr. Luis Rivas del Canto - CRC</v>
      </c>
      <c r="K691" s="495" t="str">
        <f>IFERROR(__xludf.DUMMYFUNCTION("""COMPUTED_VALUE"""),"Exterior")</f>
        <v>Exterior</v>
      </c>
      <c r="L691" s="495" t="str">
        <f>IFERROR(__xludf.DUMMYFUNCTION("""COMPUTED_VALUE"""),"ERASMO EDUARDO ZELAYA LOPEZ")</f>
        <v>ERASMO EDUARDO ZELAYA LOPEZ</v>
      </c>
      <c r="M691" s="495" t="str">
        <f>IFERROR(__xludf.DUMMYFUNCTION("""COMPUTED_VALUE"""),"9.947.779-2")</f>
        <v>9.947.779-2</v>
      </c>
      <c r="N691" s="495" t="str">
        <f>IFERROR(__xludf.DUMMYFUNCTION("""COMPUTED_VALUE"""),"Erasmo Zelaya Lopez")</f>
        <v>Erasmo Zelaya Lopez</v>
      </c>
      <c r="O691" s="495" t="str">
        <f>IFERROR(__xludf.DUMMYFUNCTION("""COMPUTED_VALUE"""),"Mantenciones")</f>
        <v>Mantenciones</v>
      </c>
      <c r="P691" s="495" t="str">
        <f>IFERROR(__xludf.DUMMYFUNCTION("""COMPUTED_VALUE"""),"Instalaciones de Agua Potable")</f>
        <v>Instalaciones de Agua Potable</v>
      </c>
      <c r="Q691" s="495"/>
      <c r="R691" s="495"/>
      <c r="S691" s="495"/>
      <c r="T691" s="495"/>
      <c r="U691" s="495"/>
      <c r="V691" s="495" t="str">
        <f>IFERROR(__xludf.DUMMYFUNCTION("""COMPUTED_VALUE"""),"REPARACIÓN DE 02 BOMBAS, AGUA POTABLE Y CALEFACCIÓN.")</f>
        <v>REPARACIÓN DE 02 BOMBAS, AGUA POTABLE Y CALEFACCIÓN.</v>
      </c>
      <c r="W691" s="495" t="str">
        <f>IFERROR(__xludf.DUMMYFUNCTION("""COMPUTED_VALUE"""),"SE REALIZA MANTENCIÓN QUEDANDO BOMBAS OPERATIVAS")</f>
        <v>SE REALIZA MANTENCIÓN QUEDANDO BOMBAS OPERATIVAS</v>
      </c>
      <c r="X691" s="495" t="str">
        <f>IFERROR(__xludf.DUMMYFUNCTION("""COMPUTED_VALUE"""),"https://drive.google.com/open?id=19l7LoZscek-0R8ZEEP8GrgKQoP-eRaX2, https://drive.google.com/open?id=19WonS1_b_F6RtWm-f_AA9Z_GtJ_0K67e")</f>
        <v>https://drive.google.com/open?id=19l7LoZscek-0R8ZEEP8GrgKQoP-eRaX2, https://drive.google.com/open?id=19WonS1_b_F6RtWm-f_AA9Z_GtJ_0K67e</v>
      </c>
      <c r="Y691" s="495" t="str">
        <f>IFERROR(__xludf.DUMMYFUNCTION("""COMPUTED_VALUE"""),"mauricio.matus@uct.cl")</f>
        <v>mauricio.matus@uct.cl</v>
      </c>
      <c r="Z691" s="498">
        <f>IFERROR(__xludf.DUMMYFUNCTION("""COMPUTED_VALUE"""),404600.0)</f>
        <v>404600</v>
      </c>
      <c r="AA691" s="495"/>
      <c r="AB691" s="495"/>
      <c r="AC691" s="495"/>
      <c r="AD691" s="495" t="str">
        <f>IFERROR(__xludf.DUMMYFUNCTION("""COMPUTED_VALUE"""),"RC-369_26")</f>
        <v>RC-369_26</v>
      </c>
    </row>
    <row r="692">
      <c r="A692" s="495" t="str">
        <f t="shared" si="1"/>
        <v>RC-370_26</v>
      </c>
      <c r="B692" s="497">
        <f>IFERROR(__xludf.DUMMYFUNCTION("""COMPUTED_VALUE"""),46241.652164467596)</f>
        <v>46241.65216</v>
      </c>
      <c r="C692" s="495" t="str">
        <f>IFERROR(__xludf.DUMMYFUNCTION("""COMPUTED_VALUE"""),"")</f>
        <v/>
      </c>
      <c r="D692" s="495" t="str">
        <f>IFERROR(__xludf.DUMMYFUNCTION("""COMPUTED_VALUE"""),"Carol Huenchual Chañilao")</f>
        <v>Carol Huenchual Chañilao</v>
      </c>
      <c r="E692" s="495"/>
      <c r="F692" s="496" t="str">
        <f>IFERROR(__xludf.DUMMYFUNCTION("""COMPUTED_VALUE"""),"6460 - 2026")</f>
        <v>6460 - 2026</v>
      </c>
      <c r="G692" s="495"/>
      <c r="H692" s="495"/>
      <c r="I692" s="495"/>
      <c r="J692" s="495" t="str">
        <f>IFERROR(__xludf.DUMMYFUNCTION("""COMPUTED_VALUE"""),"Campus San Francisco - CSF")</f>
        <v>Campus San Francisco - CSF</v>
      </c>
      <c r="K692" s="495">
        <f>IFERROR(__xludf.DUMMYFUNCTION("""COMPUTED_VALUE"""),11.0)</f>
        <v>11</v>
      </c>
      <c r="L692" s="495" t="str">
        <f>IFERROR(__xludf.DUMMYFUNCTION("""COMPUTED_VALUE"""),"Sergio Flores Garrido")</f>
        <v>Sergio Flores Garrido</v>
      </c>
      <c r="M692" s="495" t="str">
        <f>IFERROR(__xludf.DUMMYFUNCTION("""COMPUTED_VALUE"""),"12.928.980-5")</f>
        <v>12.928.980-5</v>
      </c>
      <c r="N692" s="495" t="str">
        <f>IFERROR(__xludf.DUMMYFUNCTION("""COMPUTED_VALUE"""),"Sergio Flores Garrido")</f>
        <v>Sergio Flores Garrido</v>
      </c>
      <c r="O692" s="495" t="str">
        <f>IFERROR(__xludf.DUMMYFUNCTION("""COMPUTED_VALUE"""),"Mantenciones")</f>
        <v>Mantenciones</v>
      </c>
      <c r="P692" s="495" t="str">
        <f>IFERROR(__xludf.DUMMYFUNCTION("""COMPUTED_VALUE"""),"Cerramientos Verticales")</f>
        <v>Cerramientos Verticales</v>
      </c>
      <c r="Q692" s="495"/>
      <c r="R692" s="495"/>
      <c r="S692" s="495"/>
      <c r="T692" s="495"/>
      <c r="U692" s="495"/>
      <c r="V692" s="495" t="str">
        <f>IFERROR(__xludf.DUMMYFUNCTION("""COMPUTED_VALUE"""),"Cambio de termopanel quebrado .")</f>
        <v>Cambio de termopanel quebrado .</v>
      </c>
      <c r="W692" s="495" t="str">
        <f>IFERROR(__xludf.DUMMYFUNCTION("""COMPUTED_VALUE"""),"No requiere seguimiento.")</f>
        <v>No requiere seguimiento.</v>
      </c>
      <c r="X692" s="495" t="str">
        <f>IFERROR(__xludf.DUMMYFUNCTION("""COMPUTED_VALUE"""),"https://drive.google.com/open?id=1vJAjKB9EBAR40Jor6pv2oM86trdEft09, https://drive.google.com/open?id=14OfU5rpBH_rpC7jHfdtfwaSUdsPwODsx, https://drive.google.com/open?id=1OCowRYZ_zvSt9ILrbeQkN9sPEvJfpv5X")</f>
        <v>https://drive.google.com/open?id=1vJAjKB9EBAR40Jor6pv2oM86trdEft09, https://drive.google.com/open?id=14OfU5rpBH_rpC7jHfdtfwaSUdsPwODsx, https://drive.google.com/open?id=1OCowRYZ_zvSt9ILrbeQkN9sPEvJfpv5X</v>
      </c>
      <c r="Y692" s="495" t="str">
        <f>IFERROR(__xludf.DUMMYFUNCTION("""COMPUTED_VALUE"""),"sergiofloresgarrido19731217@gmail.com")</f>
        <v>sergiofloresgarrido19731217@gmail.com</v>
      </c>
      <c r="Z692" s="498">
        <f>IFERROR(__xludf.DUMMYFUNCTION("""COMPUTED_VALUE"""),405159.0)</f>
        <v>405159</v>
      </c>
      <c r="AA692" s="495"/>
      <c r="AB692" s="495"/>
      <c r="AC692" s="495"/>
      <c r="AD692" s="495" t="str">
        <f>IFERROR(__xludf.DUMMYFUNCTION("""COMPUTED_VALUE"""),"RC-370_26")</f>
        <v>RC-370_26</v>
      </c>
    </row>
    <row r="693">
      <c r="A693" s="495" t="str">
        <f t="shared" si="1"/>
        <v>RC-371_26</v>
      </c>
      <c r="B693" s="497">
        <f>IFERROR(__xludf.DUMMYFUNCTION("""COMPUTED_VALUE"""),46241.65381278935)</f>
        <v>46241.65381</v>
      </c>
      <c r="C693" s="495" t="str">
        <f>IFERROR(__xludf.DUMMYFUNCTION("""COMPUTED_VALUE"""),"")</f>
        <v/>
      </c>
      <c r="D693" s="495" t="str">
        <f>IFERROR(__xludf.DUMMYFUNCTION("""COMPUTED_VALUE"""),"Mauricio Matus Belmar")</f>
        <v>Mauricio Matus Belmar</v>
      </c>
      <c r="E693" s="495"/>
      <c r="F693" s="496" t="str">
        <f>IFERROR(__xludf.DUMMYFUNCTION("""COMPUTED_VALUE"""),"6274-2026")</f>
        <v>6274-2026</v>
      </c>
      <c r="G693" s="495"/>
      <c r="H693" s="495"/>
      <c r="I693" s="495"/>
      <c r="J693" s="495" t="str">
        <f>IFERROR(__xludf.DUMMYFUNCTION("""COMPUTED_VALUE"""),"Campus San Juan Pablo II - CJP")</f>
        <v>Campus San Juan Pablo II - CJP</v>
      </c>
      <c r="K693" s="495">
        <f>IFERROR(__xludf.DUMMYFUNCTION("""COMPUTED_VALUE"""),12.0)</f>
        <v>12</v>
      </c>
      <c r="L693" s="495" t="str">
        <f>IFERROR(__xludf.DUMMYFUNCTION("""COMPUTED_VALUE"""),"Kume Ruka spa ")</f>
        <v>Kume Ruka spa </v>
      </c>
      <c r="M693" s="495" t="str">
        <f>IFERROR(__xludf.DUMMYFUNCTION("""COMPUTED_VALUE"""),"77.929.977-5")</f>
        <v>77.929.977-5</v>
      </c>
      <c r="N693" s="495" t="str">
        <f>IFERROR(__xludf.DUMMYFUNCTION("""COMPUTED_VALUE"""),"Héctor Zambrano ")</f>
        <v>Héctor Zambrano </v>
      </c>
      <c r="O693" s="495" t="str">
        <f>IFERROR(__xludf.DUMMYFUNCTION("""COMPUTED_VALUE"""),"Mantenciones")</f>
        <v>Mantenciones</v>
      </c>
      <c r="P693" s="495" t="str">
        <f>IFERROR(__xludf.DUMMYFUNCTION("""COMPUTED_VALUE"""),"Suelos")</f>
        <v>Suelos</v>
      </c>
      <c r="Q693" s="495"/>
      <c r="R693" s="495"/>
      <c r="S693" s="495"/>
      <c r="T693" s="495"/>
      <c r="U693" s="495"/>
      <c r="V693" s="495" t="str">
        <f>IFERROR(__xludf.DUMMYFUNCTION("""COMPUTED_VALUE"""),"REPARACIÓN Y MEJORAMIENTO DE PISO EN PASILLOS EDIFICIO CJP12 PASILLO 1ER Y 2DO PISO.")</f>
        <v>REPARACIÓN Y MEJORAMIENTO DE PISO EN PASILLOS EDIFICIO CJP12 PASILLO 1ER Y 2DO PISO.</v>
      </c>
      <c r="W693" s="495"/>
      <c r="X693" s="495" t="str">
        <f>IFERROR(__xludf.DUMMYFUNCTION("""COMPUTED_VALUE"""),"https://drive.google.com/open?id=1Hu0tgqkEs-Itjg24O5DJwenBj9g54OcL, https://drive.google.com/open?id=10IzPk0BjToEVDdTNbfCQSylM840RgRq-, https://drive.google.com/open?id=1EyJq58NqVbFMht8R8bfBe0MnQN_M3HVY, https://drive.google.com/open?id=1igHtiKcpOxplniHb5"&amp;"rWSYuwBCW1vXDbJ")</f>
        <v>https://drive.google.com/open?id=1Hu0tgqkEs-Itjg24O5DJwenBj9g54OcL, https://drive.google.com/open?id=10IzPk0BjToEVDdTNbfCQSylM840RgRq-, https://drive.google.com/open?id=1EyJq58NqVbFMht8R8bfBe0MnQN_M3HVY, https://drive.google.com/open?id=1igHtiKcpOxplniHb5rWSYuwBCW1vXDbJ</v>
      </c>
      <c r="Y693" s="495" t="str">
        <f>IFERROR(__xludf.DUMMYFUNCTION("""COMPUTED_VALUE"""),"hzambranoleal@gmail.com")</f>
        <v>hzambranoleal@gmail.com</v>
      </c>
      <c r="Z693" s="498">
        <f>IFERROR(__xludf.DUMMYFUNCTION("""COMPUTED_VALUE"""),4353040.0)</f>
        <v>4353040</v>
      </c>
      <c r="AA693" s="495"/>
      <c r="AB693" s="495"/>
      <c r="AC693" s="495"/>
      <c r="AD693" s="495" t="str">
        <f>IFERROR(__xludf.DUMMYFUNCTION("""COMPUTED_VALUE"""),"RC-371_26")</f>
        <v>RC-371_26</v>
      </c>
    </row>
    <row r="694">
      <c r="A694" s="495" t="str">
        <f t="shared" si="1"/>
        <v>RC-372_26</v>
      </c>
      <c r="B694" s="497">
        <f>IFERROR(__xludf.DUMMYFUNCTION("""COMPUTED_VALUE"""),46241.68522601852)</f>
        <v>46241.68523</v>
      </c>
      <c r="C694" s="495" t="str">
        <f>IFERROR(__xludf.DUMMYFUNCTION("""COMPUTED_VALUE"""),"")</f>
        <v/>
      </c>
      <c r="D694" s="495" t="str">
        <f>IFERROR(__xludf.DUMMYFUNCTION("""COMPUTED_VALUE"""),"Felipe Anselme Grandón")</f>
        <v>Felipe Anselme Grandón</v>
      </c>
      <c r="E694" s="495"/>
      <c r="F694" s="496" t="str">
        <f>IFERROR(__xludf.DUMMYFUNCTION("""COMPUTED_VALUE"""),"6393-2026")</f>
        <v>6393-2026</v>
      </c>
      <c r="G694" s="495"/>
      <c r="H694" s="495"/>
      <c r="I694" s="495"/>
      <c r="J694" s="495" t="str">
        <f>IFERROR(__xludf.DUMMYFUNCTION("""COMPUTED_VALUE"""),"Campus Phillippi - CPH")</f>
        <v>Campus Phillippi - CPH</v>
      </c>
      <c r="K694" s="495" t="str">
        <f>IFERROR(__xludf.DUMMYFUNCTION("""COMPUTED_VALUE"""),"03")</f>
        <v>03</v>
      </c>
      <c r="L694" s="495" t="str">
        <f>IFERROR(__xludf.DUMMYFUNCTION("""COMPUTED_VALUE"""),"CONSTRUCTORA ALPLAS SPA")</f>
        <v>CONSTRUCTORA ALPLAS SPA</v>
      </c>
      <c r="M694" s="495" t="str">
        <f>IFERROR(__xludf.DUMMYFUNCTION("""COMPUTED_VALUE"""),"77.190.049-6")</f>
        <v>77.190.049-6</v>
      </c>
      <c r="N694" s="495" t="str">
        <f>IFERROR(__xludf.DUMMYFUNCTION("""COMPUTED_VALUE"""),"MAXS JARA jefe de área ")</f>
        <v>MAXS JARA jefe de área </v>
      </c>
      <c r="O694" s="495" t="str">
        <f>IFERROR(__xludf.DUMMYFUNCTION("""COMPUTED_VALUE"""),"Mantenciones")</f>
        <v>Mantenciones</v>
      </c>
      <c r="P694" s="495" t="str">
        <f>IFERROR(__xludf.DUMMYFUNCTION("""COMPUTED_VALUE"""),"Cubiertas")</f>
        <v>Cubiertas</v>
      </c>
      <c r="Q694" s="495"/>
      <c r="R694" s="495"/>
      <c r="S694" s="495"/>
      <c r="T694" s="495"/>
      <c r="U694" s="495"/>
      <c r="V694" s="495" t="str">
        <f>IFERROR(__xludf.DUMMYFUNCTION("""COMPUTED_VALUE"""),"REMPLAZO DE CUBIERTA POLICARBONATO Y SELLO DE GOTERAS CASA PHILLIPPI 622")</f>
        <v>REMPLAZO DE CUBIERTA POLICARBONATO Y SELLO DE GOTERAS CASA PHILLIPPI 622</v>
      </c>
      <c r="W694" s="495" t="str">
        <f>IFERROR(__xludf.DUMMYFUNCTION("""COMPUTED_VALUE""")," retirar ductos antiguos de salida de cañones 3 und")</f>
        <v> retirar ductos antiguos de salida de cañones 3 und</v>
      </c>
      <c r="X694" s="495" t="str">
        <f>IFERROR(__xludf.DUMMYFUNCTION("""COMPUTED_VALUE"""),"https://drive.google.com/open?id=1QlMAGdB2BpKZUqT4MfSCYsJAuSJ6zodM, https://drive.google.com/open?id=1zMCE3fWG8SaSbwdez4nH5v9Z-K7BS-y1, https://drive.google.com/open?id=1K7QAcme_Sxu-MyMVasY597UcGCKxIIDv")</f>
        <v>https://drive.google.com/open?id=1QlMAGdB2BpKZUqT4MfSCYsJAuSJ6zodM, https://drive.google.com/open?id=1zMCE3fWG8SaSbwdez4nH5v9Z-K7BS-y1, https://drive.google.com/open?id=1K7QAcme_Sxu-MyMVasY597UcGCKxIIDv</v>
      </c>
      <c r="Y694" s="495" t="str">
        <f>IFERROR(__xludf.DUMMYFUNCTION("""COMPUTED_VALUE"""),"maxsj@alplas.cl")</f>
        <v>maxsj@alplas.cl</v>
      </c>
      <c r="Z694" s="498">
        <f>IFERROR(__xludf.DUMMYFUNCTION("""COMPUTED_VALUE"""),598689.0)</f>
        <v>598689</v>
      </c>
      <c r="AA694" s="495"/>
      <c r="AB694" s="495"/>
      <c r="AC694" s="495"/>
      <c r="AD694" s="495" t="str">
        <f>IFERROR(__xludf.DUMMYFUNCTION("""COMPUTED_VALUE"""),"RC-372_26")</f>
        <v>RC-372_26</v>
      </c>
    </row>
    <row r="695">
      <c r="A695" s="495" t="str">
        <f t="shared" si="1"/>
        <v>RC-373_26</v>
      </c>
      <c r="B695" s="497">
        <f>IFERROR(__xludf.DUMMYFUNCTION("""COMPUTED_VALUE"""),46244.41261540509)</f>
        <v>46244.41262</v>
      </c>
      <c r="C695" s="495" t="str">
        <f>IFERROR(__xludf.DUMMYFUNCTION("""COMPUTED_VALUE"""),"")</f>
        <v/>
      </c>
      <c r="D695" s="495" t="str">
        <f>IFERROR(__xludf.DUMMYFUNCTION("""COMPUTED_VALUE"""),"Arturo Meza Vega")</f>
        <v>Arturo Meza Vega</v>
      </c>
      <c r="E695" s="495"/>
      <c r="F695" s="496" t="str">
        <f>IFERROR(__xludf.DUMMYFUNCTION("""COMPUTED_VALUE"""),"6479 - 2026")</f>
        <v>6479 - 2026</v>
      </c>
      <c r="G695" s="495"/>
      <c r="H695" s="495"/>
      <c r="I695" s="495"/>
      <c r="J695" s="495" t="str">
        <f>IFERROR(__xludf.DUMMYFUNCTION("""COMPUTED_VALUE"""),"Campus San Juan Pablo II - CJP")</f>
        <v>Campus San Juan Pablo II - CJP</v>
      </c>
      <c r="K695" s="495" t="str">
        <f>IFERROR(__xludf.DUMMYFUNCTION("""COMPUTED_VALUE"""),"07")</f>
        <v>07</v>
      </c>
      <c r="L695" s="495" t="str">
        <f>IFERROR(__xludf.DUMMYFUNCTION("""COMPUTED_VALUE"""),"J&amp;D Ingeniería y Ejecución SPA")</f>
        <v>J&amp;D Ingeniería y Ejecución SPA</v>
      </c>
      <c r="M695" s="495" t="str">
        <f>IFERROR(__xludf.DUMMYFUNCTION("""COMPUTED_VALUE"""),"78.368.635-K")</f>
        <v>78.368.635-K</v>
      </c>
      <c r="N695" s="495" t="str">
        <f>IFERROR(__xludf.DUMMYFUNCTION("""COMPUTED_VALUE"""),"José Espinoza - Jefe de Proyectos")</f>
        <v>José Espinoza - Jefe de Proyectos</v>
      </c>
      <c r="O695" s="495" t="str">
        <f>IFERROR(__xludf.DUMMYFUNCTION("""COMPUTED_VALUE"""),"Mantenciones")</f>
        <v>Mantenciones</v>
      </c>
      <c r="P695" s="495" t="str">
        <f>IFERROR(__xludf.DUMMYFUNCTION("""COMPUTED_VALUE"""),"Instalaciones Eléctricas")</f>
        <v>Instalaciones Eléctricas</v>
      </c>
      <c r="Q695" s="495"/>
      <c r="R695" s="495"/>
      <c r="S695" s="495"/>
      <c r="T695" s="495"/>
      <c r="U695" s="495"/>
      <c r="V695" s="495" t="str">
        <f>IFERROR(__xludf.DUMMYFUNCTION("""COMPUTED_VALUE"""),"Extensión de enchufes y datos sala CJP07_105")</f>
        <v>Extensión de enchufes y datos sala CJP07_105</v>
      </c>
      <c r="W695" s="495" t="str">
        <f>IFERROR(__xludf.DUMMYFUNCTION("""COMPUTED_VALUE"""),"Todo OK")</f>
        <v>Todo OK</v>
      </c>
      <c r="X695" s="499" t="str">
        <f>IFERROR(__xludf.DUMMYFUNCTION("""COMPUTED_VALUE"""),"https://drive.google.com/open?id=1VUexG7T-YO1ILjhqmAeaEraRaWkPcHQK")</f>
        <v>https://drive.google.com/open?id=1VUexG7T-YO1ILjhqmAeaEraRaWkPcHQK</v>
      </c>
      <c r="Y695" s="495" t="str">
        <f>IFERROR(__xludf.DUMMYFUNCTION("""COMPUTED_VALUE"""),"jotayde.ingenieria@gmail.com")</f>
        <v>jotayde.ingenieria@gmail.com</v>
      </c>
      <c r="Z695" s="498">
        <f>IFERROR(__xludf.DUMMYFUNCTION("""COMPUTED_VALUE"""),425663.0)</f>
        <v>425663</v>
      </c>
      <c r="AA695" s="495"/>
      <c r="AB695" s="495"/>
      <c r="AC695" s="495"/>
      <c r="AD695" s="495" t="str">
        <f>IFERROR(__xludf.DUMMYFUNCTION("""COMPUTED_VALUE"""),"RC-373_26")</f>
        <v>RC-373_26</v>
      </c>
    </row>
    <row r="696">
      <c r="A696" s="495" t="str">
        <f t="shared" si="1"/>
        <v/>
      </c>
      <c r="B696" s="495"/>
      <c r="C696" s="495"/>
      <c r="D696" s="495"/>
      <c r="E696" s="495"/>
      <c r="F696" s="496"/>
      <c r="G696" s="495"/>
      <c r="H696" s="495"/>
      <c r="I696" s="495"/>
      <c r="J696" s="495"/>
      <c r="K696" s="495"/>
      <c r="L696" s="495"/>
      <c r="M696" s="495"/>
      <c r="N696" s="495"/>
      <c r="O696" s="495"/>
      <c r="P696" s="495"/>
      <c r="Q696" s="495"/>
      <c r="R696" s="495"/>
      <c r="S696" s="495"/>
      <c r="T696" s="495"/>
      <c r="U696" s="495"/>
      <c r="V696" s="495"/>
      <c r="W696" s="495"/>
      <c r="X696" s="495"/>
      <c r="Y696" s="495"/>
      <c r="Z696" s="495"/>
      <c r="AA696" s="495"/>
      <c r="AB696" s="495"/>
      <c r="AC696" s="495"/>
      <c r="AD696" s="495"/>
    </row>
    <row r="697">
      <c r="A697" s="495" t="str">
        <f t="shared" si="1"/>
        <v/>
      </c>
      <c r="B697" s="495"/>
      <c r="C697" s="495"/>
      <c r="D697" s="495"/>
      <c r="E697" s="495"/>
      <c r="F697" s="496"/>
      <c r="G697" s="495"/>
      <c r="H697" s="495"/>
      <c r="I697" s="495"/>
      <c r="J697" s="495"/>
      <c r="K697" s="495"/>
      <c r="L697" s="495"/>
      <c r="M697" s="495"/>
      <c r="N697" s="495"/>
      <c r="O697" s="495"/>
      <c r="P697" s="495"/>
      <c r="Q697" s="495"/>
      <c r="R697" s="495"/>
      <c r="S697" s="495"/>
      <c r="T697" s="495"/>
      <c r="U697" s="495"/>
      <c r="V697" s="495"/>
      <c r="W697" s="495"/>
      <c r="X697" s="495"/>
      <c r="Y697" s="495"/>
      <c r="Z697" s="495"/>
      <c r="AA697" s="495"/>
      <c r="AB697" s="495"/>
      <c r="AC697" s="495"/>
      <c r="AD697" s="495"/>
    </row>
    <row r="698">
      <c r="A698" s="495" t="str">
        <f t="shared" si="1"/>
        <v/>
      </c>
      <c r="B698" s="495"/>
      <c r="C698" s="495"/>
      <c r="D698" s="495"/>
      <c r="E698" s="495"/>
      <c r="F698" s="496"/>
      <c r="G698" s="495"/>
      <c r="H698" s="495"/>
      <c r="I698" s="495"/>
      <c r="J698" s="495"/>
      <c r="K698" s="495"/>
      <c r="L698" s="495"/>
      <c r="M698" s="495"/>
      <c r="N698" s="495"/>
      <c r="O698" s="495"/>
      <c r="P698" s="495"/>
      <c r="Q698" s="495"/>
      <c r="R698" s="495"/>
      <c r="S698" s="495"/>
      <c r="T698" s="495"/>
      <c r="U698" s="495"/>
      <c r="V698" s="495"/>
      <c r="W698" s="495"/>
      <c r="X698" s="495"/>
      <c r="Y698" s="495"/>
      <c r="Z698" s="495"/>
      <c r="AA698" s="495"/>
      <c r="AB698" s="495"/>
      <c r="AC698" s="495"/>
      <c r="AD698" s="495"/>
    </row>
    <row r="699">
      <c r="A699" s="495" t="str">
        <f t="shared" si="1"/>
        <v/>
      </c>
      <c r="B699" s="495"/>
      <c r="C699" s="495"/>
      <c r="D699" s="495"/>
      <c r="E699" s="495"/>
      <c r="F699" s="496"/>
      <c r="G699" s="495"/>
      <c r="H699" s="495"/>
      <c r="I699" s="495"/>
      <c r="J699" s="495"/>
      <c r="K699" s="495"/>
      <c r="L699" s="495"/>
      <c r="M699" s="495"/>
      <c r="N699" s="495"/>
      <c r="O699" s="495"/>
      <c r="P699" s="495"/>
      <c r="Q699" s="495"/>
      <c r="R699" s="495"/>
      <c r="S699" s="495"/>
      <c r="T699" s="495"/>
      <c r="U699" s="495"/>
      <c r="V699" s="495"/>
      <c r="W699" s="495"/>
      <c r="X699" s="495"/>
      <c r="Y699" s="495"/>
      <c r="Z699" s="495"/>
      <c r="AA699" s="495"/>
      <c r="AB699" s="495"/>
      <c r="AC699" s="495"/>
      <c r="AD699" s="495"/>
    </row>
    <row r="700">
      <c r="A700" s="495" t="str">
        <f t="shared" si="1"/>
        <v/>
      </c>
      <c r="B700" s="495"/>
      <c r="C700" s="495"/>
      <c r="D700" s="495"/>
      <c r="E700" s="495"/>
      <c r="F700" s="496"/>
      <c r="G700" s="495"/>
      <c r="H700" s="495"/>
      <c r="I700" s="495"/>
      <c r="J700" s="495"/>
      <c r="K700" s="495"/>
      <c r="L700" s="495"/>
      <c r="M700" s="495"/>
      <c r="N700" s="495"/>
      <c r="O700" s="495"/>
      <c r="P700" s="495"/>
      <c r="Q700" s="495"/>
      <c r="R700" s="495"/>
      <c r="S700" s="495"/>
      <c r="T700" s="495"/>
      <c r="U700" s="495"/>
      <c r="V700" s="495"/>
      <c r="W700" s="495"/>
      <c r="X700" s="495"/>
      <c r="Y700" s="495"/>
      <c r="Z700" s="495"/>
      <c r="AA700" s="495"/>
      <c r="AB700" s="495"/>
      <c r="AC700" s="495"/>
      <c r="AD700" s="495"/>
    </row>
    <row r="701">
      <c r="A701" s="495" t="str">
        <f t="shared" si="1"/>
        <v/>
      </c>
      <c r="B701" s="495"/>
      <c r="C701" s="495"/>
      <c r="D701" s="495"/>
      <c r="E701" s="495"/>
      <c r="F701" s="496"/>
      <c r="G701" s="495"/>
      <c r="H701" s="495"/>
      <c r="I701" s="495"/>
      <c r="J701" s="495"/>
      <c r="K701" s="495"/>
      <c r="L701" s="495"/>
      <c r="M701" s="495"/>
      <c r="N701" s="495"/>
      <c r="O701" s="495"/>
      <c r="P701" s="495"/>
      <c r="Q701" s="495"/>
      <c r="R701" s="495"/>
      <c r="S701" s="495"/>
      <c r="T701" s="495"/>
      <c r="U701" s="495"/>
      <c r="V701" s="495"/>
      <c r="W701" s="495"/>
      <c r="X701" s="495"/>
      <c r="Y701" s="495"/>
      <c r="Z701" s="495"/>
      <c r="AA701" s="495"/>
      <c r="AB701" s="495"/>
      <c r="AC701" s="495"/>
      <c r="AD701" s="495"/>
    </row>
    <row r="702">
      <c r="A702" s="495" t="str">
        <f t="shared" si="1"/>
        <v/>
      </c>
      <c r="B702" s="495"/>
      <c r="C702" s="495"/>
      <c r="D702" s="495"/>
      <c r="E702" s="495"/>
      <c r="F702" s="496"/>
      <c r="G702" s="495"/>
      <c r="H702" s="495"/>
      <c r="I702" s="495"/>
      <c r="J702" s="495"/>
      <c r="K702" s="495"/>
      <c r="L702" s="495"/>
      <c r="M702" s="495"/>
      <c r="N702" s="495"/>
      <c r="O702" s="495"/>
      <c r="P702" s="495"/>
      <c r="Q702" s="495"/>
      <c r="R702" s="495"/>
      <c r="S702" s="495"/>
      <c r="T702" s="495"/>
      <c r="U702" s="495"/>
      <c r="V702" s="495"/>
      <c r="W702" s="495"/>
      <c r="X702" s="495"/>
      <c r="Y702" s="495"/>
      <c r="Z702" s="495"/>
      <c r="AA702" s="495"/>
      <c r="AB702" s="495"/>
      <c r="AC702" s="495"/>
      <c r="AD702" s="495"/>
    </row>
    <row r="703">
      <c r="A703" s="495" t="str">
        <f t="shared" si="1"/>
        <v/>
      </c>
      <c r="B703" s="495"/>
      <c r="C703" s="495"/>
      <c r="D703" s="495"/>
      <c r="E703" s="495"/>
      <c r="F703" s="496"/>
      <c r="G703" s="495"/>
      <c r="H703" s="495"/>
      <c r="I703" s="495"/>
      <c r="J703" s="495"/>
      <c r="K703" s="495"/>
      <c r="L703" s="495"/>
      <c r="M703" s="495"/>
      <c r="N703" s="495"/>
      <c r="O703" s="495"/>
      <c r="P703" s="495"/>
      <c r="Q703" s="495"/>
      <c r="R703" s="495"/>
      <c r="S703" s="495"/>
      <c r="T703" s="495"/>
      <c r="U703" s="495"/>
      <c r="V703" s="495"/>
      <c r="W703" s="495"/>
      <c r="X703" s="495"/>
      <c r="Y703" s="495"/>
      <c r="Z703" s="495"/>
      <c r="AA703" s="495"/>
      <c r="AB703" s="495"/>
      <c r="AC703" s="495"/>
      <c r="AD703" s="495"/>
    </row>
    <row r="704">
      <c r="A704" s="495" t="str">
        <f t="shared" si="1"/>
        <v/>
      </c>
      <c r="B704" s="495"/>
      <c r="C704" s="495"/>
      <c r="D704" s="495"/>
      <c r="E704" s="495"/>
      <c r="F704" s="496"/>
      <c r="G704" s="495"/>
      <c r="H704" s="495"/>
      <c r="I704" s="495"/>
      <c r="J704" s="495"/>
      <c r="K704" s="495"/>
      <c r="L704" s="495" t="str">
        <f>IFERROR(__xludf.DUMMYFUNCTION("""COMPUTED_VALUE"""),"r")</f>
        <v>r</v>
      </c>
      <c r="M704" s="495"/>
      <c r="N704" s="495"/>
      <c r="O704" s="495"/>
      <c r="P704" s="495"/>
      <c r="Q704" s="495"/>
      <c r="R704" s="495"/>
      <c r="S704" s="495"/>
      <c r="T704" s="495"/>
      <c r="U704" s="495"/>
      <c r="V704" s="495"/>
      <c r="W704" s="495"/>
      <c r="X704" s="495"/>
      <c r="Y704" s="495"/>
      <c r="Z704" s="495"/>
      <c r="AA704" s="495"/>
      <c r="AB704" s="495"/>
      <c r="AC704" s="495"/>
      <c r="AD704" s="495"/>
    </row>
    <row r="705">
      <c r="A705" s="495" t="str">
        <f t="shared" si="1"/>
        <v/>
      </c>
      <c r="B705" s="495"/>
      <c r="C705" s="495"/>
      <c r="D705" s="495"/>
      <c r="E705" s="495"/>
      <c r="F705" s="496"/>
      <c r="G705" s="495"/>
      <c r="H705" s="495"/>
      <c r="I705" s="495"/>
      <c r="J705" s="495"/>
      <c r="K705" s="495"/>
      <c r="L705" s="495"/>
      <c r="M705" s="495"/>
      <c r="N705" s="495"/>
      <c r="O705" s="495"/>
      <c r="P705" s="495"/>
      <c r="Q705" s="495"/>
      <c r="R705" s="495"/>
      <c r="S705" s="495"/>
      <c r="T705" s="495"/>
      <c r="U705" s="495"/>
      <c r="V705" s="495"/>
      <c r="W705" s="495"/>
      <c r="X705" s="495"/>
      <c r="Y705" s="495"/>
      <c r="Z705" s="495"/>
      <c r="AA705" s="495"/>
      <c r="AB705" s="495"/>
      <c r="AC705" s="495"/>
      <c r="AD705" s="495"/>
    </row>
    <row r="706">
      <c r="A706" s="495" t="str">
        <f t="shared" si="1"/>
        <v/>
      </c>
      <c r="B706" s="495"/>
      <c r="C706" s="495"/>
      <c r="D706" s="495"/>
      <c r="E706" s="495"/>
      <c r="F706" s="496"/>
      <c r="G706" s="495"/>
      <c r="H706" s="495"/>
      <c r="I706" s="495"/>
      <c r="J706" s="495"/>
      <c r="K706" s="495"/>
      <c r="L706" s="495"/>
      <c r="M706" s="495"/>
      <c r="N706" s="495"/>
      <c r="O706" s="495"/>
      <c r="P706" s="495"/>
      <c r="Q706" s="495"/>
      <c r="R706" s="495"/>
      <c r="S706" s="495"/>
      <c r="T706" s="495"/>
      <c r="U706" s="495"/>
      <c r="V706" s="495"/>
      <c r="W706" s="495"/>
      <c r="X706" s="495"/>
      <c r="Y706" s="495"/>
      <c r="Z706" s="495"/>
      <c r="AA706" s="495"/>
      <c r="AB706" s="495"/>
      <c r="AC706" s="495"/>
      <c r="AD706" s="495"/>
    </row>
    <row r="707">
      <c r="A707" s="495" t="str">
        <f t="shared" si="1"/>
        <v/>
      </c>
      <c r="B707" s="495"/>
      <c r="C707" s="495"/>
      <c r="D707" s="495"/>
      <c r="E707" s="495"/>
      <c r="F707" s="496"/>
      <c r="G707" s="495"/>
      <c r="H707" s="495"/>
      <c r="I707" s="495"/>
      <c r="J707" s="495"/>
      <c r="K707" s="495"/>
      <c r="L707" s="495"/>
      <c r="M707" s="495"/>
      <c r="N707" s="495"/>
      <c r="O707" s="495"/>
      <c r="P707" s="495"/>
      <c r="Q707" s="495"/>
      <c r="R707" s="495"/>
      <c r="S707" s="495"/>
      <c r="T707" s="495"/>
      <c r="U707" s="495"/>
      <c r="V707" s="495"/>
      <c r="W707" s="495"/>
      <c r="X707" s="495"/>
      <c r="Y707" s="495"/>
      <c r="Z707" s="495"/>
      <c r="AA707" s="495"/>
      <c r="AB707" s="495"/>
      <c r="AC707" s="495"/>
      <c r="AD707" s="495"/>
    </row>
    <row r="708">
      <c r="A708" s="495" t="str">
        <f t="shared" si="1"/>
        <v/>
      </c>
      <c r="B708" s="495"/>
      <c r="C708" s="495"/>
      <c r="D708" s="495"/>
      <c r="E708" s="495"/>
      <c r="F708" s="496"/>
      <c r="G708" s="495"/>
      <c r="H708" s="495"/>
      <c r="I708" s="495"/>
      <c r="J708" s="495"/>
      <c r="K708" s="495"/>
      <c r="L708" s="495"/>
      <c r="M708" s="495"/>
      <c r="N708" s="495"/>
      <c r="O708" s="495"/>
      <c r="P708" s="495"/>
      <c r="Q708" s="495"/>
      <c r="R708" s="495"/>
      <c r="S708" s="495"/>
      <c r="T708" s="495"/>
      <c r="U708" s="495"/>
      <c r="V708" s="495"/>
      <c r="W708" s="495"/>
      <c r="X708" s="495"/>
      <c r="Y708" s="495"/>
      <c r="Z708" s="495"/>
      <c r="AA708" s="495"/>
      <c r="AB708" s="495"/>
      <c r="AC708" s="495"/>
      <c r="AD708" s="495"/>
    </row>
    <row r="709">
      <c r="A709" s="495" t="str">
        <f t="shared" si="1"/>
        <v/>
      </c>
      <c r="B709" s="495"/>
      <c r="C709" s="495"/>
      <c r="D709" s="495"/>
      <c r="E709" s="495"/>
      <c r="F709" s="496"/>
      <c r="G709" s="495"/>
      <c r="H709" s="495"/>
      <c r="I709" s="495"/>
      <c r="J709" s="495"/>
      <c r="K709" s="495"/>
      <c r="L709" s="495"/>
      <c r="M709" s="495"/>
      <c r="N709" s="495"/>
      <c r="O709" s="495"/>
      <c r="P709" s="495"/>
      <c r="Q709" s="495"/>
      <c r="R709" s="495"/>
      <c r="S709" s="495"/>
      <c r="T709" s="495"/>
      <c r="U709" s="495"/>
      <c r="V709" s="495"/>
      <c r="W709" s="495"/>
      <c r="X709" s="495"/>
      <c r="Y709" s="495"/>
      <c r="Z709" s="495"/>
      <c r="AA709" s="495"/>
      <c r="AB709" s="495"/>
      <c r="AC709" s="495"/>
      <c r="AD709" s="495"/>
    </row>
    <row r="710">
      <c r="A710" s="495" t="str">
        <f t="shared" si="1"/>
        <v/>
      </c>
      <c r="B710" s="495"/>
      <c r="C710" s="495"/>
      <c r="D710" s="495"/>
      <c r="E710" s="495"/>
      <c r="F710" s="496"/>
      <c r="G710" s="495"/>
      <c r="H710" s="495"/>
      <c r="I710" s="495"/>
      <c r="J710" s="495"/>
      <c r="K710" s="495"/>
      <c r="L710" s="495"/>
      <c r="M710" s="495"/>
      <c r="N710" s="495"/>
      <c r="O710" s="495"/>
      <c r="P710" s="495"/>
      <c r="Q710" s="495"/>
      <c r="R710" s="495"/>
      <c r="S710" s="495"/>
      <c r="T710" s="495"/>
      <c r="U710" s="495"/>
      <c r="V710" s="495"/>
      <c r="W710" s="495"/>
      <c r="X710" s="495"/>
      <c r="Y710" s="495"/>
      <c r="Z710" s="495"/>
      <c r="AA710" s="495"/>
      <c r="AB710" s="495"/>
      <c r="AC710" s="495"/>
      <c r="AD710" s="495"/>
    </row>
    <row r="711">
      <c r="A711" s="495" t="str">
        <f t="shared" si="1"/>
        <v/>
      </c>
      <c r="B711" s="495"/>
      <c r="C711" s="495"/>
      <c r="D711" s="495"/>
      <c r="E711" s="495"/>
      <c r="F711" s="496"/>
      <c r="G711" s="495"/>
      <c r="H711" s="495"/>
      <c r="I711" s="495"/>
      <c r="J711" s="495"/>
      <c r="K711" s="495"/>
      <c r="L711" s="495"/>
      <c r="M711" s="495"/>
      <c r="N711" s="495"/>
      <c r="O711" s="495"/>
      <c r="P711" s="495"/>
      <c r="Q711" s="495"/>
      <c r="R711" s="495"/>
      <c r="S711" s="495"/>
      <c r="T711" s="495"/>
      <c r="U711" s="495"/>
      <c r="V711" s="495"/>
      <c r="W711" s="495"/>
      <c r="X711" s="495"/>
      <c r="Y711" s="495"/>
      <c r="Z711" s="495"/>
      <c r="AA711" s="495"/>
      <c r="AB711" s="495"/>
      <c r="AC711" s="495"/>
      <c r="AD711" s="495"/>
    </row>
    <row r="712">
      <c r="A712" s="495" t="str">
        <f t="shared" si="1"/>
        <v/>
      </c>
      <c r="B712" s="495"/>
      <c r="C712" s="495"/>
      <c r="D712" s="495"/>
      <c r="E712" s="495"/>
      <c r="F712" s="496"/>
      <c r="G712" s="495"/>
      <c r="H712" s="495"/>
      <c r="I712" s="495"/>
      <c r="J712" s="495"/>
      <c r="K712" s="495"/>
      <c r="L712" s="495"/>
      <c r="M712" s="495"/>
      <c r="N712" s="495"/>
      <c r="O712" s="495"/>
      <c r="P712" s="495"/>
      <c r="Q712" s="495"/>
      <c r="R712" s="495"/>
      <c r="S712" s="495"/>
      <c r="T712" s="495"/>
      <c r="U712" s="495"/>
      <c r="V712" s="495"/>
      <c r="W712" s="495"/>
      <c r="X712" s="495"/>
      <c r="Y712" s="495"/>
      <c r="Z712" s="495"/>
      <c r="AA712" s="495"/>
      <c r="AB712" s="495"/>
      <c r="AC712" s="495"/>
      <c r="AD712" s="495"/>
    </row>
    <row r="713">
      <c r="A713" s="495" t="str">
        <f t="shared" si="1"/>
        <v/>
      </c>
      <c r="B713" s="495"/>
      <c r="C713" s="495"/>
      <c r="D713" s="495"/>
      <c r="E713" s="495"/>
      <c r="F713" s="496"/>
      <c r="G713" s="495"/>
      <c r="H713" s="495"/>
      <c r="I713" s="495"/>
      <c r="J713" s="495"/>
      <c r="K713" s="495"/>
      <c r="L713" s="495"/>
      <c r="M713" s="495"/>
      <c r="N713" s="495"/>
      <c r="O713" s="495"/>
      <c r="P713" s="495"/>
      <c r="Q713" s="495"/>
      <c r="R713" s="495"/>
      <c r="S713" s="495"/>
      <c r="T713" s="495"/>
      <c r="U713" s="495"/>
      <c r="V713" s="495"/>
      <c r="W713" s="495"/>
      <c r="X713" s="495"/>
      <c r="Y713" s="495"/>
      <c r="Z713" s="495"/>
      <c r="AA713" s="495"/>
      <c r="AB713" s="495"/>
      <c r="AC713" s="495"/>
      <c r="AD713" s="495"/>
    </row>
    <row r="714">
      <c r="A714" s="495" t="str">
        <f t="shared" si="1"/>
        <v/>
      </c>
      <c r="B714" s="495"/>
      <c r="C714" s="495"/>
      <c r="D714" s="495"/>
      <c r="E714" s="495"/>
      <c r="F714" s="496"/>
      <c r="G714" s="495"/>
      <c r="H714" s="495"/>
      <c r="I714" s="495"/>
      <c r="J714" s="495"/>
      <c r="K714" s="495"/>
      <c r="L714" s="495"/>
      <c r="M714" s="495"/>
      <c r="N714" s="495"/>
      <c r="O714" s="495"/>
      <c r="P714" s="495"/>
      <c r="Q714" s="495"/>
      <c r="R714" s="495"/>
      <c r="S714" s="495"/>
      <c r="T714" s="495"/>
      <c r="U714" s="495"/>
      <c r="V714" s="495"/>
      <c r="W714" s="495"/>
      <c r="X714" s="495"/>
      <c r="Y714" s="495"/>
      <c r="Z714" s="495"/>
      <c r="AA714" s="495"/>
      <c r="AB714" s="495"/>
      <c r="AC714" s="495"/>
      <c r="AD714" s="495"/>
    </row>
    <row r="715">
      <c r="A715" s="495" t="str">
        <f t="shared" si="1"/>
        <v/>
      </c>
      <c r="B715" s="495"/>
      <c r="C715" s="495"/>
      <c r="D715" s="495"/>
      <c r="E715" s="495"/>
      <c r="F715" s="496"/>
      <c r="G715" s="495"/>
      <c r="H715" s="495"/>
      <c r="I715" s="495"/>
      <c r="J715" s="495"/>
      <c r="K715" s="495"/>
      <c r="L715" s="495"/>
      <c r="M715" s="495"/>
      <c r="N715" s="495"/>
      <c r="O715" s="495"/>
      <c r="P715" s="495"/>
      <c r="Q715" s="495"/>
      <c r="R715" s="495"/>
      <c r="S715" s="495"/>
      <c r="T715" s="495"/>
      <c r="U715" s="495"/>
      <c r="V715" s="495"/>
      <c r="W715" s="495"/>
      <c r="X715" s="495"/>
      <c r="Y715" s="495"/>
      <c r="Z715" s="495"/>
      <c r="AA715" s="495"/>
      <c r="AB715" s="495"/>
      <c r="AC715" s="495"/>
      <c r="AD715" s="495"/>
    </row>
    <row r="716">
      <c r="A716" s="495" t="str">
        <f t="shared" si="1"/>
        <v/>
      </c>
      <c r="B716" s="495"/>
      <c r="C716" s="495"/>
      <c r="D716" s="495"/>
      <c r="E716" s="495"/>
      <c r="F716" s="496"/>
      <c r="G716" s="495"/>
      <c r="H716" s="495"/>
      <c r="I716" s="495"/>
      <c r="J716" s="495"/>
      <c r="K716" s="495"/>
      <c r="L716" s="495"/>
      <c r="M716" s="495"/>
      <c r="N716" s="495"/>
      <c r="O716" s="495"/>
      <c r="P716" s="495"/>
      <c r="Q716" s="495"/>
      <c r="R716" s="495"/>
      <c r="S716" s="495"/>
      <c r="T716" s="495"/>
      <c r="U716" s="495"/>
      <c r="V716" s="495"/>
      <c r="W716" s="495"/>
      <c r="X716" s="495"/>
      <c r="Y716" s="495"/>
      <c r="Z716" s="495"/>
      <c r="AA716" s="495"/>
      <c r="AB716" s="495"/>
      <c r="AC716" s="495"/>
      <c r="AD716" s="495"/>
    </row>
    <row r="717">
      <c r="A717" s="495" t="str">
        <f t="shared" si="1"/>
        <v/>
      </c>
      <c r="B717" s="495"/>
      <c r="C717" s="495"/>
      <c r="D717" s="495"/>
      <c r="E717" s="495"/>
      <c r="F717" s="496"/>
      <c r="G717" s="495"/>
      <c r="H717" s="495"/>
      <c r="I717" s="495"/>
      <c r="J717" s="495"/>
      <c r="K717" s="495"/>
      <c r="L717" s="495"/>
      <c r="M717" s="495"/>
      <c r="N717" s="495"/>
      <c r="O717" s="495"/>
      <c r="P717" s="495"/>
      <c r="Q717" s="495"/>
      <c r="R717" s="495"/>
      <c r="S717" s="495"/>
      <c r="T717" s="495"/>
      <c r="U717" s="495"/>
      <c r="V717" s="495"/>
      <c r="W717" s="495"/>
      <c r="X717" s="495"/>
      <c r="Y717" s="495"/>
      <c r="Z717" s="495"/>
      <c r="AA717" s="495"/>
      <c r="AB717" s="495"/>
      <c r="AC717" s="495"/>
      <c r="AD717" s="495"/>
    </row>
    <row r="718">
      <c r="A718" s="495" t="str">
        <f t="shared" si="1"/>
        <v/>
      </c>
      <c r="B718" s="495"/>
      <c r="C718" s="495"/>
      <c r="D718" s="495"/>
      <c r="E718" s="495"/>
      <c r="F718" s="496"/>
      <c r="G718" s="495"/>
      <c r="H718" s="495"/>
      <c r="I718" s="495"/>
      <c r="J718" s="495"/>
      <c r="K718" s="495"/>
      <c r="L718" s="495"/>
      <c r="M718" s="495"/>
      <c r="N718" s="495"/>
      <c r="O718" s="495"/>
      <c r="P718" s="495"/>
      <c r="Q718" s="495"/>
      <c r="R718" s="495"/>
      <c r="S718" s="495"/>
      <c r="T718" s="495"/>
      <c r="U718" s="495"/>
      <c r="V718" s="495"/>
      <c r="W718" s="495"/>
      <c r="X718" s="495"/>
      <c r="Y718" s="495"/>
      <c r="Z718" s="495"/>
      <c r="AA718" s="495"/>
      <c r="AB718" s="495"/>
      <c r="AC718" s="495"/>
      <c r="AD718" s="495"/>
    </row>
    <row r="719">
      <c r="A719" s="495" t="str">
        <f t="shared" si="1"/>
        <v/>
      </c>
      <c r="B719" s="495"/>
      <c r="C719" s="495"/>
      <c r="D719" s="495"/>
      <c r="E719" s="495"/>
      <c r="F719" s="496"/>
      <c r="G719" s="495"/>
      <c r="H719" s="495"/>
      <c r="I719" s="495"/>
      <c r="J719" s="495"/>
      <c r="K719" s="495"/>
      <c r="L719" s="495"/>
      <c r="M719" s="495"/>
      <c r="N719" s="495"/>
      <c r="O719" s="495"/>
      <c r="P719" s="495"/>
      <c r="Q719" s="495"/>
      <c r="R719" s="495"/>
      <c r="S719" s="495"/>
      <c r="T719" s="495"/>
      <c r="U719" s="495"/>
      <c r="V719" s="495"/>
      <c r="W719" s="495"/>
      <c r="X719" s="495"/>
      <c r="Y719" s="495"/>
      <c r="Z719" s="495"/>
      <c r="AA719" s="495"/>
      <c r="AB719" s="495"/>
      <c r="AC719" s="495"/>
      <c r="AD719" s="495"/>
    </row>
    <row r="720">
      <c r="A720" s="495" t="str">
        <f t="shared" si="1"/>
        <v/>
      </c>
      <c r="B720" s="495"/>
      <c r="C720" s="495"/>
      <c r="D720" s="495"/>
      <c r="E720" s="495"/>
      <c r="F720" s="496"/>
      <c r="G720" s="495"/>
      <c r="H720" s="495"/>
      <c r="I720" s="495"/>
      <c r="J720" s="495"/>
      <c r="K720" s="495"/>
      <c r="L720" s="495"/>
      <c r="M720" s="495"/>
      <c r="N720" s="495"/>
      <c r="O720" s="495"/>
      <c r="P720" s="495"/>
      <c r="Q720" s="495"/>
      <c r="R720" s="495"/>
      <c r="S720" s="495"/>
      <c r="T720" s="495"/>
      <c r="U720" s="495"/>
      <c r="V720" s="495"/>
      <c r="W720" s="495"/>
      <c r="X720" s="495"/>
      <c r="Y720" s="495"/>
      <c r="Z720" s="495"/>
      <c r="AA720" s="495"/>
      <c r="AB720" s="495"/>
      <c r="AC720" s="495"/>
      <c r="AD720" s="495"/>
    </row>
    <row r="721">
      <c r="A721" s="495" t="str">
        <f t="shared" si="1"/>
        <v/>
      </c>
      <c r="B721" s="495"/>
      <c r="C721" s="495"/>
      <c r="D721" s="495"/>
      <c r="E721" s="495"/>
      <c r="F721" s="496"/>
      <c r="G721" s="495"/>
      <c r="H721" s="495"/>
      <c r="I721" s="495"/>
      <c r="J721" s="495"/>
      <c r="K721" s="495"/>
      <c r="L721" s="495"/>
      <c r="M721" s="495"/>
      <c r="N721" s="495"/>
      <c r="O721" s="495"/>
      <c r="P721" s="495"/>
      <c r="Q721" s="495"/>
      <c r="R721" s="495"/>
      <c r="S721" s="495"/>
      <c r="T721" s="495"/>
      <c r="U721" s="495"/>
      <c r="V721" s="495"/>
      <c r="W721" s="495"/>
      <c r="X721" s="495"/>
      <c r="Y721" s="495"/>
      <c r="Z721" s="495"/>
      <c r="AA721" s="495"/>
      <c r="AB721" s="495"/>
      <c r="AC721" s="495"/>
      <c r="AD721" s="495"/>
    </row>
    <row r="722">
      <c r="A722" s="495" t="str">
        <f t="shared" si="1"/>
        <v/>
      </c>
      <c r="B722" s="495"/>
      <c r="C722" s="495"/>
      <c r="D722" s="495"/>
      <c r="E722" s="495"/>
      <c r="F722" s="496"/>
      <c r="G722" s="495"/>
      <c r="H722" s="495"/>
      <c r="I722" s="495"/>
      <c r="J722" s="495"/>
      <c r="K722" s="495"/>
      <c r="L722" s="495"/>
      <c r="M722" s="495"/>
      <c r="N722" s="495"/>
      <c r="O722" s="495"/>
      <c r="P722" s="495"/>
      <c r="Q722" s="495"/>
      <c r="R722" s="495"/>
      <c r="S722" s="495"/>
      <c r="T722" s="495"/>
      <c r="U722" s="495"/>
      <c r="V722" s="495"/>
      <c r="W722" s="495"/>
      <c r="X722" s="495"/>
      <c r="Y722" s="495"/>
      <c r="Z722" s="495"/>
      <c r="AA722" s="495"/>
      <c r="AB722" s="495"/>
      <c r="AC722" s="495"/>
      <c r="AD722" s="495"/>
    </row>
    <row r="723">
      <c r="A723" s="495" t="str">
        <f t="shared" si="1"/>
        <v/>
      </c>
      <c r="B723" s="495"/>
      <c r="C723" s="495"/>
      <c r="D723" s="495"/>
      <c r="E723" s="495"/>
      <c r="F723" s="496"/>
      <c r="G723" s="495"/>
      <c r="H723" s="495"/>
      <c r="I723" s="495"/>
      <c r="J723" s="495"/>
      <c r="K723" s="495"/>
      <c r="L723" s="495"/>
      <c r="M723" s="495"/>
      <c r="N723" s="495"/>
      <c r="O723" s="495"/>
      <c r="P723" s="495"/>
      <c r="Q723" s="495"/>
      <c r="R723" s="495"/>
      <c r="S723" s="495"/>
      <c r="T723" s="495"/>
      <c r="U723" s="495"/>
      <c r="V723" s="495"/>
      <c r="W723" s="495"/>
      <c r="X723" s="495"/>
      <c r="Y723" s="495"/>
      <c r="Z723" s="495"/>
      <c r="AA723" s="495"/>
      <c r="AB723" s="495"/>
      <c r="AC723" s="495"/>
      <c r="AD723" s="495"/>
    </row>
    <row r="724">
      <c r="A724" s="495" t="str">
        <f t="shared" si="1"/>
        <v/>
      </c>
      <c r="B724" s="495"/>
      <c r="C724" s="495"/>
      <c r="D724" s="495"/>
      <c r="E724" s="495"/>
      <c r="F724" s="496"/>
      <c r="G724" s="495"/>
      <c r="H724" s="495"/>
      <c r="I724" s="495"/>
      <c r="J724" s="495"/>
      <c r="K724" s="495"/>
      <c r="L724" s="495"/>
      <c r="M724" s="495"/>
      <c r="N724" s="495"/>
      <c r="O724" s="495"/>
      <c r="P724" s="495"/>
      <c r="Q724" s="495"/>
      <c r="R724" s="495"/>
      <c r="S724" s="495"/>
      <c r="T724" s="495"/>
      <c r="U724" s="495"/>
      <c r="V724" s="495"/>
      <c r="W724" s="495"/>
      <c r="X724" s="495"/>
      <c r="Y724" s="495"/>
      <c r="Z724" s="495"/>
      <c r="AA724" s="495"/>
      <c r="AB724" s="495"/>
      <c r="AC724" s="495"/>
      <c r="AD724" s="495"/>
    </row>
    <row r="725">
      <c r="A725" s="495" t="str">
        <f t="shared" si="1"/>
        <v/>
      </c>
      <c r="B725" s="495"/>
      <c r="C725" s="495"/>
      <c r="D725" s="495"/>
      <c r="E725" s="495"/>
      <c r="F725" s="496"/>
      <c r="G725" s="495"/>
      <c r="H725" s="495"/>
      <c r="I725" s="495"/>
      <c r="J725" s="495"/>
      <c r="K725" s="495"/>
      <c r="L725" s="495"/>
      <c r="M725" s="495"/>
      <c r="N725" s="495"/>
      <c r="O725" s="495"/>
      <c r="P725" s="495"/>
      <c r="Q725" s="495"/>
      <c r="R725" s="495"/>
      <c r="S725" s="495"/>
      <c r="T725" s="495"/>
      <c r="U725" s="495"/>
      <c r="V725" s="495"/>
      <c r="W725" s="495"/>
      <c r="X725" s="495"/>
      <c r="Y725" s="495"/>
      <c r="Z725" s="495"/>
      <c r="AA725" s="495"/>
      <c r="AB725" s="495"/>
      <c r="AC725" s="495"/>
      <c r="AD725" s="495"/>
    </row>
    <row r="726">
      <c r="A726" s="495" t="str">
        <f t="shared" si="1"/>
        <v/>
      </c>
      <c r="B726" s="495"/>
      <c r="C726" s="495"/>
      <c r="D726" s="495"/>
      <c r="E726" s="495"/>
      <c r="F726" s="496"/>
      <c r="G726" s="495"/>
      <c r="H726" s="495"/>
      <c r="I726" s="495"/>
      <c r="J726" s="495"/>
      <c r="K726" s="495"/>
      <c r="L726" s="495"/>
      <c r="M726" s="495"/>
      <c r="N726" s="495"/>
      <c r="O726" s="495"/>
      <c r="P726" s="495"/>
      <c r="Q726" s="495"/>
      <c r="R726" s="495"/>
      <c r="S726" s="495"/>
      <c r="T726" s="495"/>
      <c r="U726" s="495"/>
      <c r="V726" s="495"/>
      <c r="W726" s="495"/>
      <c r="X726" s="495"/>
      <c r="Y726" s="495"/>
      <c r="Z726" s="495"/>
      <c r="AA726" s="495"/>
      <c r="AB726" s="495"/>
      <c r="AC726" s="495"/>
      <c r="AD726" s="495"/>
    </row>
    <row r="727">
      <c r="A727" s="495" t="str">
        <f t="shared" si="1"/>
        <v/>
      </c>
      <c r="B727" s="495"/>
      <c r="C727" s="495"/>
      <c r="D727" s="495"/>
      <c r="E727" s="495"/>
      <c r="F727" s="496"/>
      <c r="G727" s="495"/>
      <c r="H727" s="495"/>
      <c r="I727" s="495"/>
      <c r="J727" s="495"/>
      <c r="K727" s="495"/>
      <c r="L727" s="495"/>
      <c r="M727" s="495"/>
      <c r="N727" s="495"/>
      <c r="O727" s="495"/>
      <c r="P727" s="495"/>
      <c r="Q727" s="495"/>
      <c r="R727" s="495"/>
      <c r="S727" s="495"/>
      <c r="T727" s="495"/>
      <c r="U727" s="495"/>
      <c r="V727" s="495"/>
      <c r="W727" s="495"/>
      <c r="X727" s="495"/>
      <c r="Y727" s="495"/>
      <c r="Z727" s="495"/>
      <c r="AA727" s="495"/>
      <c r="AB727" s="495"/>
      <c r="AC727" s="495"/>
      <c r="AD727" s="495"/>
    </row>
    <row r="728">
      <c r="A728" s="495" t="str">
        <f t="shared" si="1"/>
        <v/>
      </c>
      <c r="B728" s="495"/>
      <c r="C728" s="495"/>
      <c r="D728" s="495"/>
      <c r="E728" s="495"/>
      <c r="F728" s="496"/>
      <c r="G728" s="495"/>
      <c r="H728" s="495"/>
      <c r="I728" s="495"/>
      <c r="J728" s="495"/>
      <c r="K728" s="495"/>
      <c r="L728" s="495"/>
      <c r="M728" s="495"/>
      <c r="N728" s="495"/>
      <c r="O728" s="495"/>
      <c r="P728" s="495"/>
      <c r="Q728" s="495"/>
      <c r="R728" s="495"/>
      <c r="S728" s="495"/>
      <c r="T728" s="495"/>
      <c r="U728" s="495"/>
      <c r="V728" s="495"/>
      <c r="W728" s="495"/>
      <c r="X728" s="495"/>
      <c r="Y728" s="495"/>
      <c r="Z728" s="495"/>
      <c r="AA728" s="495"/>
      <c r="AB728" s="495"/>
      <c r="AC728" s="495"/>
      <c r="AD728" s="495"/>
    </row>
    <row r="729">
      <c r="A729" s="495" t="str">
        <f t="shared" si="1"/>
        <v/>
      </c>
      <c r="B729" s="495"/>
      <c r="C729" s="495"/>
      <c r="D729" s="495"/>
      <c r="E729" s="495"/>
      <c r="F729" s="496"/>
      <c r="G729" s="495"/>
      <c r="H729" s="495"/>
      <c r="I729" s="495"/>
      <c r="J729" s="495"/>
      <c r="K729" s="495"/>
      <c r="L729" s="495"/>
      <c r="M729" s="495"/>
      <c r="N729" s="495"/>
      <c r="O729" s="495"/>
      <c r="P729" s="495"/>
      <c r="Q729" s="495"/>
      <c r="R729" s="495"/>
      <c r="S729" s="495"/>
      <c r="T729" s="495"/>
      <c r="U729" s="495"/>
      <c r="V729" s="495"/>
      <c r="W729" s="495"/>
      <c r="X729" s="495"/>
      <c r="Y729" s="495"/>
      <c r="Z729" s="495"/>
      <c r="AA729" s="495"/>
      <c r="AB729" s="495"/>
      <c r="AC729" s="495"/>
      <c r="AD729" s="495"/>
    </row>
    <row r="730">
      <c r="A730" s="495" t="str">
        <f t="shared" si="1"/>
        <v/>
      </c>
      <c r="B730" s="495"/>
      <c r="C730" s="495"/>
      <c r="D730" s="495"/>
      <c r="E730" s="495"/>
      <c r="F730" s="496"/>
      <c r="G730" s="495"/>
      <c r="H730" s="495"/>
      <c r="I730" s="495"/>
      <c r="J730" s="495"/>
      <c r="K730" s="495"/>
      <c r="L730" s="495"/>
      <c r="M730" s="495"/>
      <c r="N730" s="495"/>
      <c r="O730" s="495"/>
      <c r="P730" s="495"/>
      <c r="Q730" s="495"/>
      <c r="R730" s="495"/>
      <c r="S730" s="495"/>
      <c r="T730" s="495"/>
      <c r="U730" s="495"/>
      <c r="V730" s="495"/>
      <c r="W730" s="495"/>
      <c r="X730" s="495"/>
      <c r="Y730" s="495"/>
      <c r="Z730" s="495"/>
      <c r="AA730" s="495"/>
      <c r="AB730" s="495"/>
      <c r="AC730" s="495"/>
      <c r="AD730" s="495"/>
    </row>
    <row r="731">
      <c r="A731" s="495" t="str">
        <f t="shared" si="1"/>
        <v/>
      </c>
      <c r="B731" s="495"/>
      <c r="C731" s="495"/>
      <c r="D731" s="495"/>
      <c r="E731" s="495"/>
      <c r="F731" s="496"/>
      <c r="G731" s="495"/>
      <c r="H731" s="495"/>
      <c r="I731" s="495"/>
      <c r="J731" s="495"/>
      <c r="K731" s="495"/>
      <c r="L731" s="495"/>
      <c r="M731" s="495"/>
      <c r="N731" s="495"/>
      <c r="O731" s="495"/>
      <c r="P731" s="495"/>
      <c r="Q731" s="495"/>
      <c r="R731" s="495"/>
      <c r="S731" s="495"/>
      <c r="T731" s="495"/>
      <c r="U731" s="495"/>
      <c r="V731" s="495"/>
      <c r="W731" s="495"/>
      <c r="X731" s="495"/>
      <c r="Y731" s="495"/>
      <c r="Z731" s="495"/>
      <c r="AA731" s="495"/>
      <c r="AB731" s="495"/>
      <c r="AC731" s="495"/>
      <c r="AD731" s="495"/>
    </row>
    <row r="732">
      <c r="A732" s="495" t="str">
        <f t="shared" si="1"/>
        <v/>
      </c>
      <c r="B732" s="495"/>
      <c r="C732" s="495"/>
      <c r="D732" s="495"/>
      <c r="E732" s="495"/>
      <c r="F732" s="496"/>
      <c r="G732" s="495"/>
      <c r="H732" s="495"/>
      <c r="I732" s="495"/>
      <c r="J732" s="495"/>
      <c r="K732" s="495"/>
      <c r="L732" s="495"/>
      <c r="M732" s="495"/>
      <c r="N732" s="495"/>
      <c r="O732" s="495"/>
      <c r="P732" s="495"/>
      <c r="Q732" s="495"/>
      <c r="R732" s="495"/>
      <c r="S732" s="495"/>
      <c r="T732" s="495"/>
      <c r="U732" s="495"/>
      <c r="V732" s="495"/>
      <c r="W732" s="495"/>
      <c r="X732" s="495"/>
      <c r="Y732" s="495"/>
      <c r="Z732" s="495"/>
      <c r="AA732" s="495"/>
      <c r="AB732" s="495"/>
      <c r="AC732" s="495"/>
      <c r="AD732" s="495"/>
    </row>
    <row r="733">
      <c r="A733" s="495" t="str">
        <f t="shared" si="1"/>
        <v/>
      </c>
      <c r="B733" s="495"/>
      <c r="C733" s="495"/>
      <c r="D733" s="495"/>
      <c r="E733" s="495"/>
      <c r="F733" s="496"/>
      <c r="G733" s="495"/>
      <c r="H733" s="495"/>
      <c r="I733" s="495"/>
      <c r="J733" s="495"/>
      <c r="K733" s="495"/>
      <c r="L733" s="495"/>
      <c r="M733" s="495"/>
      <c r="N733" s="495"/>
      <c r="O733" s="495"/>
      <c r="P733" s="495"/>
      <c r="Q733" s="495"/>
      <c r="R733" s="495"/>
      <c r="S733" s="495"/>
      <c r="T733" s="495"/>
      <c r="U733" s="495"/>
      <c r="V733" s="495"/>
      <c r="W733" s="495"/>
      <c r="X733" s="495"/>
      <c r="Y733" s="495"/>
      <c r="Z733" s="495"/>
      <c r="AA733" s="495"/>
      <c r="AB733" s="495"/>
      <c r="AC733" s="495"/>
      <c r="AD733" s="495"/>
    </row>
    <row r="734">
      <c r="A734" s="495" t="str">
        <f t="shared" si="1"/>
        <v/>
      </c>
      <c r="B734" s="495"/>
      <c r="C734" s="495"/>
      <c r="D734" s="495"/>
      <c r="E734" s="495"/>
      <c r="F734" s="496"/>
      <c r="G734" s="495"/>
      <c r="H734" s="495"/>
      <c r="I734" s="495"/>
      <c r="J734" s="495"/>
      <c r="K734" s="495"/>
      <c r="L734" s="495"/>
      <c r="M734" s="495"/>
      <c r="N734" s="495"/>
      <c r="O734" s="495"/>
      <c r="P734" s="495"/>
      <c r="Q734" s="495"/>
      <c r="R734" s="495"/>
      <c r="S734" s="495"/>
      <c r="T734" s="495"/>
      <c r="U734" s="495"/>
      <c r="V734" s="495"/>
      <c r="W734" s="495"/>
      <c r="X734" s="495"/>
      <c r="Y734" s="495"/>
      <c r="Z734" s="495"/>
      <c r="AA734" s="495"/>
      <c r="AB734" s="495"/>
      <c r="AC734" s="495"/>
      <c r="AD734" s="495"/>
    </row>
    <row r="735">
      <c r="A735" s="495" t="str">
        <f t="shared" si="1"/>
        <v/>
      </c>
      <c r="B735" s="495"/>
      <c r="C735" s="495"/>
      <c r="D735" s="495"/>
      <c r="E735" s="495"/>
      <c r="F735" s="496"/>
      <c r="G735" s="495"/>
      <c r="H735" s="495"/>
      <c r="I735" s="495"/>
      <c r="J735" s="495"/>
      <c r="K735" s="495"/>
      <c r="L735" s="495"/>
      <c r="M735" s="495"/>
      <c r="N735" s="495"/>
      <c r="O735" s="495"/>
      <c r="P735" s="495"/>
      <c r="Q735" s="495"/>
      <c r="R735" s="495"/>
      <c r="S735" s="495"/>
      <c r="T735" s="495"/>
      <c r="U735" s="495"/>
      <c r="V735" s="495"/>
      <c r="W735" s="495"/>
      <c r="X735" s="495"/>
      <c r="Y735" s="495"/>
      <c r="Z735" s="495"/>
      <c r="AA735" s="495"/>
      <c r="AB735" s="495"/>
      <c r="AC735" s="495"/>
      <c r="AD735" s="495"/>
    </row>
    <row r="736">
      <c r="A736" s="495" t="str">
        <f t="shared" si="1"/>
        <v/>
      </c>
      <c r="B736" s="495"/>
      <c r="C736" s="495"/>
      <c r="D736" s="495"/>
      <c r="E736" s="495"/>
      <c r="F736" s="496"/>
      <c r="G736" s="495"/>
      <c r="H736" s="495"/>
      <c r="I736" s="495"/>
      <c r="J736" s="495"/>
      <c r="K736" s="495"/>
      <c r="L736" s="495"/>
      <c r="M736" s="495"/>
      <c r="N736" s="495"/>
      <c r="O736" s="495"/>
      <c r="P736" s="495"/>
      <c r="Q736" s="495"/>
      <c r="R736" s="495"/>
      <c r="S736" s="495"/>
      <c r="T736" s="495"/>
      <c r="U736" s="495"/>
      <c r="V736" s="495"/>
      <c r="W736" s="495"/>
      <c r="X736" s="495"/>
      <c r="Y736" s="495"/>
      <c r="Z736" s="495"/>
      <c r="AA736" s="495"/>
      <c r="AB736" s="495"/>
      <c r="AC736" s="495"/>
      <c r="AD736" s="495"/>
    </row>
    <row r="737">
      <c r="A737" s="495" t="str">
        <f t="shared" si="1"/>
        <v/>
      </c>
      <c r="B737" s="495"/>
      <c r="C737" s="495"/>
      <c r="D737" s="495"/>
      <c r="E737" s="495"/>
      <c r="F737" s="496"/>
      <c r="G737" s="495"/>
      <c r="H737" s="495"/>
      <c r="I737" s="495"/>
      <c r="J737" s="495"/>
      <c r="K737" s="495"/>
      <c r="L737" s="495"/>
      <c r="M737" s="495"/>
      <c r="N737" s="495"/>
      <c r="O737" s="495"/>
      <c r="P737" s="495"/>
      <c r="Q737" s="495"/>
      <c r="R737" s="495"/>
      <c r="S737" s="495"/>
      <c r="T737" s="495"/>
      <c r="U737" s="495"/>
      <c r="V737" s="495"/>
      <c r="W737" s="495"/>
      <c r="X737" s="495"/>
      <c r="Y737" s="495"/>
      <c r="Z737" s="495"/>
      <c r="AA737" s="495"/>
      <c r="AB737" s="495"/>
      <c r="AC737" s="495"/>
      <c r="AD737" s="495"/>
    </row>
    <row r="738">
      <c r="A738" s="495" t="str">
        <f t="shared" si="1"/>
        <v/>
      </c>
      <c r="B738" s="495"/>
      <c r="C738" s="495"/>
      <c r="D738" s="495"/>
      <c r="E738" s="495"/>
      <c r="F738" s="496"/>
      <c r="G738" s="495"/>
      <c r="H738" s="495"/>
      <c r="I738" s="495"/>
      <c r="J738" s="495"/>
      <c r="K738" s="495"/>
      <c r="L738" s="495"/>
      <c r="M738" s="495"/>
      <c r="N738" s="495"/>
      <c r="O738" s="495"/>
      <c r="P738" s="495"/>
      <c r="Q738" s="495"/>
      <c r="R738" s="495"/>
      <c r="S738" s="495"/>
      <c r="T738" s="495"/>
      <c r="U738" s="495"/>
      <c r="V738" s="495"/>
      <c r="W738" s="495"/>
      <c r="X738" s="495"/>
      <c r="Y738" s="495"/>
      <c r="Z738" s="495"/>
      <c r="AA738" s="495"/>
      <c r="AB738" s="495"/>
      <c r="AC738" s="495"/>
      <c r="AD738" s="495"/>
    </row>
    <row r="739">
      <c r="A739" s="495" t="str">
        <f t="shared" si="1"/>
        <v/>
      </c>
      <c r="B739" s="495"/>
      <c r="C739" s="495"/>
      <c r="D739" s="495"/>
      <c r="E739" s="495"/>
      <c r="F739" s="496"/>
      <c r="G739" s="495"/>
      <c r="H739" s="495"/>
      <c r="I739" s="495"/>
      <c r="J739" s="495"/>
      <c r="K739" s="495"/>
      <c r="L739" s="495"/>
      <c r="M739" s="495"/>
      <c r="N739" s="495"/>
      <c r="O739" s="495"/>
      <c r="P739" s="495"/>
      <c r="Q739" s="495"/>
      <c r="R739" s="495"/>
      <c r="S739" s="495"/>
      <c r="T739" s="495"/>
      <c r="U739" s="495"/>
      <c r="V739" s="495"/>
      <c r="W739" s="495"/>
      <c r="X739" s="495"/>
      <c r="Y739" s="495"/>
      <c r="Z739" s="495"/>
      <c r="AA739" s="495"/>
      <c r="AB739" s="495"/>
      <c r="AC739" s="495"/>
      <c r="AD739" s="495"/>
    </row>
    <row r="740">
      <c r="A740" s="495" t="str">
        <f t="shared" si="1"/>
        <v/>
      </c>
      <c r="B740" s="495"/>
      <c r="C740" s="495"/>
      <c r="D740" s="495"/>
      <c r="E740" s="495"/>
      <c r="F740" s="496"/>
      <c r="G740" s="495"/>
      <c r="H740" s="495"/>
      <c r="I740" s="495"/>
      <c r="J740" s="495"/>
      <c r="K740" s="495"/>
      <c r="L740" s="495"/>
      <c r="M740" s="495"/>
      <c r="N740" s="495"/>
      <c r="O740" s="495"/>
      <c r="P740" s="495"/>
      <c r="Q740" s="495"/>
      <c r="R740" s="495"/>
      <c r="S740" s="495"/>
      <c r="T740" s="495"/>
      <c r="U740" s="495"/>
      <c r="V740" s="495"/>
      <c r="W740" s="495"/>
      <c r="X740" s="495"/>
      <c r="Y740" s="495"/>
      <c r="Z740" s="495"/>
      <c r="AA740" s="495"/>
      <c r="AB740" s="495"/>
      <c r="AC740" s="495"/>
      <c r="AD740" s="495"/>
    </row>
    <row r="741">
      <c r="A741" s="495" t="str">
        <f t="shared" si="1"/>
        <v/>
      </c>
      <c r="B741" s="495"/>
      <c r="C741" s="495"/>
      <c r="D741" s="495"/>
      <c r="E741" s="495"/>
      <c r="F741" s="496"/>
      <c r="G741" s="495"/>
      <c r="H741" s="495"/>
      <c r="I741" s="495"/>
      <c r="J741" s="495"/>
      <c r="K741" s="495"/>
      <c r="L741" s="495"/>
      <c r="M741" s="495"/>
      <c r="N741" s="495"/>
      <c r="O741" s="495"/>
      <c r="P741" s="495"/>
      <c r="Q741" s="495"/>
      <c r="R741" s="495"/>
      <c r="S741" s="495"/>
      <c r="T741" s="495"/>
      <c r="U741" s="495"/>
      <c r="V741" s="495"/>
      <c r="W741" s="495"/>
      <c r="X741" s="495"/>
      <c r="Y741" s="495"/>
      <c r="Z741" s="495"/>
      <c r="AA741" s="495"/>
      <c r="AB741" s="495"/>
      <c r="AC741" s="495"/>
      <c r="AD741" s="495"/>
    </row>
    <row r="742">
      <c r="A742" s="495" t="str">
        <f t="shared" si="1"/>
        <v/>
      </c>
      <c r="B742" s="495"/>
      <c r="C742" s="495"/>
      <c r="D742" s="495"/>
      <c r="E742" s="495"/>
      <c r="F742" s="496"/>
      <c r="G742" s="495"/>
      <c r="H742" s="495"/>
      <c r="I742" s="495"/>
      <c r="J742" s="495"/>
      <c r="K742" s="495"/>
      <c r="L742" s="495"/>
      <c r="M742" s="495"/>
      <c r="N742" s="495"/>
      <c r="O742" s="495"/>
      <c r="P742" s="495"/>
      <c r="Q742" s="495"/>
      <c r="R742" s="495"/>
      <c r="S742" s="495"/>
      <c r="T742" s="495"/>
      <c r="U742" s="495"/>
      <c r="V742" s="495"/>
      <c r="W742" s="495"/>
      <c r="X742" s="495"/>
      <c r="Y742" s="495"/>
      <c r="Z742" s="495"/>
      <c r="AA742" s="495"/>
      <c r="AB742" s="495"/>
      <c r="AC742" s="495"/>
      <c r="AD742" s="495"/>
    </row>
    <row r="743">
      <c r="A743" s="495" t="str">
        <f t="shared" si="1"/>
        <v/>
      </c>
      <c r="B743" s="495"/>
      <c r="C743" s="495"/>
      <c r="D743" s="495"/>
      <c r="E743" s="495"/>
      <c r="F743" s="496"/>
      <c r="G743" s="495"/>
      <c r="H743" s="495"/>
      <c r="I743" s="495"/>
      <c r="J743" s="495"/>
      <c r="K743" s="495"/>
      <c r="L743" s="495"/>
      <c r="M743" s="495"/>
      <c r="N743" s="495"/>
      <c r="O743" s="495"/>
      <c r="P743" s="495"/>
      <c r="Q743" s="495"/>
      <c r="R743" s="495"/>
      <c r="S743" s="495"/>
      <c r="T743" s="495"/>
      <c r="U743" s="495"/>
      <c r="V743" s="495"/>
      <c r="W743" s="495"/>
      <c r="X743" s="495"/>
      <c r="Y743" s="495"/>
      <c r="Z743" s="495"/>
      <c r="AA743" s="495"/>
      <c r="AB743" s="495"/>
      <c r="AC743" s="495"/>
      <c r="AD743" s="495"/>
    </row>
    <row r="744">
      <c r="A744" s="495" t="str">
        <f t="shared" si="1"/>
        <v/>
      </c>
      <c r="B744" s="495"/>
      <c r="C744" s="495"/>
      <c r="D744" s="495"/>
      <c r="E744" s="495"/>
      <c r="F744" s="496"/>
      <c r="G744" s="495"/>
      <c r="H744" s="495"/>
      <c r="I744" s="495"/>
      <c r="J744" s="495"/>
      <c r="K744" s="495"/>
      <c r="L744" s="495"/>
      <c r="M744" s="495"/>
      <c r="N744" s="495"/>
      <c r="O744" s="495"/>
      <c r="P744" s="495"/>
      <c r="Q744" s="495"/>
      <c r="R744" s="495"/>
      <c r="S744" s="495"/>
      <c r="T744" s="495"/>
      <c r="U744" s="495"/>
      <c r="V744" s="495"/>
      <c r="W744" s="495"/>
      <c r="X744" s="495"/>
      <c r="Y744" s="495"/>
      <c r="Z744" s="495"/>
      <c r="AA744" s="495"/>
      <c r="AB744" s="495"/>
      <c r="AC744" s="495"/>
      <c r="AD744" s="495"/>
    </row>
    <row r="745">
      <c r="A745" s="495" t="str">
        <f t="shared" si="1"/>
        <v/>
      </c>
      <c r="B745" s="495"/>
      <c r="C745" s="495"/>
      <c r="D745" s="495"/>
      <c r="E745" s="495"/>
      <c r="F745" s="496"/>
      <c r="G745" s="495"/>
      <c r="H745" s="495"/>
      <c r="I745" s="495"/>
      <c r="J745" s="495"/>
      <c r="K745" s="495"/>
      <c r="L745" s="495"/>
      <c r="M745" s="495"/>
      <c r="N745" s="495"/>
      <c r="O745" s="495"/>
      <c r="P745" s="495"/>
      <c r="Q745" s="495"/>
      <c r="R745" s="495"/>
      <c r="S745" s="495"/>
      <c r="T745" s="495"/>
      <c r="U745" s="495"/>
      <c r="V745" s="495"/>
      <c r="W745" s="495"/>
      <c r="X745" s="495"/>
      <c r="Y745" s="495"/>
      <c r="Z745" s="495"/>
      <c r="AA745" s="495"/>
      <c r="AB745" s="495"/>
      <c r="AC745" s="495"/>
      <c r="AD745" s="495"/>
    </row>
    <row r="746">
      <c r="A746" s="495" t="str">
        <f t="shared" si="1"/>
        <v/>
      </c>
      <c r="B746" s="495"/>
      <c r="C746" s="495"/>
      <c r="D746" s="495"/>
      <c r="E746" s="495"/>
      <c r="F746" s="496"/>
      <c r="G746" s="495"/>
      <c r="H746" s="495"/>
      <c r="I746" s="495"/>
      <c r="J746" s="495"/>
      <c r="K746" s="495"/>
      <c r="L746" s="495"/>
      <c r="M746" s="495"/>
      <c r="N746" s="495"/>
      <c r="O746" s="495"/>
      <c r="P746" s="495"/>
      <c r="Q746" s="495"/>
      <c r="R746" s="495"/>
      <c r="S746" s="495"/>
      <c r="T746" s="495"/>
      <c r="U746" s="495"/>
      <c r="V746" s="495"/>
      <c r="W746" s="495"/>
      <c r="X746" s="495"/>
      <c r="Y746" s="495"/>
      <c r="Z746" s="495"/>
      <c r="AA746" s="495"/>
      <c r="AB746" s="495"/>
      <c r="AC746" s="495"/>
      <c r="AD746" s="495"/>
    </row>
    <row r="747">
      <c r="A747" s="495" t="str">
        <f t="shared" si="1"/>
        <v/>
      </c>
      <c r="B747" s="495"/>
      <c r="C747" s="495"/>
      <c r="D747" s="495"/>
      <c r="E747" s="495"/>
      <c r="F747" s="496"/>
      <c r="G747" s="495"/>
      <c r="H747" s="495"/>
      <c r="I747" s="495"/>
      <c r="J747" s="495"/>
      <c r="K747" s="495"/>
      <c r="L747" s="495"/>
      <c r="M747" s="495"/>
      <c r="N747" s="495"/>
      <c r="O747" s="495"/>
      <c r="P747" s="495"/>
      <c r="Q747" s="495"/>
      <c r="R747" s="495"/>
      <c r="S747" s="495"/>
      <c r="T747" s="495"/>
      <c r="U747" s="495"/>
      <c r="V747" s="495"/>
      <c r="W747" s="495"/>
      <c r="X747" s="495"/>
      <c r="Y747" s="495"/>
      <c r="Z747" s="495"/>
      <c r="AA747" s="495"/>
      <c r="AB747" s="495"/>
      <c r="AC747" s="495"/>
      <c r="AD747" s="495"/>
    </row>
    <row r="748">
      <c r="A748" s="495" t="str">
        <f t="shared" si="1"/>
        <v/>
      </c>
      <c r="B748" s="495"/>
      <c r="C748" s="495"/>
      <c r="D748" s="495"/>
      <c r="E748" s="495"/>
      <c r="F748" s="496"/>
      <c r="G748" s="495"/>
      <c r="H748" s="495"/>
      <c r="I748" s="495"/>
      <c r="J748" s="495"/>
      <c r="K748" s="495"/>
      <c r="L748" s="495"/>
      <c r="M748" s="495"/>
      <c r="N748" s="495"/>
      <c r="O748" s="495"/>
      <c r="P748" s="495"/>
      <c r="Q748" s="495"/>
      <c r="R748" s="495"/>
      <c r="S748" s="495"/>
      <c r="T748" s="495"/>
      <c r="U748" s="495"/>
      <c r="V748" s="495"/>
      <c r="W748" s="495"/>
      <c r="X748" s="495"/>
      <c r="Y748" s="495"/>
      <c r="Z748" s="495"/>
      <c r="AA748" s="495"/>
      <c r="AB748" s="495"/>
      <c r="AC748" s="495"/>
      <c r="AD748" s="495"/>
    </row>
    <row r="749">
      <c r="A749" s="495" t="str">
        <f t="shared" si="1"/>
        <v/>
      </c>
      <c r="B749" s="495"/>
      <c r="C749" s="495"/>
      <c r="D749" s="495"/>
      <c r="E749" s="495"/>
      <c r="F749" s="496"/>
      <c r="G749" s="495"/>
      <c r="H749" s="495"/>
      <c r="I749" s="495"/>
      <c r="J749" s="495"/>
      <c r="K749" s="495"/>
      <c r="L749" s="495"/>
      <c r="M749" s="495"/>
      <c r="N749" s="495"/>
      <c r="O749" s="495"/>
      <c r="P749" s="495"/>
      <c r="Q749" s="495"/>
      <c r="R749" s="495"/>
      <c r="S749" s="495"/>
      <c r="T749" s="495"/>
      <c r="U749" s="495"/>
      <c r="V749" s="495"/>
      <c r="W749" s="495"/>
      <c r="X749" s="495"/>
      <c r="Y749" s="495"/>
      <c r="Z749" s="495"/>
      <c r="AA749" s="495"/>
      <c r="AB749" s="495"/>
      <c r="AC749" s="495"/>
      <c r="AD749" s="495"/>
    </row>
    <row r="750">
      <c r="A750" s="495" t="str">
        <f t="shared" si="1"/>
        <v/>
      </c>
      <c r="B750" s="495"/>
      <c r="C750" s="495"/>
      <c r="D750" s="495"/>
      <c r="E750" s="495"/>
      <c r="F750" s="496"/>
      <c r="G750" s="495"/>
      <c r="H750" s="495"/>
      <c r="I750" s="495"/>
      <c r="J750" s="495"/>
      <c r="K750" s="495"/>
      <c r="L750" s="495"/>
      <c r="M750" s="495"/>
      <c r="N750" s="495"/>
      <c r="O750" s="495"/>
      <c r="P750" s="495"/>
      <c r="Q750" s="495"/>
      <c r="R750" s="495"/>
      <c r="S750" s="495"/>
      <c r="T750" s="495"/>
      <c r="U750" s="495"/>
      <c r="V750" s="495"/>
      <c r="W750" s="495"/>
      <c r="X750" s="495"/>
      <c r="Y750" s="495"/>
      <c r="Z750" s="495"/>
      <c r="AA750" s="495"/>
      <c r="AB750" s="495"/>
      <c r="AC750" s="495"/>
      <c r="AD750" s="495"/>
    </row>
    <row r="751">
      <c r="A751" s="495" t="str">
        <f t="shared" si="1"/>
        <v/>
      </c>
      <c r="B751" s="495"/>
      <c r="C751" s="495"/>
      <c r="D751" s="495"/>
      <c r="E751" s="495"/>
      <c r="F751" s="496"/>
      <c r="G751" s="495"/>
      <c r="H751" s="495"/>
      <c r="I751" s="495"/>
      <c r="J751" s="495"/>
      <c r="K751" s="495"/>
      <c r="L751" s="495"/>
      <c r="M751" s="495"/>
      <c r="N751" s="495"/>
      <c r="O751" s="495"/>
      <c r="P751" s="495"/>
      <c r="Q751" s="495"/>
      <c r="R751" s="495"/>
      <c r="S751" s="495"/>
      <c r="T751" s="495"/>
      <c r="U751" s="495"/>
      <c r="V751" s="495"/>
      <c r="W751" s="495"/>
      <c r="X751" s="495"/>
      <c r="Y751" s="495"/>
      <c r="Z751" s="495"/>
      <c r="AA751" s="495"/>
      <c r="AB751" s="495"/>
      <c r="AC751" s="495"/>
      <c r="AD751" s="495"/>
    </row>
    <row r="752">
      <c r="A752" s="495" t="str">
        <f t="shared" si="1"/>
        <v/>
      </c>
      <c r="B752" s="495"/>
      <c r="C752" s="495"/>
      <c r="D752" s="495"/>
      <c r="E752" s="495"/>
      <c r="F752" s="496"/>
      <c r="G752" s="495"/>
      <c r="H752" s="495"/>
      <c r="I752" s="495"/>
      <c r="J752" s="495"/>
      <c r="K752" s="495"/>
      <c r="L752" s="495"/>
      <c r="M752" s="495"/>
      <c r="N752" s="495"/>
      <c r="O752" s="495"/>
      <c r="P752" s="495"/>
      <c r="Q752" s="495"/>
      <c r="R752" s="495"/>
      <c r="S752" s="495"/>
      <c r="T752" s="495"/>
      <c r="U752" s="495"/>
      <c r="V752" s="495"/>
      <c r="W752" s="495"/>
      <c r="X752" s="495"/>
      <c r="Y752" s="495"/>
      <c r="Z752" s="495"/>
      <c r="AA752" s="495"/>
      <c r="AB752" s="495"/>
      <c r="AC752" s="495"/>
      <c r="AD752" s="495"/>
    </row>
    <row r="753">
      <c r="A753" s="495" t="str">
        <f t="shared" si="1"/>
        <v/>
      </c>
      <c r="B753" s="495"/>
      <c r="C753" s="495"/>
      <c r="D753" s="495"/>
      <c r="E753" s="495"/>
      <c r="F753" s="496"/>
      <c r="G753" s="495"/>
      <c r="H753" s="495"/>
      <c r="I753" s="495"/>
      <c r="J753" s="495"/>
      <c r="K753" s="495"/>
      <c r="L753" s="495"/>
      <c r="M753" s="495"/>
      <c r="N753" s="495"/>
      <c r="O753" s="495"/>
      <c r="P753" s="495"/>
      <c r="Q753" s="495"/>
      <c r="R753" s="495"/>
      <c r="S753" s="495"/>
      <c r="T753" s="495"/>
      <c r="U753" s="495"/>
      <c r="V753" s="495"/>
      <c r="W753" s="495"/>
      <c r="X753" s="495"/>
      <c r="Y753" s="495"/>
      <c r="Z753" s="495"/>
      <c r="AA753" s="495"/>
      <c r="AB753" s="495"/>
      <c r="AC753" s="495"/>
      <c r="AD753" s="495"/>
    </row>
    <row r="754">
      <c r="A754" s="495" t="str">
        <f t="shared" si="1"/>
        <v/>
      </c>
      <c r="B754" s="495"/>
      <c r="C754" s="495"/>
      <c r="D754" s="495"/>
      <c r="E754" s="495"/>
      <c r="F754" s="496"/>
      <c r="G754" s="495"/>
      <c r="H754" s="495"/>
      <c r="I754" s="495"/>
      <c r="J754" s="495"/>
      <c r="K754" s="495"/>
      <c r="L754" s="495"/>
      <c r="M754" s="495"/>
      <c r="N754" s="495"/>
      <c r="O754" s="495"/>
      <c r="P754" s="495"/>
      <c r="Q754" s="495"/>
      <c r="R754" s="495"/>
      <c r="S754" s="495"/>
      <c r="T754" s="495"/>
      <c r="U754" s="495"/>
      <c r="V754" s="495"/>
      <c r="W754" s="495"/>
      <c r="X754" s="495"/>
      <c r="Y754" s="495"/>
      <c r="Z754" s="495"/>
      <c r="AA754" s="495"/>
      <c r="AB754" s="495"/>
      <c r="AC754" s="495"/>
      <c r="AD754" s="495"/>
    </row>
    <row r="755">
      <c r="A755" s="495" t="str">
        <f t="shared" si="1"/>
        <v/>
      </c>
      <c r="B755" s="495"/>
      <c r="C755" s="495"/>
      <c r="D755" s="495"/>
      <c r="E755" s="495"/>
      <c r="F755" s="496"/>
      <c r="G755" s="495"/>
      <c r="H755" s="495"/>
      <c r="I755" s="495"/>
      <c r="J755" s="495"/>
      <c r="K755" s="495"/>
      <c r="L755" s="495"/>
      <c r="M755" s="495"/>
      <c r="N755" s="495"/>
      <c r="O755" s="495"/>
      <c r="P755" s="495"/>
      <c r="Q755" s="495"/>
      <c r="R755" s="495"/>
      <c r="S755" s="495"/>
      <c r="T755" s="495"/>
      <c r="U755" s="495"/>
      <c r="V755" s="495"/>
      <c r="W755" s="495"/>
      <c r="X755" s="495"/>
      <c r="Y755" s="495"/>
      <c r="Z755" s="495"/>
      <c r="AA755" s="495"/>
      <c r="AB755" s="495"/>
      <c r="AC755" s="495"/>
      <c r="AD755" s="495"/>
    </row>
    <row r="756">
      <c r="A756" s="495" t="str">
        <f t="shared" si="1"/>
        <v/>
      </c>
      <c r="B756" s="495"/>
      <c r="C756" s="495"/>
      <c r="D756" s="495"/>
      <c r="E756" s="495"/>
      <c r="F756" s="496"/>
      <c r="G756" s="495"/>
      <c r="H756" s="495"/>
      <c r="I756" s="495"/>
      <c r="J756" s="495"/>
      <c r="K756" s="495"/>
      <c r="L756" s="495"/>
      <c r="M756" s="495"/>
      <c r="N756" s="495"/>
      <c r="O756" s="495"/>
      <c r="P756" s="495"/>
      <c r="Q756" s="495"/>
      <c r="R756" s="495"/>
      <c r="S756" s="495"/>
      <c r="T756" s="495"/>
      <c r="U756" s="495"/>
      <c r="V756" s="495"/>
      <c r="W756" s="495"/>
      <c r="X756" s="495"/>
      <c r="Y756" s="495"/>
      <c r="Z756" s="495"/>
      <c r="AA756" s="495"/>
      <c r="AB756" s="495"/>
      <c r="AC756" s="495"/>
      <c r="AD756" s="495"/>
    </row>
    <row r="757">
      <c r="A757" s="495" t="str">
        <f t="shared" si="1"/>
        <v/>
      </c>
      <c r="B757" s="495"/>
      <c r="C757" s="495"/>
      <c r="D757" s="495"/>
      <c r="E757" s="495"/>
      <c r="F757" s="496"/>
      <c r="G757" s="495"/>
      <c r="H757" s="495"/>
      <c r="I757" s="495"/>
      <c r="J757" s="495"/>
      <c r="K757" s="495"/>
      <c r="L757" s="495"/>
      <c r="M757" s="495"/>
      <c r="N757" s="495"/>
      <c r="O757" s="495"/>
      <c r="P757" s="495"/>
      <c r="Q757" s="495"/>
      <c r="R757" s="495"/>
      <c r="S757" s="495"/>
      <c r="T757" s="495"/>
      <c r="U757" s="495"/>
      <c r="V757" s="495"/>
      <c r="W757" s="495"/>
      <c r="X757" s="495"/>
      <c r="Y757" s="495"/>
      <c r="Z757" s="495"/>
      <c r="AA757" s="495"/>
      <c r="AB757" s="495"/>
      <c r="AC757" s="495"/>
      <c r="AD757" s="495"/>
    </row>
    <row r="758">
      <c r="A758" s="495" t="str">
        <f t="shared" si="1"/>
        <v/>
      </c>
      <c r="B758" s="495"/>
      <c r="C758" s="495"/>
      <c r="D758" s="495"/>
      <c r="E758" s="495"/>
      <c r="F758" s="496"/>
      <c r="G758" s="495"/>
      <c r="H758" s="495"/>
      <c r="I758" s="495"/>
      <c r="J758" s="495"/>
      <c r="K758" s="495"/>
      <c r="L758" s="495"/>
      <c r="M758" s="495"/>
      <c r="N758" s="495"/>
      <c r="O758" s="495"/>
      <c r="P758" s="495"/>
      <c r="Q758" s="495"/>
      <c r="R758" s="495"/>
      <c r="S758" s="495"/>
      <c r="T758" s="495"/>
      <c r="U758" s="495"/>
      <c r="V758" s="495"/>
      <c r="W758" s="495"/>
      <c r="X758" s="495"/>
      <c r="Y758" s="495"/>
      <c r="Z758" s="495"/>
      <c r="AA758" s="495"/>
      <c r="AB758" s="495"/>
      <c r="AC758" s="495"/>
      <c r="AD758" s="495"/>
    </row>
    <row r="759">
      <c r="A759" s="495" t="str">
        <f t="shared" si="1"/>
        <v/>
      </c>
      <c r="B759" s="495"/>
      <c r="C759" s="495"/>
      <c r="D759" s="495"/>
      <c r="E759" s="495"/>
      <c r="F759" s="496"/>
      <c r="G759" s="495"/>
      <c r="H759" s="495"/>
      <c r="I759" s="495"/>
      <c r="J759" s="495"/>
      <c r="K759" s="495"/>
      <c r="L759" s="495"/>
      <c r="M759" s="495"/>
      <c r="N759" s="495"/>
      <c r="O759" s="495"/>
      <c r="P759" s="495"/>
      <c r="Q759" s="495"/>
      <c r="R759" s="495"/>
      <c r="S759" s="495"/>
      <c r="T759" s="495"/>
      <c r="U759" s="495"/>
      <c r="V759" s="495"/>
      <c r="W759" s="495"/>
      <c r="X759" s="495"/>
      <c r="Y759" s="495"/>
      <c r="Z759" s="495"/>
      <c r="AA759" s="495"/>
      <c r="AB759" s="495"/>
      <c r="AC759" s="495"/>
      <c r="AD759" s="495"/>
    </row>
    <row r="760">
      <c r="A760" s="495" t="str">
        <f t="shared" si="1"/>
        <v/>
      </c>
      <c r="B760" s="495"/>
      <c r="C760" s="495"/>
      <c r="D760" s="495"/>
      <c r="E760" s="495"/>
      <c r="F760" s="496"/>
      <c r="G760" s="495"/>
      <c r="H760" s="495"/>
      <c r="I760" s="495"/>
      <c r="J760" s="495"/>
      <c r="K760" s="495"/>
      <c r="L760" s="495"/>
      <c r="M760" s="495"/>
      <c r="N760" s="495"/>
      <c r="O760" s="495"/>
      <c r="P760" s="495"/>
      <c r="Q760" s="495"/>
      <c r="R760" s="495"/>
      <c r="S760" s="495"/>
      <c r="T760" s="495"/>
      <c r="U760" s="495"/>
      <c r="V760" s="495"/>
      <c r="W760" s="495"/>
      <c r="X760" s="495"/>
      <c r="Y760" s="495"/>
      <c r="Z760" s="495"/>
      <c r="AA760" s="495"/>
      <c r="AB760" s="495"/>
      <c r="AC760" s="495"/>
      <c r="AD760" s="495"/>
    </row>
    <row r="761">
      <c r="A761" s="495" t="str">
        <f t="shared" si="1"/>
        <v/>
      </c>
      <c r="B761" s="495"/>
      <c r="C761" s="495"/>
      <c r="D761" s="495"/>
      <c r="E761" s="495"/>
      <c r="F761" s="496"/>
      <c r="G761" s="495"/>
      <c r="H761" s="495"/>
      <c r="I761" s="495"/>
      <c r="J761" s="495"/>
      <c r="K761" s="495"/>
      <c r="L761" s="495"/>
      <c r="M761" s="495"/>
      <c r="N761" s="495"/>
      <c r="O761" s="495"/>
      <c r="P761" s="495"/>
      <c r="Q761" s="495"/>
      <c r="R761" s="495"/>
      <c r="S761" s="495"/>
      <c r="T761" s="495"/>
      <c r="U761" s="495"/>
      <c r="V761" s="495"/>
      <c r="W761" s="495"/>
      <c r="X761" s="495"/>
      <c r="Y761" s="495"/>
      <c r="Z761" s="495"/>
      <c r="AA761" s="495"/>
      <c r="AB761" s="495"/>
      <c r="AC761" s="495"/>
      <c r="AD761" s="495"/>
    </row>
    <row r="762">
      <c r="A762" s="495" t="str">
        <f t="shared" si="1"/>
        <v/>
      </c>
      <c r="B762" s="495"/>
      <c r="C762" s="495"/>
      <c r="D762" s="495"/>
      <c r="E762" s="495"/>
      <c r="F762" s="496"/>
      <c r="G762" s="495"/>
      <c r="H762" s="495"/>
      <c r="I762" s="495"/>
      <c r="J762" s="495"/>
      <c r="K762" s="495"/>
      <c r="L762" s="495"/>
      <c r="M762" s="495"/>
      <c r="N762" s="495"/>
      <c r="O762" s="495"/>
      <c r="P762" s="495"/>
      <c r="Q762" s="495"/>
      <c r="R762" s="495"/>
      <c r="S762" s="495"/>
      <c r="T762" s="495"/>
      <c r="U762" s="495"/>
      <c r="V762" s="495"/>
      <c r="W762" s="495"/>
      <c r="X762" s="495"/>
      <c r="Y762" s="495"/>
      <c r="Z762" s="495"/>
      <c r="AA762" s="495"/>
      <c r="AB762" s="495"/>
      <c r="AC762" s="495"/>
      <c r="AD762" s="495"/>
    </row>
    <row r="763">
      <c r="A763" s="495" t="str">
        <f t="shared" si="1"/>
        <v/>
      </c>
      <c r="B763" s="495"/>
      <c r="C763" s="495"/>
      <c r="D763" s="495"/>
      <c r="E763" s="495"/>
      <c r="F763" s="496"/>
      <c r="G763" s="495"/>
      <c r="H763" s="495"/>
      <c r="I763" s="495"/>
      <c r="J763" s="495"/>
      <c r="K763" s="495"/>
      <c r="L763" s="495"/>
      <c r="M763" s="495"/>
      <c r="N763" s="495"/>
      <c r="O763" s="495"/>
      <c r="P763" s="495"/>
      <c r="Q763" s="495"/>
      <c r="R763" s="495"/>
      <c r="S763" s="495"/>
      <c r="T763" s="495"/>
      <c r="U763" s="495"/>
      <c r="V763" s="495"/>
      <c r="W763" s="495"/>
      <c r="X763" s="495"/>
      <c r="Y763" s="495"/>
      <c r="Z763" s="495"/>
      <c r="AA763" s="495"/>
      <c r="AB763" s="495"/>
      <c r="AC763" s="495"/>
      <c r="AD763" s="495"/>
    </row>
    <row r="764">
      <c r="A764" s="495" t="str">
        <f t="shared" si="1"/>
        <v/>
      </c>
      <c r="B764" s="495"/>
      <c r="C764" s="495"/>
      <c r="D764" s="495"/>
      <c r="E764" s="495"/>
      <c r="F764" s="496"/>
      <c r="G764" s="495"/>
      <c r="H764" s="495"/>
      <c r="I764" s="495"/>
      <c r="J764" s="495"/>
      <c r="K764" s="495"/>
      <c r="L764" s="495"/>
      <c r="M764" s="495"/>
      <c r="N764" s="495"/>
      <c r="O764" s="495"/>
      <c r="P764" s="495"/>
      <c r="Q764" s="495"/>
      <c r="R764" s="495"/>
      <c r="S764" s="495"/>
      <c r="T764" s="495"/>
      <c r="U764" s="495"/>
      <c r="V764" s="495"/>
      <c r="W764" s="495"/>
      <c r="X764" s="495"/>
      <c r="Y764" s="495"/>
      <c r="Z764" s="495"/>
      <c r="AA764" s="495"/>
      <c r="AB764" s="495"/>
      <c r="AC764" s="495"/>
      <c r="AD764" s="495"/>
    </row>
    <row r="765">
      <c r="A765" s="495" t="str">
        <f t="shared" si="1"/>
        <v/>
      </c>
      <c r="B765" s="495"/>
      <c r="C765" s="495"/>
      <c r="D765" s="495"/>
      <c r="E765" s="495"/>
      <c r="F765" s="496"/>
      <c r="G765" s="495"/>
      <c r="H765" s="495"/>
      <c r="I765" s="495"/>
      <c r="J765" s="495"/>
      <c r="K765" s="495"/>
      <c r="L765" s="495"/>
      <c r="M765" s="495"/>
      <c r="N765" s="495"/>
      <c r="O765" s="495"/>
      <c r="P765" s="495"/>
      <c r="Q765" s="495"/>
      <c r="R765" s="495"/>
      <c r="S765" s="495"/>
      <c r="T765" s="495"/>
      <c r="U765" s="495"/>
      <c r="V765" s="495"/>
      <c r="W765" s="495"/>
      <c r="X765" s="495"/>
      <c r="Y765" s="495"/>
      <c r="Z765" s="495"/>
      <c r="AA765" s="495"/>
      <c r="AB765" s="495"/>
      <c r="AC765" s="495"/>
      <c r="AD765" s="495"/>
    </row>
    <row r="766">
      <c r="A766" s="495" t="str">
        <f t="shared" si="1"/>
        <v/>
      </c>
      <c r="B766" s="495"/>
      <c r="C766" s="495"/>
      <c r="D766" s="495"/>
      <c r="E766" s="495"/>
      <c r="F766" s="496"/>
      <c r="G766" s="495"/>
      <c r="H766" s="495"/>
      <c r="I766" s="495"/>
      <c r="J766" s="495"/>
      <c r="K766" s="495"/>
      <c r="L766" s="495"/>
      <c r="M766" s="495"/>
      <c r="N766" s="495"/>
      <c r="O766" s="495"/>
      <c r="P766" s="495"/>
      <c r="Q766" s="495"/>
      <c r="R766" s="495"/>
      <c r="S766" s="495"/>
      <c r="T766" s="495"/>
      <c r="U766" s="495"/>
      <c r="V766" s="495"/>
      <c r="W766" s="495"/>
      <c r="X766" s="495"/>
      <c r="Y766" s="495"/>
      <c r="Z766" s="495"/>
      <c r="AA766" s="495"/>
      <c r="AB766" s="495"/>
      <c r="AC766" s="495"/>
      <c r="AD766" s="495"/>
    </row>
    <row r="767">
      <c r="A767" s="495" t="str">
        <f t="shared" si="1"/>
        <v/>
      </c>
      <c r="B767" s="495"/>
      <c r="C767" s="495"/>
      <c r="D767" s="495"/>
      <c r="E767" s="495"/>
      <c r="F767" s="496"/>
      <c r="G767" s="495"/>
      <c r="H767" s="495"/>
      <c r="I767" s="495"/>
      <c r="J767" s="495"/>
      <c r="K767" s="495"/>
      <c r="L767" s="495"/>
      <c r="M767" s="495"/>
      <c r="N767" s="495"/>
      <c r="O767" s="495"/>
      <c r="P767" s="495"/>
      <c r="Q767" s="495"/>
      <c r="R767" s="495"/>
      <c r="S767" s="495"/>
      <c r="T767" s="495"/>
      <c r="U767" s="495"/>
      <c r="V767" s="495"/>
      <c r="W767" s="495"/>
      <c r="X767" s="495"/>
      <c r="Y767" s="495"/>
      <c r="Z767" s="495"/>
      <c r="AA767" s="495"/>
      <c r="AB767" s="495"/>
      <c r="AC767" s="495"/>
      <c r="AD767" s="495"/>
    </row>
    <row r="768">
      <c r="A768" s="495" t="str">
        <f t="shared" si="1"/>
        <v/>
      </c>
      <c r="B768" s="495"/>
      <c r="C768" s="495"/>
      <c r="D768" s="495"/>
      <c r="E768" s="495"/>
      <c r="F768" s="496"/>
      <c r="G768" s="495"/>
      <c r="H768" s="495"/>
      <c r="I768" s="495"/>
      <c r="J768" s="495"/>
      <c r="K768" s="495"/>
      <c r="L768" s="495"/>
      <c r="M768" s="495"/>
      <c r="N768" s="495"/>
      <c r="O768" s="495"/>
      <c r="P768" s="495"/>
      <c r="Q768" s="495"/>
      <c r="R768" s="495"/>
      <c r="S768" s="495"/>
      <c r="T768" s="495"/>
      <c r="U768" s="495"/>
      <c r="V768" s="495"/>
      <c r="W768" s="495"/>
      <c r="X768" s="495"/>
      <c r="Y768" s="495"/>
      <c r="Z768" s="495"/>
      <c r="AA768" s="495"/>
      <c r="AB768" s="495"/>
      <c r="AC768" s="495"/>
      <c r="AD768" s="495"/>
    </row>
    <row r="769">
      <c r="A769" s="495" t="str">
        <f t="shared" si="1"/>
        <v/>
      </c>
      <c r="B769" s="495"/>
      <c r="C769" s="495"/>
      <c r="D769" s="495"/>
      <c r="E769" s="495"/>
      <c r="F769" s="496"/>
      <c r="G769" s="495"/>
      <c r="H769" s="495"/>
      <c r="I769" s="495"/>
      <c r="J769" s="495"/>
      <c r="K769" s="495"/>
      <c r="L769" s="495"/>
      <c r="M769" s="495"/>
      <c r="N769" s="495"/>
      <c r="O769" s="495"/>
      <c r="P769" s="495"/>
      <c r="Q769" s="495"/>
      <c r="R769" s="495"/>
      <c r="S769" s="495"/>
      <c r="T769" s="495"/>
      <c r="U769" s="495"/>
      <c r="V769" s="495"/>
      <c r="W769" s="495"/>
      <c r="X769" s="495"/>
      <c r="Y769" s="495"/>
      <c r="Z769" s="495"/>
      <c r="AA769" s="495"/>
      <c r="AB769" s="495"/>
      <c r="AC769" s="495"/>
      <c r="AD769" s="495"/>
    </row>
    <row r="770">
      <c r="A770" s="495" t="str">
        <f t="shared" si="1"/>
        <v/>
      </c>
      <c r="B770" s="495"/>
      <c r="C770" s="495"/>
      <c r="D770" s="495"/>
      <c r="E770" s="495"/>
      <c r="F770" s="496"/>
      <c r="G770" s="495"/>
      <c r="H770" s="495"/>
      <c r="I770" s="495"/>
      <c r="J770" s="495"/>
      <c r="K770" s="495"/>
      <c r="L770" s="495"/>
      <c r="M770" s="495"/>
      <c r="N770" s="495"/>
      <c r="O770" s="495"/>
      <c r="P770" s="495"/>
      <c r="Q770" s="495"/>
      <c r="R770" s="495"/>
      <c r="S770" s="495"/>
      <c r="T770" s="495"/>
      <c r="U770" s="495"/>
      <c r="V770" s="495"/>
      <c r="W770" s="495"/>
      <c r="X770" s="495"/>
      <c r="Y770" s="495"/>
      <c r="Z770" s="495"/>
      <c r="AA770" s="495"/>
      <c r="AB770" s="495"/>
      <c r="AC770" s="495"/>
      <c r="AD770" s="495"/>
    </row>
    <row r="771">
      <c r="A771" s="495" t="str">
        <f t="shared" si="1"/>
        <v/>
      </c>
      <c r="B771" s="495"/>
      <c r="C771" s="495"/>
      <c r="D771" s="495"/>
      <c r="E771" s="495"/>
      <c r="F771" s="496"/>
      <c r="G771" s="495"/>
      <c r="H771" s="495"/>
      <c r="I771" s="495"/>
      <c r="J771" s="495"/>
      <c r="K771" s="495"/>
      <c r="L771" s="495"/>
      <c r="M771" s="495"/>
      <c r="N771" s="495"/>
      <c r="O771" s="495"/>
      <c r="P771" s="495"/>
      <c r="Q771" s="495"/>
      <c r="R771" s="495"/>
      <c r="S771" s="495"/>
      <c r="T771" s="495"/>
      <c r="U771" s="495"/>
      <c r="V771" s="495"/>
      <c r="W771" s="495"/>
      <c r="X771" s="495"/>
      <c r="Y771" s="495"/>
      <c r="Z771" s="495"/>
      <c r="AA771" s="495"/>
      <c r="AB771" s="495"/>
      <c r="AC771" s="495"/>
      <c r="AD771" s="495"/>
    </row>
    <row r="772">
      <c r="A772" s="495" t="str">
        <f t="shared" si="1"/>
        <v/>
      </c>
      <c r="B772" s="495"/>
      <c r="C772" s="495"/>
      <c r="D772" s="495"/>
      <c r="E772" s="495"/>
      <c r="F772" s="496"/>
      <c r="G772" s="495"/>
      <c r="H772" s="495"/>
      <c r="I772" s="495"/>
      <c r="J772" s="495"/>
      <c r="K772" s="495"/>
      <c r="L772" s="495"/>
      <c r="M772" s="495"/>
      <c r="N772" s="495"/>
      <c r="O772" s="495"/>
      <c r="P772" s="495"/>
      <c r="Q772" s="495"/>
      <c r="R772" s="495"/>
      <c r="S772" s="495"/>
      <c r="T772" s="495"/>
      <c r="U772" s="495"/>
      <c r="V772" s="495"/>
      <c r="W772" s="495"/>
      <c r="X772" s="495"/>
      <c r="Y772" s="495"/>
      <c r="Z772" s="495"/>
      <c r="AA772" s="495"/>
      <c r="AB772" s="495"/>
      <c r="AC772" s="495"/>
      <c r="AD772" s="495"/>
    </row>
    <row r="773">
      <c r="A773" s="495" t="str">
        <f t="shared" si="1"/>
        <v/>
      </c>
      <c r="B773" s="495"/>
      <c r="C773" s="495"/>
      <c r="D773" s="495"/>
      <c r="E773" s="495"/>
      <c r="F773" s="496"/>
      <c r="G773" s="495"/>
      <c r="H773" s="495"/>
      <c r="I773" s="495"/>
      <c r="J773" s="495"/>
      <c r="K773" s="495"/>
      <c r="L773" s="495"/>
      <c r="M773" s="495"/>
      <c r="N773" s="495"/>
      <c r="O773" s="495"/>
      <c r="P773" s="495"/>
      <c r="Q773" s="495"/>
      <c r="R773" s="495"/>
      <c r="S773" s="495"/>
      <c r="T773" s="495"/>
      <c r="U773" s="495"/>
      <c r="V773" s="495"/>
      <c r="W773" s="495"/>
      <c r="X773" s="495"/>
      <c r="Y773" s="495"/>
      <c r="Z773" s="495"/>
      <c r="AA773" s="495"/>
      <c r="AB773" s="495"/>
      <c r="AC773" s="495"/>
      <c r="AD773" s="495"/>
    </row>
    <row r="774">
      <c r="A774" s="495" t="str">
        <f t="shared" si="1"/>
        <v/>
      </c>
      <c r="B774" s="495"/>
      <c r="C774" s="495"/>
      <c r="D774" s="495"/>
      <c r="E774" s="495"/>
      <c r="F774" s="496"/>
      <c r="G774" s="495"/>
      <c r="H774" s="495"/>
      <c r="I774" s="495"/>
      <c r="J774" s="495"/>
      <c r="K774" s="495"/>
      <c r="L774" s="495"/>
      <c r="M774" s="495"/>
      <c r="N774" s="495"/>
      <c r="O774" s="495"/>
      <c r="P774" s="495"/>
      <c r="Q774" s="495"/>
      <c r="R774" s="495"/>
      <c r="S774" s="495"/>
      <c r="T774" s="495"/>
      <c r="U774" s="495"/>
      <c r="V774" s="495"/>
      <c r="W774" s="495"/>
      <c r="X774" s="495"/>
      <c r="Y774" s="495"/>
      <c r="Z774" s="495"/>
      <c r="AA774" s="495"/>
      <c r="AB774" s="495"/>
      <c r="AC774" s="495"/>
      <c r="AD774" s="495"/>
    </row>
    <row r="775">
      <c r="A775" s="495" t="str">
        <f t="shared" si="1"/>
        <v/>
      </c>
      <c r="B775" s="495"/>
      <c r="C775" s="495"/>
      <c r="D775" s="495"/>
      <c r="E775" s="495"/>
      <c r="F775" s="496"/>
      <c r="G775" s="495"/>
      <c r="H775" s="495"/>
      <c r="I775" s="495"/>
      <c r="J775" s="495"/>
      <c r="K775" s="495"/>
      <c r="L775" s="495"/>
      <c r="M775" s="495"/>
      <c r="N775" s="495"/>
      <c r="O775" s="495"/>
      <c r="P775" s="495"/>
      <c r="Q775" s="495"/>
      <c r="R775" s="495"/>
      <c r="S775" s="495"/>
      <c r="T775" s="495"/>
      <c r="U775" s="495"/>
      <c r="V775" s="495"/>
      <c r="W775" s="495"/>
      <c r="X775" s="495"/>
      <c r="Y775" s="495"/>
      <c r="Z775" s="495"/>
      <c r="AA775" s="495"/>
      <c r="AB775" s="495"/>
      <c r="AC775" s="495"/>
      <c r="AD775" s="495"/>
    </row>
    <row r="776">
      <c r="A776" s="495" t="str">
        <f t="shared" si="1"/>
        <v/>
      </c>
      <c r="B776" s="495"/>
      <c r="C776" s="495"/>
      <c r="D776" s="495"/>
      <c r="E776" s="495"/>
      <c r="F776" s="496"/>
      <c r="G776" s="495"/>
      <c r="H776" s="495"/>
      <c r="I776" s="495"/>
      <c r="J776" s="495"/>
      <c r="K776" s="495"/>
      <c r="L776" s="495"/>
      <c r="M776" s="495"/>
      <c r="N776" s="495"/>
      <c r="O776" s="495"/>
      <c r="P776" s="495"/>
      <c r="Q776" s="495"/>
      <c r="R776" s="495"/>
      <c r="S776" s="495"/>
      <c r="T776" s="495"/>
      <c r="U776" s="495"/>
      <c r="V776" s="495"/>
      <c r="W776" s="495"/>
      <c r="X776" s="495"/>
      <c r="Y776" s="495"/>
      <c r="Z776" s="495"/>
      <c r="AA776" s="495"/>
      <c r="AB776" s="495"/>
      <c r="AC776" s="495"/>
      <c r="AD776" s="495"/>
    </row>
    <row r="777">
      <c r="A777" s="495" t="str">
        <f t="shared" si="1"/>
        <v/>
      </c>
      <c r="B777" s="495"/>
      <c r="C777" s="495"/>
      <c r="D777" s="495"/>
      <c r="E777" s="495"/>
      <c r="F777" s="496"/>
      <c r="G777" s="495"/>
      <c r="H777" s="495"/>
      <c r="I777" s="495"/>
      <c r="J777" s="495"/>
      <c r="K777" s="495"/>
      <c r="L777" s="495"/>
      <c r="M777" s="495"/>
      <c r="N777" s="495"/>
      <c r="O777" s="495"/>
      <c r="P777" s="495"/>
      <c r="Q777" s="495"/>
      <c r="R777" s="495"/>
      <c r="S777" s="495"/>
      <c r="T777" s="495"/>
      <c r="U777" s="495"/>
      <c r="V777" s="495"/>
      <c r="W777" s="495"/>
      <c r="X777" s="495"/>
      <c r="Y777" s="495"/>
      <c r="Z777" s="495"/>
      <c r="AA777" s="495"/>
      <c r="AB777" s="495"/>
      <c r="AC777" s="495"/>
      <c r="AD777" s="495"/>
    </row>
    <row r="778">
      <c r="A778" s="495" t="str">
        <f t="shared" si="1"/>
        <v/>
      </c>
      <c r="B778" s="495"/>
      <c r="C778" s="495"/>
      <c r="D778" s="495"/>
      <c r="E778" s="495"/>
      <c r="F778" s="496"/>
      <c r="G778" s="495"/>
      <c r="H778" s="495"/>
      <c r="I778" s="495"/>
      <c r="J778" s="495"/>
      <c r="K778" s="495"/>
      <c r="L778" s="495"/>
      <c r="M778" s="495"/>
      <c r="N778" s="495"/>
      <c r="O778" s="495"/>
      <c r="P778" s="495"/>
      <c r="Q778" s="495"/>
      <c r="R778" s="495"/>
      <c r="S778" s="495"/>
      <c r="T778" s="495"/>
      <c r="U778" s="495"/>
      <c r="V778" s="495"/>
      <c r="W778" s="495"/>
      <c r="X778" s="495"/>
      <c r="Y778" s="495"/>
      <c r="Z778" s="495"/>
      <c r="AA778" s="495"/>
      <c r="AB778" s="495"/>
      <c r="AC778" s="495"/>
      <c r="AD778" s="495"/>
    </row>
    <row r="779">
      <c r="A779" s="495" t="str">
        <f t="shared" si="1"/>
        <v/>
      </c>
      <c r="B779" s="495"/>
      <c r="C779" s="495"/>
      <c r="D779" s="495"/>
      <c r="E779" s="495"/>
      <c r="F779" s="496"/>
      <c r="G779" s="495"/>
      <c r="H779" s="495"/>
      <c r="I779" s="495"/>
      <c r="J779" s="495"/>
      <c r="K779" s="495"/>
      <c r="L779" s="495"/>
      <c r="M779" s="495"/>
      <c r="N779" s="495"/>
      <c r="O779" s="495"/>
      <c r="P779" s="495"/>
      <c r="Q779" s="495"/>
      <c r="R779" s="495"/>
      <c r="S779" s="495"/>
      <c r="T779" s="495"/>
      <c r="U779" s="495"/>
      <c r="V779" s="495"/>
      <c r="W779" s="495"/>
      <c r="X779" s="495"/>
      <c r="Y779" s="495"/>
      <c r="Z779" s="495"/>
      <c r="AA779" s="495"/>
      <c r="AB779" s="495"/>
      <c r="AC779" s="495"/>
      <c r="AD779" s="495"/>
    </row>
    <row r="780">
      <c r="A780" s="495" t="str">
        <f t="shared" si="1"/>
        <v/>
      </c>
      <c r="B780" s="495"/>
      <c r="C780" s="495"/>
      <c r="D780" s="495"/>
      <c r="E780" s="495"/>
      <c r="F780" s="496"/>
      <c r="G780" s="495"/>
      <c r="H780" s="495"/>
      <c r="I780" s="495"/>
      <c r="J780" s="495"/>
      <c r="K780" s="495"/>
      <c r="L780" s="495"/>
      <c r="M780" s="495"/>
      <c r="N780" s="495"/>
      <c r="O780" s="495"/>
      <c r="P780" s="495"/>
      <c r="Q780" s="495"/>
      <c r="R780" s="495"/>
      <c r="S780" s="495"/>
      <c r="T780" s="495"/>
      <c r="U780" s="495"/>
      <c r="V780" s="495"/>
      <c r="W780" s="495"/>
      <c r="X780" s="495"/>
      <c r="Y780" s="495"/>
      <c r="Z780" s="495"/>
      <c r="AA780" s="495"/>
      <c r="AB780" s="495"/>
      <c r="AC780" s="495"/>
      <c r="AD780" s="495"/>
    </row>
    <row r="781">
      <c r="A781" s="495" t="str">
        <f t="shared" si="1"/>
        <v/>
      </c>
      <c r="B781" s="495"/>
      <c r="C781" s="495"/>
      <c r="D781" s="495"/>
      <c r="E781" s="495"/>
      <c r="F781" s="496"/>
      <c r="G781" s="495"/>
      <c r="H781" s="495"/>
      <c r="I781" s="495"/>
      <c r="J781" s="495"/>
      <c r="K781" s="495"/>
      <c r="L781" s="495"/>
      <c r="M781" s="495"/>
      <c r="N781" s="495"/>
      <c r="O781" s="495"/>
      <c r="P781" s="495"/>
      <c r="Q781" s="495"/>
      <c r="R781" s="495"/>
      <c r="S781" s="495"/>
      <c r="T781" s="495"/>
      <c r="U781" s="495"/>
      <c r="V781" s="495"/>
      <c r="W781" s="495"/>
      <c r="X781" s="495"/>
      <c r="Y781" s="495"/>
      <c r="Z781" s="495"/>
      <c r="AA781" s="495"/>
      <c r="AB781" s="495"/>
      <c r="AC781" s="495"/>
      <c r="AD781" s="495"/>
    </row>
    <row r="782">
      <c r="A782" s="495" t="str">
        <f t="shared" si="1"/>
        <v/>
      </c>
      <c r="B782" s="495"/>
      <c r="C782" s="495"/>
      <c r="D782" s="495"/>
      <c r="E782" s="495"/>
      <c r="F782" s="496"/>
      <c r="G782" s="495"/>
      <c r="H782" s="495"/>
      <c r="I782" s="495"/>
      <c r="J782" s="495"/>
      <c r="K782" s="495"/>
      <c r="L782" s="495"/>
      <c r="M782" s="495"/>
      <c r="N782" s="495"/>
      <c r="O782" s="495"/>
      <c r="P782" s="495"/>
      <c r="Q782" s="495"/>
      <c r="R782" s="495"/>
      <c r="S782" s="495"/>
      <c r="T782" s="495"/>
      <c r="U782" s="495"/>
      <c r="V782" s="495"/>
      <c r="W782" s="495"/>
      <c r="X782" s="495"/>
      <c r="Y782" s="495"/>
      <c r="Z782" s="495"/>
      <c r="AA782" s="495"/>
      <c r="AB782" s="495"/>
      <c r="AC782" s="495"/>
      <c r="AD782" s="495"/>
    </row>
    <row r="783">
      <c r="A783" s="495" t="str">
        <f t="shared" si="1"/>
        <v/>
      </c>
      <c r="B783" s="495"/>
      <c r="C783" s="495"/>
      <c r="D783" s="495"/>
      <c r="E783" s="495"/>
      <c r="F783" s="496"/>
      <c r="G783" s="495"/>
      <c r="H783" s="495"/>
      <c r="I783" s="495"/>
      <c r="J783" s="495"/>
      <c r="K783" s="495"/>
      <c r="L783" s="495"/>
      <c r="M783" s="495"/>
      <c r="N783" s="495"/>
      <c r="O783" s="495"/>
      <c r="P783" s="495"/>
      <c r="Q783" s="495"/>
      <c r="R783" s="495"/>
      <c r="S783" s="495"/>
      <c r="T783" s="495"/>
      <c r="U783" s="495"/>
      <c r="V783" s="495"/>
      <c r="W783" s="495"/>
      <c r="X783" s="495"/>
      <c r="Y783" s="495"/>
      <c r="Z783" s="495"/>
      <c r="AA783" s="495"/>
      <c r="AB783" s="495"/>
      <c r="AC783" s="495"/>
      <c r="AD783" s="495"/>
    </row>
    <row r="784">
      <c r="A784" s="495" t="str">
        <f t="shared" si="1"/>
        <v/>
      </c>
      <c r="B784" s="495"/>
      <c r="C784" s="495"/>
      <c r="D784" s="495"/>
      <c r="E784" s="495"/>
      <c r="F784" s="496"/>
      <c r="G784" s="495"/>
      <c r="H784" s="495"/>
      <c r="I784" s="495"/>
      <c r="J784" s="495"/>
      <c r="K784" s="495"/>
      <c r="L784" s="495"/>
      <c r="M784" s="495"/>
      <c r="N784" s="495"/>
      <c r="O784" s="495"/>
      <c r="P784" s="495"/>
      <c r="Q784" s="495"/>
      <c r="R784" s="495"/>
      <c r="S784" s="495"/>
      <c r="T784" s="495"/>
      <c r="U784" s="495"/>
      <c r="V784" s="495"/>
      <c r="W784" s="495"/>
      <c r="X784" s="495"/>
      <c r="Y784" s="495"/>
      <c r="Z784" s="495"/>
      <c r="AA784" s="495"/>
      <c r="AB784" s="495"/>
      <c r="AC784" s="495"/>
      <c r="AD784" s="495"/>
    </row>
    <row r="785">
      <c r="A785" s="495" t="str">
        <f t="shared" si="1"/>
        <v/>
      </c>
      <c r="B785" s="495"/>
      <c r="C785" s="495"/>
      <c r="D785" s="495"/>
      <c r="E785" s="495"/>
      <c r="F785" s="496"/>
      <c r="G785" s="495"/>
      <c r="H785" s="495"/>
      <c r="I785" s="495"/>
      <c r="J785" s="495"/>
      <c r="K785" s="495"/>
      <c r="L785" s="495"/>
      <c r="M785" s="495"/>
      <c r="N785" s="495"/>
      <c r="O785" s="495"/>
      <c r="P785" s="495"/>
      <c r="Q785" s="495"/>
      <c r="R785" s="495"/>
      <c r="S785" s="495"/>
      <c r="T785" s="495"/>
      <c r="U785" s="495"/>
      <c r="V785" s="495"/>
      <c r="W785" s="495"/>
      <c r="X785" s="495"/>
      <c r="Y785" s="495"/>
      <c r="Z785" s="495"/>
      <c r="AA785" s="495"/>
      <c r="AB785" s="495"/>
      <c r="AC785" s="495"/>
      <c r="AD785" s="495"/>
    </row>
    <row r="786">
      <c r="A786" s="495" t="str">
        <f t="shared" si="1"/>
        <v/>
      </c>
      <c r="B786" s="495"/>
      <c r="C786" s="495"/>
      <c r="D786" s="495"/>
      <c r="E786" s="495"/>
      <c r="F786" s="496"/>
      <c r="G786" s="495"/>
      <c r="H786" s="495"/>
      <c r="I786" s="495"/>
      <c r="J786" s="495"/>
      <c r="K786" s="495"/>
      <c r="L786" s="495"/>
      <c r="M786" s="495"/>
      <c r="N786" s="495"/>
      <c r="O786" s="495"/>
      <c r="P786" s="495"/>
      <c r="Q786" s="495"/>
      <c r="R786" s="495"/>
      <c r="S786" s="495"/>
      <c r="T786" s="495"/>
      <c r="U786" s="495"/>
      <c r="V786" s="495"/>
      <c r="W786" s="495"/>
      <c r="X786" s="495"/>
      <c r="Y786" s="495"/>
      <c r="Z786" s="495"/>
      <c r="AA786" s="495"/>
      <c r="AB786" s="495"/>
      <c r="AC786" s="495"/>
      <c r="AD786" s="495"/>
    </row>
    <row r="787">
      <c r="A787" s="495" t="str">
        <f t="shared" si="1"/>
        <v/>
      </c>
      <c r="B787" s="495"/>
      <c r="C787" s="495"/>
      <c r="D787" s="495"/>
      <c r="E787" s="495"/>
      <c r="F787" s="496"/>
      <c r="G787" s="495"/>
      <c r="H787" s="495"/>
      <c r="I787" s="495"/>
      <c r="J787" s="495"/>
      <c r="K787" s="495"/>
      <c r="L787" s="495"/>
      <c r="M787" s="495"/>
      <c r="N787" s="495"/>
      <c r="O787" s="495"/>
      <c r="P787" s="495"/>
      <c r="Q787" s="495"/>
      <c r="R787" s="495"/>
      <c r="S787" s="495"/>
      <c r="T787" s="495"/>
      <c r="U787" s="495"/>
      <c r="V787" s="495"/>
      <c r="W787" s="495"/>
      <c r="X787" s="495"/>
      <c r="Y787" s="495"/>
      <c r="Z787" s="495"/>
      <c r="AA787" s="495"/>
      <c r="AB787" s="495"/>
      <c r="AC787" s="495"/>
      <c r="AD787" s="495"/>
    </row>
    <row r="788">
      <c r="A788" s="495" t="str">
        <f t="shared" si="1"/>
        <v/>
      </c>
      <c r="B788" s="495"/>
      <c r="C788" s="495"/>
      <c r="D788" s="495"/>
      <c r="E788" s="495"/>
      <c r="F788" s="496"/>
      <c r="G788" s="495"/>
      <c r="H788" s="495"/>
      <c r="I788" s="495"/>
      <c r="J788" s="495"/>
      <c r="K788" s="495"/>
      <c r="L788" s="495"/>
      <c r="M788" s="495"/>
      <c r="N788" s="495"/>
      <c r="O788" s="495"/>
      <c r="P788" s="495"/>
      <c r="Q788" s="495"/>
      <c r="R788" s="495"/>
      <c r="S788" s="495"/>
      <c r="T788" s="495"/>
      <c r="U788" s="495"/>
      <c r="V788" s="495"/>
      <c r="W788" s="495"/>
      <c r="X788" s="495"/>
      <c r="Y788" s="495"/>
      <c r="Z788" s="495"/>
      <c r="AA788" s="495"/>
      <c r="AB788" s="495"/>
      <c r="AC788" s="495"/>
      <c r="AD788" s="495"/>
    </row>
    <row r="789">
      <c r="A789" s="495" t="str">
        <f t="shared" si="1"/>
        <v/>
      </c>
      <c r="B789" s="495"/>
      <c r="C789" s="495"/>
      <c r="D789" s="495"/>
      <c r="E789" s="495"/>
      <c r="F789" s="496"/>
      <c r="G789" s="495"/>
      <c r="H789" s="495"/>
      <c r="I789" s="495"/>
      <c r="J789" s="495"/>
      <c r="K789" s="495"/>
      <c r="L789" s="495"/>
      <c r="M789" s="495"/>
      <c r="N789" s="495"/>
      <c r="O789" s="495"/>
      <c r="P789" s="495"/>
      <c r="Q789" s="495"/>
      <c r="R789" s="495"/>
      <c r="S789" s="495"/>
      <c r="T789" s="495"/>
      <c r="U789" s="495"/>
      <c r="V789" s="495"/>
      <c r="W789" s="495"/>
      <c r="X789" s="495"/>
      <c r="Y789" s="495"/>
      <c r="Z789" s="495"/>
      <c r="AA789" s="495"/>
      <c r="AB789" s="495"/>
      <c r="AC789" s="495"/>
      <c r="AD789" s="495"/>
    </row>
    <row r="790">
      <c r="A790" s="495" t="str">
        <f t="shared" si="1"/>
        <v/>
      </c>
      <c r="B790" s="495"/>
      <c r="C790" s="495"/>
      <c r="D790" s="495"/>
      <c r="E790" s="495"/>
      <c r="F790" s="496"/>
      <c r="G790" s="495"/>
      <c r="H790" s="495"/>
      <c r="I790" s="495"/>
      <c r="J790" s="495"/>
      <c r="K790" s="495"/>
      <c r="L790" s="495"/>
      <c r="M790" s="495"/>
      <c r="N790" s="495"/>
      <c r="O790" s="495"/>
      <c r="P790" s="495"/>
      <c r="Q790" s="495"/>
      <c r="R790" s="495"/>
      <c r="S790" s="495"/>
      <c r="T790" s="495"/>
      <c r="U790" s="495"/>
      <c r="V790" s="495"/>
      <c r="W790" s="495"/>
      <c r="X790" s="495"/>
      <c r="Y790" s="495"/>
      <c r="Z790" s="495"/>
      <c r="AA790" s="495"/>
      <c r="AB790" s="495"/>
      <c r="AC790" s="495"/>
      <c r="AD790" s="495"/>
    </row>
    <row r="791">
      <c r="A791" s="495" t="str">
        <f t="shared" si="1"/>
        <v/>
      </c>
      <c r="B791" s="495"/>
      <c r="C791" s="495"/>
      <c r="D791" s="495"/>
      <c r="E791" s="495"/>
      <c r="F791" s="496"/>
      <c r="G791" s="495"/>
      <c r="H791" s="495"/>
      <c r="I791" s="495"/>
      <c r="J791" s="495"/>
      <c r="K791" s="495"/>
      <c r="L791" s="495"/>
      <c r="M791" s="495"/>
      <c r="N791" s="495"/>
      <c r="O791" s="495"/>
      <c r="P791" s="495"/>
      <c r="Q791" s="495"/>
      <c r="R791" s="495"/>
      <c r="S791" s="495"/>
      <c r="T791" s="495"/>
      <c r="U791" s="495"/>
      <c r="V791" s="495"/>
      <c r="W791" s="495"/>
      <c r="X791" s="495"/>
      <c r="Y791" s="495"/>
      <c r="Z791" s="495"/>
      <c r="AA791" s="495"/>
      <c r="AB791" s="495"/>
      <c r="AC791" s="495"/>
      <c r="AD791" s="495"/>
    </row>
    <row r="792">
      <c r="A792" s="495" t="str">
        <f t="shared" si="1"/>
        <v/>
      </c>
      <c r="B792" s="495"/>
      <c r="C792" s="495"/>
      <c r="D792" s="495"/>
      <c r="E792" s="495"/>
      <c r="F792" s="496"/>
      <c r="G792" s="495"/>
      <c r="H792" s="495"/>
      <c r="I792" s="495"/>
      <c r="J792" s="495"/>
      <c r="K792" s="495"/>
      <c r="L792" s="495"/>
      <c r="M792" s="495"/>
      <c r="N792" s="495"/>
      <c r="O792" s="495"/>
      <c r="P792" s="495"/>
      <c r="Q792" s="495"/>
      <c r="R792" s="495"/>
      <c r="S792" s="495"/>
      <c r="T792" s="495"/>
      <c r="U792" s="495"/>
      <c r="V792" s="495"/>
      <c r="W792" s="495"/>
      <c r="X792" s="495"/>
      <c r="Y792" s="495"/>
      <c r="Z792" s="495"/>
      <c r="AA792" s="495"/>
      <c r="AB792" s="495"/>
      <c r="AC792" s="495"/>
      <c r="AD792" s="495"/>
    </row>
    <row r="793">
      <c r="A793" s="495" t="str">
        <f t="shared" si="1"/>
        <v/>
      </c>
      <c r="B793" s="495"/>
      <c r="C793" s="495"/>
      <c r="D793" s="495"/>
      <c r="E793" s="495"/>
      <c r="F793" s="496"/>
      <c r="G793" s="495"/>
      <c r="H793" s="495"/>
      <c r="I793" s="495"/>
      <c r="J793" s="495"/>
      <c r="K793" s="495"/>
      <c r="L793" s="495"/>
      <c r="M793" s="495"/>
      <c r="N793" s="495"/>
      <c r="O793" s="495"/>
      <c r="P793" s="495"/>
      <c r="Q793" s="495"/>
      <c r="R793" s="495"/>
      <c r="S793" s="495"/>
      <c r="T793" s="495"/>
      <c r="U793" s="495"/>
      <c r="V793" s="495"/>
      <c r="W793" s="495"/>
      <c r="X793" s="495"/>
      <c r="Y793" s="495"/>
      <c r="Z793" s="495"/>
      <c r="AA793" s="495"/>
      <c r="AB793" s="495"/>
      <c r="AC793" s="495"/>
      <c r="AD793" s="495"/>
    </row>
    <row r="794">
      <c r="A794" s="495" t="str">
        <f t="shared" si="1"/>
        <v/>
      </c>
      <c r="B794" s="495"/>
      <c r="C794" s="495"/>
      <c r="D794" s="495"/>
      <c r="E794" s="495"/>
      <c r="F794" s="496"/>
      <c r="G794" s="495"/>
      <c r="H794" s="495"/>
      <c r="I794" s="495"/>
      <c r="J794" s="495"/>
      <c r="K794" s="495"/>
      <c r="L794" s="495"/>
      <c r="M794" s="495"/>
      <c r="N794" s="495"/>
      <c r="O794" s="495"/>
      <c r="P794" s="495"/>
      <c r="Q794" s="495"/>
      <c r="R794" s="495"/>
      <c r="S794" s="495"/>
      <c r="T794" s="495"/>
      <c r="U794" s="495"/>
      <c r="V794" s="495"/>
      <c r="W794" s="495"/>
      <c r="X794" s="495"/>
      <c r="Y794" s="495"/>
      <c r="Z794" s="495"/>
      <c r="AA794" s="495"/>
      <c r="AB794" s="495"/>
      <c r="AC794" s="495"/>
      <c r="AD794" s="495"/>
    </row>
    <row r="795">
      <c r="A795" s="495" t="str">
        <f t="shared" si="1"/>
        <v/>
      </c>
      <c r="B795" s="495"/>
      <c r="C795" s="495"/>
      <c r="D795" s="495"/>
      <c r="E795" s="495"/>
      <c r="F795" s="496"/>
      <c r="G795" s="495"/>
      <c r="H795" s="495"/>
      <c r="I795" s="495"/>
      <c r="J795" s="495"/>
      <c r="K795" s="495"/>
      <c r="L795" s="495"/>
      <c r="M795" s="495"/>
      <c r="N795" s="495"/>
      <c r="O795" s="495"/>
      <c r="P795" s="495"/>
      <c r="Q795" s="495"/>
      <c r="R795" s="495"/>
      <c r="S795" s="495"/>
      <c r="T795" s="495"/>
      <c r="U795" s="495"/>
      <c r="V795" s="495"/>
      <c r="W795" s="495"/>
      <c r="X795" s="495"/>
      <c r="Y795" s="495"/>
      <c r="Z795" s="495"/>
      <c r="AA795" s="495"/>
      <c r="AB795" s="495"/>
      <c r="AC795" s="495"/>
      <c r="AD795" s="495"/>
    </row>
    <row r="796">
      <c r="A796" s="495" t="str">
        <f t="shared" si="1"/>
        <v/>
      </c>
      <c r="F796" s="496"/>
    </row>
    <row r="797">
      <c r="A797" s="495" t="str">
        <f t="shared" si="1"/>
        <v/>
      </c>
      <c r="F797" s="496"/>
    </row>
    <row r="798">
      <c r="A798" s="495" t="str">
        <f t="shared" si="1"/>
        <v/>
      </c>
      <c r="F798" s="496"/>
    </row>
    <row r="799">
      <c r="A799" s="495" t="str">
        <f t="shared" si="1"/>
        <v/>
      </c>
      <c r="F799" s="496"/>
    </row>
    <row r="800">
      <c r="A800" s="495" t="str">
        <f t="shared" si="1"/>
        <v/>
      </c>
      <c r="F800" s="496"/>
    </row>
    <row r="801">
      <c r="A801" s="495" t="str">
        <f t="shared" si="1"/>
        <v/>
      </c>
      <c r="F801" s="496"/>
    </row>
    <row r="802">
      <c r="A802" s="495" t="str">
        <f t="shared" si="1"/>
        <v/>
      </c>
      <c r="F802" s="496"/>
    </row>
    <row r="803">
      <c r="A803" s="495" t="str">
        <f t="shared" si="1"/>
        <v/>
      </c>
      <c r="F803" s="496"/>
    </row>
    <row r="804">
      <c r="A804" s="495" t="str">
        <f t="shared" si="1"/>
        <v/>
      </c>
      <c r="F804" s="496"/>
    </row>
    <row r="805">
      <c r="A805" s="495" t="str">
        <f t="shared" si="1"/>
        <v/>
      </c>
      <c r="F805" s="496"/>
    </row>
    <row r="806">
      <c r="A806" s="495" t="str">
        <f t="shared" si="1"/>
        <v/>
      </c>
      <c r="F806" s="496"/>
    </row>
    <row r="807">
      <c r="A807" s="495" t="str">
        <f t="shared" si="1"/>
        <v/>
      </c>
      <c r="F807" s="496"/>
    </row>
    <row r="808">
      <c r="A808" s="495" t="str">
        <f t="shared" si="1"/>
        <v/>
      </c>
      <c r="F808" s="496"/>
    </row>
    <row r="809">
      <c r="A809" s="495" t="str">
        <f t="shared" si="1"/>
        <v/>
      </c>
      <c r="F809" s="496"/>
    </row>
    <row r="810">
      <c r="A810" s="495" t="str">
        <f t="shared" si="1"/>
        <v/>
      </c>
      <c r="F810" s="496"/>
    </row>
    <row r="811">
      <c r="A811" s="495" t="str">
        <f t="shared" si="1"/>
        <v/>
      </c>
      <c r="F811" s="496"/>
    </row>
    <row r="812">
      <c r="A812" s="495" t="str">
        <f t="shared" si="1"/>
        <v/>
      </c>
      <c r="F812" s="496"/>
    </row>
    <row r="813">
      <c r="A813" s="495" t="str">
        <f t="shared" si="1"/>
        <v/>
      </c>
      <c r="F813" s="496"/>
    </row>
    <row r="814">
      <c r="A814" s="495" t="str">
        <f t="shared" si="1"/>
        <v/>
      </c>
      <c r="F814" s="496"/>
    </row>
    <row r="815">
      <c r="A815" s="495" t="str">
        <f t="shared" si="1"/>
        <v/>
      </c>
      <c r="F815" s="496"/>
    </row>
    <row r="816">
      <c r="A816" s="495" t="str">
        <f t="shared" si="1"/>
        <v/>
      </c>
      <c r="F816" s="496"/>
    </row>
    <row r="817">
      <c r="A817" s="495" t="str">
        <f t="shared" si="1"/>
        <v/>
      </c>
      <c r="F817" s="496"/>
    </row>
    <row r="818">
      <c r="A818" s="495" t="str">
        <f t="shared" si="1"/>
        <v/>
      </c>
      <c r="F818" s="496"/>
    </row>
    <row r="819">
      <c r="A819" s="495" t="str">
        <f t="shared" si="1"/>
        <v/>
      </c>
      <c r="F819" s="496"/>
    </row>
    <row r="820">
      <c r="A820" s="495" t="str">
        <f t="shared" si="1"/>
        <v/>
      </c>
      <c r="F820" s="496"/>
    </row>
    <row r="821">
      <c r="A821" s="495" t="str">
        <f t="shared" si="1"/>
        <v/>
      </c>
      <c r="F821" s="496"/>
    </row>
    <row r="822">
      <c r="A822" s="495" t="str">
        <f t="shared" si="1"/>
        <v/>
      </c>
      <c r="F822" s="496"/>
    </row>
    <row r="823">
      <c r="A823" s="495" t="str">
        <f t="shared" si="1"/>
        <v/>
      </c>
      <c r="F823" s="496"/>
    </row>
    <row r="824">
      <c r="A824" s="495" t="str">
        <f t="shared" si="1"/>
        <v/>
      </c>
      <c r="F824" s="496"/>
    </row>
    <row r="825">
      <c r="A825" s="495" t="str">
        <f t="shared" si="1"/>
        <v/>
      </c>
      <c r="F825" s="496"/>
    </row>
    <row r="826">
      <c r="A826" s="495" t="str">
        <f t="shared" si="1"/>
        <v/>
      </c>
      <c r="F826" s="496"/>
    </row>
    <row r="827">
      <c r="A827" s="495" t="str">
        <f t="shared" si="1"/>
        <v/>
      </c>
      <c r="F827" s="496"/>
    </row>
    <row r="828">
      <c r="A828" s="495" t="str">
        <f t="shared" si="1"/>
        <v/>
      </c>
      <c r="F828" s="496"/>
    </row>
    <row r="829">
      <c r="A829" s="495" t="str">
        <f t="shared" si="1"/>
        <v/>
      </c>
      <c r="F829" s="496"/>
    </row>
    <row r="830">
      <c r="A830" s="495" t="str">
        <f t="shared" si="1"/>
        <v/>
      </c>
      <c r="F830" s="496"/>
    </row>
    <row r="831">
      <c r="A831" s="495" t="str">
        <f t="shared" si="1"/>
        <v/>
      </c>
      <c r="F831" s="496"/>
    </row>
    <row r="832">
      <c r="A832" s="495" t="str">
        <f t="shared" si="1"/>
        <v/>
      </c>
      <c r="F832" s="496"/>
    </row>
    <row r="833">
      <c r="A833" s="495" t="str">
        <f t="shared" si="1"/>
        <v/>
      </c>
      <c r="F833" s="496"/>
    </row>
    <row r="834">
      <c r="A834" s="495" t="str">
        <f t="shared" si="1"/>
        <v/>
      </c>
      <c r="F834" s="496"/>
    </row>
    <row r="835">
      <c r="A835" s="495" t="str">
        <f t="shared" si="1"/>
        <v/>
      </c>
      <c r="F835" s="496"/>
    </row>
    <row r="836">
      <c r="A836" s="495" t="str">
        <f t="shared" si="1"/>
        <v/>
      </c>
      <c r="F836" s="496"/>
    </row>
    <row r="837">
      <c r="A837" s="495" t="str">
        <f t="shared" si="1"/>
        <v/>
      </c>
      <c r="F837" s="496"/>
    </row>
    <row r="838">
      <c r="A838" s="495" t="str">
        <f t="shared" si="1"/>
        <v/>
      </c>
      <c r="F838" s="496"/>
    </row>
    <row r="839">
      <c r="A839" s="495" t="str">
        <f t="shared" si="1"/>
        <v/>
      </c>
      <c r="F839" s="496"/>
    </row>
    <row r="840">
      <c r="A840" s="495" t="str">
        <f t="shared" si="1"/>
        <v/>
      </c>
      <c r="F840" s="496"/>
    </row>
    <row r="841">
      <c r="A841" s="495" t="str">
        <f t="shared" si="1"/>
        <v/>
      </c>
      <c r="F841" s="496"/>
    </row>
    <row r="842">
      <c r="A842" s="495" t="str">
        <f t="shared" si="1"/>
        <v/>
      </c>
      <c r="F842" s="496"/>
    </row>
    <row r="843">
      <c r="A843" s="495" t="str">
        <f t="shared" si="1"/>
        <v/>
      </c>
      <c r="F843" s="496"/>
    </row>
    <row r="844">
      <c r="A844" s="495" t="str">
        <f t="shared" si="1"/>
        <v/>
      </c>
      <c r="F844" s="496"/>
    </row>
    <row r="845">
      <c r="A845" s="495" t="str">
        <f t="shared" si="1"/>
        <v/>
      </c>
      <c r="F845" s="496"/>
    </row>
    <row r="846">
      <c r="A846" s="495" t="str">
        <f t="shared" si="1"/>
        <v/>
      </c>
      <c r="F846" s="496"/>
    </row>
    <row r="847">
      <c r="A847" s="495" t="str">
        <f t="shared" si="1"/>
        <v/>
      </c>
      <c r="F847" s="496"/>
    </row>
    <row r="848">
      <c r="A848" s="495" t="str">
        <f t="shared" si="1"/>
        <v/>
      </c>
      <c r="F848" s="496"/>
    </row>
    <row r="849">
      <c r="A849" s="495" t="str">
        <f t="shared" si="1"/>
        <v/>
      </c>
      <c r="F849" s="496"/>
    </row>
    <row r="850">
      <c r="A850" s="495" t="str">
        <f t="shared" si="1"/>
        <v/>
      </c>
      <c r="F850" s="496"/>
    </row>
    <row r="851">
      <c r="A851" s="495" t="str">
        <f t="shared" si="1"/>
        <v/>
      </c>
      <c r="F851" s="496"/>
    </row>
    <row r="852">
      <c r="A852" s="495" t="str">
        <f t="shared" si="1"/>
        <v/>
      </c>
      <c r="F852" s="496"/>
    </row>
    <row r="853">
      <c r="A853" s="495" t="str">
        <f t="shared" si="1"/>
        <v/>
      </c>
      <c r="F853" s="496"/>
    </row>
    <row r="854">
      <c r="A854" s="495" t="str">
        <f t="shared" si="1"/>
        <v/>
      </c>
      <c r="F854" s="496"/>
    </row>
    <row r="855">
      <c r="A855" s="495" t="str">
        <f t="shared" si="1"/>
        <v/>
      </c>
      <c r="F855" s="496"/>
    </row>
    <row r="856">
      <c r="A856" s="495" t="str">
        <f t="shared" si="1"/>
        <v/>
      </c>
      <c r="F856" s="496"/>
    </row>
    <row r="857">
      <c r="A857" s="495" t="str">
        <f t="shared" si="1"/>
        <v/>
      </c>
      <c r="F857" s="496"/>
    </row>
    <row r="858">
      <c r="A858" s="495" t="str">
        <f t="shared" si="1"/>
        <v/>
      </c>
      <c r="F858" s="496"/>
    </row>
    <row r="859">
      <c r="A859" s="495" t="str">
        <f t="shared" si="1"/>
        <v/>
      </c>
      <c r="F859" s="496"/>
    </row>
    <row r="860">
      <c r="A860" s="495" t="str">
        <f t="shared" si="1"/>
        <v/>
      </c>
      <c r="F860" s="496"/>
    </row>
    <row r="861">
      <c r="A861" s="495" t="str">
        <f t="shared" si="1"/>
        <v/>
      </c>
      <c r="F861" s="496"/>
    </row>
    <row r="862">
      <c r="A862" s="495" t="str">
        <f t="shared" si="1"/>
        <v/>
      </c>
      <c r="F862" s="496"/>
    </row>
    <row r="863">
      <c r="A863" s="495" t="str">
        <f t="shared" si="1"/>
        <v/>
      </c>
      <c r="F863" s="496"/>
    </row>
    <row r="864">
      <c r="A864" s="495" t="str">
        <f t="shared" si="1"/>
        <v/>
      </c>
      <c r="F864" s="496"/>
    </row>
    <row r="865">
      <c r="A865" s="495" t="str">
        <f t="shared" si="1"/>
        <v/>
      </c>
      <c r="F865" s="496"/>
    </row>
    <row r="866">
      <c r="A866" s="495" t="str">
        <f t="shared" si="1"/>
        <v/>
      </c>
      <c r="F866" s="496"/>
    </row>
    <row r="867">
      <c r="A867" s="495" t="str">
        <f t="shared" si="1"/>
        <v/>
      </c>
      <c r="F867" s="496"/>
    </row>
    <row r="868">
      <c r="A868" s="495" t="str">
        <f t="shared" si="1"/>
        <v/>
      </c>
      <c r="F868" s="496"/>
    </row>
    <row r="869">
      <c r="A869" s="495" t="str">
        <f t="shared" si="1"/>
        <v/>
      </c>
      <c r="F869" s="496"/>
    </row>
    <row r="870">
      <c r="A870" s="495" t="str">
        <f t="shared" si="1"/>
        <v/>
      </c>
      <c r="F870" s="496"/>
    </row>
    <row r="871">
      <c r="A871" s="495" t="str">
        <f t="shared" si="1"/>
        <v/>
      </c>
      <c r="F871" s="496"/>
    </row>
    <row r="872">
      <c r="A872" s="495" t="str">
        <f t="shared" si="1"/>
        <v/>
      </c>
      <c r="F872" s="496"/>
    </row>
    <row r="873">
      <c r="A873" s="495" t="str">
        <f t="shared" si="1"/>
        <v/>
      </c>
      <c r="F873" s="496"/>
    </row>
    <row r="874">
      <c r="A874" s="495" t="str">
        <f t="shared" si="1"/>
        <v/>
      </c>
      <c r="F874" s="496"/>
    </row>
    <row r="875">
      <c r="A875" s="495" t="str">
        <f t="shared" si="1"/>
        <v/>
      </c>
      <c r="F875" s="496"/>
    </row>
    <row r="876">
      <c r="A876" s="495" t="str">
        <f t="shared" si="1"/>
        <v/>
      </c>
      <c r="F876" s="496"/>
    </row>
    <row r="877">
      <c r="A877" s="495" t="str">
        <f t="shared" si="1"/>
        <v/>
      </c>
      <c r="F877" s="496"/>
    </row>
    <row r="878">
      <c r="A878" s="495" t="str">
        <f t="shared" si="1"/>
        <v/>
      </c>
      <c r="F878" s="496"/>
    </row>
    <row r="879">
      <c r="A879" s="495" t="str">
        <f t="shared" si="1"/>
        <v/>
      </c>
      <c r="F879" s="496"/>
    </row>
    <row r="880">
      <c r="A880" s="495" t="str">
        <f t="shared" si="1"/>
        <v/>
      </c>
      <c r="F880" s="496"/>
    </row>
    <row r="881">
      <c r="A881" s="495" t="str">
        <f t="shared" si="1"/>
        <v/>
      </c>
      <c r="F881" s="496"/>
    </row>
    <row r="882">
      <c r="A882" s="495" t="str">
        <f t="shared" si="1"/>
        <v/>
      </c>
      <c r="F882" s="496"/>
    </row>
    <row r="883">
      <c r="A883" s="495" t="str">
        <f t="shared" si="1"/>
        <v/>
      </c>
      <c r="F883" s="496"/>
    </row>
    <row r="884">
      <c r="A884" s="495" t="str">
        <f t="shared" si="1"/>
        <v/>
      </c>
      <c r="F884" s="496"/>
    </row>
    <row r="885">
      <c r="A885" s="495" t="str">
        <f t="shared" si="1"/>
        <v/>
      </c>
      <c r="F885" s="496"/>
    </row>
    <row r="886">
      <c r="A886" s="495" t="str">
        <f t="shared" si="1"/>
        <v/>
      </c>
      <c r="F886" s="496"/>
    </row>
    <row r="887">
      <c r="A887" s="495" t="str">
        <f t="shared" si="1"/>
        <v/>
      </c>
      <c r="F887" s="496"/>
    </row>
    <row r="888">
      <c r="A888" s="495" t="str">
        <f t="shared" si="1"/>
        <v/>
      </c>
      <c r="F888" s="496"/>
    </row>
    <row r="889">
      <c r="A889" s="495" t="str">
        <f t="shared" si="1"/>
        <v/>
      </c>
      <c r="F889" s="496"/>
    </row>
    <row r="890">
      <c r="A890" s="495" t="str">
        <f t="shared" si="1"/>
        <v/>
      </c>
      <c r="F890" s="496"/>
    </row>
    <row r="891">
      <c r="A891" s="495" t="str">
        <f t="shared" si="1"/>
        <v/>
      </c>
      <c r="F891" s="496"/>
    </row>
    <row r="892">
      <c r="A892" s="495" t="str">
        <f t="shared" si="1"/>
        <v/>
      </c>
      <c r="F892" s="496"/>
    </row>
    <row r="893">
      <c r="A893" s="495" t="str">
        <f t="shared" si="1"/>
        <v/>
      </c>
      <c r="F893" s="496"/>
    </row>
    <row r="894">
      <c r="A894" s="495" t="str">
        <f t="shared" si="1"/>
        <v/>
      </c>
      <c r="F894" s="496"/>
    </row>
    <row r="895">
      <c r="A895" s="495" t="str">
        <f t="shared" si="1"/>
        <v/>
      </c>
      <c r="F895" s="496"/>
    </row>
    <row r="896">
      <c r="A896" s="495" t="str">
        <f t="shared" si="1"/>
        <v/>
      </c>
      <c r="F896" s="496"/>
    </row>
    <row r="897">
      <c r="A897" s="495" t="str">
        <f t="shared" si="1"/>
        <v/>
      </c>
      <c r="F897" s="496"/>
    </row>
    <row r="898">
      <c r="A898" s="495" t="str">
        <f t="shared" si="1"/>
        <v/>
      </c>
      <c r="F898" s="496"/>
    </row>
    <row r="899">
      <c r="A899" s="495" t="str">
        <f t="shared" si="1"/>
        <v/>
      </c>
      <c r="F899" s="496"/>
    </row>
    <row r="900">
      <c r="A900" s="495" t="str">
        <f t="shared" si="1"/>
        <v/>
      </c>
      <c r="F900" s="496"/>
    </row>
    <row r="901">
      <c r="A901" s="495" t="str">
        <f t="shared" si="1"/>
        <v/>
      </c>
      <c r="F901" s="496"/>
    </row>
    <row r="902">
      <c r="A902" s="495" t="str">
        <f t="shared" si="1"/>
        <v/>
      </c>
      <c r="F902" s="496"/>
    </row>
    <row r="903">
      <c r="A903" s="495" t="str">
        <f t="shared" si="1"/>
        <v/>
      </c>
      <c r="F903" s="496"/>
    </row>
    <row r="904">
      <c r="A904" s="495" t="str">
        <f t="shared" si="1"/>
        <v/>
      </c>
      <c r="F904" s="496"/>
    </row>
    <row r="905">
      <c r="A905" s="495" t="str">
        <f t="shared" si="1"/>
        <v/>
      </c>
      <c r="F905" s="496"/>
    </row>
    <row r="906">
      <c r="A906" s="495" t="str">
        <f t="shared" si="1"/>
        <v/>
      </c>
      <c r="F906" s="496"/>
    </row>
    <row r="907">
      <c r="A907" s="495" t="str">
        <f t="shared" si="1"/>
        <v/>
      </c>
      <c r="F907" s="496"/>
    </row>
    <row r="908">
      <c r="A908" s="495" t="str">
        <f t="shared" si="1"/>
        <v/>
      </c>
      <c r="F908" s="496"/>
    </row>
    <row r="909">
      <c r="A909" s="495" t="str">
        <f t="shared" si="1"/>
        <v/>
      </c>
      <c r="F909" s="496"/>
    </row>
    <row r="910">
      <c r="A910" s="495" t="str">
        <f t="shared" si="1"/>
        <v/>
      </c>
      <c r="F910" s="496"/>
    </row>
    <row r="911">
      <c r="A911" s="495" t="str">
        <f t="shared" si="1"/>
        <v/>
      </c>
      <c r="F911" s="496"/>
    </row>
    <row r="912">
      <c r="A912" s="495" t="str">
        <f t="shared" si="1"/>
        <v/>
      </c>
      <c r="F912" s="496"/>
    </row>
    <row r="913">
      <c r="A913" s="495" t="str">
        <f t="shared" si="1"/>
        <v/>
      </c>
      <c r="F913" s="496"/>
    </row>
    <row r="914">
      <c r="A914" s="495" t="str">
        <f t="shared" si="1"/>
        <v/>
      </c>
      <c r="F914" s="496"/>
    </row>
    <row r="915">
      <c r="A915" s="495" t="str">
        <f t="shared" si="1"/>
        <v/>
      </c>
      <c r="F915" s="496"/>
    </row>
    <row r="916">
      <c r="A916" s="495" t="str">
        <f t="shared" si="1"/>
        <v/>
      </c>
      <c r="F916" s="496"/>
    </row>
    <row r="917">
      <c r="A917" s="495" t="str">
        <f t="shared" si="1"/>
        <v/>
      </c>
      <c r="F917" s="496"/>
    </row>
    <row r="918">
      <c r="A918" s="495" t="str">
        <f t="shared" si="1"/>
        <v/>
      </c>
      <c r="F918" s="496"/>
    </row>
    <row r="919">
      <c r="A919" s="495" t="str">
        <f t="shared" si="1"/>
        <v/>
      </c>
      <c r="F919" s="496"/>
    </row>
    <row r="920">
      <c r="A920" s="495" t="str">
        <f t="shared" si="1"/>
        <v/>
      </c>
      <c r="F920" s="496"/>
    </row>
    <row r="921">
      <c r="A921" s="495" t="str">
        <f t="shared" si="1"/>
        <v/>
      </c>
      <c r="F921" s="496"/>
    </row>
    <row r="922">
      <c r="A922" s="495" t="str">
        <f t="shared" si="1"/>
        <v/>
      </c>
      <c r="F922" s="496"/>
    </row>
    <row r="923">
      <c r="A923" s="495" t="str">
        <f t="shared" si="1"/>
        <v/>
      </c>
      <c r="F923" s="496"/>
    </row>
    <row r="924">
      <c r="A924" s="495" t="str">
        <f t="shared" si="1"/>
        <v/>
      </c>
      <c r="F924" s="496"/>
    </row>
    <row r="925">
      <c r="A925" s="495" t="str">
        <f t="shared" si="1"/>
        <v/>
      </c>
      <c r="F925" s="496"/>
    </row>
    <row r="926">
      <c r="A926" s="495" t="str">
        <f t="shared" si="1"/>
        <v/>
      </c>
      <c r="F926" s="496"/>
    </row>
    <row r="927">
      <c r="A927" s="495" t="str">
        <f t="shared" si="1"/>
        <v/>
      </c>
      <c r="F927" s="496"/>
    </row>
    <row r="928">
      <c r="A928" s="495" t="str">
        <f t="shared" si="1"/>
        <v/>
      </c>
      <c r="F928" s="496"/>
    </row>
    <row r="929">
      <c r="A929" s="495" t="str">
        <f t="shared" si="1"/>
        <v/>
      </c>
      <c r="F929" s="496"/>
    </row>
    <row r="930">
      <c r="A930" s="495" t="str">
        <f t="shared" si="1"/>
        <v/>
      </c>
      <c r="F930" s="496"/>
    </row>
    <row r="931">
      <c r="A931" s="495" t="str">
        <f t="shared" si="1"/>
        <v/>
      </c>
      <c r="F931" s="496"/>
    </row>
    <row r="932">
      <c r="A932" s="495" t="str">
        <f t="shared" si="1"/>
        <v/>
      </c>
      <c r="F932" s="496"/>
    </row>
    <row r="933">
      <c r="A933" s="495" t="str">
        <f t="shared" si="1"/>
        <v/>
      </c>
      <c r="F933" s="496"/>
    </row>
    <row r="934">
      <c r="A934" s="495" t="str">
        <f t="shared" si="1"/>
        <v/>
      </c>
      <c r="F934" s="496"/>
    </row>
    <row r="935">
      <c r="A935" s="495" t="str">
        <f t="shared" si="1"/>
        <v/>
      </c>
      <c r="F935" s="496"/>
    </row>
    <row r="936">
      <c r="A936" s="495" t="str">
        <f t="shared" si="1"/>
        <v/>
      </c>
      <c r="F936" s="496"/>
    </row>
    <row r="937">
      <c r="A937" s="495" t="str">
        <f t="shared" si="1"/>
        <v/>
      </c>
      <c r="F937" s="496"/>
    </row>
    <row r="938">
      <c r="A938" s="495" t="str">
        <f t="shared" si="1"/>
        <v/>
      </c>
      <c r="F938" s="496"/>
    </row>
    <row r="939">
      <c r="A939" s="495" t="str">
        <f t="shared" si="1"/>
        <v/>
      </c>
      <c r="F939" s="496"/>
    </row>
    <row r="940">
      <c r="A940" s="495" t="str">
        <f t="shared" si="1"/>
        <v/>
      </c>
      <c r="F940" s="496"/>
    </row>
    <row r="941">
      <c r="A941" s="495" t="str">
        <f t="shared" si="1"/>
        <v/>
      </c>
      <c r="F941" s="496"/>
    </row>
    <row r="942">
      <c r="A942" s="495" t="str">
        <f t="shared" si="1"/>
        <v/>
      </c>
      <c r="F942" s="496"/>
    </row>
    <row r="943">
      <c r="A943" s="495" t="str">
        <f t="shared" si="1"/>
        <v/>
      </c>
      <c r="F943" s="496"/>
    </row>
    <row r="944">
      <c r="A944" s="495" t="str">
        <f t="shared" si="1"/>
        <v/>
      </c>
      <c r="F944" s="496"/>
    </row>
    <row r="945">
      <c r="A945" s="495" t="str">
        <f t="shared" si="1"/>
        <v/>
      </c>
      <c r="F945" s="496"/>
    </row>
    <row r="946">
      <c r="A946" s="495" t="str">
        <f t="shared" si="1"/>
        <v/>
      </c>
      <c r="F946" s="496"/>
    </row>
    <row r="947">
      <c r="A947" s="495" t="str">
        <f t="shared" si="1"/>
        <v/>
      </c>
      <c r="F947" s="496"/>
    </row>
    <row r="948">
      <c r="A948" s="495" t="str">
        <f t="shared" si="1"/>
        <v/>
      </c>
      <c r="F948" s="496"/>
    </row>
    <row r="949">
      <c r="A949" s="495" t="str">
        <f t="shared" si="1"/>
        <v/>
      </c>
      <c r="F949" s="496"/>
    </row>
    <row r="950">
      <c r="A950" s="495" t="str">
        <f t="shared" si="1"/>
        <v/>
      </c>
      <c r="F950" s="496"/>
    </row>
    <row r="951">
      <c r="A951" s="495" t="str">
        <f t="shared" si="1"/>
        <v/>
      </c>
      <c r="F951" s="496"/>
    </row>
    <row r="952">
      <c r="A952" s="495" t="str">
        <f t="shared" si="1"/>
        <v/>
      </c>
      <c r="F952" s="496"/>
    </row>
    <row r="953">
      <c r="A953" s="495" t="str">
        <f t="shared" si="1"/>
        <v/>
      </c>
      <c r="F953" s="496"/>
    </row>
    <row r="954">
      <c r="A954" s="495" t="str">
        <f t="shared" si="1"/>
        <v/>
      </c>
      <c r="F954" s="496"/>
    </row>
    <row r="955">
      <c r="A955" s="495" t="str">
        <f t="shared" si="1"/>
        <v/>
      </c>
      <c r="F955" s="496"/>
    </row>
    <row r="956">
      <c r="A956" s="495" t="str">
        <f t="shared" si="1"/>
        <v/>
      </c>
      <c r="F956" s="496"/>
    </row>
    <row r="957">
      <c r="A957" s="495" t="str">
        <f t="shared" si="1"/>
        <v/>
      </c>
      <c r="F957" s="496"/>
    </row>
    <row r="958">
      <c r="A958" s="495" t="str">
        <f t="shared" si="1"/>
        <v/>
      </c>
      <c r="F958" s="496"/>
    </row>
    <row r="959">
      <c r="A959" s="495" t="str">
        <f t="shared" si="1"/>
        <v/>
      </c>
      <c r="F959" s="496"/>
    </row>
    <row r="960">
      <c r="A960" s="495" t="str">
        <f t="shared" si="1"/>
        <v/>
      </c>
      <c r="F960" s="496"/>
    </row>
    <row r="961">
      <c r="A961" s="495" t="str">
        <f t="shared" si="1"/>
        <v/>
      </c>
      <c r="F961" s="496"/>
    </row>
    <row r="962">
      <c r="A962" s="495" t="str">
        <f t="shared" si="1"/>
        <v/>
      </c>
      <c r="F962" s="496"/>
    </row>
    <row r="963">
      <c r="A963" s="495" t="str">
        <f t="shared" si="1"/>
        <v/>
      </c>
      <c r="F963" s="496"/>
    </row>
    <row r="964">
      <c r="A964" s="495" t="str">
        <f t="shared" si="1"/>
        <v/>
      </c>
      <c r="F964" s="496"/>
    </row>
    <row r="965">
      <c r="A965" s="495" t="str">
        <f t="shared" si="1"/>
        <v/>
      </c>
      <c r="F965" s="496"/>
    </row>
    <row r="966">
      <c r="A966" s="495" t="str">
        <f t="shared" si="1"/>
        <v/>
      </c>
      <c r="F966" s="496"/>
    </row>
    <row r="967">
      <c r="A967" s="495" t="str">
        <f t="shared" si="1"/>
        <v/>
      </c>
      <c r="F967" s="496"/>
    </row>
    <row r="968">
      <c r="A968" s="495" t="str">
        <f t="shared" si="1"/>
        <v/>
      </c>
      <c r="F968" s="496"/>
    </row>
    <row r="969">
      <c r="A969" s="495" t="str">
        <f t="shared" si="1"/>
        <v/>
      </c>
      <c r="F969" s="496"/>
    </row>
    <row r="970">
      <c r="A970" s="495" t="str">
        <f t="shared" si="1"/>
        <v/>
      </c>
      <c r="F970" s="496"/>
    </row>
    <row r="971">
      <c r="A971" s="495" t="str">
        <f t="shared" si="1"/>
        <v/>
      </c>
      <c r="F971" s="496"/>
    </row>
    <row r="972">
      <c r="A972" s="495" t="str">
        <f t="shared" si="1"/>
        <v/>
      </c>
      <c r="F972" s="496"/>
    </row>
    <row r="973">
      <c r="A973" s="495" t="str">
        <f t="shared" si="1"/>
        <v/>
      </c>
      <c r="F973" s="496"/>
    </row>
    <row r="974">
      <c r="A974" s="495" t="str">
        <f t="shared" si="1"/>
        <v/>
      </c>
      <c r="F974" s="496"/>
    </row>
    <row r="975">
      <c r="A975" s="495" t="str">
        <f t="shared" si="1"/>
        <v/>
      </c>
      <c r="F975" s="496"/>
    </row>
    <row r="976">
      <c r="A976" s="495" t="str">
        <f t="shared" si="1"/>
        <v/>
      </c>
      <c r="F976" s="496"/>
    </row>
    <row r="977">
      <c r="A977" s="495" t="str">
        <f t="shared" si="1"/>
        <v/>
      </c>
      <c r="F977" s="496"/>
    </row>
    <row r="978">
      <c r="A978" s="495" t="str">
        <f t="shared" si="1"/>
        <v/>
      </c>
      <c r="F978" s="496"/>
    </row>
    <row r="979">
      <c r="A979" s="495" t="str">
        <f t="shared" si="1"/>
        <v/>
      </c>
      <c r="F979" s="496"/>
    </row>
    <row r="980">
      <c r="A980" s="495" t="str">
        <f t="shared" si="1"/>
        <v/>
      </c>
      <c r="F980" s="496"/>
    </row>
    <row r="981">
      <c r="A981" s="495" t="str">
        <f t="shared" si="1"/>
        <v/>
      </c>
      <c r="F981" s="496"/>
    </row>
    <row r="982">
      <c r="A982" s="495" t="str">
        <f t="shared" si="1"/>
        <v/>
      </c>
      <c r="F982" s="496"/>
    </row>
    <row r="983">
      <c r="A983" s="495" t="str">
        <f t="shared" si="1"/>
        <v/>
      </c>
      <c r="F983" s="496"/>
    </row>
    <row r="984">
      <c r="A984" s="495" t="str">
        <f t="shared" si="1"/>
        <v/>
      </c>
      <c r="F984" s="496"/>
    </row>
    <row r="985">
      <c r="A985" s="495" t="str">
        <f t="shared" si="1"/>
        <v/>
      </c>
      <c r="F985" s="496"/>
    </row>
    <row r="986">
      <c r="A986" s="495" t="str">
        <f t="shared" si="1"/>
        <v/>
      </c>
      <c r="F986" s="496"/>
    </row>
    <row r="987">
      <c r="A987" s="495" t="str">
        <f t="shared" si="1"/>
        <v/>
      </c>
      <c r="F987" s="496"/>
    </row>
    <row r="988">
      <c r="A988" s="495" t="str">
        <f t="shared" si="1"/>
        <v/>
      </c>
      <c r="F988" s="496"/>
    </row>
    <row r="989">
      <c r="A989" s="495" t="str">
        <f t="shared" si="1"/>
        <v/>
      </c>
      <c r="F989" s="496"/>
    </row>
    <row r="990">
      <c r="A990" s="495" t="str">
        <f t="shared" si="1"/>
        <v/>
      </c>
      <c r="F990" s="496"/>
    </row>
    <row r="991">
      <c r="A991" s="495" t="str">
        <f t="shared" si="1"/>
        <v/>
      </c>
      <c r="F991" s="496"/>
    </row>
    <row r="992">
      <c r="A992" s="495" t="str">
        <f t="shared" si="1"/>
        <v/>
      </c>
      <c r="F992" s="496"/>
    </row>
    <row r="993">
      <c r="A993" s="495" t="str">
        <f t="shared" si="1"/>
        <v/>
      </c>
      <c r="F993" s="496"/>
    </row>
    <row r="994">
      <c r="A994" s="495" t="str">
        <f t="shared" si="1"/>
        <v/>
      </c>
      <c r="F994" s="496"/>
    </row>
    <row r="995">
      <c r="A995" s="495" t="str">
        <f t="shared" si="1"/>
        <v/>
      </c>
      <c r="F995" s="496"/>
    </row>
    <row r="996">
      <c r="A996" s="495" t="str">
        <f t="shared" si="1"/>
        <v/>
      </c>
      <c r="F996" s="496"/>
    </row>
    <row r="997">
      <c r="A997" s="495" t="str">
        <f t="shared" si="1"/>
        <v/>
      </c>
      <c r="F997" s="496"/>
    </row>
    <row r="998">
      <c r="A998" s="495" t="str">
        <f t="shared" si="1"/>
        <v/>
      </c>
      <c r="F998" s="496"/>
    </row>
    <row r="999">
      <c r="A999" s="495" t="str">
        <f t="shared" si="1"/>
        <v/>
      </c>
      <c r="F999" s="496"/>
    </row>
    <row r="1000">
      <c r="F1000" s="496"/>
    </row>
  </sheetData>
  <hyperlinks>
    <hyperlink r:id="rId1" ref="X5"/>
    <hyperlink r:id="rId2" ref="X7"/>
    <hyperlink r:id="rId3" ref="X14"/>
    <hyperlink r:id="rId4" ref="X20"/>
    <hyperlink r:id="rId5" ref="X28"/>
    <hyperlink r:id="rId6" ref="X30"/>
    <hyperlink r:id="rId7" ref="X42"/>
    <hyperlink r:id="rId8" ref="X45"/>
    <hyperlink r:id="rId9" ref="X53"/>
    <hyperlink r:id="rId10" ref="X54"/>
    <hyperlink r:id="rId11" ref="X56"/>
    <hyperlink r:id="rId12" ref="X59"/>
    <hyperlink r:id="rId13" ref="X72"/>
    <hyperlink r:id="rId14" ref="X73"/>
    <hyperlink r:id="rId15" ref="X74"/>
    <hyperlink r:id="rId16" ref="X77"/>
    <hyperlink r:id="rId17" ref="X79"/>
    <hyperlink r:id="rId18" ref="X80"/>
    <hyperlink r:id="rId19" ref="X81"/>
    <hyperlink r:id="rId20" ref="X91"/>
    <hyperlink r:id="rId21" ref="X93"/>
    <hyperlink r:id="rId22" ref="X94"/>
    <hyperlink r:id="rId23" ref="X101"/>
    <hyperlink r:id="rId24" ref="X105"/>
    <hyperlink r:id="rId25" ref="X108"/>
    <hyperlink r:id="rId26" ref="X110"/>
    <hyperlink r:id="rId27" ref="X119"/>
    <hyperlink r:id="rId28" ref="X124"/>
    <hyperlink r:id="rId29" ref="X136"/>
    <hyperlink r:id="rId30" ref="X137"/>
    <hyperlink r:id="rId31" ref="X139"/>
    <hyperlink r:id="rId32" ref="X140"/>
    <hyperlink r:id="rId33" ref="X142"/>
    <hyperlink r:id="rId34" ref="X143"/>
    <hyperlink r:id="rId35" ref="X150"/>
    <hyperlink r:id="rId36" ref="X151"/>
    <hyperlink r:id="rId37" ref="X153"/>
    <hyperlink r:id="rId38" ref="X154"/>
    <hyperlink r:id="rId39" ref="X157"/>
    <hyperlink r:id="rId40" ref="X158"/>
    <hyperlink r:id="rId41" ref="X163"/>
    <hyperlink r:id="rId42" ref="X173"/>
    <hyperlink r:id="rId43" ref="X174"/>
    <hyperlink r:id="rId44" ref="X176"/>
    <hyperlink r:id="rId45" ref="X180"/>
    <hyperlink r:id="rId46" ref="X186"/>
    <hyperlink r:id="rId47" ref="X187"/>
    <hyperlink r:id="rId48" ref="X189"/>
    <hyperlink r:id="rId49" ref="X199"/>
    <hyperlink r:id="rId50" ref="X215"/>
    <hyperlink r:id="rId51" ref="X219"/>
    <hyperlink r:id="rId52" ref="X220"/>
    <hyperlink r:id="rId53" ref="X226"/>
    <hyperlink r:id="rId54" ref="X232"/>
    <hyperlink r:id="rId55" ref="X233"/>
    <hyperlink r:id="rId56" ref="X234"/>
    <hyperlink r:id="rId57" ref="X235"/>
    <hyperlink r:id="rId58" ref="X236"/>
    <hyperlink r:id="rId59" ref="X237"/>
    <hyperlink r:id="rId60" ref="X243"/>
    <hyperlink r:id="rId61" ref="X244"/>
    <hyperlink r:id="rId62" ref="X248"/>
    <hyperlink r:id="rId63" ref="X250"/>
    <hyperlink r:id="rId64" ref="X256"/>
    <hyperlink r:id="rId65" ref="X261"/>
    <hyperlink r:id="rId66" ref="X270"/>
    <hyperlink r:id="rId67" ref="X272"/>
    <hyperlink r:id="rId68" ref="X290"/>
    <hyperlink r:id="rId69" ref="X294"/>
    <hyperlink r:id="rId70" ref="X295"/>
    <hyperlink r:id="rId71" ref="X296"/>
    <hyperlink r:id="rId72" ref="X297"/>
    <hyperlink r:id="rId73" ref="X298"/>
    <hyperlink r:id="rId74" ref="X300"/>
    <hyperlink r:id="rId75" ref="X302"/>
    <hyperlink r:id="rId76" ref="X303"/>
    <hyperlink r:id="rId77" ref="X309"/>
    <hyperlink r:id="rId78" ref="X310"/>
    <hyperlink r:id="rId79" ref="X311"/>
    <hyperlink r:id="rId80" ref="X320"/>
    <hyperlink r:id="rId81" ref="X321"/>
    <hyperlink r:id="rId82" ref="X334"/>
    <hyperlink r:id="rId83" ref="X343"/>
    <hyperlink r:id="rId84" ref="X363"/>
    <hyperlink r:id="rId85" ref="X375"/>
    <hyperlink r:id="rId86" ref="X378"/>
    <hyperlink r:id="rId87" ref="X382"/>
    <hyperlink r:id="rId88" ref="X388"/>
    <hyperlink r:id="rId89" ref="X392"/>
    <hyperlink r:id="rId90" ref="X393"/>
    <hyperlink r:id="rId91" ref="X394"/>
    <hyperlink r:id="rId92" ref="X401"/>
    <hyperlink r:id="rId93" ref="X409"/>
    <hyperlink r:id="rId94" ref="X410"/>
    <hyperlink r:id="rId95" ref="X416"/>
    <hyperlink r:id="rId96" ref="X419"/>
    <hyperlink r:id="rId97" ref="X425"/>
    <hyperlink r:id="rId98" ref="X433"/>
    <hyperlink r:id="rId99" ref="X448"/>
    <hyperlink r:id="rId100" ref="X449"/>
    <hyperlink r:id="rId101" ref="X450"/>
    <hyperlink r:id="rId102" ref="X451"/>
    <hyperlink r:id="rId103" ref="X453"/>
    <hyperlink r:id="rId104" ref="X455"/>
    <hyperlink r:id="rId105" ref="X457"/>
    <hyperlink r:id="rId106" ref="X458"/>
    <hyperlink r:id="rId107" ref="X461"/>
    <hyperlink r:id="rId108" ref="X463"/>
    <hyperlink r:id="rId109" ref="X464"/>
    <hyperlink r:id="rId110" ref="X465"/>
    <hyperlink r:id="rId111" ref="X469"/>
    <hyperlink r:id="rId112" ref="X472"/>
    <hyperlink r:id="rId113" ref="X474"/>
    <hyperlink r:id="rId114" ref="X480"/>
    <hyperlink r:id="rId115" ref="X481"/>
    <hyperlink r:id="rId116" ref="X485"/>
    <hyperlink r:id="rId117" ref="X493"/>
    <hyperlink r:id="rId118" ref="X498"/>
    <hyperlink r:id="rId119" ref="X511"/>
    <hyperlink r:id="rId120" ref="X515"/>
    <hyperlink r:id="rId121" ref="X517"/>
    <hyperlink r:id="rId122" ref="X520"/>
    <hyperlink r:id="rId123" ref="X521"/>
    <hyperlink r:id="rId124" ref="X523"/>
    <hyperlink r:id="rId125" ref="X524"/>
    <hyperlink r:id="rId126" ref="X538"/>
    <hyperlink r:id="rId127" ref="X540"/>
    <hyperlink r:id="rId128" ref="X553"/>
    <hyperlink r:id="rId129" ref="X554"/>
    <hyperlink r:id="rId130" ref="X555"/>
    <hyperlink r:id="rId131" ref="X557"/>
    <hyperlink r:id="rId132" ref="X558"/>
    <hyperlink r:id="rId133" ref="X559"/>
    <hyperlink r:id="rId134" ref="X568"/>
    <hyperlink r:id="rId135" ref="X581"/>
    <hyperlink r:id="rId136" ref="X584"/>
    <hyperlink r:id="rId137" ref="X588"/>
    <hyperlink r:id="rId138" ref="X590"/>
    <hyperlink r:id="rId139" ref="X591"/>
    <hyperlink r:id="rId140" ref="X599"/>
    <hyperlink r:id="rId141" ref="X604"/>
    <hyperlink r:id="rId142" ref="X607"/>
    <hyperlink r:id="rId143" ref="X634"/>
    <hyperlink r:id="rId144" ref="X637"/>
    <hyperlink r:id="rId145" ref="X639"/>
    <hyperlink r:id="rId146" ref="X644"/>
    <hyperlink r:id="rId147" ref="X647"/>
    <hyperlink r:id="rId148" ref="X648"/>
    <hyperlink r:id="rId149" ref="X649"/>
    <hyperlink r:id="rId150" ref="X652"/>
    <hyperlink r:id="rId151" ref="X653"/>
    <hyperlink r:id="rId152" ref="X656"/>
    <hyperlink r:id="rId153" ref="X667"/>
    <hyperlink r:id="rId154" ref="X672"/>
    <hyperlink r:id="rId155" ref="X673"/>
    <hyperlink r:id="rId156" ref="X674"/>
    <hyperlink r:id="rId157" ref="X676"/>
    <hyperlink r:id="rId158" ref="X683"/>
    <hyperlink r:id="rId159" ref="X684"/>
    <hyperlink r:id="rId160" ref="X685"/>
    <hyperlink r:id="rId161" ref="X690"/>
    <hyperlink r:id="rId162" ref="X695"/>
  </hyperlinks>
  <drawing r:id="rId163"/>
</worksheet>
</file>